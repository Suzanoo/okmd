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2405" documentId="11_8636101E351F3C83A0A83495EB8157488B7E4439" xr6:coauthVersionLast="47" xr6:coauthVersionMax="47" xr10:uidLastSave="{35FBD822-372B-44A0-A12A-8EF8172E4B7A}"/>
  <bookViews>
    <workbookView xWindow="-120" yWindow="-120" windowWidth="29040" windowHeight="15720" tabRatio="920" firstSheet="1" activeTab="1" xr2:uid="{00000000-000D-0000-FFFF-FFFF00000000}"/>
  </bookViews>
  <sheets>
    <sheet name="RC2_ปร.6" sheetId="49" state="hidden" r:id="rId1"/>
    <sheet name="NKC2" sheetId="51" r:id="rId2"/>
    <sheet name="RC2_ปร.5 (ก)" sheetId="21" r:id="rId3"/>
    <sheet name="Arch" sheetId="2" r:id="rId4"/>
    <sheet name="Built" sheetId="4" r:id="rId5"/>
    <sheet name="Str" sheetId="29" r:id="rId6"/>
    <sheet name="EE" sheetId="48" r:id="rId7"/>
    <sheet name="SAN_FP" sheetId="47" r:id="rId8"/>
    <sheet name="AC" sheetId="45" r:id="rId9"/>
    <sheet name="LD" sheetId="37" r:id="rId10"/>
    <sheet name="แบบ ปร.5(ข)" sheetId="18" r:id="rId11"/>
    <sheet name="EQ" sheetId="35" r:id="rId12"/>
    <sheet name="Loose" sheetId="5" r:id="rId13"/>
    <sheet name="AV" sheetId="9" r:id="rId14"/>
    <sheet name="HC_SC" sheetId="38" r:id="rId15"/>
    <sheet name="Oth" sheetId="50" r:id="rId16"/>
  </sheets>
  <externalReferences>
    <externalReference r:id="rId17"/>
  </externalReferences>
  <definedNames>
    <definedName name="____str1">#REF!</definedName>
    <definedName name="____str2">#REF!</definedName>
    <definedName name="____str3">#REF!</definedName>
    <definedName name="___str1">#REF!</definedName>
    <definedName name="___str2">#REF!</definedName>
    <definedName name="___str3">#REF!</definedName>
    <definedName name="__str1">#REF!</definedName>
    <definedName name="__str2">#REF!</definedName>
    <definedName name="__str3">#REF!</definedName>
    <definedName name="_1Excel_BuiltIn_Print_Area_1_1">#REF!</definedName>
    <definedName name="_str1">#REF!</definedName>
    <definedName name="_str2">#REF!</definedName>
    <definedName name="_str3">#REF!</definedName>
    <definedName name="A" localSheetId="3">#REF!</definedName>
    <definedName name="A" localSheetId="13">#REF!</definedName>
    <definedName name="A" localSheetId="4">#REF!</definedName>
    <definedName name="A" localSheetId="9">#REF!</definedName>
    <definedName name="A" localSheetId="12">#REF!</definedName>
    <definedName name="A" localSheetId="7">#REF!</definedName>
    <definedName name="A" localSheetId="14">#REF!</definedName>
    <definedName name="A" localSheetId="5">#REF!</definedName>
    <definedName name="A" localSheetId="11">#REF!</definedName>
    <definedName name="A" localSheetId="2">#REF!</definedName>
    <definedName name="A" localSheetId="0">#REF!</definedName>
    <definedName name="A" localSheetId="6">#REF!</definedName>
    <definedName name="A" localSheetId="10">#REF!</definedName>
    <definedName name="A" localSheetId="15">#REF!</definedName>
    <definedName name="A">#REF!</definedName>
    <definedName name="ABL">'[1]Summary SN FP'!#REF!</definedName>
    <definedName name="ada">#REF!</definedName>
    <definedName name="ARCH_LAB">#REF!</definedName>
    <definedName name="ARCH_MAT">#REF!</definedName>
    <definedName name="Cavity_Pump">'[1]Summary SN FP'!#REF!</definedName>
    <definedName name="Decanter">'[1]Summary SN FP'!#REF!</definedName>
    <definedName name="Excel_BuiltIn_Print_Area">#REF!</definedName>
    <definedName name="Excel_BuiltIn_Print_Titles">#REF!</definedName>
    <definedName name="EXT_LAB">#REF!</definedName>
    <definedName name="EXT_MAT">#REF!</definedName>
    <definedName name="f">#REF!</definedName>
    <definedName name="FP">'[1]Summary SN FP'!#REF!</definedName>
    <definedName name="I" localSheetId="13">#REF!</definedName>
    <definedName name="I" localSheetId="4">#REF!</definedName>
    <definedName name="I" localSheetId="12">#REF!</definedName>
    <definedName name="I" localSheetId="5">#REF!</definedName>
    <definedName name="I" localSheetId="11">#REF!</definedName>
    <definedName name="I" localSheetId="2">#REF!</definedName>
    <definedName name="I" localSheetId="0">#REF!</definedName>
    <definedName name="I" localSheetId="6">#REF!</definedName>
    <definedName name="I" localSheetId="10">#REF!</definedName>
    <definedName name="I">#REF!</definedName>
    <definedName name="IX" localSheetId="13">#REF!</definedName>
    <definedName name="IX" localSheetId="4">#REF!</definedName>
    <definedName name="IX" localSheetId="12">#REF!</definedName>
    <definedName name="IX" localSheetId="11">#REF!</definedName>
    <definedName name="IX" localSheetId="2">#REF!</definedName>
    <definedName name="IX" localSheetId="0">#REF!</definedName>
    <definedName name="IX" localSheetId="6">#REF!</definedName>
    <definedName name="IX" localSheetId="10">#REF!</definedName>
    <definedName name="IX">#REF!</definedName>
    <definedName name="IY" localSheetId="2">#REF!</definedName>
    <definedName name="IY" localSheetId="0">#REF!</definedName>
    <definedName name="IY" localSheetId="10">#REF!</definedName>
    <definedName name="IY">#REF!</definedName>
    <definedName name="L1_" localSheetId="2">#REF!</definedName>
    <definedName name="L1_" localSheetId="0">#REF!</definedName>
    <definedName name="L1_" localSheetId="10">#REF!</definedName>
    <definedName name="L1_">#REF!</definedName>
    <definedName name="L2_" localSheetId="2">#REF!</definedName>
    <definedName name="L2_" localSheetId="0">#REF!</definedName>
    <definedName name="L2_" localSheetId="10">#REF!</definedName>
    <definedName name="L2_">#REF!</definedName>
    <definedName name="LF">#REF!</definedName>
    <definedName name="MandE_LAB">#REF!</definedName>
    <definedName name="MandE_MAT">#REF!</definedName>
    <definedName name="Nitro">'[1]Summary SN FP'!#REF!</definedName>
    <definedName name="OTHER_LAB">#REF!</definedName>
    <definedName name="OTHER_MAT">#REF!</definedName>
    <definedName name="PBS">'[1]Summary SN FP'!#REF!</definedName>
    <definedName name="PRE_LAB">#REF!</definedName>
    <definedName name="PRE_MAT">#REF!</definedName>
    <definedName name="_xlnm.Print_Area" localSheetId="8">AC!$A$1:$N$364</definedName>
    <definedName name="_xlnm.Print_Area" localSheetId="3">Arch!$A$1:$N$632</definedName>
    <definedName name="_xlnm.Print_Area" localSheetId="13">AV!$A$1:$N$210</definedName>
    <definedName name="_xlnm.Print_Area" localSheetId="4">Built!$A$1:$N$284</definedName>
    <definedName name="_xlnm.Print_Area" localSheetId="9">LD!$A$1:$N$55</definedName>
    <definedName name="_xlnm.Print_Area" localSheetId="12">Loose!$A$1:$M$350</definedName>
    <definedName name="_xlnm.Print_Area" localSheetId="7">SAN_FP!$A$1:$N$256</definedName>
    <definedName name="_xlnm.Print_Area" localSheetId="14">HC_SC!$A$1:$N$86</definedName>
    <definedName name="_xlnm.Print_Area" localSheetId="5">Str!$A$1:$N$697</definedName>
    <definedName name="_xlnm.Print_Area" localSheetId="11">EQ!$A$1:$M$167</definedName>
    <definedName name="_xlnm.Print_Area" localSheetId="2">'RC2_ปร.5 (ก)'!$A$1:$J$21</definedName>
    <definedName name="_xlnm.Print_Area" localSheetId="0">'RC2_ปร.6'!$A$1:$F$22</definedName>
    <definedName name="_xlnm.Print_Area" localSheetId="6">EE!$A$1:$N$592</definedName>
    <definedName name="_xlnm.Print_Area" localSheetId="10">'แบบ ปร.5(ข)'!$A$1:$F$25</definedName>
    <definedName name="_xlnm.Print_Area" localSheetId="15">Oth!$A$2:$N$22</definedName>
    <definedName name="_xlnm.Print_Area">#REF!</definedName>
    <definedName name="PRINT_AREA_MI">#REF!</definedName>
    <definedName name="_xlnm.Print_Titles" localSheetId="8">AC!$5:$6</definedName>
    <definedName name="_xlnm.Print_Titles" localSheetId="3">Arch!$1:$1</definedName>
    <definedName name="_xlnm.Print_Titles" localSheetId="13">AV!$5:$6</definedName>
    <definedName name="_xlnm.Print_Titles" localSheetId="4">Built!#REF!</definedName>
    <definedName name="_xlnm.Print_Titles" localSheetId="9">LD!$5:$6</definedName>
    <definedName name="_xlnm.Print_Titles" localSheetId="12">Loose!$5:$6</definedName>
    <definedName name="_xlnm.Print_Titles" localSheetId="7">SAN_FP!$5:$6</definedName>
    <definedName name="_xlnm.Print_Titles" localSheetId="14">HC_SC!$5:$6</definedName>
    <definedName name="_xlnm.Print_Titles" localSheetId="5">Str!$1:$1</definedName>
    <definedName name="_xlnm.Print_Titles" localSheetId="11">EQ!$5:$6</definedName>
    <definedName name="_xlnm.Print_Titles" localSheetId="6">EE!$5:$6</definedName>
    <definedName name="_xlnm.Print_Titles" localSheetId="10">'แบบ ปร.5(ข)'!$1:$10</definedName>
    <definedName name="_xlnm.Print_Titles">#REF!</definedName>
    <definedName name="PRINT_TITLES_MI">#REF!</definedName>
    <definedName name="STRUC_LAB">#REF!</definedName>
    <definedName name="STRUC_MAT">#REF!</definedName>
    <definedName name="SWP">'[1]Summary SN FP'!#REF!</definedName>
    <definedName name="te">#REF!</definedName>
    <definedName name="WWT">'[1]Summary SN FP'!#REF!</definedName>
    <definedName name="xAdcad">#REF!</definedName>
    <definedName name="y" localSheetId="3">#REF!</definedName>
    <definedName name="y" localSheetId="13">#REF!</definedName>
    <definedName name="y" localSheetId="4">#REF!</definedName>
    <definedName name="y" localSheetId="9">#REF!</definedName>
    <definedName name="y" localSheetId="12">#REF!</definedName>
    <definedName name="y" localSheetId="7">#REF!</definedName>
    <definedName name="y" localSheetId="14">#REF!</definedName>
    <definedName name="y" localSheetId="5">#REF!</definedName>
    <definedName name="y" localSheetId="11">#REF!</definedName>
    <definedName name="y" localSheetId="2">#REF!</definedName>
    <definedName name="y" localSheetId="0">#REF!</definedName>
    <definedName name="y" localSheetId="6">#REF!</definedName>
    <definedName name="y" localSheetId="10">#REF!</definedName>
    <definedName name="y" localSheetId="15">#REF!</definedName>
    <definedName name="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77" i="51" l="1"/>
  <c r="M16" i="29"/>
  <c r="J1275" i="51"/>
  <c r="I1275" i="51"/>
  <c r="H1275" i="51"/>
  <c r="C22" i="18"/>
  <c r="E1291" i="51"/>
  <c r="F1291" i="51"/>
  <c r="G1291" i="51"/>
  <c r="H1291" i="51"/>
  <c r="I1291" i="51"/>
  <c r="J1291" i="51"/>
  <c r="E1292" i="51"/>
  <c r="F1292" i="51"/>
  <c r="G1292" i="51"/>
  <c r="H1292" i="51"/>
  <c r="I1292" i="51"/>
  <c r="J1292" i="51"/>
  <c r="E1293" i="51"/>
  <c r="F1293" i="51"/>
  <c r="G1293" i="51"/>
  <c r="H1293" i="51"/>
  <c r="I1293" i="51"/>
  <c r="J1293" i="51"/>
  <c r="E1281" i="51"/>
  <c r="F1281" i="51"/>
  <c r="G1281" i="51"/>
  <c r="H1281" i="51"/>
  <c r="I1281" i="51"/>
  <c r="J1281" i="51"/>
  <c r="E1282" i="51"/>
  <c r="F1282" i="51"/>
  <c r="G1282" i="51"/>
  <c r="H1282" i="51"/>
  <c r="I1282" i="51"/>
  <c r="J1282" i="51"/>
  <c r="E1283" i="51"/>
  <c r="F1283" i="51"/>
  <c r="G1283" i="51"/>
  <c r="H1283" i="51"/>
  <c r="I1283" i="51"/>
  <c r="J1283" i="51"/>
  <c r="E1284" i="51"/>
  <c r="F1284" i="51"/>
  <c r="G1284" i="51"/>
  <c r="H1284" i="51"/>
  <c r="I1284" i="51"/>
  <c r="J1284" i="51"/>
  <c r="E1285" i="51"/>
  <c r="F1285" i="51"/>
  <c r="G1285" i="51"/>
  <c r="H1285" i="51"/>
  <c r="I1285" i="51"/>
  <c r="J1285" i="51"/>
  <c r="E1286" i="51"/>
  <c r="F1286" i="51"/>
  <c r="G1286" i="51"/>
  <c r="H1286" i="51"/>
  <c r="I1286" i="51"/>
  <c r="J1286" i="51"/>
  <c r="E1287" i="51"/>
  <c r="F1287" i="51"/>
  <c r="G1287" i="51"/>
  <c r="H1287" i="51"/>
  <c r="I1287" i="51"/>
  <c r="J1287" i="51"/>
  <c r="E1288" i="51"/>
  <c r="F1288" i="51"/>
  <c r="G1288" i="51"/>
  <c r="H1288" i="51"/>
  <c r="I1288" i="51"/>
  <c r="J1288" i="51"/>
  <c r="E1289" i="51"/>
  <c r="F1289" i="51"/>
  <c r="G1289" i="51"/>
  <c r="H1289" i="51"/>
  <c r="I1289" i="51"/>
  <c r="J1289" i="51"/>
  <c r="E1290" i="51"/>
  <c r="F1290" i="51"/>
  <c r="G1290" i="51"/>
  <c r="H1290" i="51"/>
  <c r="I1290" i="51"/>
  <c r="J1290" i="51"/>
  <c r="J1280" i="51"/>
  <c r="I1280" i="51"/>
  <c r="H1280" i="51"/>
  <c r="G1280" i="51"/>
  <c r="F1280" i="51"/>
  <c r="E1280" i="51"/>
  <c r="J1279" i="51"/>
  <c r="I1279" i="51"/>
  <c r="H1279" i="51"/>
  <c r="J1276" i="51"/>
  <c r="I1276" i="51"/>
  <c r="H1276" i="51"/>
  <c r="J1278" i="51"/>
  <c r="I1278" i="51"/>
  <c r="H1278" i="51"/>
  <c r="I1277" i="51"/>
  <c r="H1277" i="51"/>
  <c r="J1271" i="51"/>
  <c r="I1271" i="51"/>
  <c r="H1271" i="51"/>
  <c r="J1274" i="51"/>
  <c r="I1274" i="51"/>
  <c r="H1274" i="51"/>
  <c r="J1273" i="51"/>
  <c r="I1273" i="51"/>
  <c r="H1273" i="51"/>
  <c r="I1272" i="51"/>
  <c r="H1272" i="51"/>
  <c r="J1272" i="51"/>
  <c r="E643" i="51"/>
  <c r="F643" i="51"/>
  <c r="G643" i="51"/>
  <c r="H643" i="51"/>
  <c r="I643" i="51"/>
  <c r="J643" i="51"/>
  <c r="E644" i="51"/>
  <c r="F644" i="51"/>
  <c r="G644" i="51"/>
  <c r="H644" i="51"/>
  <c r="I644" i="51"/>
  <c r="J644" i="51"/>
  <c r="E645" i="51"/>
  <c r="F645" i="51"/>
  <c r="G645" i="51"/>
  <c r="H645" i="51"/>
  <c r="I645" i="51"/>
  <c r="J645" i="51"/>
  <c r="E646" i="51"/>
  <c r="F646" i="51"/>
  <c r="G646" i="51"/>
  <c r="H646" i="51"/>
  <c r="I646" i="51"/>
  <c r="J646" i="51"/>
  <c r="E647" i="51"/>
  <c r="F647" i="51"/>
  <c r="G647" i="51"/>
  <c r="H647" i="51"/>
  <c r="I647" i="51"/>
  <c r="J647" i="51"/>
  <c r="E648" i="51"/>
  <c r="F648" i="51"/>
  <c r="G648" i="51"/>
  <c r="H648" i="51"/>
  <c r="I648" i="51"/>
  <c r="J648" i="51"/>
  <c r="E649" i="51"/>
  <c r="F649" i="51"/>
  <c r="G649" i="51"/>
  <c r="H649" i="51"/>
  <c r="I649" i="51"/>
  <c r="J649" i="51"/>
  <c r="E650" i="51"/>
  <c r="F650" i="51"/>
  <c r="G650" i="51"/>
  <c r="H650" i="51"/>
  <c r="I650" i="51"/>
  <c r="J650" i="51"/>
  <c r="E651" i="51"/>
  <c r="F651" i="51"/>
  <c r="G651" i="51"/>
  <c r="H651" i="51"/>
  <c r="I651" i="51"/>
  <c r="J651" i="51"/>
  <c r="E656" i="51"/>
  <c r="F656" i="51"/>
  <c r="G656" i="51"/>
  <c r="H656" i="51"/>
  <c r="I656" i="51"/>
  <c r="J656" i="51"/>
  <c r="E657" i="51"/>
  <c r="F657" i="51"/>
  <c r="G657" i="51"/>
  <c r="H657" i="51"/>
  <c r="I657" i="51"/>
  <c r="J657" i="51"/>
  <c r="E658" i="51"/>
  <c r="F658" i="51"/>
  <c r="G658" i="51"/>
  <c r="H658" i="51"/>
  <c r="I658" i="51"/>
  <c r="J658" i="51"/>
  <c r="E659" i="51"/>
  <c r="F659" i="51"/>
  <c r="G659" i="51"/>
  <c r="H659" i="51"/>
  <c r="I659" i="51"/>
  <c r="J659" i="51"/>
  <c r="E660" i="51"/>
  <c r="F660" i="51"/>
  <c r="G660" i="51"/>
  <c r="H660" i="51"/>
  <c r="I660" i="51"/>
  <c r="J660" i="51"/>
  <c r="F600" i="51"/>
  <c r="G600" i="51"/>
  <c r="H600" i="51"/>
  <c r="I600" i="51"/>
  <c r="J600" i="51"/>
  <c r="E601" i="51"/>
  <c r="F601" i="51"/>
  <c r="G601" i="51"/>
  <c r="H601" i="51"/>
  <c r="I601" i="51"/>
  <c r="J601" i="51"/>
  <c r="E602" i="51"/>
  <c r="F602" i="51"/>
  <c r="G602" i="51"/>
  <c r="H602" i="51"/>
  <c r="I602" i="51"/>
  <c r="J602" i="51"/>
  <c r="E603" i="51"/>
  <c r="F603" i="51"/>
  <c r="G603" i="51"/>
  <c r="H603" i="51"/>
  <c r="I603" i="51"/>
  <c r="J603" i="51"/>
  <c r="E604" i="51"/>
  <c r="F604" i="51"/>
  <c r="G604" i="51"/>
  <c r="H604" i="51"/>
  <c r="I604" i="51"/>
  <c r="J604" i="51"/>
  <c r="E605" i="51"/>
  <c r="F605" i="51"/>
  <c r="G605" i="51"/>
  <c r="H605" i="51"/>
  <c r="I605" i="51"/>
  <c r="J605" i="51"/>
  <c r="E606" i="51"/>
  <c r="F606" i="51"/>
  <c r="G606" i="51"/>
  <c r="H606" i="51"/>
  <c r="I606" i="51"/>
  <c r="J606" i="51"/>
  <c r="F607" i="51"/>
  <c r="G607" i="51"/>
  <c r="H607" i="51"/>
  <c r="I607" i="51"/>
  <c r="J607" i="51"/>
  <c r="E608" i="51"/>
  <c r="F608" i="51"/>
  <c r="G608" i="51"/>
  <c r="H608" i="51"/>
  <c r="I608" i="51"/>
  <c r="J608" i="51"/>
  <c r="E609" i="51"/>
  <c r="F609" i="51"/>
  <c r="G609" i="51"/>
  <c r="H609" i="51"/>
  <c r="I609" i="51"/>
  <c r="J609" i="51"/>
  <c r="E610" i="51"/>
  <c r="F610" i="51"/>
  <c r="G610" i="51"/>
  <c r="H610" i="51"/>
  <c r="I610" i="51"/>
  <c r="J610" i="51"/>
  <c r="E611" i="51"/>
  <c r="F611" i="51"/>
  <c r="G611" i="51"/>
  <c r="H611" i="51"/>
  <c r="I611" i="51"/>
  <c r="J611" i="51"/>
  <c r="E612" i="51"/>
  <c r="F612" i="51"/>
  <c r="G612" i="51"/>
  <c r="H612" i="51"/>
  <c r="I612" i="51"/>
  <c r="J612" i="51"/>
  <c r="E613" i="51"/>
  <c r="F613" i="51"/>
  <c r="G613" i="51"/>
  <c r="H613" i="51"/>
  <c r="I613" i="51"/>
  <c r="J613" i="51"/>
  <c r="E614" i="51"/>
  <c r="F614" i="51"/>
  <c r="G614" i="51"/>
  <c r="H614" i="51"/>
  <c r="I614" i="51"/>
  <c r="J614" i="51"/>
  <c r="E615" i="51"/>
  <c r="F615" i="51"/>
  <c r="G615" i="51"/>
  <c r="H615" i="51"/>
  <c r="I615" i="51"/>
  <c r="J615" i="51"/>
  <c r="E616" i="51"/>
  <c r="F616" i="51"/>
  <c r="G616" i="51"/>
  <c r="H616" i="51"/>
  <c r="I616" i="51"/>
  <c r="J616" i="51"/>
  <c r="E617" i="51"/>
  <c r="F617" i="51"/>
  <c r="G617" i="51"/>
  <c r="H617" i="51"/>
  <c r="I617" i="51"/>
  <c r="J617" i="51"/>
  <c r="E619" i="51"/>
  <c r="F619" i="51"/>
  <c r="G619" i="51"/>
  <c r="H619" i="51"/>
  <c r="I619" i="51"/>
  <c r="J619" i="51"/>
  <c r="E620" i="51"/>
  <c r="F620" i="51"/>
  <c r="G620" i="51"/>
  <c r="H620" i="51"/>
  <c r="I620" i="51"/>
  <c r="J620" i="51"/>
  <c r="E621" i="51"/>
  <c r="F621" i="51"/>
  <c r="G621" i="51"/>
  <c r="H621" i="51"/>
  <c r="I621" i="51"/>
  <c r="J621" i="51"/>
  <c r="E622" i="51"/>
  <c r="F622" i="51"/>
  <c r="G622" i="51"/>
  <c r="H622" i="51"/>
  <c r="I622" i="51"/>
  <c r="J622" i="51"/>
  <c r="E623" i="51"/>
  <c r="F623" i="51"/>
  <c r="G623" i="51"/>
  <c r="H623" i="51"/>
  <c r="I623" i="51"/>
  <c r="J623" i="51"/>
  <c r="E624" i="51"/>
  <c r="F624" i="51"/>
  <c r="G624" i="51"/>
  <c r="H624" i="51"/>
  <c r="I624" i="51"/>
  <c r="J624" i="51"/>
  <c r="E625" i="51"/>
  <c r="F625" i="51"/>
  <c r="G625" i="51"/>
  <c r="H625" i="51"/>
  <c r="I625" i="51"/>
  <c r="J625" i="51"/>
  <c r="E626" i="51"/>
  <c r="F626" i="51"/>
  <c r="G626" i="51"/>
  <c r="H626" i="51"/>
  <c r="I626" i="51"/>
  <c r="J626" i="51"/>
  <c r="E627" i="51"/>
  <c r="F627" i="51"/>
  <c r="G627" i="51"/>
  <c r="H627" i="51"/>
  <c r="I627" i="51"/>
  <c r="J627" i="51"/>
  <c r="E628" i="51"/>
  <c r="F628" i="51"/>
  <c r="G628" i="51"/>
  <c r="H628" i="51"/>
  <c r="I628" i="51"/>
  <c r="J628" i="51"/>
  <c r="E629" i="51"/>
  <c r="F629" i="51"/>
  <c r="G629" i="51"/>
  <c r="H629" i="51"/>
  <c r="I629" i="51"/>
  <c r="J629" i="51"/>
  <c r="E630" i="51"/>
  <c r="F630" i="51"/>
  <c r="G630" i="51"/>
  <c r="H630" i="51"/>
  <c r="I630" i="51"/>
  <c r="J630" i="51"/>
  <c r="E631" i="51"/>
  <c r="F631" i="51"/>
  <c r="G631" i="51"/>
  <c r="H631" i="51"/>
  <c r="I631" i="51"/>
  <c r="J631" i="51"/>
  <c r="E632" i="51"/>
  <c r="F632" i="51"/>
  <c r="G632" i="51"/>
  <c r="H632" i="51"/>
  <c r="I632" i="51"/>
  <c r="J632" i="51"/>
  <c r="E633" i="51"/>
  <c r="F633" i="51"/>
  <c r="G633" i="51"/>
  <c r="H633" i="51"/>
  <c r="I633" i="51"/>
  <c r="J633" i="51"/>
  <c r="E634" i="51"/>
  <c r="F634" i="51"/>
  <c r="G634" i="51"/>
  <c r="H634" i="51"/>
  <c r="I634" i="51"/>
  <c r="J634" i="51"/>
  <c r="E636" i="51"/>
  <c r="F636" i="51"/>
  <c r="G636" i="51"/>
  <c r="H636" i="51"/>
  <c r="I636" i="51"/>
  <c r="J636" i="51"/>
  <c r="E637" i="51"/>
  <c r="F637" i="51"/>
  <c r="G637" i="51"/>
  <c r="H637" i="51"/>
  <c r="I637" i="51"/>
  <c r="J637" i="51"/>
  <c r="E638" i="51"/>
  <c r="F638" i="51"/>
  <c r="G638" i="51"/>
  <c r="H638" i="51"/>
  <c r="I638" i="51"/>
  <c r="J638" i="51"/>
  <c r="E639" i="51"/>
  <c r="F639" i="51"/>
  <c r="G639" i="51"/>
  <c r="H639" i="51"/>
  <c r="I639" i="51"/>
  <c r="J639" i="51"/>
  <c r="E640" i="51"/>
  <c r="F640" i="51"/>
  <c r="G640" i="51"/>
  <c r="H640" i="51"/>
  <c r="I640" i="51"/>
  <c r="J640" i="51"/>
  <c r="E641" i="51"/>
  <c r="F641" i="51"/>
  <c r="G641" i="51"/>
  <c r="H641" i="51"/>
  <c r="I641" i="51"/>
  <c r="J641" i="51"/>
  <c r="E642" i="51"/>
  <c r="F642" i="51"/>
  <c r="G642" i="51"/>
  <c r="H642" i="51"/>
  <c r="I642" i="51"/>
  <c r="J642" i="51"/>
  <c r="E563" i="51"/>
  <c r="F563" i="51"/>
  <c r="G563" i="51"/>
  <c r="H563" i="51"/>
  <c r="I563" i="51"/>
  <c r="J563" i="51"/>
  <c r="E564" i="51"/>
  <c r="F564" i="51"/>
  <c r="G564" i="51"/>
  <c r="H564" i="51"/>
  <c r="I564" i="51"/>
  <c r="J564" i="51"/>
  <c r="E565" i="51"/>
  <c r="F565" i="51"/>
  <c r="G565" i="51"/>
  <c r="H565" i="51"/>
  <c r="I565" i="51"/>
  <c r="J565" i="51"/>
  <c r="E566" i="51"/>
  <c r="F566" i="51"/>
  <c r="G566" i="51"/>
  <c r="H566" i="51"/>
  <c r="I566" i="51"/>
  <c r="J566" i="51"/>
  <c r="E567" i="51"/>
  <c r="F567" i="51"/>
  <c r="G567" i="51"/>
  <c r="H567" i="51"/>
  <c r="I567" i="51"/>
  <c r="J567" i="51"/>
  <c r="E568" i="51"/>
  <c r="F568" i="51"/>
  <c r="G568" i="51"/>
  <c r="H568" i="51"/>
  <c r="I568" i="51"/>
  <c r="J568" i="51"/>
  <c r="E569" i="51"/>
  <c r="F569" i="51"/>
  <c r="G569" i="51"/>
  <c r="H569" i="51"/>
  <c r="I569" i="51"/>
  <c r="J569" i="51"/>
  <c r="E570" i="51"/>
  <c r="F570" i="51"/>
  <c r="G570" i="51"/>
  <c r="H570" i="51"/>
  <c r="I570" i="51"/>
  <c r="J570" i="51"/>
  <c r="E571" i="51"/>
  <c r="F571" i="51"/>
  <c r="G571" i="51"/>
  <c r="H571" i="51"/>
  <c r="I571" i="51"/>
  <c r="J571" i="51"/>
  <c r="E572" i="51"/>
  <c r="F572" i="51"/>
  <c r="G572" i="51"/>
  <c r="H572" i="51"/>
  <c r="I572" i="51"/>
  <c r="J572" i="51"/>
  <c r="E573" i="51"/>
  <c r="F573" i="51"/>
  <c r="G573" i="51"/>
  <c r="H573" i="51"/>
  <c r="I573" i="51"/>
  <c r="J573" i="51"/>
  <c r="E574" i="51"/>
  <c r="F574" i="51"/>
  <c r="G574" i="51"/>
  <c r="H574" i="51"/>
  <c r="I574" i="51"/>
  <c r="J574" i="51"/>
  <c r="F575" i="51"/>
  <c r="G575" i="51"/>
  <c r="H575" i="51"/>
  <c r="I575" i="51"/>
  <c r="J575" i="51"/>
  <c r="F576" i="51"/>
  <c r="G576" i="51"/>
  <c r="H576" i="51"/>
  <c r="I576" i="51"/>
  <c r="J576" i="51"/>
  <c r="E577" i="51"/>
  <c r="F577" i="51"/>
  <c r="G577" i="51"/>
  <c r="H577" i="51"/>
  <c r="I577" i="51"/>
  <c r="J577" i="51"/>
  <c r="E578" i="51"/>
  <c r="F578" i="51"/>
  <c r="G578" i="51"/>
  <c r="H578" i="51"/>
  <c r="I578" i="51"/>
  <c r="J578" i="51"/>
  <c r="E579" i="51"/>
  <c r="F579" i="51"/>
  <c r="G579" i="51"/>
  <c r="H579" i="51"/>
  <c r="I579" i="51"/>
  <c r="J579" i="51"/>
  <c r="F580" i="51"/>
  <c r="G580" i="51"/>
  <c r="H580" i="51"/>
  <c r="I580" i="51"/>
  <c r="J580" i="51"/>
  <c r="F582" i="51"/>
  <c r="G582" i="51"/>
  <c r="H582" i="51"/>
  <c r="I582" i="51"/>
  <c r="J582" i="51"/>
  <c r="E583" i="51"/>
  <c r="F583" i="51"/>
  <c r="G583" i="51"/>
  <c r="H583" i="51"/>
  <c r="I583" i="51"/>
  <c r="J583" i="51"/>
  <c r="E584" i="51"/>
  <c r="F584" i="51"/>
  <c r="G584" i="51"/>
  <c r="H584" i="51"/>
  <c r="I584" i="51"/>
  <c r="J584" i="51"/>
  <c r="E585" i="51"/>
  <c r="F585" i="51"/>
  <c r="G585" i="51"/>
  <c r="H585" i="51"/>
  <c r="I585" i="51"/>
  <c r="J585" i="51"/>
  <c r="E586" i="51"/>
  <c r="F586" i="51"/>
  <c r="G586" i="51"/>
  <c r="H586" i="51"/>
  <c r="I586" i="51"/>
  <c r="J586" i="51"/>
  <c r="E587" i="51"/>
  <c r="F587" i="51"/>
  <c r="G587" i="51"/>
  <c r="H587" i="51"/>
  <c r="I587" i="51"/>
  <c r="J587" i="51"/>
  <c r="E588" i="51"/>
  <c r="F588" i="51"/>
  <c r="G588" i="51"/>
  <c r="H588" i="51"/>
  <c r="I588" i="51"/>
  <c r="J588" i="51"/>
  <c r="E589" i="51"/>
  <c r="F589" i="51"/>
  <c r="G589" i="51"/>
  <c r="H589" i="51"/>
  <c r="I589" i="51"/>
  <c r="J589" i="51"/>
  <c r="E590" i="51"/>
  <c r="F590" i="51"/>
  <c r="G590" i="51"/>
  <c r="H590" i="51"/>
  <c r="I590" i="51"/>
  <c r="J590" i="51"/>
  <c r="E591" i="51"/>
  <c r="F591" i="51"/>
  <c r="G591" i="51"/>
  <c r="H591" i="51"/>
  <c r="I591" i="51"/>
  <c r="J591" i="51"/>
  <c r="E592" i="51"/>
  <c r="F592" i="51"/>
  <c r="G592" i="51"/>
  <c r="H592" i="51"/>
  <c r="I592" i="51"/>
  <c r="J592" i="51"/>
  <c r="E593" i="51"/>
  <c r="F593" i="51"/>
  <c r="G593" i="51"/>
  <c r="H593" i="51"/>
  <c r="I593" i="51"/>
  <c r="J593" i="51"/>
  <c r="E594" i="51"/>
  <c r="F594" i="51"/>
  <c r="G594" i="51"/>
  <c r="H594" i="51"/>
  <c r="I594" i="51"/>
  <c r="J594" i="51"/>
  <c r="E595" i="51"/>
  <c r="F595" i="51"/>
  <c r="G595" i="51"/>
  <c r="H595" i="51"/>
  <c r="I595" i="51"/>
  <c r="J595" i="51"/>
  <c r="E596" i="51"/>
  <c r="F596" i="51"/>
  <c r="G596" i="51"/>
  <c r="H596" i="51"/>
  <c r="I596" i="51"/>
  <c r="J596" i="51"/>
  <c r="E597" i="51"/>
  <c r="F597" i="51"/>
  <c r="G597" i="51"/>
  <c r="H597" i="51"/>
  <c r="I597" i="51"/>
  <c r="J597" i="51"/>
  <c r="E598" i="51"/>
  <c r="F598" i="51"/>
  <c r="G598" i="51"/>
  <c r="H598" i="51"/>
  <c r="I598" i="51"/>
  <c r="J598" i="51"/>
  <c r="E521" i="51"/>
  <c r="F521" i="51"/>
  <c r="G521" i="51"/>
  <c r="H521" i="51"/>
  <c r="I521" i="51"/>
  <c r="J521" i="51"/>
  <c r="E522" i="51"/>
  <c r="F522" i="51"/>
  <c r="G522" i="51"/>
  <c r="H522" i="51"/>
  <c r="I522" i="51"/>
  <c r="J522" i="51"/>
  <c r="E523" i="51"/>
  <c r="F523" i="51"/>
  <c r="G523" i="51"/>
  <c r="H523" i="51"/>
  <c r="I523" i="51"/>
  <c r="J523" i="51"/>
  <c r="E524" i="51"/>
  <c r="F524" i="51"/>
  <c r="G524" i="51"/>
  <c r="H524" i="51"/>
  <c r="I524" i="51"/>
  <c r="J524" i="51"/>
  <c r="E525" i="51"/>
  <c r="F525" i="51"/>
  <c r="G525" i="51"/>
  <c r="H525" i="51"/>
  <c r="I525" i="51"/>
  <c r="J525" i="51"/>
  <c r="E526" i="51"/>
  <c r="F526" i="51"/>
  <c r="G526" i="51"/>
  <c r="H526" i="51"/>
  <c r="I526" i="51"/>
  <c r="J526" i="51"/>
  <c r="E527" i="51"/>
  <c r="F527" i="51"/>
  <c r="G527" i="51"/>
  <c r="H527" i="51"/>
  <c r="I527" i="51"/>
  <c r="J527" i="51"/>
  <c r="F528" i="51"/>
  <c r="G528" i="51"/>
  <c r="H528" i="51"/>
  <c r="I528" i="51"/>
  <c r="J528" i="51"/>
  <c r="E529" i="51"/>
  <c r="F529" i="51"/>
  <c r="G529" i="51"/>
  <c r="H529" i="51"/>
  <c r="I529" i="51"/>
  <c r="J529" i="51"/>
  <c r="E530" i="51"/>
  <c r="F530" i="51"/>
  <c r="G530" i="51"/>
  <c r="H530" i="51"/>
  <c r="I530" i="51"/>
  <c r="J530" i="51"/>
  <c r="E531" i="51"/>
  <c r="F531" i="51"/>
  <c r="G531" i="51"/>
  <c r="H531" i="51"/>
  <c r="I531" i="51"/>
  <c r="J531" i="51"/>
  <c r="E532" i="51"/>
  <c r="F532" i="51"/>
  <c r="G532" i="51"/>
  <c r="H532" i="51"/>
  <c r="I532" i="51"/>
  <c r="J532" i="51"/>
  <c r="E533" i="51"/>
  <c r="F533" i="51"/>
  <c r="G533" i="51"/>
  <c r="H533" i="51"/>
  <c r="I533" i="51"/>
  <c r="J533" i="51"/>
  <c r="E534" i="51"/>
  <c r="F534" i="51"/>
  <c r="G534" i="51"/>
  <c r="H534" i="51"/>
  <c r="I534" i="51"/>
  <c r="J534" i="51"/>
  <c r="E535" i="51"/>
  <c r="F535" i="51"/>
  <c r="G535" i="51"/>
  <c r="H535" i="51"/>
  <c r="I535" i="51"/>
  <c r="J535" i="51"/>
  <c r="E536" i="51"/>
  <c r="F536" i="51"/>
  <c r="G536" i="51"/>
  <c r="H536" i="51"/>
  <c r="I536" i="51"/>
  <c r="J536" i="51"/>
  <c r="E537" i="51"/>
  <c r="F537" i="51"/>
  <c r="G537" i="51"/>
  <c r="H537" i="51"/>
  <c r="I537" i="51"/>
  <c r="J537" i="51"/>
  <c r="E538" i="51"/>
  <c r="F538" i="51"/>
  <c r="G538" i="51"/>
  <c r="H538" i="51"/>
  <c r="I538" i="51"/>
  <c r="J538" i="51"/>
  <c r="E539" i="51"/>
  <c r="F539" i="51"/>
  <c r="G539" i="51"/>
  <c r="H539" i="51"/>
  <c r="I539" i="51"/>
  <c r="J539" i="51"/>
  <c r="E540" i="51"/>
  <c r="F540" i="51"/>
  <c r="G540" i="51"/>
  <c r="H540" i="51"/>
  <c r="I540" i="51"/>
  <c r="J540" i="51"/>
  <c r="E541" i="51"/>
  <c r="F541" i="51"/>
  <c r="G541" i="51"/>
  <c r="H541" i="51"/>
  <c r="I541" i="51"/>
  <c r="J541" i="51"/>
  <c r="E542" i="51"/>
  <c r="F542" i="51"/>
  <c r="G542" i="51"/>
  <c r="H542" i="51"/>
  <c r="I542" i="51"/>
  <c r="J542" i="51"/>
  <c r="E543" i="51"/>
  <c r="F543" i="51"/>
  <c r="G543" i="51"/>
  <c r="H543" i="51"/>
  <c r="I543" i="51"/>
  <c r="J543" i="51"/>
  <c r="F544" i="51"/>
  <c r="G544" i="51"/>
  <c r="H544" i="51"/>
  <c r="I544" i="51"/>
  <c r="J544" i="51"/>
  <c r="F546" i="51"/>
  <c r="G546" i="51"/>
  <c r="H546" i="51"/>
  <c r="I546" i="51"/>
  <c r="J546" i="51"/>
  <c r="E547" i="51"/>
  <c r="F547" i="51"/>
  <c r="G547" i="51"/>
  <c r="H547" i="51"/>
  <c r="I547" i="51"/>
  <c r="J547" i="51"/>
  <c r="E548" i="51"/>
  <c r="F548" i="51"/>
  <c r="G548" i="51"/>
  <c r="H548" i="51"/>
  <c r="I548" i="51"/>
  <c r="J548" i="51"/>
  <c r="E549" i="51"/>
  <c r="F549" i="51"/>
  <c r="G549" i="51"/>
  <c r="H549" i="51"/>
  <c r="I549" i="51"/>
  <c r="J549" i="51"/>
  <c r="E550" i="51"/>
  <c r="F550" i="51"/>
  <c r="G550" i="51"/>
  <c r="H550" i="51"/>
  <c r="I550" i="51"/>
  <c r="J550" i="51"/>
  <c r="E551" i="51"/>
  <c r="F551" i="51"/>
  <c r="G551" i="51"/>
  <c r="H551" i="51"/>
  <c r="I551" i="51"/>
  <c r="J551" i="51"/>
  <c r="E552" i="51"/>
  <c r="F552" i="51"/>
  <c r="G552" i="51"/>
  <c r="H552" i="51"/>
  <c r="I552" i="51"/>
  <c r="J552" i="51"/>
  <c r="E553" i="51"/>
  <c r="F553" i="51"/>
  <c r="G553" i="51"/>
  <c r="H553" i="51"/>
  <c r="I553" i="51"/>
  <c r="J553" i="51"/>
  <c r="E554" i="51"/>
  <c r="F554" i="51"/>
  <c r="G554" i="51"/>
  <c r="H554" i="51"/>
  <c r="I554" i="51"/>
  <c r="J554" i="51"/>
  <c r="E555" i="51"/>
  <c r="F555" i="51"/>
  <c r="G555" i="51"/>
  <c r="H555" i="51"/>
  <c r="I555" i="51"/>
  <c r="J555" i="51"/>
  <c r="E556" i="51"/>
  <c r="F556" i="51"/>
  <c r="G556" i="51"/>
  <c r="H556" i="51"/>
  <c r="I556" i="51"/>
  <c r="J556" i="51"/>
  <c r="E557" i="51"/>
  <c r="F557" i="51"/>
  <c r="G557" i="51"/>
  <c r="H557" i="51"/>
  <c r="I557" i="51"/>
  <c r="J557" i="51"/>
  <c r="E558" i="51"/>
  <c r="F558" i="51"/>
  <c r="G558" i="51"/>
  <c r="H558" i="51"/>
  <c r="I558" i="51"/>
  <c r="J558" i="51"/>
  <c r="E559" i="51"/>
  <c r="F559" i="51"/>
  <c r="G559" i="51"/>
  <c r="H559" i="51"/>
  <c r="I559" i="51"/>
  <c r="J559" i="51"/>
  <c r="E560" i="51"/>
  <c r="F560" i="51"/>
  <c r="G560" i="51"/>
  <c r="H560" i="51"/>
  <c r="I560" i="51"/>
  <c r="J560" i="51"/>
  <c r="E561" i="51"/>
  <c r="F561" i="51"/>
  <c r="G561" i="51"/>
  <c r="H561" i="51"/>
  <c r="I561" i="51"/>
  <c r="J561" i="51"/>
  <c r="E562" i="51"/>
  <c r="F562" i="51"/>
  <c r="G562" i="51"/>
  <c r="H562" i="51"/>
  <c r="I562" i="51"/>
  <c r="J562" i="51"/>
  <c r="E439" i="51"/>
  <c r="F439" i="51"/>
  <c r="G439" i="51"/>
  <c r="H439" i="51"/>
  <c r="I439" i="51"/>
  <c r="J439" i="51"/>
  <c r="E440" i="51"/>
  <c r="F440" i="51"/>
  <c r="G440" i="51"/>
  <c r="H440" i="51"/>
  <c r="I440" i="51"/>
  <c r="J440" i="51"/>
  <c r="E441" i="51"/>
  <c r="F441" i="51"/>
  <c r="G441" i="51"/>
  <c r="H441" i="51"/>
  <c r="I441" i="51"/>
  <c r="J441" i="51"/>
  <c r="E442" i="51"/>
  <c r="F442" i="51"/>
  <c r="G442" i="51"/>
  <c r="H442" i="51"/>
  <c r="I442" i="51"/>
  <c r="J442" i="51"/>
  <c r="E443" i="51"/>
  <c r="F443" i="51"/>
  <c r="G443" i="51"/>
  <c r="H443" i="51"/>
  <c r="I443" i="51"/>
  <c r="J443" i="51"/>
  <c r="E444" i="51"/>
  <c r="F444" i="51"/>
  <c r="G444" i="51"/>
  <c r="H444" i="51"/>
  <c r="I444" i="51"/>
  <c r="J444" i="51"/>
  <c r="E445" i="51"/>
  <c r="F445" i="51"/>
  <c r="G445" i="51"/>
  <c r="H445" i="51"/>
  <c r="I445" i="51"/>
  <c r="J445" i="51"/>
  <c r="E446" i="51"/>
  <c r="F446" i="51"/>
  <c r="G446" i="51"/>
  <c r="H446" i="51"/>
  <c r="I446" i="51"/>
  <c r="J446" i="51"/>
  <c r="E447" i="51"/>
  <c r="F447" i="51"/>
  <c r="G447" i="51"/>
  <c r="H447" i="51"/>
  <c r="I447" i="51"/>
  <c r="J447" i="51"/>
  <c r="E448" i="51"/>
  <c r="F448" i="51"/>
  <c r="G448" i="51"/>
  <c r="H448" i="51"/>
  <c r="I448" i="51"/>
  <c r="J448" i="51"/>
  <c r="E449" i="51"/>
  <c r="F449" i="51"/>
  <c r="G449" i="51"/>
  <c r="H449" i="51"/>
  <c r="I449" i="51"/>
  <c r="J449" i="51"/>
  <c r="E450" i="51"/>
  <c r="F450" i="51"/>
  <c r="G450" i="51"/>
  <c r="H450" i="51"/>
  <c r="I450" i="51"/>
  <c r="J450" i="51"/>
  <c r="E452" i="51"/>
  <c r="F452" i="51"/>
  <c r="G452" i="51"/>
  <c r="H452" i="51"/>
  <c r="I452" i="51"/>
  <c r="J452" i="51"/>
  <c r="E453" i="51"/>
  <c r="F453" i="51"/>
  <c r="G453" i="51"/>
  <c r="H453" i="51"/>
  <c r="I453" i="51"/>
  <c r="J453" i="51"/>
  <c r="E454" i="51"/>
  <c r="F454" i="51"/>
  <c r="G454" i="51"/>
  <c r="H454" i="51"/>
  <c r="I454" i="51"/>
  <c r="J454" i="51"/>
  <c r="E455" i="51"/>
  <c r="F455" i="51"/>
  <c r="G455" i="51"/>
  <c r="H455" i="51"/>
  <c r="I455" i="51"/>
  <c r="J455" i="51"/>
  <c r="E456" i="51"/>
  <c r="F456" i="51"/>
  <c r="G456" i="51"/>
  <c r="H456" i="51"/>
  <c r="I456" i="51"/>
  <c r="J456" i="51"/>
  <c r="E457" i="51"/>
  <c r="F457" i="51"/>
  <c r="G457" i="51"/>
  <c r="H457" i="51"/>
  <c r="I457" i="51"/>
  <c r="J457" i="51"/>
  <c r="E458" i="51"/>
  <c r="F458" i="51"/>
  <c r="G458" i="51"/>
  <c r="H458" i="51"/>
  <c r="I458" i="51"/>
  <c r="J458" i="51"/>
  <c r="E459" i="51"/>
  <c r="F459" i="51"/>
  <c r="G459" i="51"/>
  <c r="H459" i="51"/>
  <c r="I459" i="51"/>
  <c r="J459" i="51"/>
  <c r="E460" i="51"/>
  <c r="F460" i="51"/>
  <c r="G460" i="51"/>
  <c r="H460" i="51"/>
  <c r="I460" i="51"/>
  <c r="J460" i="51"/>
  <c r="E461" i="51"/>
  <c r="F461" i="51"/>
  <c r="G461" i="51"/>
  <c r="H461" i="51"/>
  <c r="I461" i="51"/>
  <c r="J461" i="51"/>
  <c r="E462" i="51"/>
  <c r="F462" i="51"/>
  <c r="G462" i="51"/>
  <c r="H462" i="51"/>
  <c r="I462" i="51"/>
  <c r="J462" i="51"/>
  <c r="E463" i="51"/>
  <c r="F463" i="51"/>
  <c r="G463" i="51"/>
  <c r="H463" i="51"/>
  <c r="I463" i="51"/>
  <c r="J463" i="51"/>
  <c r="E464" i="51"/>
  <c r="F464" i="51"/>
  <c r="G464" i="51"/>
  <c r="H464" i="51"/>
  <c r="I464" i="51"/>
  <c r="J464" i="51"/>
  <c r="E465" i="51"/>
  <c r="F465" i="51"/>
  <c r="G465" i="51"/>
  <c r="H465" i="51"/>
  <c r="I465" i="51"/>
  <c r="J465" i="51"/>
  <c r="E466" i="51"/>
  <c r="F466" i="51"/>
  <c r="G466" i="51"/>
  <c r="H466" i="51"/>
  <c r="I466" i="51"/>
  <c r="J466" i="51"/>
  <c r="E467" i="51"/>
  <c r="F467" i="51"/>
  <c r="G467" i="51"/>
  <c r="H467" i="51"/>
  <c r="I467" i="51"/>
  <c r="J467" i="51"/>
  <c r="E468" i="51"/>
  <c r="F468" i="51"/>
  <c r="G468" i="51"/>
  <c r="H468" i="51"/>
  <c r="I468" i="51"/>
  <c r="J468" i="51"/>
  <c r="F469" i="51"/>
  <c r="G469" i="51"/>
  <c r="H469" i="51"/>
  <c r="I469" i="51"/>
  <c r="J469" i="51"/>
  <c r="F471" i="51"/>
  <c r="G471" i="51"/>
  <c r="H471" i="51"/>
  <c r="I471" i="51"/>
  <c r="J471" i="51"/>
  <c r="E472" i="51"/>
  <c r="F472" i="51"/>
  <c r="G472" i="51"/>
  <c r="H472" i="51"/>
  <c r="I472" i="51"/>
  <c r="J472" i="51"/>
  <c r="E473" i="51"/>
  <c r="F473" i="51"/>
  <c r="G473" i="51"/>
  <c r="H473" i="51"/>
  <c r="I473" i="51"/>
  <c r="J473" i="51"/>
  <c r="E474" i="51"/>
  <c r="F474" i="51"/>
  <c r="G474" i="51"/>
  <c r="H474" i="51"/>
  <c r="I474" i="51"/>
  <c r="J474" i="51"/>
  <c r="E475" i="51"/>
  <c r="F475" i="51"/>
  <c r="G475" i="51"/>
  <c r="H475" i="51"/>
  <c r="I475" i="51"/>
  <c r="J475" i="51"/>
  <c r="E476" i="51"/>
  <c r="F476" i="51"/>
  <c r="G476" i="51"/>
  <c r="H476" i="51"/>
  <c r="I476" i="51"/>
  <c r="J476" i="51"/>
  <c r="E477" i="51"/>
  <c r="F477" i="51"/>
  <c r="G477" i="51"/>
  <c r="H477" i="51"/>
  <c r="I477" i="51"/>
  <c r="J477" i="51"/>
  <c r="E478" i="51"/>
  <c r="F478" i="51"/>
  <c r="G478" i="51"/>
  <c r="H478" i="51"/>
  <c r="I478" i="51"/>
  <c r="J478" i="51"/>
  <c r="E479" i="51"/>
  <c r="F479" i="51"/>
  <c r="G479" i="51"/>
  <c r="H479" i="51"/>
  <c r="I479" i="51"/>
  <c r="J479" i="51"/>
  <c r="E480" i="51"/>
  <c r="F480" i="51"/>
  <c r="G480" i="51"/>
  <c r="H480" i="51"/>
  <c r="I480" i="51"/>
  <c r="J480" i="51"/>
  <c r="E481" i="51"/>
  <c r="F481" i="51"/>
  <c r="G481" i="51"/>
  <c r="H481" i="51"/>
  <c r="I481" i="51"/>
  <c r="J481" i="51"/>
  <c r="E482" i="51"/>
  <c r="F482" i="51"/>
  <c r="G482" i="51"/>
  <c r="H482" i="51"/>
  <c r="I482" i="51"/>
  <c r="J482" i="51"/>
  <c r="E483" i="51"/>
  <c r="F483" i="51"/>
  <c r="G483" i="51"/>
  <c r="H483" i="51"/>
  <c r="I483" i="51"/>
  <c r="J483" i="51"/>
  <c r="E484" i="51"/>
  <c r="F484" i="51"/>
  <c r="G484" i="51"/>
  <c r="H484" i="51"/>
  <c r="I484" i="51"/>
  <c r="J484" i="51"/>
  <c r="E485" i="51"/>
  <c r="F485" i="51"/>
  <c r="G485" i="51"/>
  <c r="H485" i="51"/>
  <c r="I485" i="51"/>
  <c r="J485" i="51"/>
  <c r="E486" i="51"/>
  <c r="F486" i="51"/>
  <c r="G486" i="51"/>
  <c r="H486" i="51"/>
  <c r="I486" i="51"/>
  <c r="J486" i="51"/>
  <c r="E487" i="51"/>
  <c r="F487" i="51"/>
  <c r="G487" i="51"/>
  <c r="H487" i="51"/>
  <c r="I487" i="51"/>
  <c r="J487" i="51"/>
  <c r="E488" i="51"/>
  <c r="F488" i="51"/>
  <c r="G488" i="51"/>
  <c r="H488" i="51"/>
  <c r="I488" i="51"/>
  <c r="J488" i="51"/>
  <c r="E489" i="51"/>
  <c r="F489" i="51"/>
  <c r="G489" i="51"/>
  <c r="H489" i="51"/>
  <c r="I489" i="51"/>
  <c r="J489" i="51"/>
  <c r="F490" i="51"/>
  <c r="G490" i="51"/>
  <c r="H490" i="51"/>
  <c r="I490" i="51"/>
  <c r="J490" i="51"/>
  <c r="E491" i="51"/>
  <c r="F491" i="51"/>
  <c r="G491" i="51"/>
  <c r="H491" i="51"/>
  <c r="I491" i="51"/>
  <c r="J491" i="51"/>
  <c r="E492" i="51"/>
  <c r="F492" i="51"/>
  <c r="G492" i="51"/>
  <c r="H492" i="51"/>
  <c r="I492" i="51"/>
  <c r="J492" i="51"/>
  <c r="E493" i="51"/>
  <c r="F493" i="51"/>
  <c r="G493" i="51"/>
  <c r="H493" i="51"/>
  <c r="I493" i="51"/>
  <c r="J493" i="51"/>
  <c r="E494" i="51"/>
  <c r="F494" i="51"/>
  <c r="G494" i="51"/>
  <c r="H494" i="51"/>
  <c r="I494" i="51"/>
  <c r="J494" i="51"/>
  <c r="E495" i="51"/>
  <c r="F495" i="51"/>
  <c r="G495" i="51"/>
  <c r="H495" i="51"/>
  <c r="I495" i="51"/>
  <c r="J495" i="51"/>
  <c r="E496" i="51"/>
  <c r="F496" i="51"/>
  <c r="G496" i="51"/>
  <c r="H496" i="51"/>
  <c r="I496" i="51"/>
  <c r="J496" i="51"/>
  <c r="E497" i="51"/>
  <c r="F497" i="51"/>
  <c r="G497" i="51"/>
  <c r="H497" i="51"/>
  <c r="I497" i="51"/>
  <c r="J497" i="51"/>
  <c r="E498" i="51"/>
  <c r="F498" i="51"/>
  <c r="G498" i="51"/>
  <c r="H498" i="51"/>
  <c r="I498" i="51"/>
  <c r="J498" i="51"/>
  <c r="F499" i="51"/>
  <c r="G499" i="51"/>
  <c r="H499" i="51"/>
  <c r="I499" i="51"/>
  <c r="J499" i="51"/>
  <c r="E500" i="51"/>
  <c r="F500" i="51"/>
  <c r="G500" i="51"/>
  <c r="H500" i="51"/>
  <c r="I500" i="51"/>
  <c r="J500" i="51"/>
  <c r="E501" i="51"/>
  <c r="F501" i="51"/>
  <c r="G501" i="51"/>
  <c r="H501" i="51"/>
  <c r="I501" i="51"/>
  <c r="J501" i="51"/>
  <c r="E502" i="51"/>
  <c r="F502" i="51"/>
  <c r="G502" i="51"/>
  <c r="H502" i="51"/>
  <c r="I502" i="51"/>
  <c r="J502" i="51"/>
  <c r="E503" i="51"/>
  <c r="F503" i="51"/>
  <c r="G503" i="51"/>
  <c r="H503" i="51"/>
  <c r="I503" i="51"/>
  <c r="J503" i="51"/>
  <c r="E504" i="51"/>
  <c r="F504" i="51"/>
  <c r="G504" i="51"/>
  <c r="H504" i="51"/>
  <c r="I504" i="51"/>
  <c r="J504" i="51"/>
  <c r="E505" i="51"/>
  <c r="F505" i="51"/>
  <c r="G505" i="51"/>
  <c r="H505" i="51"/>
  <c r="I505" i="51"/>
  <c r="J505" i="51"/>
  <c r="E506" i="51"/>
  <c r="F506" i="51"/>
  <c r="G506" i="51"/>
  <c r="H506" i="51"/>
  <c r="I506" i="51"/>
  <c r="J506" i="51"/>
  <c r="E507" i="51"/>
  <c r="F507" i="51"/>
  <c r="G507" i="51"/>
  <c r="H507" i="51"/>
  <c r="I507" i="51"/>
  <c r="J507" i="51"/>
  <c r="E508" i="51"/>
  <c r="F508" i="51"/>
  <c r="G508" i="51"/>
  <c r="H508" i="51"/>
  <c r="I508" i="51"/>
  <c r="J508" i="51"/>
  <c r="F509" i="51"/>
  <c r="G509" i="51"/>
  <c r="H509" i="51"/>
  <c r="I509" i="51"/>
  <c r="J509" i="51"/>
  <c r="F511" i="51"/>
  <c r="G511" i="51"/>
  <c r="H511" i="51"/>
  <c r="I511" i="51"/>
  <c r="J511" i="51"/>
  <c r="E512" i="51"/>
  <c r="F512" i="51"/>
  <c r="G512" i="51"/>
  <c r="H512" i="51"/>
  <c r="I512" i="51"/>
  <c r="J512" i="51"/>
  <c r="E513" i="51"/>
  <c r="F513" i="51"/>
  <c r="G513" i="51"/>
  <c r="H513" i="51"/>
  <c r="I513" i="51"/>
  <c r="J513" i="51"/>
  <c r="E514" i="51"/>
  <c r="F514" i="51"/>
  <c r="G514" i="51"/>
  <c r="H514" i="51"/>
  <c r="I514" i="51"/>
  <c r="J514" i="51"/>
  <c r="E515" i="51"/>
  <c r="F515" i="51"/>
  <c r="G515" i="51"/>
  <c r="H515" i="51"/>
  <c r="I515" i="51"/>
  <c r="J515" i="51"/>
  <c r="E516" i="51"/>
  <c r="F516" i="51"/>
  <c r="G516" i="51"/>
  <c r="H516" i="51"/>
  <c r="I516" i="51"/>
  <c r="J516" i="51"/>
  <c r="E517" i="51"/>
  <c r="F517" i="51"/>
  <c r="G517" i="51"/>
  <c r="H517" i="51"/>
  <c r="I517" i="51"/>
  <c r="J517" i="51"/>
  <c r="E518" i="51"/>
  <c r="F518" i="51"/>
  <c r="G518" i="51"/>
  <c r="H518" i="51"/>
  <c r="I518" i="51"/>
  <c r="J518" i="51"/>
  <c r="E519" i="51"/>
  <c r="F519" i="51"/>
  <c r="G519" i="51"/>
  <c r="H519" i="51"/>
  <c r="I519" i="51"/>
  <c r="J519" i="51"/>
  <c r="E520" i="51"/>
  <c r="F520" i="51"/>
  <c r="G520" i="51"/>
  <c r="H520" i="51"/>
  <c r="I520" i="51"/>
  <c r="J520" i="51"/>
  <c r="F370" i="51"/>
  <c r="G370" i="51"/>
  <c r="H370" i="51"/>
  <c r="I370" i="51"/>
  <c r="J370" i="51"/>
  <c r="E371" i="51"/>
  <c r="F371" i="51"/>
  <c r="G371" i="51"/>
  <c r="H371" i="51"/>
  <c r="I371" i="51"/>
  <c r="J371" i="51"/>
  <c r="E372" i="51"/>
  <c r="F372" i="51"/>
  <c r="G372" i="51"/>
  <c r="H372" i="51"/>
  <c r="I372" i="51"/>
  <c r="J372" i="51"/>
  <c r="E373" i="51"/>
  <c r="F373" i="51"/>
  <c r="G373" i="51"/>
  <c r="H373" i="51"/>
  <c r="I373" i="51"/>
  <c r="J373" i="51"/>
  <c r="E374" i="51"/>
  <c r="F374" i="51"/>
  <c r="G374" i="51"/>
  <c r="H374" i="51"/>
  <c r="I374" i="51"/>
  <c r="J374" i="51"/>
  <c r="E375" i="51"/>
  <c r="F375" i="51"/>
  <c r="G375" i="51"/>
  <c r="H375" i="51"/>
  <c r="I375" i="51"/>
  <c r="J375" i="51"/>
  <c r="E376" i="51"/>
  <c r="F376" i="51"/>
  <c r="G376" i="51"/>
  <c r="H376" i="51"/>
  <c r="I376" i="51"/>
  <c r="J376" i="51"/>
  <c r="E377" i="51"/>
  <c r="F377" i="51"/>
  <c r="G377" i="51"/>
  <c r="H377" i="51"/>
  <c r="I377" i="51"/>
  <c r="J377" i="51"/>
  <c r="E378" i="51"/>
  <c r="F378" i="51"/>
  <c r="G378" i="51"/>
  <c r="H378" i="51"/>
  <c r="I378" i="51"/>
  <c r="J378" i="51"/>
  <c r="E379" i="51"/>
  <c r="F379" i="51"/>
  <c r="G379" i="51"/>
  <c r="H379" i="51"/>
  <c r="I379" i="51"/>
  <c r="J379" i="51"/>
  <c r="E380" i="51"/>
  <c r="F380" i="51"/>
  <c r="G380" i="51"/>
  <c r="H380" i="51"/>
  <c r="I380" i="51"/>
  <c r="J380" i="51"/>
  <c r="E381" i="51"/>
  <c r="F381" i="51"/>
  <c r="G381" i="51"/>
  <c r="H381" i="51"/>
  <c r="I381" i="51"/>
  <c r="J381" i="51"/>
  <c r="E382" i="51"/>
  <c r="F382" i="51"/>
  <c r="G382" i="51"/>
  <c r="H382" i="51"/>
  <c r="I382" i="51"/>
  <c r="J382" i="51"/>
  <c r="E383" i="51"/>
  <c r="F383" i="51"/>
  <c r="G383" i="51"/>
  <c r="H383" i="51"/>
  <c r="I383" i="51"/>
  <c r="J383" i="51"/>
  <c r="E384" i="51"/>
  <c r="F384" i="51"/>
  <c r="G384" i="51"/>
  <c r="H384" i="51"/>
  <c r="I384" i="51"/>
  <c r="J384" i="51"/>
  <c r="E385" i="51"/>
  <c r="F385" i="51"/>
  <c r="G385" i="51"/>
  <c r="H385" i="51"/>
  <c r="I385" i="51"/>
  <c r="J385" i="51"/>
  <c r="F387" i="51"/>
  <c r="G387" i="51"/>
  <c r="H387" i="51"/>
  <c r="I387" i="51"/>
  <c r="J387" i="51"/>
  <c r="E388" i="51"/>
  <c r="F388" i="51"/>
  <c r="G388" i="51"/>
  <c r="H388" i="51"/>
  <c r="I388" i="51"/>
  <c r="J388" i="51"/>
  <c r="E389" i="51"/>
  <c r="F389" i="51"/>
  <c r="G389" i="51"/>
  <c r="H389" i="51"/>
  <c r="I389" i="51"/>
  <c r="J389" i="51"/>
  <c r="E390" i="51"/>
  <c r="F390" i="51"/>
  <c r="G390" i="51"/>
  <c r="H390" i="51"/>
  <c r="I390" i="51"/>
  <c r="J390" i="51"/>
  <c r="E391" i="51"/>
  <c r="F391" i="51"/>
  <c r="G391" i="51"/>
  <c r="H391" i="51"/>
  <c r="I391" i="51"/>
  <c r="J391" i="51"/>
  <c r="E392" i="51"/>
  <c r="F392" i="51"/>
  <c r="G392" i="51"/>
  <c r="H392" i="51"/>
  <c r="I392" i="51"/>
  <c r="J392" i="51"/>
  <c r="E393" i="51"/>
  <c r="F393" i="51"/>
  <c r="G393" i="51"/>
  <c r="H393" i="51"/>
  <c r="I393" i="51"/>
  <c r="J393" i="51"/>
  <c r="E394" i="51"/>
  <c r="F394" i="51"/>
  <c r="G394" i="51"/>
  <c r="H394" i="51"/>
  <c r="I394" i="51"/>
  <c r="J394" i="51"/>
  <c r="E395" i="51"/>
  <c r="F395" i="51"/>
  <c r="G395" i="51"/>
  <c r="H395" i="51"/>
  <c r="I395" i="51"/>
  <c r="J395" i="51"/>
  <c r="E396" i="51"/>
  <c r="F396" i="51"/>
  <c r="G396" i="51"/>
  <c r="H396" i="51"/>
  <c r="I396" i="51"/>
  <c r="J396" i="51"/>
  <c r="E397" i="51"/>
  <c r="F397" i="51"/>
  <c r="G397" i="51"/>
  <c r="H397" i="51"/>
  <c r="I397" i="51"/>
  <c r="J397" i="51"/>
  <c r="E398" i="51"/>
  <c r="F398" i="51"/>
  <c r="G398" i="51"/>
  <c r="H398" i="51"/>
  <c r="I398" i="51"/>
  <c r="J398" i="51"/>
  <c r="E399" i="51"/>
  <c r="F399" i="51"/>
  <c r="G399" i="51"/>
  <c r="H399" i="51"/>
  <c r="I399" i="51"/>
  <c r="J399" i="51"/>
  <c r="E400" i="51"/>
  <c r="F400" i="51"/>
  <c r="G400" i="51"/>
  <c r="H400" i="51"/>
  <c r="I400" i="51"/>
  <c r="J400" i="51"/>
  <c r="E401" i="51"/>
  <c r="F401" i="51"/>
  <c r="G401" i="51"/>
  <c r="H401" i="51"/>
  <c r="I401" i="51"/>
  <c r="J401" i="51"/>
  <c r="E402" i="51"/>
  <c r="F402" i="51"/>
  <c r="G402" i="51"/>
  <c r="H402" i="51"/>
  <c r="I402" i="51"/>
  <c r="J402" i="51"/>
  <c r="F404" i="51"/>
  <c r="G404" i="51"/>
  <c r="H404" i="51"/>
  <c r="I404" i="51"/>
  <c r="J404" i="51"/>
  <c r="E405" i="51"/>
  <c r="F405" i="51"/>
  <c r="G405" i="51"/>
  <c r="H405" i="51"/>
  <c r="I405" i="51"/>
  <c r="J405" i="51"/>
  <c r="E406" i="51"/>
  <c r="F406" i="51"/>
  <c r="G406" i="51"/>
  <c r="H406" i="51"/>
  <c r="I406" i="51"/>
  <c r="J406" i="51"/>
  <c r="E407" i="51"/>
  <c r="F407" i="51"/>
  <c r="G407" i="51"/>
  <c r="H407" i="51"/>
  <c r="I407" i="51"/>
  <c r="J407" i="51"/>
  <c r="E408" i="51"/>
  <c r="F408" i="51"/>
  <c r="G408" i="51"/>
  <c r="H408" i="51"/>
  <c r="I408" i="51"/>
  <c r="J408" i="51"/>
  <c r="E409" i="51"/>
  <c r="F409" i="51"/>
  <c r="G409" i="51"/>
  <c r="H409" i="51"/>
  <c r="I409" i="51"/>
  <c r="J409" i="51"/>
  <c r="E410" i="51"/>
  <c r="F410" i="51"/>
  <c r="G410" i="51"/>
  <c r="H410" i="51"/>
  <c r="I410" i="51"/>
  <c r="J410" i="51"/>
  <c r="E411" i="51"/>
  <c r="F411" i="51"/>
  <c r="G411" i="51"/>
  <c r="H411" i="51"/>
  <c r="I411" i="51"/>
  <c r="J411" i="51"/>
  <c r="E412" i="51"/>
  <c r="F412" i="51"/>
  <c r="G412" i="51"/>
  <c r="H412" i="51"/>
  <c r="I412" i="51"/>
  <c r="J412" i="51"/>
  <c r="E413" i="51"/>
  <c r="F413" i="51"/>
  <c r="G413" i="51"/>
  <c r="H413" i="51"/>
  <c r="I413" i="51"/>
  <c r="J413" i="51"/>
  <c r="E414" i="51"/>
  <c r="F414" i="51"/>
  <c r="G414" i="51"/>
  <c r="H414" i="51"/>
  <c r="I414" i="51"/>
  <c r="J414" i="51"/>
  <c r="E415" i="51"/>
  <c r="F415" i="51"/>
  <c r="G415" i="51"/>
  <c r="H415" i="51"/>
  <c r="I415" i="51"/>
  <c r="J415" i="51"/>
  <c r="E416" i="51"/>
  <c r="F416" i="51"/>
  <c r="G416" i="51"/>
  <c r="H416" i="51"/>
  <c r="I416" i="51"/>
  <c r="J416" i="51"/>
  <c r="E417" i="51"/>
  <c r="F417" i="51"/>
  <c r="G417" i="51"/>
  <c r="H417" i="51"/>
  <c r="I417" i="51"/>
  <c r="J417" i="51"/>
  <c r="E418" i="51"/>
  <c r="F418" i="51"/>
  <c r="G418" i="51"/>
  <c r="H418" i="51"/>
  <c r="I418" i="51"/>
  <c r="J418" i="51"/>
  <c r="E419" i="51"/>
  <c r="F419" i="51"/>
  <c r="G419" i="51"/>
  <c r="H419" i="51"/>
  <c r="I419" i="51"/>
  <c r="J419" i="51"/>
  <c r="E424" i="51"/>
  <c r="F424" i="51"/>
  <c r="G424" i="51"/>
  <c r="H424" i="51"/>
  <c r="I424" i="51"/>
  <c r="J424" i="51"/>
  <c r="E425" i="51"/>
  <c r="F425" i="51"/>
  <c r="G425" i="51"/>
  <c r="H425" i="51"/>
  <c r="I425" i="51"/>
  <c r="J425" i="51"/>
  <c r="E426" i="51"/>
  <c r="F426" i="51"/>
  <c r="G426" i="51"/>
  <c r="H426" i="51"/>
  <c r="I426" i="51"/>
  <c r="J426" i="51"/>
  <c r="E427" i="51"/>
  <c r="F427" i="51"/>
  <c r="G427" i="51"/>
  <c r="H427" i="51"/>
  <c r="I427" i="51"/>
  <c r="J427" i="51"/>
  <c r="E428" i="51"/>
  <c r="F428" i="51"/>
  <c r="G428" i="51"/>
  <c r="H428" i="51"/>
  <c r="I428" i="51"/>
  <c r="J428" i="51"/>
  <c r="E429" i="51"/>
  <c r="F429" i="51"/>
  <c r="G429" i="51"/>
  <c r="H429" i="51"/>
  <c r="I429" i="51"/>
  <c r="J429" i="51"/>
  <c r="E430" i="51"/>
  <c r="F430" i="51"/>
  <c r="G430" i="51"/>
  <c r="H430" i="51"/>
  <c r="I430" i="51"/>
  <c r="J430" i="51"/>
  <c r="E431" i="51"/>
  <c r="F431" i="51"/>
  <c r="G431" i="51"/>
  <c r="H431" i="51"/>
  <c r="I431" i="51"/>
  <c r="J431" i="51"/>
  <c r="E432" i="51"/>
  <c r="F432" i="51"/>
  <c r="G432" i="51"/>
  <c r="H432" i="51"/>
  <c r="I432" i="51"/>
  <c r="J432" i="51"/>
  <c r="E433" i="51"/>
  <c r="F433" i="51"/>
  <c r="G433" i="51"/>
  <c r="H433" i="51"/>
  <c r="I433" i="51"/>
  <c r="J433" i="51"/>
  <c r="E434" i="51"/>
  <c r="F434" i="51"/>
  <c r="G434" i="51"/>
  <c r="H434" i="51"/>
  <c r="I434" i="51"/>
  <c r="J434" i="51"/>
  <c r="E435" i="51"/>
  <c r="F435" i="51"/>
  <c r="G435" i="51"/>
  <c r="H435" i="51"/>
  <c r="I435" i="51"/>
  <c r="J435" i="51"/>
  <c r="E436" i="51"/>
  <c r="F436" i="51"/>
  <c r="G436" i="51"/>
  <c r="H436" i="51"/>
  <c r="I436" i="51"/>
  <c r="J436" i="51"/>
  <c r="E437" i="51"/>
  <c r="F437" i="51"/>
  <c r="G437" i="51"/>
  <c r="H437" i="51"/>
  <c r="I437" i="51"/>
  <c r="J437" i="51"/>
  <c r="E438" i="51"/>
  <c r="F438" i="51"/>
  <c r="G438" i="51"/>
  <c r="H438" i="51"/>
  <c r="I438" i="51"/>
  <c r="J438" i="51"/>
  <c r="E264" i="51"/>
  <c r="F264" i="51"/>
  <c r="G264" i="51"/>
  <c r="H264" i="51"/>
  <c r="I264" i="51"/>
  <c r="J264" i="51"/>
  <c r="E265" i="51"/>
  <c r="F265" i="51"/>
  <c r="G265" i="51"/>
  <c r="H265" i="51"/>
  <c r="I265" i="51"/>
  <c r="J265" i="51"/>
  <c r="E266" i="51"/>
  <c r="F266" i="51"/>
  <c r="G266" i="51"/>
  <c r="H266" i="51"/>
  <c r="I266" i="51"/>
  <c r="J266" i="51"/>
  <c r="E267" i="51"/>
  <c r="F267" i="51"/>
  <c r="G267" i="51"/>
  <c r="H267" i="51"/>
  <c r="I267" i="51"/>
  <c r="J267" i="51"/>
  <c r="E268" i="51"/>
  <c r="F268" i="51"/>
  <c r="G268" i="51"/>
  <c r="H268" i="51"/>
  <c r="I268" i="51"/>
  <c r="J268" i="51"/>
  <c r="E269" i="51"/>
  <c r="F269" i="51"/>
  <c r="G269" i="51"/>
  <c r="H269" i="51"/>
  <c r="I269" i="51"/>
  <c r="J269" i="51"/>
  <c r="E270" i="51"/>
  <c r="F270" i="51"/>
  <c r="G270" i="51"/>
  <c r="H270" i="51"/>
  <c r="I270" i="51"/>
  <c r="J270" i="51"/>
  <c r="E271" i="51"/>
  <c r="F271" i="51"/>
  <c r="G271" i="51"/>
  <c r="H271" i="51"/>
  <c r="I271" i="51"/>
  <c r="J271" i="51"/>
  <c r="E272" i="51"/>
  <c r="F272" i="51"/>
  <c r="G272" i="51"/>
  <c r="H272" i="51"/>
  <c r="I272" i="51"/>
  <c r="J272" i="51"/>
  <c r="E273" i="51"/>
  <c r="F273" i="51"/>
  <c r="G273" i="51"/>
  <c r="H273" i="51"/>
  <c r="I273" i="51"/>
  <c r="J273" i="51"/>
  <c r="E274" i="51"/>
  <c r="F274" i="51"/>
  <c r="G274" i="51"/>
  <c r="H274" i="51"/>
  <c r="I274" i="51"/>
  <c r="J274" i="51"/>
  <c r="E275" i="51"/>
  <c r="F275" i="51"/>
  <c r="G275" i="51"/>
  <c r="H275" i="51"/>
  <c r="I275" i="51"/>
  <c r="J275" i="51"/>
  <c r="E276" i="51"/>
  <c r="F276" i="51"/>
  <c r="G276" i="51"/>
  <c r="H276" i="51"/>
  <c r="I276" i="51"/>
  <c r="J276" i="51"/>
  <c r="E277" i="51"/>
  <c r="F277" i="51"/>
  <c r="G277" i="51"/>
  <c r="H277" i="51"/>
  <c r="I277" i="51"/>
  <c r="J277" i="51"/>
  <c r="E278" i="51"/>
  <c r="F278" i="51"/>
  <c r="G278" i="51"/>
  <c r="H278" i="51"/>
  <c r="I278" i="51"/>
  <c r="J278" i="51"/>
  <c r="E279" i="51"/>
  <c r="F279" i="51"/>
  <c r="G279" i="51"/>
  <c r="H279" i="51"/>
  <c r="I279" i="51"/>
  <c r="J279" i="51"/>
  <c r="E280" i="51"/>
  <c r="F280" i="51"/>
  <c r="G280" i="51"/>
  <c r="H280" i="51"/>
  <c r="I280" i="51"/>
  <c r="J280" i="51"/>
  <c r="E281" i="51"/>
  <c r="F281" i="51"/>
  <c r="G281" i="51"/>
  <c r="H281" i="51"/>
  <c r="I281" i="51"/>
  <c r="J281" i="51"/>
  <c r="E282" i="51"/>
  <c r="F282" i="51"/>
  <c r="G282" i="51"/>
  <c r="H282" i="51"/>
  <c r="I282" i="51"/>
  <c r="J282" i="51"/>
  <c r="E286" i="51"/>
  <c r="F286" i="51"/>
  <c r="G286" i="51"/>
  <c r="H286" i="51"/>
  <c r="I286" i="51"/>
  <c r="J286" i="51"/>
  <c r="E287" i="51"/>
  <c r="F287" i="51"/>
  <c r="G287" i="51"/>
  <c r="H287" i="51"/>
  <c r="I287" i="51"/>
  <c r="J287" i="51"/>
  <c r="E288" i="51"/>
  <c r="F288" i="51"/>
  <c r="G288" i="51"/>
  <c r="H288" i="51"/>
  <c r="I288" i="51"/>
  <c r="J288" i="51"/>
  <c r="E289" i="51"/>
  <c r="F289" i="51"/>
  <c r="G289" i="51"/>
  <c r="H289" i="51"/>
  <c r="I289" i="51"/>
  <c r="J289" i="51"/>
  <c r="E290" i="51"/>
  <c r="F290" i="51"/>
  <c r="G290" i="51"/>
  <c r="H290" i="51"/>
  <c r="I290" i="51"/>
  <c r="J290" i="51"/>
  <c r="E291" i="51"/>
  <c r="F291" i="51"/>
  <c r="G291" i="51"/>
  <c r="H291" i="51"/>
  <c r="I291" i="51"/>
  <c r="J291" i="51"/>
  <c r="E292" i="51"/>
  <c r="F292" i="51"/>
  <c r="G292" i="51"/>
  <c r="H292" i="51"/>
  <c r="I292" i="51"/>
  <c r="J292" i="51"/>
  <c r="E293" i="51"/>
  <c r="F293" i="51"/>
  <c r="G293" i="51"/>
  <c r="H293" i="51"/>
  <c r="I293" i="51"/>
  <c r="J293" i="51"/>
  <c r="E294" i="51"/>
  <c r="F294" i="51"/>
  <c r="G294" i="51"/>
  <c r="H294" i="51"/>
  <c r="I294" i="51"/>
  <c r="J294" i="51"/>
  <c r="E295" i="51"/>
  <c r="F295" i="51"/>
  <c r="G295" i="51"/>
  <c r="H295" i="51"/>
  <c r="I295" i="51"/>
  <c r="J295" i="51"/>
  <c r="E296" i="51"/>
  <c r="F296" i="51"/>
  <c r="G296" i="51"/>
  <c r="H296" i="51"/>
  <c r="I296" i="51"/>
  <c r="J296" i="51"/>
  <c r="F297" i="51"/>
  <c r="G297" i="51"/>
  <c r="H297" i="51"/>
  <c r="I297" i="51"/>
  <c r="J297" i="51"/>
  <c r="F299" i="51"/>
  <c r="G299" i="51"/>
  <c r="H299" i="51"/>
  <c r="I299" i="51"/>
  <c r="J299" i="51"/>
  <c r="E300" i="51"/>
  <c r="F300" i="51"/>
  <c r="G300" i="51"/>
  <c r="H300" i="51"/>
  <c r="I300" i="51"/>
  <c r="J300" i="51"/>
  <c r="E301" i="51"/>
  <c r="F301" i="51"/>
  <c r="G301" i="51"/>
  <c r="H301" i="51"/>
  <c r="I301" i="51"/>
  <c r="J301" i="51"/>
  <c r="E302" i="51"/>
  <c r="F302" i="51"/>
  <c r="G302" i="51"/>
  <c r="H302" i="51"/>
  <c r="I302" i="51"/>
  <c r="J302" i="51"/>
  <c r="E303" i="51"/>
  <c r="F303" i="51"/>
  <c r="G303" i="51"/>
  <c r="H303" i="51"/>
  <c r="I303" i="51"/>
  <c r="J303" i="51"/>
  <c r="E304" i="51"/>
  <c r="F304" i="51"/>
  <c r="G304" i="51"/>
  <c r="H304" i="51"/>
  <c r="I304" i="51"/>
  <c r="J304" i="51"/>
  <c r="E305" i="51"/>
  <c r="F305" i="51"/>
  <c r="G305" i="51"/>
  <c r="H305" i="51"/>
  <c r="I305" i="51"/>
  <c r="J305" i="51"/>
  <c r="E306" i="51"/>
  <c r="F306" i="51"/>
  <c r="G306" i="51"/>
  <c r="H306" i="51"/>
  <c r="I306" i="51"/>
  <c r="J306" i="51"/>
  <c r="E307" i="51"/>
  <c r="F307" i="51"/>
  <c r="G307" i="51"/>
  <c r="H307" i="51"/>
  <c r="I307" i="51"/>
  <c r="J307" i="51"/>
  <c r="E308" i="51"/>
  <c r="F308" i="51"/>
  <c r="G308" i="51"/>
  <c r="H308" i="51"/>
  <c r="I308" i="51"/>
  <c r="J308" i="51"/>
  <c r="E309" i="51"/>
  <c r="F309" i="51"/>
  <c r="G309" i="51"/>
  <c r="H309" i="51"/>
  <c r="I309" i="51"/>
  <c r="J309" i="51"/>
  <c r="E310" i="51"/>
  <c r="F310" i="51"/>
  <c r="G310" i="51"/>
  <c r="H310" i="51"/>
  <c r="I310" i="51"/>
  <c r="J310" i="51"/>
  <c r="E311" i="51"/>
  <c r="F311" i="51"/>
  <c r="G311" i="51"/>
  <c r="H311" i="51"/>
  <c r="I311" i="51"/>
  <c r="J311" i="51"/>
  <c r="E312" i="51"/>
  <c r="F312" i="51"/>
  <c r="G312" i="51"/>
  <c r="H312" i="51"/>
  <c r="I312" i="51"/>
  <c r="J312" i="51"/>
  <c r="E313" i="51"/>
  <c r="F313" i="51"/>
  <c r="G313" i="51"/>
  <c r="H313" i="51"/>
  <c r="I313" i="51"/>
  <c r="J313" i="51"/>
  <c r="E314" i="51"/>
  <c r="F314" i="51"/>
  <c r="G314" i="51"/>
  <c r="H314" i="51"/>
  <c r="I314" i="51"/>
  <c r="J314" i="51"/>
  <c r="E315" i="51"/>
  <c r="F315" i="51"/>
  <c r="G315" i="51"/>
  <c r="H315" i="51"/>
  <c r="I315" i="51"/>
  <c r="J315" i="51"/>
  <c r="F317" i="51"/>
  <c r="G317" i="51"/>
  <c r="H317" i="51"/>
  <c r="I317" i="51"/>
  <c r="J317" i="51"/>
  <c r="E318" i="51"/>
  <c r="F318" i="51"/>
  <c r="G318" i="51"/>
  <c r="H318" i="51"/>
  <c r="I318" i="51"/>
  <c r="J318" i="51"/>
  <c r="E319" i="51"/>
  <c r="F319" i="51"/>
  <c r="G319" i="51"/>
  <c r="H319" i="51"/>
  <c r="I319" i="51"/>
  <c r="J319" i="51"/>
  <c r="E320" i="51"/>
  <c r="F320" i="51"/>
  <c r="G320" i="51"/>
  <c r="H320" i="51"/>
  <c r="I320" i="51"/>
  <c r="J320" i="51"/>
  <c r="E321" i="51"/>
  <c r="F321" i="51"/>
  <c r="G321" i="51"/>
  <c r="H321" i="51"/>
  <c r="I321" i="51"/>
  <c r="J321" i="51"/>
  <c r="E322" i="51"/>
  <c r="F322" i="51"/>
  <c r="G322" i="51"/>
  <c r="H322" i="51"/>
  <c r="I322" i="51"/>
  <c r="J322" i="51"/>
  <c r="E323" i="51"/>
  <c r="F323" i="51"/>
  <c r="G323" i="51"/>
  <c r="H323" i="51"/>
  <c r="I323" i="51"/>
  <c r="J323" i="51"/>
  <c r="E324" i="51"/>
  <c r="F324" i="51"/>
  <c r="G324" i="51"/>
  <c r="H324" i="51"/>
  <c r="I324" i="51"/>
  <c r="J324" i="51"/>
  <c r="E325" i="51"/>
  <c r="F325" i="51"/>
  <c r="G325" i="51"/>
  <c r="H325" i="51"/>
  <c r="I325" i="51"/>
  <c r="J325" i="51"/>
  <c r="E326" i="51"/>
  <c r="F326" i="51"/>
  <c r="G326" i="51"/>
  <c r="H326" i="51"/>
  <c r="I326" i="51"/>
  <c r="J326" i="51"/>
  <c r="E327" i="51"/>
  <c r="F327" i="51"/>
  <c r="G327" i="51"/>
  <c r="H327" i="51"/>
  <c r="I327" i="51"/>
  <c r="J327" i="51"/>
  <c r="E328" i="51"/>
  <c r="F328" i="51"/>
  <c r="G328" i="51"/>
  <c r="H328" i="51"/>
  <c r="I328" i="51"/>
  <c r="J328" i="51"/>
  <c r="E329" i="51"/>
  <c r="F329" i="51"/>
  <c r="G329" i="51"/>
  <c r="H329" i="51"/>
  <c r="I329" i="51"/>
  <c r="J329" i="51"/>
  <c r="E330" i="51"/>
  <c r="F330" i="51"/>
  <c r="G330" i="51"/>
  <c r="H330" i="51"/>
  <c r="I330" i="51"/>
  <c r="J330" i="51"/>
  <c r="E331" i="51"/>
  <c r="F331" i="51"/>
  <c r="G331" i="51"/>
  <c r="H331" i="51"/>
  <c r="I331" i="51"/>
  <c r="J331" i="51"/>
  <c r="E332" i="51"/>
  <c r="F332" i="51"/>
  <c r="G332" i="51"/>
  <c r="H332" i="51"/>
  <c r="I332" i="51"/>
  <c r="J332" i="51"/>
  <c r="F334" i="51"/>
  <c r="G334" i="51"/>
  <c r="H334" i="51"/>
  <c r="I334" i="51"/>
  <c r="J334" i="51"/>
  <c r="E335" i="51"/>
  <c r="F335" i="51"/>
  <c r="G335" i="51"/>
  <c r="H335" i="51"/>
  <c r="I335" i="51"/>
  <c r="J335" i="51"/>
  <c r="E336" i="51"/>
  <c r="F336" i="51"/>
  <c r="G336" i="51"/>
  <c r="H336" i="51"/>
  <c r="I336" i="51"/>
  <c r="J336" i="51"/>
  <c r="E337" i="51"/>
  <c r="F337" i="51"/>
  <c r="G337" i="51"/>
  <c r="H337" i="51"/>
  <c r="I337" i="51"/>
  <c r="J337" i="51"/>
  <c r="E338" i="51"/>
  <c r="F338" i="51"/>
  <c r="G338" i="51"/>
  <c r="H338" i="51"/>
  <c r="I338" i="51"/>
  <c r="J338" i="51"/>
  <c r="E339" i="51"/>
  <c r="F339" i="51"/>
  <c r="G339" i="51"/>
  <c r="H339" i="51"/>
  <c r="I339" i="51"/>
  <c r="J339" i="51"/>
  <c r="E340" i="51"/>
  <c r="F340" i="51"/>
  <c r="G340" i="51"/>
  <c r="H340" i="51"/>
  <c r="I340" i="51"/>
  <c r="J340" i="51"/>
  <c r="E341" i="51"/>
  <c r="F341" i="51"/>
  <c r="G341" i="51"/>
  <c r="H341" i="51"/>
  <c r="I341" i="51"/>
  <c r="J341" i="51"/>
  <c r="E342" i="51"/>
  <c r="F342" i="51"/>
  <c r="G342" i="51"/>
  <c r="H342" i="51"/>
  <c r="I342" i="51"/>
  <c r="J342" i="51"/>
  <c r="E343" i="51"/>
  <c r="F343" i="51"/>
  <c r="G343" i="51"/>
  <c r="H343" i="51"/>
  <c r="I343" i="51"/>
  <c r="J343" i="51"/>
  <c r="E344" i="51"/>
  <c r="F344" i="51"/>
  <c r="G344" i="51"/>
  <c r="H344" i="51"/>
  <c r="I344" i="51"/>
  <c r="J344" i="51"/>
  <c r="E345" i="51"/>
  <c r="F345" i="51"/>
  <c r="G345" i="51"/>
  <c r="H345" i="51"/>
  <c r="I345" i="51"/>
  <c r="J345" i="51"/>
  <c r="E346" i="51"/>
  <c r="F346" i="51"/>
  <c r="G346" i="51"/>
  <c r="H346" i="51"/>
  <c r="I346" i="51"/>
  <c r="J346" i="51"/>
  <c r="E347" i="51"/>
  <c r="F347" i="51"/>
  <c r="G347" i="51"/>
  <c r="H347" i="51"/>
  <c r="I347" i="51"/>
  <c r="J347" i="51"/>
  <c r="E348" i="51"/>
  <c r="F348" i="51"/>
  <c r="G348" i="51"/>
  <c r="H348" i="51"/>
  <c r="I348" i="51"/>
  <c r="J348" i="51"/>
  <c r="E349" i="51"/>
  <c r="F349" i="51"/>
  <c r="G349" i="51"/>
  <c r="H349" i="51"/>
  <c r="I349" i="51"/>
  <c r="J349" i="51"/>
  <c r="E350" i="51"/>
  <c r="F350" i="51"/>
  <c r="G350" i="51"/>
  <c r="H350" i="51"/>
  <c r="I350" i="51"/>
  <c r="J350" i="51"/>
  <c r="F352" i="51"/>
  <c r="G352" i="51"/>
  <c r="H352" i="51"/>
  <c r="I352" i="51"/>
  <c r="J352" i="51"/>
  <c r="E353" i="51"/>
  <c r="F353" i="51"/>
  <c r="G353" i="51"/>
  <c r="H353" i="51"/>
  <c r="I353" i="51"/>
  <c r="J353" i="51"/>
  <c r="E354" i="51"/>
  <c r="F354" i="51"/>
  <c r="G354" i="51"/>
  <c r="H354" i="51"/>
  <c r="I354" i="51"/>
  <c r="J354" i="51"/>
  <c r="E355" i="51"/>
  <c r="F355" i="51"/>
  <c r="G355" i="51"/>
  <c r="H355" i="51"/>
  <c r="I355" i="51"/>
  <c r="J355" i="51"/>
  <c r="E356" i="51"/>
  <c r="F356" i="51"/>
  <c r="G356" i="51"/>
  <c r="H356" i="51"/>
  <c r="I356" i="51"/>
  <c r="J356" i="51"/>
  <c r="E357" i="51"/>
  <c r="F357" i="51"/>
  <c r="G357" i="51"/>
  <c r="H357" i="51"/>
  <c r="I357" i="51"/>
  <c r="J357" i="51"/>
  <c r="E358" i="51"/>
  <c r="F358" i="51"/>
  <c r="G358" i="51"/>
  <c r="H358" i="51"/>
  <c r="I358" i="51"/>
  <c r="J358" i="51"/>
  <c r="E359" i="51"/>
  <c r="F359" i="51"/>
  <c r="G359" i="51"/>
  <c r="H359" i="51"/>
  <c r="I359" i="51"/>
  <c r="J359" i="51"/>
  <c r="E360" i="51"/>
  <c r="F360" i="51"/>
  <c r="G360" i="51"/>
  <c r="H360" i="51"/>
  <c r="I360" i="51"/>
  <c r="J360" i="51"/>
  <c r="E361" i="51"/>
  <c r="F361" i="51"/>
  <c r="G361" i="51"/>
  <c r="H361" i="51"/>
  <c r="I361" i="51"/>
  <c r="J361" i="51"/>
  <c r="E362" i="51"/>
  <c r="F362" i="51"/>
  <c r="G362" i="51"/>
  <c r="H362" i="51"/>
  <c r="I362" i="51"/>
  <c r="J362" i="51"/>
  <c r="E363" i="51"/>
  <c r="F363" i="51"/>
  <c r="G363" i="51"/>
  <c r="H363" i="51"/>
  <c r="I363" i="51"/>
  <c r="J363" i="51"/>
  <c r="E364" i="51"/>
  <c r="F364" i="51"/>
  <c r="G364" i="51"/>
  <c r="H364" i="51"/>
  <c r="I364" i="51"/>
  <c r="J364" i="51"/>
  <c r="E365" i="51"/>
  <c r="F365" i="51"/>
  <c r="G365" i="51"/>
  <c r="H365" i="51"/>
  <c r="I365" i="51"/>
  <c r="J365" i="51"/>
  <c r="E366" i="51"/>
  <c r="F366" i="51"/>
  <c r="G366" i="51"/>
  <c r="H366" i="51"/>
  <c r="I366" i="51"/>
  <c r="J366" i="51"/>
  <c r="E367" i="51"/>
  <c r="F367" i="51"/>
  <c r="G367" i="51"/>
  <c r="H367" i="51"/>
  <c r="I367" i="51"/>
  <c r="J367" i="51"/>
  <c r="E368" i="51"/>
  <c r="F368" i="51"/>
  <c r="G368" i="51"/>
  <c r="H368" i="51"/>
  <c r="I368" i="51"/>
  <c r="J368" i="51"/>
  <c r="E197" i="51"/>
  <c r="F197" i="51"/>
  <c r="G197" i="51"/>
  <c r="H197" i="51"/>
  <c r="I197" i="51"/>
  <c r="J197" i="51"/>
  <c r="E198" i="51"/>
  <c r="F198" i="51"/>
  <c r="G198" i="51"/>
  <c r="H198" i="51"/>
  <c r="I198" i="51"/>
  <c r="J198" i="51"/>
  <c r="E199" i="51"/>
  <c r="F199" i="51"/>
  <c r="G199" i="51"/>
  <c r="H199" i="51"/>
  <c r="I199" i="51"/>
  <c r="J199" i="51"/>
  <c r="E200" i="51"/>
  <c r="F200" i="51"/>
  <c r="G200" i="51"/>
  <c r="H200" i="51"/>
  <c r="I200" i="51"/>
  <c r="J200" i="51"/>
  <c r="E201" i="51"/>
  <c r="F201" i="51"/>
  <c r="G201" i="51"/>
  <c r="H201" i="51"/>
  <c r="I201" i="51"/>
  <c r="J201" i="51"/>
  <c r="E203" i="51"/>
  <c r="F203" i="51"/>
  <c r="G203" i="51"/>
  <c r="H203" i="51"/>
  <c r="I203" i="51"/>
  <c r="J203" i="51"/>
  <c r="E204" i="51"/>
  <c r="F204" i="51"/>
  <c r="G204" i="51"/>
  <c r="H204" i="51"/>
  <c r="I204" i="51"/>
  <c r="J204" i="51"/>
  <c r="E205" i="51"/>
  <c r="F205" i="51"/>
  <c r="G205" i="51"/>
  <c r="H205" i="51"/>
  <c r="I205" i="51"/>
  <c r="J205" i="51"/>
  <c r="E206" i="51"/>
  <c r="F206" i="51"/>
  <c r="G206" i="51"/>
  <c r="H206" i="51"/>
  <c r="I206" i="51"/>
  <c r="J206" i="51"/>
  <c r="E207" i="51"/>
  <c r="F207" i="51"/>
  <c r="G207" i="51"/>
  <c r="H207" i="51"/>
  <c r="I207" i="51"/>
  <c r="J207" i="51"/>
  <c r="E208" i="51"/>
  <c r="F208" i="51"/>
  <c r="G208" i="51"/>
  <c r="H208" i="51"/>
  <c r="I208" i="51"/>
  <c r="J208" i="51"/>
  <c r="E209" i="51"/>
  <c r="F209" i="51"/>
  <c r="G209" i="51"/>
  <c r="H209" i="51"/>
  <c r="I209" i="51"/>
  <c r="J209" i="51"/>
  <c r="E210" i="51"/>
  <c r="F210" i="51"/>
  <c r="G210" i="51"/>
  <c r="H210" i="51"/>
  <c r="I210" i="51"/>
  <c r="J210" i="51"/>
  <c r="E211" i="51"/>
  <c r="F211" i="51"/>
  <c r="G211" i="51"/>
  <c r="H211" i="51"/>
  <c r="I211" i="51"/>
  <c r="J211" i="51"/>
  <c r="E212" i="51"/>
  <c r="F212" i="51"/>
  <c r="G212" i="51"/>
  <c r="H212" i="51"/>
  <c r="I212" i="51"/>
  <c r="J212" i="51"/>
  <c r="E213" i="51"/>
  <c r="F213" i="51"/>
  <c r="G213" i="51"/>
  <c r="H213" i="51"/>
  <c r="I213" i="51"/>
  <c r="J213" i="51"/>
  <c r="E214" i="51"/>
  <c r="F214" i="51"/>
  <c r="G214" i="51"/>
  <c r="H214" i="51"/>
  <c r="I214" i="51"/>
  <c r="J214" i="51"/>
  <c r="E215" i="51"/>
  <c r="F215" i="51"/>
  <c r="G215" i="51"/>
  <c r="H215" i="51"/>
  <c r="I215" i="51"/>
  <c r="J215" i="51"/>
  <c r="E216" i="51"/>
  <c r="F216" i="51"/>
  <c r="G216" i="51"/>
  <c r="H216" i="51"/>
  <c r="I216" i="51"/>
  <c r="J216" i="51"/>
  <c r="E217" i="51"/>
  <c r="F217" i="51"/>
  <c r="G217" i="51"/>
  <c r="H217" i="51"/>
  <c r="I217" i="51"/>
  <c r="J217" i="51"/>
  <c r="E218" i="51"/>
  <c r="F218" i="51"/>
  <c r="G218" i="51"/>
  <c r="H218" i="51"/>
  <c r="I218" i="51"/>
  <c r="J218" i="51"/>
  <c r="E219" i="51"/>
  <c r="F219" i="51"/>
  <c r="G219" i="51"/>
  <c r="H219" i="51"/>
  <c r="I219" i="51"/>
  <c r="J219" i="51"/>
  <c r="E220" i="51"/>
  <c r="F220" i="51"/>
  <c r="G220" i="51"/>
  <c r="H220" i="51"/>
  <c r="I220" i="51"/>
  <c r="J220" i="51"/>
  <c r="E221" i="51"/>
  <c r="F221" i="51"/>
  <c r="G221" i="51"/>
  <c r="H221" i="51"/>
  <c r="I221" i="51"/>
  <c r="J221" i="51"/>
  <c r="E222" i="51"/>
  <c r="F222" i="51"/>
  <c r="G222" i="51"/>
  <c r="H222" i="51"/>
  <c r="I222" i="51"/>
  <c r="J222" i="51"/>
  <c r="E223" i="51"/>
  <c r="F223" i="51"/>
  <c r="G223" i="51"/>
  <c r="H223" i="51"/>
  <c r="I223" i="51"/>
  <c r="J223" i="51"/>
  <c r="F224" i="51"/>
  <c r="G224" i="51"/>
  <c r="H224" i="51"/>
  <c r="I224" i="51"/>
  <c r="J224" i="51"/>
  <c r="E225" i="51"/>
  <c r="F225" i="51"/>
  <c r="G225" i="51"/>
  <c r="H225" i="51"/>
  <c r="I225" i="51"/>
  <c r="J225" i="51"/>
  <c r="E226" i="51"/>
  <c r="F226" i="51"/>
  <c r="G226" i="51"/>
  <c r="H226" i="51"/>
  <c r="I226" i="51"/>
  <c r="J226" i="51"/>
  <c r="E227" i="51"/>
  <c r="F227" i="51"/>
  <c r="G227" i="51"/>
  <c r="H227" i="51"/>
  <c r="I227" i="51"/>
  <c r="J227" i="51"/>
  <c r="E228" i="51"/>
  <c r="F228" i="51"/>
  <c r="G228" i="51"/>
  <c r="H228" i="51"/>
  <c r="I228" i="51"/>
  <c r="J228" i="51"/>
  <c r="E229" i="51"/>
  <c r="F229" i="51"/>
  <c r="G229" i="51"/>
  <c r="H229" i="51"/>
  <c r="I229" i="51"/>
  <c r="J229" i="51"/>
  <c r="E230" i="51"/>
  <c r="F230" i="51"/>
  <c r="G230" i="51"/>
  <c r="H230" i="51"/>
  <c r="I230" i="51"/>
  <c r="J230" i="51"/>
  <c r="E231" i="51"/>
  <c r="F231" i="51"/>
  <c r="G231" i="51"/>
  <c r="H231" i="51"/>
  <c r="I231" i="51"/>
  <c r="J231" i="51"/>
  <c r="E232" i="51"/>
  <c r="F232" i="51"/>
  <c r="G232" i="51"/>
  <c r="H232" i="51"/>
  <c r="I232" i="51"/>
  <c r="J232" i="51"/>
  <c r="E233" i="51"/>
  <c r="F233" i="51"/>
  <c r="G233" i="51"/>
  <c r="H233" i="51"/>
  <c r="I233" i="51"/>
  <c r="J233" i="51"/>
  <c r="E234" i="51"/>
  <c r="F234" i="51"/>
  <c r="G234" i="51"/>
  <c r="H234" i="51"/>
  <c r="I234" i="51"/>
  <c r="J234" i="51"/>
  <c r="E235" i="51"/>
  <c r="F235" i="51"/>
  <c r="G235" i="51"/>
  <c r="H235" i="51"/>
  <c r="I235" i="51"/>
  <c r="J235" i="51"/>
  <c r="E236" i="51"/>
  <c r="F236" i="51"/>
  <c r="G236" i="51"/>
  <c r="H236" i="51"/>
  <c r="I236" i="51"/>
  <c r="J236" i="51"/>
  <c r="E237" i="51"/>
  <c r="F237" i="51"/>
  <c r="G237" i="51"/>
  <c r="H237" i="51"/>
  <c r="I237" i="51"/>
  <c r="J237" i="51"/>
  <c r="E238" i="51"/>
  <c r="F238" i="51"/>
  <c r="G238" i="51"/>
  <c r="H238" i="51"/>
  <c r="I238" i="51"/>
  <c r="J238" i="51"/>
  <c r="E239" i="51"/>
  <c r="F239" i="51"/>
  <c r="G239" i="51"/>
  <c r="H239" i="51"/>
  <c r="I239" i="51"/>
  <c r="J239" i="51"/>
  <c r="E240" i="51"/>
  <c r="F240" i="51"/>
  <c r="G240" i="51"/>
  <c r="H240" i="51"/>
  <c r="I240" i="51"/>
  <c r="J240" i="51"/>
  <c r="E241" i="51"/>
  <c r="F241" i="51"/>
  <c r="G241" i="51"/>
  <c r="H241" i="51"/>
  <c r="I241" i="51"/>
  <c r="J241" i="51"/>
  <c r="E242" i="51"/>
  <c r="F242" i="51"/>
  <c r="G242" i="51"/>
  <c r="H242" i="51"/>
  <c r="I242" i="51"/>
  <c r="J242" i="51"/>
  <c r="E243" i="51"/>
  <c r="F243" i="51"/>
  <c r="G243" i="51"/>
  <c r="H243" i="51"/>
  <c r="I243" i="51"/>
  <c r="J243" i="51"/>
  <c r="E244" i="51"/>
  <c r="F244" i="51"/>
  <c r="G244" i="51"/>
  <c r="H244" i="51"/>
  <c r="I244" i="51"/>
  <c r="J244" i="51"/>
  <c r="E245" i="51"/>
  <c r="F245" i="51"/>
  <c r="G245" i="51"/>
  <c r="H245" i="51"/>
  <c r="I245" i="51"/>
  <c r="J245" i="51"/>
  <c r="E246" i="51"/>
  <c r="F246" i="51"/>
  <c r="G246" i="51"/>
  <c r="H246" i="51"/>
  <c r="I246" i="51"/>
  <c r="J246" i="51"/>
  <c r="E247" i="51"/>
  <c r="F247" i="51"/>
  <c r="G247" i="51"/>
  <c r="H247" i="51"/>
  <c r="I247" i="51"/>
  <c r="J247" i="51"/>
  <c r="E248" i="51"/>
  <c r="F248" i="51"/>
  <c r="G248" i="51"/>
  <c r="H248" i="51"/>
  <c r="I248" i="51"/>
  <c r="J248" i="51"/>
  <c r="E249" i="51"/>
  <c r="F249" i="51"/>
  <c r="G249" i="51"/>
  <c r="H249" i="51"/>
  <c r="I249" i="51"/>
  <c r="J249" i="51"/>
  <c r="E250" i="51"/>
  <c r="F250" i="51"/>
  <c r="G250" i="51"/>
  <c r="H250" i="51"/>
  <c r="I250" i="51"/>
  <c r="J250" i="51"/>
  <c r="E251" i="51"/>
  <c r="F251" i="51"/>
  <c r="G251" i="51"/>
  <c r="H251" i="51"/>
  <c r="I251" i="51"/>
  <c r="J251" i="51"/>
  <c r="E252" i="51"/>
  <c r="F252" i="51"/>
  <c r="G252" i="51"/>
  <c r="H252" i="51"/>
  <c r="I252" i="51"/>
  <c r="J252" i="51"/>
  <c r="E253" i="51"/>
  <c r="F253" i="51"/>
  <c r="G253" i="51"/>
  <c r="H253" i="51"/>
  <c r="I253" i="51"/>
  <c r="J253" i="51"/>
  <c r="E254" i="51"/>
  <c r="F254" i="51"/>
  <c r="G254" i="51"/>
  <c r="H254" i="51"/>
  <c r="I254" i="51"/>
  <c r="J254" i="51"/>
  <c r="F255" i="51"/>
  <c r="G255" i="51"/>
  <c r="H255" i="51"/>
  <c r="I255" i="51"/>
  <c r="J255" i="51"/>
  <c r="E256" i="51"/>
  <c r="F256" i="51"/>
  <c r="G256" i="51"/>
  <c r="H256" i="51"/>
  <c r="I256" i="51"/>
  <c r="J256" i="51"/>
  <c r="E257" i="51"/>
  <c r="F257" i="51"/>
  <c r="G257" i="51"/>
  <c r="H257" i="51"/>
  <c r="I257" i="51"/>
  <c r="J257" i="51"/>
  <c r="E258" i="51"/>
  <c r="F258" i="51"/>
  <c r="G258" i="51"/>
  <c r="H258" i="51"/>
  <c r="I258" i="51"/>
  <c r="J258" i="51"/>
  <c r="E259" i="51"/>
  <c r="F259" i="51"/>
  <c r="G259" i="51"/>
  <c r="H259" i="51"/>
  <c r="I259" i="51"/>
  <c r="J259" i="51"/>
  <c r="E260" i="51"/>
  <c r="F260" i="51"/>
  <c r="G260" i="51"/>
  <c r="H260" i="51"/>
  <c r="I260" i="51"/>
  <c r="J260" i="51"/>
  <c r="E261" i="51"/>
  <c r="F261" i="51"/>
  <c r="G261" i="51"/>
  <c r="H261" i="51"/>
  <c r="I261" i="51"/>
  <c r="J261" i="51"/>
  <c r="E262" i="51"/>
  <c r="F262" i="51"/>
  <c r="G262" i="51"/>
  <c r="H262" i="51"/>
  <c r="I262" i="51"/>
  <c r="J262" i="51"/>
  <c r="E263" i="51"/>
  <c r="F263" i="51"/>
  <c r="G263" i="51"/>
  <c r="H263" i="51"/>
  <c r="I263" i="51"/>
  <c r="J263" i="51"/>
  <c r="E148" i="51"/>
  <c r="F148" i="51"/>
  <c r="G148" i="51"/>
  <c r="H148" i="51"/>
  <c r="I148" i="51"/>
  <c r="J148" i="51"/>
  <c r="E149" i="51"/>
  <c r="F149" i="51"/>
  <c r="G149" i="51"/>
  <c r="H149" i="51"/>
  <c r="I149" i="51"/>
  <c r="J149" i="51"/>
  <c r="E150" i="51"/>
  <c r="F150" i="51"/>
  <c r="G150" i="51"/>
  <c r="H150" i="51"/>
  <c r="I150" i="51"/>
  <c r="J150" i="51"/>
  <c r="E151" i="51"/>
  <c r="F151" i="51"/>
  <c r="G151" i="51"/>
  <c r="H151" i="51"/>
  <c r="I151" i="51"/>
  <c r="J151" i="51"/>
  <c r="E152" i="51"/>
  <c r="F152" i="51"/>
  <c r="G152" i="51"/>
  <c r="H152" i="51"/>
  <c r="I152" i="51"/>
  <c r="J152" i="51"/>
  <c r="E153" i="51"/>
  <c r="F153" i="51"/>
  <c r="G153" i="51"/>
  <c r="H153" i="51"/>
  <c r="I153" i="51"/>
  <c r="J153" i="51"/>
  <c r="E154" i="51"/>
  <c r="F154" i="51"/>
  <c r="G154" i="51"/>
  <c r="H154" i="51"/>
  <c r="I154" i="51"/>
  <c r="J154" i="51"/>
  <c r="E155" i="51"/>
  <c r="F155" i="51"/>
  <c r="G155" i="51"/>
  <c r="H155" i="51"/>
  <c r="I155" i="51"/>
  <c r="J155" i="51"/>
  <c r="F156" i="51"/>
  <c r="G156" i="51"/>
  <c r="H156" i="51"/>
  <c r="I156" i="51"/>
  <c r="J156" i="51"/>
  <c r="F158" i="51"/>
  <c r="G158" i="51"/>
  <c r="H158" i="51"/>
  <c r="I158" i="51"/>
  <c r="J158" i="51"/>
  <c r="E159" i="51"/>
  <c r="F159" i="51"/>
  <c r="G159" i="51"/>
  <c r="H159" i="51"/>
  <c r="I159" i="51"/>
  <c r="J159" i="51"/>
  <c r="E160" i="51"/>
  <c r="F160" i="51"/>
  <c r="G160" i="51"/>
  <c r="H160" i="51"/>
  <c r="I160" i="51"/>
  <c r="J160" i="51"/>
  <c r="E161" i="51"/>
  <c r="F161" i="51"/>
  <c r="G161" i="51"/>
  <c r="H161" i="51"/>
  <c r="I161" i="51"/>
  <c r="J161" i="51"/>
  <c r="E162" i="51"/>
  <c r="F162" i="51"/>
  <c r="G162" i="51"/>
  <c r="H162" i="51"/>
  <c r="I162" i="51"/>
  <c r="J162" i="51"/>
  <c r="E163" i="51"/>
  <c r="F163" i="51"/>
  <c r="G163" i="51"/>
  <c r="H163" i="51"/>
  <c r="I163" i="51"/>
  <c r="J163" i="51"/>
  <c r="E164" i="51"/>
  <c r="F164" i="51"/>
  <c r="G164" i="51"/>
  <c r="H164" i="51"/>
  <c r="I164" i="51"/>
  <c r="J164" i="51"/>
  <c r="E165" i="51"/>
  <c r="F165" i="51"/>
  <c r="G165" i="51"/>
  <c r="H165" i="51"/>
  <c r="I165" i="51"/>
  <c r="J165" i="51"/>
  <c r="E166" i="51"/>
  <c r="F166" i="51"/>
  <c r="G166" i="51"/>
  <c r="H166" i="51"/>
  <c r="I166" i="51"/>
  <c r="J166" i="51"/>
  <c r="E167" i="51"/>
  <c r="F167" i="51"/>
  <c r="G167" i="51"/>
  <c r="H167" i="51"/>
  <c r="I167" i="51"/>
  <c r="J167" i="51"/>
  <c r="E168" i="51"/>
  <c r="F168" i="51"/>
  <c r="G168" i="51"/>
  <c r="H168" i="51"/>
  <c r="I168" i="51"/>
  <c r="J168" i="51"/>
  <c r="E169" i="51"/>
  <c r="F169" i="51"/>
  <c r="G169" i="51"/>
  <c r="H169" i="51"/>
  <c r="I169" i="51"/>
  <c r="J169" i="51"/>
  <c r="E170" i="51"/>
  <c r="F170" i="51"/>
  <c r="G170" i="51"/>
  <c r="H170" i="51"/>
  <c r="I170" i="51"/>
  <c r="J170" i="51"/>
  <c r="E171" i="51"/>
  <c r="F171" i="51"/>
  <c r="G171" i="51"/>
  <c r="H171" i="51"/>
  <c r="I171" i="51"/>
  <c r="J171" i="51"/>
  <c r="E172" i="51"/>
  <c r="F172" i="51"/>
  <c r="G172" i="51"/>
  <c r="H172" i="51"/>
  <c r="I172" i="51"/>
  <c r="J172" i="51"/>
  <c r="E173" i="51"/>
  <c r="F173" i="51"/>
  <c r="G173" i="51"/>
  <c r="H173" i="51"/>
  <c r="I173" i="51"/>
  <c r="J173" i="51"/>
  <c r="E174" i="51"/>
  <c r="F174" i="51"/>
  <c r="G174" i="51"/>
  <c r="H174" i="51"/>
  <c r="I174" i="51"/>
  <c r="J174" i="51"/>
  <c r="E175" i="51"/>
  <c r="F175" i="51"/>
  <c r="G175" i="51"/>
  <c r="H175" i="51"/>
  <c r="I175" i="51"/>
  <c r="J175" i="51"/>
  <c r="E176" i="51"/>
  <c r="F176" i="51"/>
  <c r="G176" i="51"/>
  <c r="H176" i="51"/>
  <c r="I176" i="51"/>
  <c r="J176" i="51"/>
  <c r="E177" i="51"/>
  <c r="F177" i="51"/>
  <c r="G177" i="51"/>
  <c r="H177" i="51"/>
  <c r="I177" i="51"/>
  <c r="J177" i="51"/>
  <c r="F178" i="51"/>
  <c r="G178" i="51"/>
  <c r="H178" i="51"/>
  <c r="I178" i="51"/>
  <c r="J178" i="51"/>
  <c r="E179" i="51"/>
  <c r="F179" i="51"/>
  <c r="G179" i="51"/>
  <c r="H179" i="51"/>
  <c r="I179" i="51"/>
  <c r="J179" i="51"/>
  <c r="E180" i="51"/>
  <c r="F180" i="51"/>
  <c r="G180" i="51"/>
  <c r="H180" i="51"/>
  <c r="I180" i="51"/>
  <c r="J180" i="51"/>
  <c r="E181" i="51"/>
  <c r="F181" i="51"/>
  <c r="G181" i="51"/>
  <c r="H181" i="51"/>
  <c r="I181" i="51"/>
  <c r="J181" i="51"/>
  <c r="E182" i="51"/>
  <c r="F182" i="51"/>
  <c r="G182" i="51"/>
  <c r="H182" i="51"/>
  <c r="I182" i="51"/>
  <c r="J182" i="51"/>
  <c r="E183" i="51"/>
  <c r="F183" i="51"/>
  <c r="G183" i="51"/>
  <c r="H183" i="51"/>
  <c r="I183" i="51"/>
  <c r="J183" i="51"/>
  <c r="E184" i="51"/>
  <c r="F184" i="51"/>
  <c r="G184" i="51"/>
  <c r="H184" i="51"/>
  <c r="I184" i="51"/>
  <c r="J184" i="51"/>
  <c r="E185" i="51"/>
  <c r="F185" i="51"/>
  <c r="G185" i="51"/>
  <c r="H185" i="51"/>
  <c r="I185" i="51"/>
  <c r="J185" i="51"/>
  <c r="E186" i="51"/>
  <c r="F186" i="51"/>
  <c r="G186" i="51"/>
  <c r="H186" i="51"/>
  <c r="I186" i="51"/>
  <c r="J186" i="51"/>
  <c r="E187" i="51"/>
  <c r="F187" i="51"/>
  <c r="G187" i="51"/>
  <c r="H187" i="51"/>
  <c r="I187" i="51"/>
  <c r="J187" i="51"/>
  <c r="E188" i="51"/>
  <c r="F188" i="51"/>
  <c r="G188" i="51"/>
  <c r="H188" i="51"/>
  <c r="I188" i="51"/>
  <c r="J188" i="51"/>
  <c r="E189" i="51"/>
  <c r="F189" i="51"/>
  <c r="G189" i="51"/>
  <c r="H189" i="51"/>
  <c r="I189" i="51"/>
  <c r="J189" i="51"/>
  <c r="E190" i="51"/>
  <c r="F190" i="51"/>
  <c r="G190" i="51"/>
  <c r="H190" i="51"/>
  <c r="I190" i="51"/>
  <c r="J190" i="51"/>
  <c r="E191" i="51"/>
  <c r="F191" i="51"/>
  <c r="G191" i="51"/>
  <c r="H191" i="51"/>
  <c r="I191" i="51"/>
  <c r="J191" i="51"/>
  <c r="E192" i="51"/>
  <c r="F192" i="51"/>
  <c r="G192" i="51"/>
  <c r="H192" i="51"/>
  <c r="I192" i="51"/>
  <c r="J192" i="51"/>
  <c r="E193" i="51"/>
  <c r="F193" i="51"/>
  <c r="G193" i="51"/>
  <c r="H193" i="51"/>
  <c r="I193" i="51"/>
  <c r="J193" i="51"/>
  <c r="E194" i="51"/>
  <c r="F194" i="51"/>
  <c r="G194" i="51"/>
  <c r="H194" i="51"/>
  <c r="I194" i="51"/>
  <c r="J194" i="51"/>
  <c r="E195" i="51"/>
  <c r="F195" i="51"/>
  <c r="G195" i="51"/>
  <c r="H195" i="51"/>
  <c r="I195" i="51"/>
  <c r="J195" i="51"/>
  <c r="E196" i="51"/>
  <c r="F196" i="51"/>
  <c r="G196" i="51"/>
  <c r="H196" i="51"/>
  <c r="I196" i="51"/>
  <c r="J196" i="51"/>
  <c r="E95" i="51"/>
  <c r="F95" i="51"/>
  <c r="G95" i="51"/>
  <c r="H95" i="51"/>
  <c r="I95" i="51"/>
  <c r="J95" i="51"/>
  <c r="E96" i="51"/>
  <c r="F96" i="51"/>
  <c r="G96" i="51"/>
  <c r="H96" i="51"/>
  <c r="I96" i="51"/>
  <c r="J96" i="51"/>
  <c r="E97" i="51"/>
  <c r="F97" i="51"/>
  <c r="G97" i="51"/>
  <c r="H97" i="51"/>
  <c r="I97" i="51"/>
  <c r="J97" i="51"/>
  <c r="E98" i="51"/>
  <c r="F98" i="51"/>
  <c r="G98" i="51"/>
  <c r="H98" i="51"/>
  <c r="I98" i="51"/>
  <c r="J98" i="51"/>
  <c r="E99" i="51"/>
  <c r="F99" i="51"/>
  <c r="G99" i="51"/>
  <c r="H99" i="51"/>
  <c r="I99" i="51"/>
  <c r="J99" i="51"/>
  <c r="E100" i="51"/>
  <c r="F100" i="51"/>
  <c r="G100" i="51"/>
  <c r="H100" i="51"/>
  <c r="I100" i="51"/>
  <c r="J100" i="51"/>
  <c r="E101" i="51"/>
  <c r="F101" i="51"/>
  <c r="G101" i="51"/>
  <c r="H101" i="51"/>
  <c r="I101" i="51"/>
  <c r="J101" i="51"/>
  <c r="E102" i="51"/>
  <c r="F102" i="51"/>
  <c r="G102" i="51"/>
  <c r="H102" i="51"/>
  <c r="I102" i="51"/>
  <c r="J102" i="51"/>
  <c r="E103" i="51"/>
  <c r="F103" i="51"/>
  <c r="G103" i="51"/>
  <c r="H103" i="51"/>
  <c r="I103" i="51"/>
  <c r="J103" i="51"/>
  <c r="E104" i="51"/>
  <c r="F104" i="51"/>
  <c r="G104" i="51"/>
  <c r="H104" i="51"/>
  <c r="I104" i="51"/>
  <c r="J104" i="51"/>
  <c r="E105" i="51"/>
  <c r="F105" i="51"/>
  <c r="G105" i="51"/>
  <c r="H105" i="51"/>
  <c r="I105" i="51"/>
  <c r="J105" i="51"/>
  <c r="E106" i="51"/>
  <c r="F106" i="51"/>
  <c r="G106" i="51"/>
  <c r="H106" i="51"/>
  <c r="I106" i="51"/>
  <c r="J106" i="51"/>
  <c r="E107" i="51"/>
  <c r="F107" i="51"/>
  <c r="G107" i="51"/>
  <c r="H107" i="51"/>
  <c r="I107" i="51"/>
  <c r="J107" i="51"/>
  <c r="E108" i="51"/>
  <c r="F108" i="51"/>
  <c r="G108" i="51"/>
  <c r="H108" i="51"/>
  <c r="I108" i="51"/>
  <c r="J108" i="51"/>
  <c r="E109" i="51"/>
  <c r="F109" i="51"/>
  <c r="G109" i="51"/>
  <c r="H109" i="51"/>
  <c r="I109" i="51"/>
  <c r="J109" i="51"/>
  <c r="E110" i="51"/>
  <c r="F110" i="51"/>
  <c r="G110" i="51"/>
  <c r="H110" i="51"/>
  <c r="I110" i="51"/>
  <c r="J110" i="51"/>
  <c r="E111" i="51"/>
  <c r="F111" i="51"/>
  <c r="G111" i="51"/>
  <c r="H111" i="51"/>
  <c r="I111" i="51"/>
  <c r="J111" i="51"/>
  <c r="E112" i="51"/>
  <c r="F112" i="51"/>
  <c r="G112" i="51"/>
  <c r="H112" i="51"/>
  <c r="I112" i="51"/>
  <c r="J112" i="51"/>
  <c r="E113" i="51"/>
  <c r="F113" i="51"/>
  <c r="G113" i="51"/>
  <c r="H113" i="51"/>
  <c r="I113" i="51"/>
  <c r="J113" i="51"/>
  <c r="E114" i="51"/>
  <c r="F114" i="51"/>
  <c r="G114" i="51"/>
  <c r="H114" i="51"/>
  <c r="I114" i="51"/>
  <c r="J114" i="51"/>
  <c r="E115" i="51"/>
  <c r="F115" i="51"/>
  <c r="G115" i="51"/>
  <c r="H115" i="51"/>
  <c r="I115" i="51"/>
  <c r="J115" i="51"/>
  <c r="E116" i="51"/>
  <c r="F116" i="51"/>
  <c r="G116" i="51"/>
  <c r="H116" i="51"/>
  <c r="I116" i="51"/>
  <c r="J116" i="51"/>
  <c r="E117" i="51"/>
  <c r="F117" i="51"/>
  <c r="G117" i="51"/>
  <c r="H117" i="51"/>
  <c r="I117" i="51"/>
  <c r="J117" i="51"/>
  <c r="E118" i="51"/>
  <c r="F118" i="51"/>
  <c r="G118" i="51"/>
  <c r="H118" i="51"/>
  <c r="I118" i="51"/>
  <c r="J118" i="51"/>
  <c r="E119" i="51"/>
  <c r="F119" i="51"/>
  <c r="G119" i="51"/>
  <c r="H119" i="51"/>
  <c r="I119" i="51"/>
  <c r="J119" i="51"/>
  <c r="E120" i="51"/>
  <c r="F120" i="51"/>
  <c r="G120" i="51"/>
  <c r="H120" i="51"/>
  <c r="I120" i="51"/>
  <c r="J120" i="51"/>
  <c r="E121" i="51"/>
  <c r="F121" i="51"/>
  <c r="G121" i="51"/>
  <c r="H121" i="51"/>
  <c r="I121" i="51"/>
  <c r="J121" i="51"/>
  <c r="E122" i="51"/>
  <c r="F122" i="51"/>
  <c r="G122" i="51"/>
  <c r="H122" i="51"/>
  <c r="I122" i="51"/>
  <c r="J122" i="51"/>
  <c r="E123" i="51"/>
  <c r="F123" i="51"/>
  <c r="G123" i="51"/>
  <c r="H123" i="51"/>
  <c r="I123" i="51"/>
  <c r="J123" i="51"/>
  <c r="E124" i="51"/>
  <c r="F124" i="51"/>
  <c r="G124" i="51"/>
  <c r="H124" i="51"/>
  <c r="I124" i="51"/>
  <c r="J124" i="51"/>
  <c r="E125" i="51"/>
  <c r="F125" i="51"/>
  <c r="G125" i="51"/>
  <c r="H125" i="51"/>
  <c r="I125" i="51"/>
  <c r="J125" i="51"/>
  <c r="E126" i="51"/>
  <c r="F126" i="51"/>
  <c r="G126" i="51"/>
  <c r="H126" i="51"/>
  <c r="I126" i="51"/>
  <c r="J126" i="51"/>
  <c r="E127" i="51"/>
  <c r="F127" i="51"/>
  <c r="G127" i="51"/>
  <c r="H127" i="51"/>
  <c r="I127" i="51"/>
  <c r="J127" i="51"/>
  <c r="E128" i="51"/>
  <c r="F128" i="51"/>
  <c r="G128" i="51"/>
  <c r="H128" i="51"/>
  <c r="I128" i="51"/>
  <c r="J128" i="51"/>
  <c r="E129" i="51"/>
  <c r="F129" i="51"/>
  <c r="G129" i="51"/>
  <c r="H129" i="51"/>
  <c r="I129" i="51"/>
  <c r="J129" i="51"/>
  <c r="E130" i="51"/>
  <c r="F130" i="51"/>
  <c r="G130" i="51"/>
  <c r="H130" i="51"/>
  <c r="I130" i="51"/>
  <c r="J130" i="51"/>
  <c r="E131" i="51"/>
  <c r="F131" i="51"/>
  <c r="G131" i="51"/>
  <c r="H131" i="51"/>
  <c r="I131" i="51"/>
  <c r="J131" i="51"/>
  <c r="E132" i="51"/>
  <c r="F132" i="51"/>
  <c r="G132" i="51"/>
  <c r="H132" i="51"/>
  <c r="I132" i="51"/>
  <c r="J132" i="51"/>
  <c r="E133" i="51"/>
  <c r="F133" i="51"/>
  <c r="G133" i="51"/>
  <c r="H133" i="51"/>
  <c r="I133" i="51"/>
  <c r="J133" i="51"/>
  <c r="E134" i="51"/>
  <c r="F134" i="51"/>
  <c r="G134" i="51"/>
  <c r="H134" i="51"/>
  <c r="I134" i="51"/>
  <c r="J134" i="51"/>
  <c r="E135" i="51"/>
  <c r="F135" i="51"/>
  <c r="G135" i="51"/>
  <c r="H135" i="51"/>
  <c r="I135" i="51"/>
  <c r="J135" i="51"/>
  <c r="E136" i="51"/>
  <c r="F136" i="51"/>
  <c r="G136" i="51"/>
  <c r="H136" i="51"/>
  <c r="I136" i="51"/>
  <c r="J136" i="51"/>
  <c r="E137" i="51"/>
  <c r="F137" i="51"/>
  <c r="G137" i="51"/>
  <c r="H137" i="51"/>
  <c r="I137" i="51"/>
  <c r="J137" i="51"/>
  <c r="E138" i="51"/>
  <c r="F138" i="51"/>
  <c r="G138" i="51"/>
  <c r="H138" i="51"/>
  <c r="I138" i="51"/>
  <c r="J138" i="51"/>
  <c r="E139" i="51"/>
  <c r="F139" i="51"/>
  <c r="G139" i="51"/>
  <c r="H139" i="51"/>
  <c r="I139" i="51"/>
  <c r="J139" i="51"/>
  <c r="E140" i="51"/>
  <c r="F140" i="51"/>
  <c r="G140" i="51"/>
  <c r="H140" i="51"/>
  <c r="I140" i="51"/>
  <c r="J140" i="51"/>
  <c r="E141" i="51"/>
  <c r="F141" i="51"/>
  <c r="G141" i="51"/>
  <c r="H141" i="51"/>
  <c r="I141" i="51"/>
  <c r="J141" i="51"/>
  <c r="E142" i="51"/>
  <c r="F142" i="51"/>
  <c r="G142" i="51"/>
  <c r="H142" i="51"/>
  <c r="I142" i="51"/>
  <c r="J142" i="51"/>
  <c r="E143" i="51"/>
  <c r="F143" i="51"/>
  <c r="G143" i="51"/>
  <c r="H143" i="51"/>
  <c r="I143" i="51"/>
  <c r="J143" i="51"/>
  <c r="E144" i="51"/>
  <c r="F144" i="51"/>
  <c r="G144" i="51"/>
  <c r="H144" i="51"/>
  <c r="I144" i="51"/>
  <c r="J144" i="51"/>
  <c r="E145" i="51"/>
  <c r="F145" i="51"/>
  <c r="G145" i="51"/>
  <c r="H145" i="51"/>
  <c r="I145" i="51"/>
  <c r="J145" i="51"/>
  <c r="E146" i="51"/>
  <c r="F146" i="51"/>
  <c r="G146" i="51"/>
  <c r="H146" i="51"/>
  <c r="I146" i="51"/>
  <c r="J146" i="51"/>
  <c r="E147" i="51"/>
  <c r="F147" i="51"/>
  <c r="G147" i="51"/>
  <c r="H147" i="51"/>
  <c r="I147" i="51"/>
  <c r="J147" i="51"/>
  <c r="E54" i="51"/>
  <c r="F54" i="51"/>
  <c r="G54" i="51"/>
  <c r="H54" i="51"/>
  <c r="I54" i="51"/>
  <c r="J54" i="51"/>
  <c r="E55" i="51"/>
  <c r="F55" i="51"/>
  <c r="G55" i="51"/>
  <c r="H55" i="51"/>
  <c r="I55" i="51"/>
  <c r="J55" i="51"/>
  <c r="E56" i="51"/>
  <c r="F56" i="51"/>
  <c r="G56" i="51"/>
  <c r="H56" i="51"/>
  <c r="I56" i="51"/>
  <c r="J56" i="51"/>
  <c r="E57" i="51"/>
  <c r="F57" i="51"/>
  <c r="G57" i="51"/>
  <c r="H57" i="51"/>
  <c r="I57" i="51"/>
  <c r="J57" i="51"/>
  <c r="E58" i="51"/>
  <c r="F58" i="51"/>
  <c r="G58" i="51"/>
  <c r="H58" i="51"/>
  <c r="I58" i="51"/>
  <c r="J58" i="51"/>
  <c r="E59" i="51"/>
  <c r="F59" i="51"/>
  <c r="G59" i="51"/>
  <c r="H59" i="51"/>
  <c r="I59" i="51"/>
  <c r="J59" i="51"/>
  <c r="E60" i="51"/>
  <c r="F60" i="51"/>
  <c r="G60" i="51"/>
  <c r="H60" i="51"/>
  <c r="I60" i="51"/>
  <c r="J60" i="51"/>
  <c r="E61" i="51"/>
  <c r="F61" i="51"/>
  <c r="G61" i="51"/>
  <c r="H61" i="51"/>
  <c r="I61" i="51"/>
  <c r="J61" i="51"/>
  <c r="E62" i="51"/>
  <c r="F62" i="51"/>
  <c r="G62" i="51"/>
  <c r="H62" i="51"/>
  <c r="I62" i="51"/>
  <c r="J62" i="51"/>
  <c r="E63" i="51"/>
  <c r="F63" i="51"/>
  <c r="G63" i="51"/>
  <c r="H63" i="51"/>
  <c r="I63" i="51"/>
  <c r="J63" i="51"/>
  <c r="E64" i="51"/>
  <c r="F64" i="51"/>
  <c r="G64" i="51"/>
  <c r="H64" i="51"/>
  <c r="I64" i="51"/>
  <c r="J64" i="51"/>
  <c r="E65" i="51"/>
  <c r="F65" i="51"/>
  <c r="G65" i="51"/>
  <c r="H65" i="51"/>
  <c r="I65" i="51"/>
  <c r="J65" i="51"/>
  <c r="E66" i="51"/>
  <c r="F66" i="51"/>
  <c r="G66" i="51"/>
  <c r="H66" i="51"/>
  <c r="I66" i="51"/>
  <c r="J66" i="51"/>
  <c r="E67" i="51"/>
  <c r="F67" i="51"/>
  <c r="G67" i="51"/>
  <c r="H67" i="51"/>
  <c r="I67" i="51"/>
  <c r="J67" i="51"/>
  <c r="E68" i="51"/>
  <c r="F68" i="51"/>
  <c r="G68" i="51"/>
  <c r="H68" i="51"/>
  <c r="I68" i="51"/>
  <c r="J68" i="51"/>
  <c r="E69" i="51"/>
  <c r="F69" i="51"/>
  <c r="G69" i="51"/>
  <c r="H69" i="51"/>
  <c r="I69" i="51"/>
  <c r="J69" i="51"/>
  <c r="E70" i="51"/>
  <c r="F70" i="51"/>
  <c r="G70" i="51"/>
  <c r="H70" i="51"/>
  <c r="I70" i="51"/>
  <c r="J70" i="51"/>
  <c r="E71" i="51"/>
  <c r="F71" i="51"/>
  <c r="G71" i="51"/>
  <c r="H71" i="51"/>
  <c r="I71" i="51"/>
  <c r="J71" i="51"/>
  <c r="F72" i="51"/>
  <c r="G72" i="51"/>
  <c r="H72" i="51"/>
  <c r="I72" i="51"/>
  <c r="J72" i="51"/>
  <c r="E73" i="51"/>
  <c r="F73" i="51"/>
  <c r="G73" i="51"/>
  <c r="H73" i="51"/>
  <c r="I73" i="51"/>
  <c r="J73" i="51"/>
  <c r="E74" i="51"/>
  <c r="F74" i="51"/>
  <c r="G74" i="51"/>
  <c r="H74" i="51"/>
  <c r="I74" i="51"/>
  <c r="J74" i="51"/>
  <c r="E75" i="51"/>
  <c r="F75" i="51"/>
  <c r="G75" i="51"/>
  <c r="H75" i="51"/>
  <c r="I75" i="51"/>
  <c r="J75" i="51"/>
  <c r="E76" i="51"/>
  <c r="F76" i="51"/>
  <c r="G76" i="51"/>
  <c r="H76" i="51"/>
  <c r="I76" i="51"/>
  <c r="J76" i="51"/>
  <c r="E77" i="51"/>
  <c r="F77" i="51"/>
  <c r="G77" i="51"/>
  <c r="H77" i="51"/>
  <c r="I77" i="51"/>
  <c r="J77" i="51"/>
  <c r="E78" i="51"/>
  <c r="F78" i="51"/>
  <c r="G78" i="51"/>
  <c r="H78" i="51"/>
  <c r="I78" i="51"/>
  <c r="J78" i="51"/>
  <c r="E79" i="51"/>
  <c r="F79" i="51"/>
  <c r="G79" i="51"/>
  <c r="H79" i="51"/>
  <c r="I79" i="51"/>
  <c r="J79" i="51"/>
  <c r="E80" i="51"/>
  <c r="F80" i="51"/>
  <c r="G80" i="51"/>
  <c r="H80" i="51"/>
  <c r="I80" i="51"/>
  <c r="J80" i="51"/>
  <c r="E81" i="51"/>
  <c r="F81" i="51"/>
  <c r="G81" i="51"/>
  <c r="H81" i="51"/>
  <c r="I81" i="51"/>
  <c r="J81" i="51"/>
  <c r="E82" i="51"/>
  <c r="F82" i="51"/>
  <c r="G82" i="51"/>
  <c r="H82" i="51"/>
  <c r="I82" i="51"/>
  <c r="J82" i="51"/>
  <c r="E83" i="51"/>
  <c r="F83" i="51"/>
  <c r="G83" i="51"/>
  <c r="H83" i="51"/>
  <c r="I83" i="51"/>
  <c r="J83" i="51"/>
  <c r="E84" i="51"/>
  <c r="F84" i="51"/>
  <c r="G84" i="51"/>
  <c r="H84" i="51"/>
  <c r="I84" i="51"/>
  <c r="J84" i="51"/>
  <c r="E85" i="51"/>
  <c r="F85" i="51"/>
  <c r="G85" i="51"/>
  <c r="H85" i="51"/>
  <c r="I85" i="51"/>
  <c r="J85" i="51"/>
  <c r="E86" i="51"/>
  <c r="F86" i="51"/>
  <c r="G86" i="51"/>
  <c r="H86" i="51"/>
  <c r="I86" i="51"/>
  <c r="J86" i="51"/>
  <c r="E87" i="51"/>
  <c r="F87" i="51"/>
  <c r="G87" i="51"/>
  <c r="H87" i="51"/>
  <c r="I87" i="51"/>
  <c r="J87" i="51"/>
  <c r="E88" i="51"/>
  <c r="F88" i="51"/>
  <c r="G88" i="51"/>
  <c r="H88" i="51"/>
  <c r="I88" i="51"/>
  <c r="J88" i="51"/>
  <c r="E89" i="51"/>
  <c r="F89" i="51"/>
  <c r="G89" i="51"/>
  <c r="H89" i="51"/>
  <c r="I89" i="51"/>
  <c r="J89" i="51"/>
  <c r="E90" i="51"/>
  <c r="F90" i="51"/>
  <c r="G90" i="51"/>
  <c r="H90" i="51"/>
  <c r="I90" i="51"/>
  <c r="J90" i="51"/>
  <c r="E91" i="51"/>
  <c r="F91" i="51"/>
  <c r="G91" i="51"/>
  <c r="H91" i="51"/>
  <c r="I91" i="51"/>
  <c r="J91" i="51"/>
  <c r="E92" i="51"/>
  <c r="F92" i="51"/>
  <c r="G92" i="51"/>
  <c r="H92" i="51"/>
  <c r="I92" i="51"/>
  <c r="J92" i="51"/>
  <c r="E93" i="51"/>
  <c r="F93" i="51"/>
  <c r="G93" i="51"/>
  <c r="H93" i="51"/>
  <c r="I93" i="51"/>
  <c r="J93" i="51"/>
  <c r="E21" i="51"/>
  <c r="F21" i="51"/>
  <c r="G21" i="51"/>
  <c r="H21" i="51"/>
  <c r="I21" i="51"/>
  <c r="J21" i="51"/>
  <c r="E22" i="51"/>
  <c r="F22" i="51"/>
  <c r="G22" i="51"/>
  <c r="H22" i="51"/>
  <c r="I22" i="51"/>
  <c r="J22" i="51"/>
  <c r="E23" i="51"/>
  <c r="F23" i="51"/>
  <c r="G23" i="51"/>
  <c r="H23" i="51"/>
  <c r="I23" i="51"/>
  <c r="J23" i="51"/>
  <c r="E24" i="51"/>
  <c r="F24" i="51"/>
  <c r="G24" i="51"/>
  <c r="H24" i="51"/>
  <c r="I24" i="51"/>
  <c r="J24" i="51"/>
  <c r="E25" i="51"/>
  <c r="F25" i="51"/>
  <c r="G25" i="51"/>
  <c r="H25" i="51"/>
  <c r="I25" i="51"/>
  <c r="J25" i="51"/>
  <c r="E26" i="51"/>
  <c r="F26" i="51"/>
  <c r="G26" i="51"/>
  <c r="H26" i="51"/>
  <c r="I26" i="51"/>
  <c r="J26" i="51"/>
  <c r="E27" i="51"/>
  <c r="F27" i="51"/>
  <c r="G27" i="51"/>
  <c r="H27" i="51"/>
  <c r="I27" i="51"/>
  <c r="J27" i="51"/>
  <c r="E28" i="51"/>
  <c r="F28" i="51"/>
  <c r="G28" i="51"/>
  <c r="H28" i="51"/>
  <c r="I28" i="51"/>
  <c r="J28" i="51"/>
  <c r="E29" i="51"/>
  <c r="F29" i="51"/>
  <c r="G29" i="51"/>
  <c r="H29" i="51"/>
  <c r="I29" i="51"/>
  <c r="J29" i="51"/>
  <c r="E30" i="51"/>
  <c r="F30" i="51"/>
  <c r="G30" i="51"/>
  <c r="H30" i="51"/>
  <c r="I30" i="51"/>
  <c r="J30" i="51"/>
  <c r="E31" i="51"/>
  <c r="F31" i="51"/>
  <c r="G31" i="51"/>
  <c r="H31" i="51"/>
  <c r="I31" i="51"/>
  <c r="J31" i="51"/>
  <c r="E32" i="51"/>
  <c r="F32" i="51"/>
  <c r="G32" i="51"/>
  <c r="H32" i="51"/>
  <c r="I32" i="51"/>
  <c r="J32" i="51"/>
  <c r="E33" i="51"/>
  <c r="F33" i="51"/>
  <c r="G33" i="51"/>
  <c r="H33" i="51"/>
  <c r="I33" i="51"/>
  <c r="J33" i="51"/>
  <c r="E34" i="51"/>
  <c r="F34" i="51"/>
  <c r="G34" i="51"/>
  <c r="H34" i="51"/>
  <c r="I34" i="51"/>
  <c r="J34" i="51"/>
  <c r="E36" i="51"/>
  <c r="F36" i="51"/>
  <c r="G36" i="51"/>
  <c r="H36" i="51"/>
  <c r="I36" i="51"/>
  <c r="J36" i="51"/>
  <c r="E37" i="51"/>
  <c r="F37" i="51"/>
  <c r="G37" i="51"/>
  <c r="H37" i="51"/>
  <c r="I37" i="51"/>
  <c r="J37" i="51"/>
  <c r="E38" i="51"/>
  <c r="F38" i="51"/>
  <c r="G38" i="51"/>
  <c r="H38" i="51"/>
  <c r="I38" i="51"/>
  <c r="J38" i="51"/>
  <c r="E39" i="51"/>
  <c r="F39" i="51"/>
  <c r="G39" i="51"/>
  <c r="H39" i="51"/>
  <c r="I39" i="51"/>
  <c r="J39" i="51"/>
  <c r="E40" i="51"/>
  <c r="F40" i="51"/>
  <c r="G40" i="51"/>
  <c r="H40" i="51"/>
  <c r="I40" i="51"/>
  <c r="J40" i="51"/>
  <c r="E41" i="51"/>
  <c r="F41" i="51"/>
  <c r="G41" i="51"/>
  <c r="H41" i="51"/>
  <c r="I41" i="51"/>
  <c r="J41" i="51"/>
  <c r="E42" i="51"/>
  <c r="F42" i="51"/>
  <c r="G42" i="51"/>
  <c r="H42" i="51"/>
  <c r="I42" i="51"/>
  <c r="J42" i="51"/>
  <c r="E43" i="51"/>
  <c r="F43" i="51"/>
  <c r="G43" i="51"/>
  <c r="H43" i="51"/>
  <c r="I43" i="51"/>
  <c r="J43" i="51"/>
  <c r="E44" i="51"/>
  <c r="F44" i="51"/>
  <c r="G44" i="51"/>
  <c r="H44" i="51"/>
  <c r="I44" i="51"/>
  <c r="J44" i="51"/>
  <c r="E45" i="51"/>
  <c r="F45" i="51"/>
  <c r="G45" i="51"/>
  <c r="H45" i="51"/>
  <c r="I45" i="51"/>
  <c r="J45" i="51"/>
  <c r="E46" i="51"/>
  <c r="F46" i="51"/>
  <c r="G46" i="51"/>
  <c r="H46" i="51"/>
  <c r="I46" i="51"/>
  <c r="J46" i="51"/>
  <c r="E47" i="51"/>
  <c r="F47" i="51"/>
  <c r="G47" i="51"/>
  <c r="H47" i="51"/>
  <c r="I47" i="51"/>
  <c r="J47" i="51"/>
  <c r="E48" i="51"/>
  <c r="F48" i="51"/>
  <c r="G48" i="51"/>
  <c r="H48" i="51"/>
  <c r="I48" i="51"/>
  <c r="J48" i="51"/>
  <c r="E49" i="51"/>
  <c r="F49" i="51"/>
  <c r="G49" i="51"/>
  <c r="H49" i="51"/>
  <c r="I49" i="51"/>
  <c r="J49" i="51"/>
  <c r="E50" i="51"/>
  <c r="F50" i="51"/>
  <c r="G50" i="51"/>
  <c r="H50" i="51"/>
  <c r="I50" i="51"/>
  <c r="J50" i="51"/>
  <c r="E51" i="51"/>
  <c r="F51" i="51"/>
  <c r="G51" i="51"/>
  <c r="H51" i="51"/>
  <c r="I51" i="51"/>
  <c r="J51" i="51"/>
  <c r="E52" i="51"/>
  <c r="F52" i="51"/>
  <c r="G52" i="51"/>
  <c r="H52" i="51"/>
  <c r="I52" i="51"/>
  <c r="J52" i="51"/>
  <c r="E53" i="51"/>
  <c r="F53" i="51"/>
  <c r="G53" i="51"/>
  <c r="H53" i="51"/>
  <c r="I53" i="51"/>
  <c r="J53" i="51"/>
  <c r="E12" i="51"/>
  <c r="F12" i="51"/>
  <c r="G12" i="51"/>
  <c r="H12" i="51"/>
  <c r="I12" i="51"/>
  <c r="J12" i="51"/>
  <c r="E13" i="51"/>
  <c r="F13" i="51"/>
  <c r="G13" i="51"/>
  <c r="H13" i="51"/>
  <c r="I13" i="51"/>
  <c r="J13" i="51"/>
  <c r="E14" i="51"/>
  <c r="F14" i="51"/>
  <c r="G14" i="51"/>
  <c r="H14" i="51"/>
  <c r="I14" i="51"/>
  <c r="J14" i="51"/>
  <c r="E15" i="51"/>
  <c r="F15" i="51"/>
  <c r="G15" i="51"/>
  <c r="H15" i="51"/>
  <c r="I15" i="51"/>
  <c r="J15" i="51"/>
  <c r="E16" i="51"/>
  <c r="F16" i="51"/>
  <c r="G16" i="51"/>
  <c r="H16" i="51"/>
  <c r="I16" i="51"/>
  <c r="J16" i="51"/>
  <c r="E17" i="51"/>
  <c r="F17" i="51"/>
  <c r="G17" i="51"/>
  <c r="H17" i="51"/>
  <c r="I17" i="51"/>
  <c r="J17" i="51"/>
  <c r="E18" i="51"/>
  <c r="F18" i="51"/>
  <c r="G18" i="51"/>
  <c r="H18" i="51"/>
  <c r="I18" i="51"/>
  <c r="J18" i="51"/>
  <c r="E19" i="51"/>
  <c r="F19" i="51"/>
  <c r="G19" i="51"/>
  <c r="H19" i="51"/>
  <c r="I19" i="51"/>
  <c r="J19" i="51"/>
  <c r="E20" i="51"/>
  <c r="F20" i="51"/>
  <c r="G20" i="51"/>
  <c r="H20" i="51"/>
  <c r="I20" i="51"/>
  <c r="J20" i="51"/>
  <c r="F3" i="51"/>
  <c r="G3" i="51"/>
  <c r="H3" i="51"/>
  <c r="I3" i="51"/>
  <c r="J3" i="51"/>
  <c r="E4" i="51"/>
  <c r="F4" i="51"/>
  <c r="G4" i="51"/>
  <c r="H4" i="51"/>
  <c r="I4" i="51"/>
  <c r="J4" i="51"/>
  <c r="E5" i="51"/>
  <c r="F5" i="51"/>
  <c r="G5" i="51"/>
  <c r="H5" i="51"/>
  <c r="I5" i="51"/>
  <c r="J5" i="51"/>
  <c r="E6" i="51"/>
  <c r="F6" i="51"/>
  <c r="G6" i="51"/>
  <c r="H6" i="51"/>
  <c r="I6" i="51"/>
  <c r="J6" i="51"/>
  <c r="E7" i="51"/>
  <c r="F7" i="51"/>
  <c r="G7" i="51"/>
  <c r="H7" i="51"/>
  <c r="I7" i="51"/>
  <c r="J7" i="51"/>
  <c r="E8" i="51"/>
  <c r="F8" i="51"/>
  <c r="G8" i="51"/>
  <c r="H8" i="51"/>
  <c r="I8" i="51"/>
  <c r="J8" i="51"/>
  <c r="E9" i="51"/>
  <c r="F9" i="51"/>
  <c r="G9" i="51"/>
  <c r="H9" i="51"/>
  <c r="I9" i="51"/>
  <c r="J9" i="51"/>
  <c r="E10" i="51"/>
  <c r="F10" i="51"/>
  <c r="G10" i="51"/>
  <c r="H10" i="51"/>
  <c r="I10" i="51"/>
  <c r="J10" i="51"/>
  <c r="E11" i="51"/>
  <c r="F11" i="51"/>
  <c r="G11" i="51"/>
  <c r="H11" i="51"/>
  <c r="I11" i="51"/>
  <c r="J11" i="51"/>
  <c r="J2" i="51"/>
  <c r="J661" i="51" s="1"/>
  <c r="I2" i="51"/>
  <c r="H2" i="51"/>
  <c r="G2" i="51"/>
  <c r="F2" i="51"/>
  <c r="E2" i="51"/>
  <c r="E1219" i="51"/>
  <c r="F1219" i="51"/>
  <c r="G1219" i="51"/>
  <c r="H1219" i="51"/>
  <c r="I1219" i="51"/>
  <c r="J1219" i="51"/>
  <c r="E1220" i="51"/>
  <c r="F1220" i="51"/>
  <c r="G1220" i="51"/>
  <c r="H1220" i="51"/>
  <c r="I1220" i="51"/>
  <c r="J1220" i="51"/>
  <c r="E1221" i="51"/>
  <c r="F1221" i="51"/>
  <c r="G1221" i="51"/>
  <c r="H1221" i="51"/>
  <c r="I1221" i="51"/>
  <c r="J1221" i="51"/>
  <c r="E1222" i="51"/>
  <c r="F1222" i="51"/>
  <c r="G1222" i="51"/>
  <c r="H1222" i="51"/>
  <c r="I1222" i="51"/>
  <c r="J1222" i="51"/>
  <c r="E1223" i="51"/>
  <c r="F1223" i="51"/>
  <c r="G1223" i="51"/>
  <c r="H1223" i="51"/>
  <c r="I1223" i="51"/>
  <c r="J1223" i="51"/>
  <c r="E1224" i="51"/>
  <c r="F1224" i="51"/>
  <c r="G1224" i="51"/>
  <c r="H1224" i="51"/>
  <c r="I1224" i="51"/>
  <c r="J1224" i="51"/>
  <c r="E1225" i="51"/>
  <c r="F1225" i="51"/>
  <c r="G1225" i="51"/>
  <c r="H1225" i="51"/>
  <c r="I1225" i="51"/>
  <c r="J1225" i="51"/>
  <c r="E1226" i="51"/>
  <c r="F1226" i="51"/>
  <c r="G1226" i="51"/>
  <c r="H1226" i="51"/>
  <c r="I1226" i="51"/>
  <c r="J1226" i="51"/>
  <c r="E1227" i="51"/>
  <c r="F1227" i="51"/>
  <c r="G1227" i="51"/>
  <c r="H1227" i="51"/>
  <c r="I1227" i="51"/>
  <c r="J1227" i="51"/>
  <c r="E1228" i="51"/>
  <c r="F1228" i="51"/>
  <c r="G1228" i="51"/>
  <c r="H1228" i="51"/>
  <c r="I1228" i="51"/>
  <c r="J1228" i="51"/>
  <c r="E1229" i="51"/>
  <c r="F1229" i="51"/>
  <c r="G1229" i="51"/>
  <c r="H1229" i="51"/>
  <c r="I1229" i="51"/>
  <c r="J1229" i="51"/>
  <c r="E1230" i="51"/>
  <c r="F1230" i="51"/>
  <c r="G1230" i="51"/>
  <c r="H1230" i="51"/>
  <c r="I1230" i="51"/>
  <c r="J1230" i="51"/>
  <c r="E1231" i="51"/>
  <c r="F1231" i="51"/>
  <c r="G1231" i="51"/>
  <c r="H1231" i="51"/>
  <c r="I1231" i="51"/>
  <c r="J1231" i="51"/>
  <c r="E1232" i="51"/>
  <c r="F1232" i="51"/>
  <c r="G1232" i="51"/>
  <c r="H1232" i="51"/>
  <c r="I1232" i="51"/>
  <c r="J1232" i="51"/>
  <c r="E1233" i="51"/>
  <c r="F1233" i="51"/>
  <c r="G1233" i="51"/>
  <c r="H1233" i="51"/>
  <c r="I1233" i="51"/>
  <c r="J1233" i="51"/>
  <c r="E1234" i="51"/>
  <c r="F1234" i="51"/>
  <c r="G1234" i="51"/>
  <c r="H1234" i="51"/>
  <c r="I1234" i="51"/>
  <c r="J1234" i="51"/>
  <c r="E1235" i="51"/>
  <c r="F1235" i="51"/>
  <c r="G1235" i="51"/>
  <c r="H1235" i="51"/>
  <c r="I1235" i="51"/>
  <c r="J1235" i="51"/>
  <c r="E1236" i="51"/>
  <c r="F1236" i="51"/>
  <c r="G1236" i="51"/>
  <c r="H1236" i="51"/>
  <c r="I1236" i="51"/>
  <c r="J1236" i="51"/>
  <c r="E1237" i="51"/>
  <c r="F1237" i="51"/>
  <c r="G1237" i="51"/>
  <c r="H1237" i="51"/>
  <c r="I1237" i="51"/>
  <c r="J1237" i="51"/>
  <c r="E1238" i="51"/>
  <c r="F1238" i="51"/>
  <c r="G1238" i="51"/>
  <c r="H1238" i="51"/>
  <c r="I1238" i="51"/>
  <c r="J1238" i="51"/>
  <c r="E1239" i="51"/>
  <c r="F1239" i="51"/>
  <c r="G1239" i="51"/>
  <c r="H1239" i="51"/>
  <c r="I1239" i="51"/>
  <c r="J1239" i="51"/>
  <c r="E1240" i="51"/>
  <c r="F1240" i="51"/>
  <c r="G1240" i="51"/>
  <c r="H1240" i="51"/>
  <c r="I1240" i="51"/>
  <c r="J1240" i="51"/>
  <c r="E1241" i="51"/>
  <c r="F1241" i="51"/>
  <c r="G1241" i="51"/>
  <c r="H1241" i="51"/>
  <c r="I1241" i="51"/>
  <c r="J1241" i="51"/>
  <c r="E1242" i="51"/>
  <c r="F1242" i="51"/>
  <c r="G1242" i="51"/>
  <c r="H1242" i="51"/>
  <c r="I1242" i="51"/>
  <c r="J1242" i="51"/>
  <c r="E1243" i="51"/>
  <c r="F1243" i="51"/>
  <c r="G1243" i="51"/>
  <c r="H1243" i="51"/>
  <c r="I1243" i="51"/>
  <c r="J1243" i="51"/>
  <c r="F1244" i="51"/>
  <c r="G1244" i="51"/>
  <c r="H1244" i="51"/>
  <c r="I1244" i="51"/>
  <c r="J1244" i="51"/>
  <c r="F1245" i="51"/>
  <c r="G1245" i="51"/>
  <c r="H1245" i="51"/>
  <c r="I1245" i="51"/>
  <c r="J1245" i="51"/>
  <c r="E1246" i="51"/>
  <c r="F1246" i="51"/>
  <c r="G1246" i="51"/>
  <c r="H1246" i="51"/>
  <c r="I1246" i="51"/>
  <c r="J1246" i="51"/>
  <c r="E1247" i="51"/>
  <c r="F1247" i="51"/>
  <c r="G1247" i="51"/>
  <c r="H1247" i="51"/>
  <c r="I1247" i="51"/>
  <c r="J1247" i="51"/>
  <c r="E1248" i="51"/>
  <c r="F1248" i="51"/>
  <c r="G1248" i="51"/>
  <c r="H1248" i="51"/>
  <c r="I1248" i="51"/>
  <c r="J1248" i="51"/>
  <c r="E1249" i="51"/>
  <c r="F1249" i="51"/>
  <c r="G1249" i="51"/>
  <c r="H1249" i="51"/>
  <c r="I1249" i="51"/>
  <c r="J1249" i="51"/>
  <c r="E1250" i="51"/>
  <c r="F1250" i="51"/>
  <c r="G1250" i="51"/>
  <c r="H1250" i="51"/>
  <c r="I1250" i="51"/>
  <c r="J1250" i="51"/>
  <c r="E1251" i="51"/>
  <c r="F1251" i="51"/>
  <c r="G1251" i="51"/>
  <c r="H1251" i="51"/>
  <c r="I1251" i="51"/>
  <c r="J1251" i="51"/>
  <c r="E1252" i="51"/>
  <c r="F1252" i="51"/>
  <c r="G1252" i="51"/>
  <c r="H1252" i="51"/>
  <c r="I1252" i="51"/>
  <c r="J1252" i="51"/>
  <c r="E1253" i="51"/>
  <c r="F1253" i="51"/>
  <c r="G1253" i="51"/>
  <c r="H1253" i="51"/>
  <c r="I1253" i="51"/>
  <c r="J1253" i="51"/>
  <c r="E1254" i="51"/>
  <c r="F1254" i="51"/>
  <c r="G1254" i="51"/>
  <c r="H1254" i="51"/>
  <c r="I1254" i="51"/>
  <c r="J1254" i="51"/>
  <c r="E1255" i="51"/>
  <c r="F1255" i="51"/>
  <c r="G1255" i="51"/>
  <c r="H1255" i="51"/>
  <c r="I1255" i="51"/>
  <c r="J1255" i="51"/>
  <c r="E1256" i="51"/>
  <c r="F1256" i="51"/>
  <c r="G1256" i="51"/>
  <c r="H1256" i="51"/>
  <c r="I1256" i="51"/>
  <c r="J1256" i="51"/>
  <c r="E1257" i="51"/>
  <c r="F1257" i="51"/>
  <c r="G1257" i="51"/>
  <c r="H1257" i="51"/>
  <c r="I1257" i="51"/>
  <c r="J1257" i="51"/>
  <c r="E1258" i="51"/>
  <c r="F1258" i="51"/>
  <c r="G1258" i="51"/>
  <c r="H1258" i="51"/>
  <c r="I1258" i="51"/>
  <c r="J1258" i="51"/>
  <c r="E1259" i="51"/>
  <c r="F1259" i="51"/>
  <c r="G1259" i="51"/>
  <c r="H1259" i="51"/>
  <c r="I1259" i="51"/>
  <c r="J1259" i="51"/>
  <c r="E1260" i="51"/>
  <c r="F1260" i="51"/>
  <c r="G1260" i="51"/>
  <c r="H1260" i="51"/>
  <c r="I1260" i="51"/>
  <c r="J1260" i="51"/>
  <c r="E1261" i="51"/>
  <c r="F1261" i="51"/>
  <c r="G1261" i="51"/>
  <c r="H1261" i="51"/>
  <c r="I1261" i="51"/>
  <c r="J1261" i="51"/>
  <c r="E1262" i="51"/>
  <c r="F1262" i="51"/>
  <c r="G1262" i="51"/>
  <c r="H1262" i="51"/>
  <c r="I1262" i="51"/>
  <c r="J1262" i="51"/>
  <c r="E1263" i="51"/>
  <c r="F1263" i="51"/>
  <c r="G1263" i="51"/>
  <c r="H1263" i="51"/>
  <c r="I1263" i="51"/>
  <c r="J1263" i="51"/>
  <c r="E1264" i="51"/>
  <c r="F1264" i="51"/>
  <c r="G1264" i="51"/>
  <c r="H1264" i="51"/>
  <c r="I1264" i="51"/>
  <c r="J1264" i="51"/>
  <c r="E1265" i="51"/>
  <c r="F1265" i="51"/>
  <c r="G1265" i="51"/>
  <c r="H1265" i="51"/>
  <c r="I1265" i="51"/>
  <c r="J1265" i="51"/>
  <c r="E1266" i="51"/>
  <c r="F1266" i="51"/>
  <c r="G1266" i="51"/>
  <c r="H1266" i="51"/>
  <c r="I1266" i="51"/>
  <c r="J1266" i="51"/>
  <c r="F1267" i="51"/>
  <c r="G1267" i="51"/>
  <c r="H1267" i="51"/>
  <c r="I1267" i="51"/>
  <c r="J1267" i="51"/>
  <c r="E951" i="51"/>
  <c r="F951" i="51"/>
  <c r="G951" i="51"/>
  <c r="H951" i="51"/>
  <c r="I951" i="51"/>
  <c r="J951" i="51"/>
  <c r="E952" i="51"/>
  <c r="F952" i="51"/>
  <c r="G952" i="51"/>
  <c r="H952" i="51"/>
  <c r="I952" i="51"/>
  <c r="J952" i="51"/>
  <c r="E953" i="51"/>
  <c r="F953" i="51"/>
  <c r="G953" i="51"/>
  <c r="H953" i="51"/>
  <c r="I953" i="51"/>
  <c r="J953" i="51"/>
  <c r="E954" i="51"/>
  <c r="F954" i="51"/>
  <c r="G954" i="51"/>
  <c r="H954" i="51"/>
  <c r="I954" i="51"/>
  <c r="J954" i="51"/>
  <c r="E955" i="51"/>
  <c r="F955" i="51"/>
  <c r="G955" i="51"/>
  <c r="H955" i="51"/>
  <c r="I955" i="51"/>
  <c r="J955" i="51"/>
  <c r="E956" i="51"/>
  <c r="F956" i="51"/>
  <c r="G956" i="51"/>
  <c r="H956" i="51"/>
  <c r="I956" i="51"/>
  <c r="J956" i="51"/>
  <c r="E957" i="51"/>
  <c r="F957" i="51"/>
  <c r="G957" i="51"/>
  <c r="H957" i="51"/>
  <c r="I957" i="51"/>
  <c r="J957" i="51"/>
  <c r="E958" i="51"/>
  <c r="F958" i="51"/>
  <c r="G958" i="51"/>
  <c r="H958" i="51"/>
  <c r="I958" i="51"/>
  <c r="J958" i="51"/>
  <c r="E959" i="51"/>
  <c r="F959" i="51"/>
  <c r="G959" i="51"/>
  <c r="H959" i="51"/>
  <c r="I959" i="51"/>
  <c r="J959" i="51"/>
  <c r="E960" i="51"/>
  <c r="F960" i="51"/>
  <c r="G960" i="51"/>
  <c r="H960" i="51"/>
  <c r="I960" i="51"/>
  <c r="J960" i="51"/>
  <c r="E961" i="51"/>
  <c r="F961" i="51"/>
  <c r="G961" i="51"/>
  <c r="H961" i="51"/>
  <c r="I961" i="51"/>
  <c r="J961" i="51"/>
  <c r="E962" i="51"/>
  <c r="F962" i="51"/>
  <c r="G962" i="51"/>
  <c r="H962" i="51"/>
  <c r="I962" i="51"/>
  <c r="J962" i="51"/>
  <c r="E965" i="51"/>
  <c r="F965" i="51"/>
  <c r="G965" i="51"/>
  <c r="H965" i="51"/>
  <c r="I965" i="51"/>
  <c r="J965" i="51"/>
  <c r="E966" i="51"/>
  <c r="F966" i="51"/>
  <c r="G966" i="51"/>
  <c r="H966" i="51"/>
  <c r="I966" i="51"/>
  <c r="J966" i="51"/>
  <c r="E967" i="51"/>
  <c r="F967" i="51"/>
  <c r="G967" i="51"/>
  <c r="H967" i="51"/>
  <c r="I967" i="51"/>
  <c r="J967" i="51"/>
  <c r="E968" i="51"/>
  <c r="F968" i="51"/>
  <c r="G968" i="51"/>
  <c r="H968" i="51"/>
  <c r="I968" i="51"/>
  <c r="J968" i="51"/>
  <c r="E969" i="51"/>
  <c r="F969" i="51"/>
  <c r="G969" i="51"/>
  <c r="H969" i="51"/>
  <c r="I969" i="51"/>
  <c r="J969" i="51"/>
  <c r="E970" i="51"/>
  <c r="F970" i="51"/>
  <c r="G970" i="51"/>
  <c r="H970" i="51"/>
  <c r="I970" i="51"/>
  <c r="J970" i="51"/>
  <c r="E971" i="51"/>
  <c r="F971" i="51"/>
  <c r="G971" i="51"/>
  <c r="H971" i="51"/>
  <c r="I971" i="51"/>
  <c r="J971" i="51"/>
  <c r="E972" i="51"/>
  <c r="F972" i="51"/>
  <c r="G972" i="51"/>
  <c r="H972" i="51"/>
  <c r="I972" i="51"/>
  <c r="J972" i="51"/>
  <c r="E973" i="51"/>
  <c r="F973" i="51"/>
  <c r="G973" i="51"/>
  <c r="H973" i="51"/>
  <c r="I973" i="51"/>
  <c r="J973" i="51"/>
  <c r="E974" i="51"/>
  <c r="F974" i="51"/>
  <c r="G974" i="51"/>
  <c r="H974" i="51"/>
  <c r="I974" i="51"/>
  <c r="J974" i="51"/>
  <c r="E975" i="51"/>
  <c r="F975" i="51"/>
  <c r="G975" i="51"/>
  <c r="H975" i="51"/>
  <c r="I975" i="51"/>
  <c r="J975" i="51"/>
  <c r="E976" i="51"/>
  <c r="F976" i="51"/>
  <c r="G976" i="51"/>
  <c r="H976" i="51"/>
  <c r="I976" i="51"/>
  <c r="J976" i="51"/>
  <c r="E977" i="51"/>
  <c r="F977" i="51"/>
  <c r="G977" i="51"/>
  <c r="H977" i="51"/>
  <c r="I977" i="51"/>
  <c r="J977" i="51"/>
  <c r="E978" i="51"/>
  <c r="F978" i="51"/>
  <c r="G978" i="51"/>
  <c r="H978" i="51"/>
  <c r="I978" i="51"/>
  <c r="J978" i="51"/>
  <c r="E979" i="51"/>
  <c r="F979" i="51"/>
  <c r="G979" i="51"/>
  <c r="H979" i="51"/>
  <c r="I979" i="51"/>
  <c r="J979" i="51"/>
  <c r="E980" i="51"/>
  <c r="F980" i="51"/>
  <c r="G980" i="51"/>
  <c r="H980" i="51"/>
  <c r="I980" i="51"/>
  <c r="J980" i="51"/>
  <c r="E981" i="51"/>
  <c r="F981" i="51"/>
  <c r="G981" i="51"/>
  <c r="H981" i="51"/>
  <c r="I981" i="51"/>
  <c r="J981" i="51"/>
  <c r="E982" i="51"/>
  <c r="F982" i="51"/>
  <c r="G982" i="51"/>
  <c r="H982" i="51"/>
  <c r="I982" i="51"/>
  <c r="J982" i="51"/>
  <c r="E983" i="51"/>
  <c r="F983" i="51"/>
  <c r="G983" i="51"/>
  <c r="H983" i="51"/>
  <c r="I983" i="51"/>
  <c r="J983" i="51"/>
  <c r="E984" i="51"/>
  <c r="F984" i="51"/>
  <c r="G984" i="51"/>
  <c r="H984" i="51"/>
  <c r="I984" i="51"/>
  <c r="J984" i="51"/>
  <c r="E985" i="51"/>
  <c r="F985" i="51"/>
  <c r="G985" i="51"/>
  <c r="H985" i="51"/>
  <c r="I985" i="51"/>
  <c r="J985" i="51"/>
  <c r="E992" i="51"/>
  <c r="F992" i="51"/>
  <c r="G992" i="51"/>
  <c r="H992" i="51"/>
  <c r="I992" i="51"/>
  <c r="J992" i="51"/>
  <c r="E993" i="51"/>
  <c r="F993" i="51"/>
  <c r="G993" i="51"/>
  <c r="H993" i="51"/>
  <c r="I993" i="51"/>
  <c r="J993" i="51"/>
  <c r="E994" i="51"/>
  <c r="F994" i="51"/>
  <c r="G994" i="51"/>
  <c r="H994" i="51"/>
  <c r="I994" i="51"/>
  <c r="J994" i="51"/>
  <c r="E995" i="51"/>
  <c r="F995" i="51"/>
  <c r="G995" i="51"/>
  <c r="H995" i="51"/>
  <c r="I995" i="51"/>
  <c r="J995" i="51"/>
  <c r="E996" i="51"/>
  <c r="F996" i="51"/>
  <c r="G996" i="51"/>
  <c r="H996" i="51"/>
  <c r="I996" i="51"/>
  <c r="J996" i="51"/>
  <c r="E997" i="51"/>
  <c r="F997" i="51"/>
  <c r="G997" i="51"/>
  <c r="H997" i="51"/>
  <c r="I997" i="51"/>
  <c r="J997" i="51"/>
  <c r="E998" i="51"/>
  <c r="F998" i="51"/>
  <c r="G998" i="51"/>
  <c r="H998" i="51"/>
  <c r="I998" i="51"/>
  <c r="J998" i="51"/>
  <c r="E999" i="51"/>
  <c r="F999" i="51"/>
  <c r="G999" i="51"/>
  <c r="H999" i="51"/>
  <c r="I999" i="51"/>
  <c r="J999" i="51"/>
  <c r="E1000" i="51"/>
  <c r="F1000" i="51"/>
  <c r="G1000" i="51"/>
  <c r="H1000" i="51"/>
  <c r="I1000" i="51"/>
  <c r="J1000" i="51"/>
  <c r="E1001" i="51"/>
  <c r="F1001" i="51"/>
  <c r="G1001" i="51"/>
  <c r="H1001" i="51"/>
  <c r="I1001" i="51"/>
  <c r="J1001" i="51"/>
  <c r="E1002" i="51"/>
  <c r="F1002" i="51"/>
  <c r="G1002" i="51"/>
  <c r="H1002" i="51"/>
  <c r="I1002" i="51"/>
  <c r="J1002" i="51"/>
  <c r="E1003" i="51"/>
  <c r="F1003" i="51"/>
  <c r="G1003" i="51"/>
  <c r="H1003" i="51"/>
  <c r="I1003" i="51"/>
  <c r="J1003" i="51"/>
  <c r="E1004" i="51"/>
  <c r="F1004" i="51"/>
  <c r="G1004" i="51"/>
  <c r="H1004" i="51"/>
  <c r="I1004" i="51"/>
  <c r="J1004" i="51"/>
  <c r="E1005" i="51"/>
  <c r="F1005" i="51"/>
  <c r="G1005" i="51"/>
  <c r="H1005" i="51"/>
  <c r="I1005" i="51"/>
  <c r="J1005" i="51"/>
  <c r="E1006" i="51"/>
  <c r="F1006" i="51"/>
  <c r="G1006" i="51"/>
  <c r="H1006" i="51"/>
  <c r="I1006" i="51"/>
  <c r="J1006" i="51"/>
  <c r="E1007" i="51"/>
  <c r="F1007" i="51"/>
  <c r="G1007" i="51"/>
  <c r="H1007" i="51"/>
  <c r="I1007" i="51"/>
  <c r="J1007" i="51"/>
  <c r="E1008" i="51"/>
  <c r="F1008" i="51"/>
  <c r="G1008" i="51"/>
  <c r="H1008" i="51"/>
  <c r="I1008" i="51"/>
  <c r="J1008" i="51"/>
  <c r="E1009" i="51"/>
  <c r="F1009" i="51"/>
  <c r="G1009" i="51"/>
  <c r="H1009" i="51"/>
  <c r="I1009" i="51"/>
  <c r="J1009" i="51"/>
  <c r="E1010" i="51"/>
  <c r="F1010" i="51"/>
  <c r="G1010" i="51"/>
  <c r="H1010" i="51"/>
  <c r="I1010" i="51"/>
  <c r="J1010" i="51"/>
  <c r="E1011" i="51"/>
  <c r="F1011" i="51"/>
  <c r="G1011" i="51"/>
  <c r="H1011" i="51"/>
  <c r="I1011" i="51"/>
  <c r="J1011" i="51"/>
  <c r="E1012" i="51"/>
  <c r="F1012" i="51"/>
  <c r="G1012" i="51"/>
  <c r="H1012" i="51"/>
  <c r="I1012" i="51"/>
  <c r="J1012" i="51"/>
  <c r="E1013" i="51"/>
  <c r="F1013" i="51"/>
  <c r="G1013" i="51"/>
  <c r="H1013" i="51"/>
  <c r="I1013" i="51"/>
  <c r="J1013" i="51"/>
  <c r="E1014" i="51"/>
  <c r="F1014" i="51"/>
  <c r="G1014" i="51"/>
  <c r="H1014" i="51"/>
  <c r="I1014" i="51"/>
  <c r="J1014" i="51"/>
  <c r="E1015" i="51"/>
  <c r="F1015" i="51"/>
  <c r="G1015" i="51"/>
  <c r="H1015" i="51"/>
  <c r="I1015" i="51"/>
  <c r="J1015" i="51"/>
  <c r="E1016" i="51"/>
  <c r="F1016" i="51"/>
  <c r="G1016" i="51"/>
  <c r="H1016" i="51"/>
  <c r="I1016" i="51"/>
  <c r="J1016" i="51"/>
  <c r="E1017" i="51"/>
  <c r="F1017" i="51"/>
  <c r="G1017" i="51"/>
  <c r="H1017" i="51"/>
  <c r="I1017" i="51"/>
  <c r="J1017" i="51"/>
  <c r="E1018" i="51"/>
  <c r="F1018" i="51"/>
  <c r="G1018" i="51"/>
  <c r="H1018" i="51"/>
  <c r="I1018" i="51"/>
  <c r="J1018" i="51"/>
  <c r="E1019" i="51"/>
  <c r="F1019" i="51"/>
  <c r="G1019" i="51"/>
  <c r="H1019" i="51"/>
  <c r="I1019" i="51"/>
  <c r="J1019" i="51"/>
  <c r="E1020" i="51"/>
  <c r="F1020" i="51"/>
  <c r="G1020" i="51"/>
  <c r="H1020" i="51"/>
  <c r="I1020" i="51"/>
  <c r="J1020" i="51"/>
  <c r="E1021" i="51"/>
  <c r="F1021" i="51"/>
  <c r="G1021" i="51"/>
  <c r="H1021" i="51"/>
  <c r="I1021" i="51"/>
  <c r="J1021" i="51"/>
  <c r="E1022" i="51"/>
  <c r="F1022" i="51"/>
  <c r="G1022" i="51"/>
  <c r="H1022" i="51"/>
  <c r="I1022" i="51"/>
  <c r="J1022" i="51"/>
  <c r="E1023" i="51"/>
  <c r="F1023" i="51"/>
  <c r="G1023" i="51"/>
  <c r="H1023" i="51"/>
  <c r="I1023" i="51"/>
  <c r="J1023" i="51"/>
  <c r="E1024" i="51"/>
  <c r="F1024" i="51"/>
  <c r="G1024" i="51"/>
  <c r="H1024" i="51"/>
  <c r="I1024" i="51"/>
  <c r="J1024" i="51"/>
  <c r="E1025" i="51"/>
  <c r="F1025" i="51"/>
  <c r="G1025" i="51"/>
  <c r="H1025" i="51"/>
  <c r="I1025" i="51"/>
  <c r="J1025" i="51"/>
  <c r="E1026" i="51"/>
  <c r="F1026" i="51"/>
  <c r="G1026" i="51"/>
  <c r="H1026" i="51"/>
  <c r="I1026" i="51"/>
  <c r="J1026" i="51"/>
  <c r="E1027" i="51"/>
  <c r="F1027" i="51"/>
  <c r="G1027" i="51"/>
  <c r="H1027" i="51"/>
  <c r="I1027" i="51"/>
  <c r="J1027" i="51"/>
  <c r="E1028" i="51"/>
  <c r="F1028" i="51"/>
  <c r="G1028" i="51"/>
  <c r="H1028" i="51"/>
  <c r="I1028" i="51"/>
  <c r="J1028" i="51"/>
  <c r="E1029" i="51"/>
  <c r="F1029" i="51"/>
  <c r="G1029" i="51"/>
  <c r="H1029" i="51"/>
  <c r="I1029" i="51"/>
  <c r="J1029" i="51"/>
  <c r="E1030" i="51"/>
  <c r="F1030" i="51"/>
  <c r="G1030" i="51"/>
  <c r="H1030" i="51"/>
  <c r="I1030" i="51"/>
  <c r="J1030" i="51"/>
  <c r="E1031" i="51"/>
  <c r="F1031" i="51"/>
  <c r="G1031" i="51"/>
  <c r="H1031" i="51"/>
  <c r="I1031" i="51"/>
  <c r="J1031" i="51"/>
  <c r="E1032" i="51"/>
  <c r="F1032" i="51"/>
  <c r="G1032" i="51"/>
  <c r="H1032" i="51"/>
  <c r="I1032" i="51"/>
  <c r="J1032" i="51"/>
  <c r="E1033" i="51"/>
  <c r="F1033" i="51"/>
  <c r="G1033" i="51"/>
  <c r="H1033" i="51"/>
  <c r="I1033" i="51"/>
  <c r="J1033" i="51"/>
  <c r="E1034" i="51"/>
  <c r="F1034" i="51"/>
  <c r="G1034" i="51"/>
  <c r="H1034" i="51"/>
  <c r="I1034" i="51"/>
  <c r="J1034" i="51"/>
  <c r="E1035" i="51"/>
  <c r="F1035" i="51"/>
  <c r="G1035" i="51"/>
  <c r="H1035" i="51"/>
  <c r="I1035" i="51"/>
  <c r="J1035" i="51"/>
  <c r="E1036" i="51"/>
  <c r="F1036" i="51"/>
  <c r="G1036" i="51"/>
  <c r="H1036" i="51"/>
  <c r="I1036" i="51"/>
  <c r="J1036" i="51"/>
  <c r="E1037" i="51"/>
  <c r="F1037" i="51"/>
  <c r="G1037" i="51"/>
  <c r="H1037" i="51"/>
  <c r="I1037" i="51"/>
  <c r="J1037" i="51"/>
  <c r="E1038" i="51"/>
  <c r="F1038" i="51"/>
  <c r="G1038" i="51"/>
  <c r="H1038" i="51"/>
  <c r="I1038" i="51"/>
  <c r="J1038" i="51"/>
  <c r="E1039" i="51"/>
  <c r="F1039" i="51"/>
  <c r="G1039" i="51"/>
  <c r="H1039" i="51"/>
  <c r="I1039" i="51"/>
  <c r="J1039" i="51"/>
  <c r="E1040" i="51"/>
  <c r="F1040" i="51"/>
  <c r="G1040" i="51"/>
  <c r="H1040" i="51"/>
  <c r="I1040" i="51"/>
  <c r="J1040" i="51"/>
  <c r="E1041" i="51"/>
  <c r="F1041" i="51"/>
  <c r="G1041" i="51"/>
  <c r="H1041" i="51"/>
  <c r="I1041" i="51"/>
  <c r="J1041" i="51"/>
  <c r="E1042" i="51"/>
  <c r="F1042" i="51"/>
  <c r="G1042" i="51"/>
  <c r="H1042" i="51"/>
  <c r="I1042" i="51"/>
  <c r="J1042" i="51"/>
  <c r="E1043" i="51"/>
  <c r="F1043" i="51"/>
  <c r="G1043" i="51"/>
  <c r="H1043" i="51"/>
  <c r="I1043" i="51"/>
  <c r="J1043" i="51"/>
  <c r="E1044" i="51"/>
  <c r="F1044" i="51"/>
  <c r="G1044" i="51"/>
  <c r="H1044" i="51"/>
  <c r="I1044" i="51"/>
  <c r="J1044" i="51"/>
  <c r="E1045" i="51"/>
  <c r="F1045" i="51"/>
  <c r="G1045" i="51"/>
  <c r="H1045" i="51"/>
  <c r="I1045" i="51"/>
  <c r="J1045" i="51"/>
  <c r="E1046" i="51"/>
  <c r="F1046" i="51"/>
  <c r="G1046" i="51"/>
  <c r="H1046" i="51"/>
  <c r="I1046" i="51"/>
  <c r="J1046" i="51"/>
  <c r="E1047" i="51"/>
  <c r="F1047" i="51"/>
  <c r="G1047" i="51"/>
  <c r="H1047" i="51"/>
  <c r="I1047" i="51"/>
  <c r="J1047" i="51"/>
  <c r="E1048" i="51"/>
  <c r="F1048" i="51"/>
  <c r="G1048" i="51"/>
  <c r="H1048" i="51"/>
  <c r="I1048" i="51"/>
  <c r="J1048" i="51"/>
  <c r="E1049" i="51"/>
  <c r="F1049" i="51"/>
  <c r="G1049" i="51"/>
  <c r="H1049" i="51"/>
  <c r="I1049" i="51"/>
  <c r="J1049" i="51"/>
  <c r="E1050" i="51"/>
  <c r="F1050" i="51"/>
  <c r="G1050" i="51"/>
  <c r="H1050" i="51"/>
  <c r="I1050" i="51"/>
  <c r="J1050" i="51"/>
  <c r="E1051" i="51"/>
  <c r="F1051" i="51"/>
  <c r="G1051" i="51"/>
  <c r="H1051" i="51"/>
  <c r="I1051" i="51"/>
  <c r="J1051" i="51"/>
  <c r="E1052" i="51"/>
  <c r="F1052" i="51"/>
  <c r="G1052" i="51"/>
  <c r="H1052" i="51"/>
  <c r="I1052" i="51"/>
  <c r="J1052" i="51"/>
  <c r="E1053" i="51"/>
  <c r="F1053" i="51"/>
  <c r="G1053" i="51"/>
  <c r="H1053" i="51"/>
  <c r="I1053" i="51"/>
  <c r="J1053" i="51"/>
  <c r="E1054" i="51"/>
  <c r="F1054" i="51"/>
  <c r="G1054" i="51"/>
  <c r="H1054" i="51"/>
  <c r="I1054" i="51"/>
  <c r="J1054" i="51"/>
  <c r="E1055" i="51"/>
  <c r="F1055" i="51"/>
  <c r="G1055" i="51"/>
  <c r="H1055" i="51"/>
  <c r="I1055" i="51"/>
  <c r="J1055" i="51"/>
  <c r="E1056" i="51"/>
  <c r="F1056" i="51"/>
  <c r="G1056" i="51"/>
  <c r="H1056" i="51"/>
  <c r="I1056" i="51"/>
  <c r="J1056" i="51"/>
  <c r="E1057" i="51"/>
  <c r="F1057" i="51"/>
  <c r="G1057" i="51"/>
  <c r="H1057" i="51"/>
  <c r="I1057" i="51"/>
  <c r="J1057" i="51"/>
  <c r="E1058" i="51"/>
  <c r="F1058" i="51"/>
  <c r="G1058" i="51"/>
  <c r="H1058" i="51"/>
  <c r="I1058" i="51"/>
  <c r="J1058" i="51"/>
  <c r="E1059" i="51"/>
  <c r="F1059" i="51"/>
  <c r="G1059" i="51"/>
  <c r="H1059" i="51"/>
  <c r="I1059" i="51"/>
  <c r="J1059" i="51"/>
  <c r="E1060" i="51"/>
  <c r="F1060" i="51"/>
  <c r="G1060" i="51"/>
  <c r="H1060" i="51"/>
  <c r="I1060" i="51"/>
  <c r="J1060" i="51"/>
  <c r="E1061" i="51"/>
  <c r="F1061" i="51"/>
  <c r="G1061" i="51"/>
  <c r="H1061" i="51"/>
  <c r="I1061" i="51"/>
  <c r="J1061" i="51"/>
  <c r="E1062" i="51"/>
  <c r="F1062" i="51"/>
  <c r="G1062" i="51"/>
  <c r="H1062" i="51"/>
  <c r="I1062" i="51"/>
  <c r="J1062" i="51"/>
  <c r="E1063" i="51"/>
  <c r="F1063" i="51"/>
  <c r="G1063" i="51"/>
  <c r="H1063" i="51"/>
  <c r="I1063" i="51"/>
  <c r="J1063" i="51"/>
  <c r="E1064" i="51"/>
  <c r="F1064" i="51"/>
  <c r="G1064" i="51"/>
  <c r="H1064" i="51"/>
  <c r="I1064" i="51"/>
  <c r="J1064" i="51"/>
  <c r="E1065" i="51"/>
  <c r="F1065" i="51"/>
  <c r="G1065" i="51"/>
  <c r="H1065" i="51"/>
  <c r="I1065" i="51"/>
  <c r="J1065" i="51"/>
  <c r="E1066" i="51"/>
  <c r="F1066" i="51"/>
  <c r="G1066" i="51"/>
  <c r="H1066" i="51"/>
  <c r="I1066" i="51"/>
  <c r="J1066" i="51"/>
  <c r="E1067" i="51"/>
  <c r="F1067" i="51"/>
  <c r="G1067" i="51"/>
  <c r="H1067" i="51"/>
  <c r="I1067" i="51"/>
  <c r="J1067" i="51"/>
  <c r="E1068" i="51"/>
  <c r="F1068" i="51"/>
  <c r="G1068" i="51"/>
  <c r="H1068" i="51"/>
  <c r="I1068" i="51"/>
  <c r="J1068" i="51"/>
  <c r="E1069" i="51"/>
  <c r="F1069" i="51"/>
  <c r="G1069" i="51"/>
  <c r="H1069" i="51"/>
  <c r="I1069" i="51"/>
  <c r="J1069" i="51"/>
  <c r="E1070" i="51"/>
  <c r="F1070" i="51"/>
  <c r="G1070" i="51"/>
  <c r="H1070" i="51"/>
  <c r="I1070" i="51"/>
  <c r="J1070" i="51"/>
  <c r="E1071" i="51"/>
  <c r="F1071" i="51"/>
  <c r="G1071" i="51"/>
  <c r="H1071" i="51"/>
  <c r="I1071" i="51"/>
  <c r="J1071" i="51"/>
  <c r="E1072" i="51"/>
  <c r="F1072" i="51"/>
  <c r="G1072" i="51"/>
  <c r="H1072" i="51"/>
  <c r="I1072" i="51"/>
  <c r="J1072" i="51"/>
  <c r="E1076" i="51"/>
  <c r="F1076" i="51"/>
  <c r="G1076" i="51"/>
  <c r="H1076" i="51"/>
  <c r="I1076" i="51"/>
  <c r="J1076" i="51"/>
  <c r="F1077" i="51"/>
  <c r="G1077" i="51"/>
  <c r="H1077" i="51"/>
  <c r="I1077" i="51"/>
  <c r="J1077" i="51"/>
  <c r="E1078" i="51"/>
  <c r="F1078" i="51"/>
  <c r="G1078" i="51"/>
  <c r="H1078" i="51"/>
  <c r="I1078" i="51"/>
  <c r="J1078" i="51"/>
  <c r="E1079" i="51"/>
  <c r="F1079" i="51"/>
  <c r="G1079" i="51"/>
  <c r="H1079" i="51"/>
  <c r="I1079" i="51"/>
  <c r="J1079" i="51"/>
  <c r="E1080" i="51"/>
  <c r="F1080" i="51"/>
  <c r="G1080" i="51"/>
  <c r="H1080" i="51"/>
  <c r="I1080" i="51"/>
  <c r="J1080" i="51"/>
  <c r="E1081" i="51"/>
  <c r="F1081" i="51"/>
  <c r="G1081" i="51"/>
  <c r="H1081" i="51"/>
  <c r="I1081" i="51"/>
  <c r="J1081" i="51"/>
  <c r="E1082" i="51"/>
  <c r="F1082" i="51"/>
  <c r="G1082" i="51"/>
  <c r="H1082" i="51"/>
  <c r="I1082" i="51"/>
  <c r="J1082" i="51"/>
  <c r="E1083" i="51"/>
  <c r="F1083" i="51"/>
  <c r="G1083" i="51"/>
  <c r="H1083" i="51"/>
  <c r="I1083" i="51"/>
  <c r="J1083" i="51"/>
  <c r="E1084" i="51"/>
  <c r="F1084" i="51"/>
  <c r="G1084" i="51"/>
  <c r="H1084" i="51"/>
  <c r="I1084" i="51"/>
  <c r="J1084" i="51"/>
  <c r="E1085" i="51"/>
  <c r="F1085" i="51"/>
  <c r="G1085" i="51"/>
  <c r="H1085" i="51"/>
  <c r="I1085" i="51"/>
  <c r="J1085" i="51"/>
  <c r="E1086" i="51"/>
  <c r="F1086" i="51"/>
  <c r="G1086" i="51"/>
  <c r="H1086" i="51"/>
  <c r="I1086" i="51"/>
  <c r="J1086" i="51"/>
  <c r="E1087" i="51"/>
  <c r="F1087" i="51"/>
  <c r="G1087" i="51"/>
  <c r="H1087" i="51"/>
  <c r="I1087" i="51"/>
  <c r="J1087" i="51"/>
  <c r="E1088" i="51"/>
  <c r="F1088" i="51"/>
  <c r="G1088" i="51"/>
  <c r="H1088" i="51"/>
  <c r="I1088" i="51"/>
  <c r="J1088" i="51"/>
  <c r="E1089" i="51"/>
  <c r="F1089" i="51"/>
  <c r="G1089" i="51"/>
  <c r="H1089" i="51"/>
  <c r="I1089" i="51"/>
  <c r="J1089" i="51"/>
  <c r="E1090" i="51"/>
  <c r="F1090" i="51"/>
  <c r="G1090" i="51"/>
  <c r="H1090" i="51"/>
  <c r="I1090" i="51"/>
  <c r="J1090" i="51"/>
  <c r="E1091" i="51"/>
  <c r="F1091" i="51"/>
  <c r="G1091" i="51"/>
  <c r="H1091" i="51"/>
  <c r="I1091" i="51"/>
  <c r="J1091" i="51"/>
  <c r="E1092" i="51"/>
  <c r="F1092" i="51"/>
  <c r="G1092" i="51"/>
  <c r="H1092" i="51"/>
  <c r="I1092" i="51"/>
  <c r="J1092" i="51"/>
  <c r="E1093" i="51"/>
  <c r="F1093" i="51"/>
  <c r="G1093" i="51"/>
  <c r="H1093" i="51"/>
  <c r="I1093" i="51"/>
  <c r="J1093" i="51"/>
  <c r="E1094" i="51"/>
  <c r="F1094" i="51"/>
  <c r="G1094" i="51"/>
  <c r="H1094" i="51"/>
  <c r="I1094" i="51"/>
  <c r="J1094" i="51"/>
  <c r="E1095" i="51"/>
  <c r="F1095" i="51"/>
  <c r="G1095" i="51"/>
  <c r="H1095" i="51"/>
  <c r="I1095" i="51"/>
  <c r="J1095" i="51"/>
  <c r="E1096" i="51"/>
  <c r="F1096" i="51"/>
  <c r="G1096" i="51"/>
  <c r="H1096" i="51"/>
  <c r="I1096" i="51"/>
  <c r="J1096" i="51"/>
  <c r="E1097" i="51"/>
  <c r="F1097" i="51"/>
  <c r="G1097" i="51"/>
  <c r="H1097" i="51"/>
  <c r="I1097" i="51"/>
  <c r="J1097" i="51"/>
  <c r="E1098" i="51"/>
  <c r="F1098" i="51"/>
  <c r="G1098" i="51"/>
  <c r="H1098" i="51"/>
  <c r="I1098" i="51"/>
  <c r="J1098" i="51"/>
  <c r="E1099" i="51"/>
  <c r="F1099" i="51"/>
  <c r="G1099" i="51"/>
  <c r="H1099" i="51"/>
  <c r="I1099" i="51"/>
  <c r="J1099" i="51"/>
  <c r="E1100" i="51"/>
  <c r="F1100" i="51"/>
  <c r="G1100" i="51"/>
  <c r="H1100" i="51"/>
  <c r="I1100" i="51"/>
  <c r="J1100" i="51"/>
  <c r="E1101" i="51"/>
  <c r="F1101" i="51"/>
  <c r="G1101" i="51"/>
  <c r="H1101" i="51"/>
  <c r="I1101" i="51"/>
  <c r="J1101" i="51"/>
  <c r="E1102" i="51"/>
  <c r="F1102" i="51"/>
  <c r="G1102" i="51"/>
  <c r="H1102" i="51"/>
  <c r="I1102" i="51"/>
  <c r="J1102" i="51"/>
  <c r="F1103" i="51"/>
  <c r="G1103" i="51"/>
  <c r="H1103" i="51"/>
  <c r="I1103" i="51"/>
  <c r="J1103" i="51"/>
  <c r="F1104" i="51"/>
  <c r="G1104" i="51"/>
  <c r="H1104" i="51"/>
  <c r="I1104" i="51"/>
  <c r="J1104" i="51"/>
  <c r="E1105" i="51"/>
  <c r="F1105" i="51"/>
  <c r="G1105" i="51"/>
  <c r="H1105" i="51"/>
  <c r="I1105" i="51"/>
  <c r="J1105" i="51"/>
  <c r="E1106" i="51"/>
  <c r="F1106" i="51"/>
  <c r="G1106" i="51"/>
  <c r="H1106" i="51"/>
  <c r="I1106" i="51"/>
  <c r="J1106" i="51"/>
  <c r="E1107" i="51"/>
  <c r="F1107" i="51"/>
  <c r="G1107" i="51"/>
  <c r="H1107" i="51"/>
  <c r="I1107" i="51"/>
  <c r="J1107" i="51"/>
  <c r="E1133" i="51"/>
  <c r="F1133" i="51"/>
  <c r="G1133" i="51"/>
  <c r="H1133" i="51"/>
  <c r="I1133" i="51"/>
  <c r="J1133" i="51"/>
  <c r="F1134" i="51"/>
  <c r="G1134" i="51"/>
  <c r="H1134" i="51"/>
  <c r="I1134" i="51"/>
  <c r="J1134" i="51"/>
  <c r="E1135" i="51"/>
  <c r="F1135" i="51"/>
  <c r="G1135" i="51"/>
  <c r="H1135" i="51"/>
  <c r="I1135" i="51"/>
  <c r="J1135" i="51"/>
  <c r="E1136" i="51"/>
  <c r="F1136" i="51"/>
  <c r="G1136" i="51"/>
  <c r="H1136" i="51"/>
  <c r="I1136" i="51"/>
  <c r="J1136" i="51"/>
  <c r="E1137" i="51"/>
  <c r="F1137" i="51"/>
  <c r="G1137" i="51"/>
  <c r="H1137" i="51"/>
  <c r="I1137" i="51"/>
  <c r="J1137" i="51"/>
  <c r="E1138" i="51"/>
  <c r="F1138" i="51"/>
  <c r="G1138" i="51"/>
  <c r="H1138" i="51"/>
  <c r="I1138" i="51"/>
  <c r="J1138" i="51"/>
  <c r="E1139" i="51"/>
  <c r="F1139" i="51"/>
  <c r="G1139" i="51"/>
  <c r="H1139" i="51"/>
  <c r="I1139" i="51"/>
  <c r="J1139" i="51"/>
  <c r="E1140" i="51"/>
  <c r="F1140" i="51"/>
  <c r="G1140" i="51"/>
  <c r="H1140" i="51"/>
  <c r="I1140" i="51"/>
  <c r="J1140" i="51"/>
  <c r="E1141" i="51"/>
  <c r="F1141" i="51"/>
  <c r="G1141" i="51"/>
  <c r="H1141" i="51"/>
  <c r="I1141" i="51"/>
  <c r="J1141" i="51"/>
  <c r="E1142" i="51"/>
  <c r="F1142" i="51"/>
  <c r="G1142" i="51"/>
  <c r="H1142" i="51"/>
  <c r="I1142" i="51"/>
  <c r="J1142" i="51"/>
  <c r="E1143" i="51"/>
  <c r="F1143" i="51"/>
  <c r="G1143" i="51"/>
  <c r="H1143" i="51"/>
  <c r="I1143" i="51"/>
  <c r="J1143" i="51"/>
  <c r="E1144" i="51"/>
  <c r="F1144" i="51"/>
  <c r="G1144" i="51"/>
  <c r="H1144" i="51"/>
  <c r="I1144" i="51"/>
  <c r="J1144" i="51"/>
  <c r="E1145" i="51"/>
  <c r="F1145" i="51"/>
  <c r="G1145" i="51"/>
  <c r="H1145" i="51"/>
  <c r="I1145" i="51"/>
  <c r="J1145" i="51"/>
  <c r="E1146" i="51"/>
  <c r="F1146" i="51"/>
  <c r="G1146" i="51"/>
  <c r="H1146" i="51"/>
  <c r="I1146" i="51"/>
  <c r="J1146" i="51"/>
  <c r="E1147" i="51"/>
  <c r="F1147" i="51"/>
  <c r="G1147" i="51"/>
  <c r="H1147" i="51"/>
  <c r="I1147" i="51"/>
  <c r="J1147" i="51"/>
  <c r="E1148" i="51"/>
  <c r="F1148" i="51"/>
  <c r="G1148" i="51"/>
  <c r="H1148" i="51"/>
  <c r="I1148" i="51"/>
  <c r="J1148" i="51"/>
  <c r="E1149" i="51"/>
  <c r="F1149" i="51"/>
  <c r="G1149" i="51"/>
  <c r="H1149" i="51"/>
  <c r="I1149" i="51"/>
  <c r="J1149" i="51"/>
  <c r="E1150" i="51"/>
  <c r="F1150" i="51"/>
  <c r="G1150" i="51"/>
  <c r="H1150" i="51"/>
  <c r="I1150" i="51"/>
  <c r="J1150" i="51"/>
  <c r="E1151" i="51"/>
  <c r="F1151" i="51"/>
  <c r="G1151" i="51"/>
  <c r="H1151" i="51"/>
  <c r="I1151" i="51"/>
  <c r="J1151" i="51"/>
  <c r="E1152" i="51"/>
  <c r="F1152" i="51"/>
  <c r="G1152" i="51"/>
  <c r="H1152" i="51"/>
  <c r="I1152" i="51"/>
  <c r="J1152" i="51"/>
  <c r="E1153" i="51"/>
  <c r="F1153" i="51"/>
  <c r="G1153" i="51"/>
  <c r="H1153" i="51"/>
  <c r="I1153" i="51"/>
  <c r="J1153" i="51"/>
  <c r="E1154" i="51"/>
  <c r="F1154" i="51"/>
  <c r="G1154" i="51"/>
  <c r="H1154" i="51"/>
  <c r="I1154" i="51"/>
  <c r="J1154" i="51"/>
  <c r="E1155" i="51"/>
  <c r="F1155" i="51"/>
  <c r="G1155" i="51"/>
  <c r="H1155" i="51"/>
  <c r="I1155" i="51"/>
  <c r="J1155" i="51"/>
  <c r="E1156" i="51"/>
  <c r="F1156" i="51"/>
  <c r="G1156" i="51"/>
  <c r="H1156" i="51"/>
  <c r="I1156" i="51"/>
  <c r="J1156" i="51"/>
  <c r="E1157" i="51"/>
  <c r="F1157" i="51"/>
  <c r="G1157" i="51"/>
  <c r="H1157" i="51"/>
  <c r="I1157" i="51"/>
  <c r="J1157" i="51"/>
  <c r="E1158" i="51"/>
  <c r="F1158" i="51"/>
  <c r="G1158" i="51"/>
  <c r="H1158" i="51"/>
  <c r="I1158" i="51"/>
  <c r="J1158" i="51"/>
  <c r="E1159" i="51"/>
  <c r="F1159" i="51"/>
  <c r="G1159" i="51"/>
  <c r="H1159" i="51"/>
  <c r="I1159" i="51"/>
  <c r="J1159" i="51"/>
  <c r="F1160" i="51"/>
  <c r="G1160" i="51"/>
  <c r="H1160" i="51"/>
  <c r="I1160" i="51"/>
  <c r="J1160" i="51"/>
  <c r="E1161" i="51"/>
  <c r="F1161" i="51"/>
  <c r="G1161" i="51"/>
  <c r="H1161" i="51"/>
  <c r="I1161" i="51"/>
  <c r="J1161" i="51"/>
  <c r="E1162" i="51"/>
  <c r="F1162" i="51"/>
  <c r="G1162" i="51"/>
  <c r="H1162" i="51"/>
  <c r="I1162" i="51"/>
  <c r="J1162" i="51"/>
  <c r="E1163" i="51"/>
  <c r="F1163" i="51"/>
  <c r="G1163" i="51"/>
  <c r="H1163" i="51"/>
  <c r="I1163" i="51"/>
  <c r="J1163" i="51"/>
  <c r="E1164" i="51"/>
  <c r="F1164" i="51"/>
  <c r="G1164" i="51"/>
  <c r="H1164" i="51"/>
  <c r="I1164" i="51"/>
  <c r="J1164" i="51"/>
  <c r="E1165" i="51"/>
  <c r="F1165" i="51"/>
  <c r="G1165" i="51"/>
  <c r="H1165" i="51"/>
  <c r="I1165" i="51"/>
  <c r="J1165" i="51"/>
  <c r="E1166" i="51"/>
  <c r="F1166" i="51"/>
  <c r="G1166" i="51"/>
  <c r="H1166" i="51"/>
  <c r="I1166" i="51"/>
  <c r="J1166" i="51"/>
  <c r="E1167" i="51"/>
  <c r="F1167" i="51"/>
  <c r="G1167" i="51"/>
  <c r="H1167" i="51"/>
  <c r="I1167" i="51"/>
  <c r="J1167" i="51"/>
  <c r="E1168" i="51"/>
  <c r="F1168" i="51"/>
  <c r="G1168" i="51"/>
  <c r="H1168" i="51"/>
  <c r="I1168" i="51"/>
  <c r="J1168" i="51"/>
  <c r="E1169" i="51"/>
  <c r="F1169" i="51"/>
  <c r="G1169" i="51"/>
  <c r="H1169" i="51"/>
  <c r="I1169" i="51"/>
  <c r="J1169" i="51"/>
  <c r="E1170" i="51"/>
  <c r="F1170" i="51"/>
  <c r="G1170" i="51"/>
  <c r="H1170" i="51"/>
  <c r="I1170" i="51"/>
  <c r="J1170" i="51"/>
  <c r="E1171" i="51"/>
  <c r="F1171" i="51"/>
  <c r="G1171" i="51"/>
  <c r="H1171" i="51"/>
  <c r="I1171" i="51"/>
  <c r="J1171" i="51"/>
  <c r="E1172" i="51"/>
  <c r="F1172" i="51"/>
  <c r="G1172" i="51"/>
  <c r="H1172" i="51"/>
  <c r="I1172" i="51"/>
  <c r="J1172" i="51"/>
  <c r="E1173" i="51"/>
  <c r="F1173" i="51"/>
  <c r="G1173" i="51"/>
  <c r="H1173" i="51"/>
  <c r="I1173" i="51"/>
  <c r="J1173" i="51"/>
  <c r="E1174" i="51"/>
  <c r="F1174" i="51"/>
  <c r="G1174" i="51"/>
  <c r="H1174" i="51"/>
  <c r="I1174" i="51"/>
  <c r="J1174" i="51"/>
  <c r="E1175" i="51"/>
  <c r="F1175" i="51"/>
  <c r="G1175" i="51"/>
  <c r="H1175" i="51"/>
  <c r="I1175" i="51"/>
  <c r="J1175" i="51"/>
  <c r="E1176" i="51"/>
  <c r="F1176" i="51"/>
  <c r="G1176" i="51"/>
  <c r="H1176" i="51"/>
  <c r="I1176" i="51"/>
  <c r="J1176" i="51"/>
  <c r="E1177" i="51"/>
  <c r="F1177" i="51"/>
  <c r="G1177" i="51"/>
  <c r="H1177" i="51"/>
  <c r="I1177" i="51"/>
  <c r="J1177" i="51"/>
  <c r="E1178" i="51"/>
  <c r="F1178" i="51"/>
  <c r="G1178" i="51"/>
  <c r="H1178" i="51"/>
  <c r="I1178" i="51"/>
  <c r="J1178" i="51"/>
  <c r="E1179" i="51"/>
  <c r="F1179" i="51"/>
  <c r="G1179" i="51"/>
  <c r="H1179" i="51"/>
  <c r="I1179" i="51"/>
  <c r="J1179" i="51"/>
  <c r="E1180" i="51"/>
  <c r="F1180" i="51"/>
  <c r="G1180" i="51"/>
  <c r="H1180" i="51"/>
  <c r="I1180" i="51"/>
  <c r="J1180" i="51"/>
  <c r="E1181" i="51"/>
  <c r="F1181" i="51"/>
  <c r="G1181" i="51"/>
  <c r="H1181" i="51"/>
  <c r="I1181" i="51"/>
  <c r="J1181" i="51"/>
  <c r="E1182" i="51"/>
  <c r="F1182" i="51"/>
  <c r="G1182" i="51"/>
  <c r="H1182" i="51"/>
  <c r="I1182" i="51"/>
  <c r="J1182" i="51"/>
  <c r="E1183" i="51"/>
  <c r="F1183" i="51"/>
  <c r="G1183" i="51"/>
  <c r="H1183" i="51"/>
  <c r="I1183" i="51"/>
  <c r="J1183" i="51"/>
  <c r="E1189" i="51"/>
  <c r="F1189" i="51"/>
  <c r="G1189" i="51"/>
  <c r="H1189" i="51"/>
  <c r="I1189" i="51"/>
  <c r="J1189" i="51"/>
  <c r="F1190" i="51"/>
  <c r="G1190" i="51"/>
  <c r="H1190" i="51"/>
  <c r="I1190" i="51"/>
  <c r="J1190" i="51"/>
  <c r="E1191" i="51"/>
  <c r="F1191" i="51"/>
  <c r="G1191" i="51"/>
  <c r="H1191" i="51"/>
  <c r="I1191" i="51"/>
  <c r="J1191" i="51"/>
  <c r="E1192" i="51"/>
  <c r="F1192" i="51"/>
  <c r="G1192" i="51"/>
  <c r="H1192" i="51"/>
  <c r="I1192" i="51"/>
  <c r="J1192" i="51"/>
  <c r="E1193" i="51"/>
  <c r="F1193" i="51"/>
  <c r="G1193" i="51"/>
  <c r="H1193" i="51"/>
  <c r="I1193" i="51"/>
  <c r="J1193" i="51"/>
  <c r="E1194" i="51"/>
  <c r="F1194" i="51"/>
  <c r="G1194" i="51"/>
  <c r="H1194" i="51"/>
  <c r="I1194" i="51"/>
  <c r="J1194" i="51"/>
  <c r="E1195" i="51"/>
  <c r="F1195" i="51"/>
  <c r="G1195" i="51"/>
  <c r="H1195" i="51"/>
  <c r="I1195" i="51"/>
  <c r="J1195" i="51"/>
  <c r="E1196" i="51"/>
  <c r="F1196" i="51"/>
  <c r="G1196" i="51"/>
  <c r="H1196" i="51"/>
  <c r="I1196" i="51"/>
  <c r="J1196" i="51"/>
  <c r="E1197" i="51"/>
  <c r="F1197" i="51"/>
  <c r="G1197" i="51"/>
  <c r="H1197" i="51"/>
  <c r="I1197" i="51"/>
  <c r="J1197" i="51"/>
  <c r="E1198" i="51"/>
  <c r="F1198" i="51"/>
  <c r="G1198" i="51"/>
  <c r="H1198" i="51"/>
  <c r="I1198" i="51"/>
  <c r="J1198" i="51"/>
  <c r="E1199" i="51"/>
  <c r="F1199" i="51"/>
  <c r="G1199" i="51"/>
  <c r="H1199" i="51"/>
  <c r="I1199" i="51"/>
  <c r="J1199" i="51"/>
  <c r="E1200" i="51"/>
  <c r="F1200" i="51"/>
  <c r="G1200" i="51"/>
  <c r="H1200" i="51"/>
  <c r="I1200" i="51"/>
  <c r="J1200" i="51"/>
  <c r="E1201" i="51"/>
  <c r="F1201" i="51"/>
  <c r="G1201" i="51"/>
  <c r="H1201" i="51"/>
  <c r="I1201" i="51"/>
  <c r="J1201" i="51"/>
  <c r="E1202" i="51"/>
  <c r="F1202" i="51"/>
  <c r="G1202" i="51"/>
  <c r="H1202" i="51"/>
  <c r="I1202" i="51"/>
  <c r="J1202" i="51"/>
  <c r="E1203" i="51"/>
  <c r="F1203" i="51"/>
  <c r="G1203" i="51"/>
  <c r="H1203" i="51"/>
  <c r="I1203" i="51"/>
  <c r="J1203" i="51"/>
  <c r="E1204" i="51"/>
  <c r="F1204" i="51"/>
  <c r="G1204" i="51"/>
  <c r="H1204" i="51"/>
  <c r="I1204" i="51"/>
  <c r="J1204" i="51"/>
  <c r="E1205" i="51"/>
  <c r="F1205" i="51"/>
  <c r="G1205" i="51"/>
  <c r="H1205" i="51"/>
  <c r="I1205" i="51"/>
  <c r="J1205" i="51"/>
  <c r="E1206" i="51"/>
  <c r="F1206" i="51"/>
  <c r="G1206" i="51"/>
  <c r="H1206" i="51"/>
  <c r="I1206" i="51"/>
  <c r="J1206" i="51"/>
  <c r="E1207" i="51"/>
  <c r="F1207" i="51"/>
  <c r="G1207" i="51"/>
  <c r="H1207" i="51"/>
  <c r="I1207" i="51"/>
  <c r="J1207" i="51"/>
  <c r="E1208" i="51"/>
  <c r="F1208" i="51"/>
  <c r="G1208" i="51"/>
  <c r="H1208" i="51"/>
  <c r="I1208" i="51"/>
  <c r="J1208" i="51"/>
  <c r="E1209" i="51"/>
  <c r="F1209" i="51"/>
  <c r="G1209" i="51"/>
  <c r="H1209" i="51"/>
  <c r="I1209" i="51"/>
  <c r="J1209" i="51"/>
  <c r="E1210" i="51"/>
  <c r="F1210" i="51"/>
  <c r="G1210" i="51"/>
  <c r="H1210" i="51"/>
  <c r="I1210" i="51"/>
  <c r="J1210" i="51"/>
  <c r="E1211" i="51"/>
  <c r="F1211" i="51"/>
  <c r="G1211" i="51"/>
  <c r="H1211" i="51"/>
  <c r="I1211" i="51"/>
  <c r="J1211" i="51"/>
  <c r="E1212" i="51"/>
  <c r="F1212" i="51"/>
  <c r="G1212" i="51"/>
  <c r="H1212" i="51"/>
  <c r="I1212" i="51"/>
  <c r="J1212" i="51"/>
  <c r="E1213" i="51"/>
  <c r="F1213" i="51"/>
  <c r="G1213" i="51"/>
  <c r="H1213" i="51"/>
  <c r="I1213" i="51"/>
  <c r="J1213" i="51"/>
  <c r="E1214" i="51"/>
  <c r="F1214" i="51"/>
  <c r="G1214" i="51"/>
  <c r="H1214" i="51"/>
  <c r="I1214" i="51"/>
  <c r="J1214" i="51"/>
  <c r="E1215" i="51"/>
  <c r="F1215" i="51"/>
  <c r="G1215" i="51"/>
  <c r="H1215" i="51"/>
  <c r="I1215" i="51"/>
  <c r="J1215" i="51"/>
  <c r="F1216" i="51"/>
  <c r="G1216" i="51"/>
  <c r="H1216" i="51"/>
  <c r="I1216" i="51"/>
  <c r="J1216" i="51"/>
  <c r="F1217" i="51"/>
  <c r="G1217" i="51"/>
  <c r="H1217" i="51"/>
  <c r="I1217" i="51"/>
  <c r="J1217" i="51"/>
  <c r="E1218" i="51"/>
  <c r="F1218" i="51"/>
  <c r="G1218" i="51"/>
  <c r="H1218" i="51"/>
  <c r="I1218" i="51"/>
  <c r="J1218" i="51"/>
  <c r="E817" i="51"/>
  <c r="F817" i="51"/>
  <c r="G817" i="51"/>
  <c r="H817" i="51"/>
  <c r="I817" i="51"/>
  <c r="J817" i="51"/>
  <c r="E818" i="51"/>
  <c r="F818" i="51"/>
  <c r="G818" i="51"/>
  <c r="H818" i="51"/>
  <c r="I818" i="51"/>
  <c r="J818" i="51"/>
  <c r="E819" i="51"/>
  <c r="F819" i="51"/>
  <c r="G819" i="51"/>
  <c r="H819" i="51"/>
  <c r="I819" i="51"/>
  <c r="J819" i="51"/>
  <c r="E820" i="51"/>
  <c r="F820" i="51"/>
  <c r="G820" i="51"/>
  <c r="H820" i="51"/>
  <c r="I820" i="51"/>
  <c r="J820" i="51"/>
  <c r="E821" i="51"/>
  <c r="F821" i="51"/>
  <c r="G821" i="51"/>
  <c r="H821" i="51"/>
  <c r="I821" i="51"/>
  <c r="J821" i="51"/>
  <c r="E822" i="51"/>
  <c r="F822" i="51"/>
  <c r="G822" i="51"/>
  <c r="H822" i="51"/>
  <c r="I822" i="51"/>
  <c r="J822" i="51"/>
  <c r="E824" i="51"/>
  <c r="F824" i="51"/>
  <c r="G824" i="51"/>
  <c r="H824" i="51"/>
  <c r="I824" i="51"/>
  <c r="J824" i="51"/>
  <c r="E825" i="51"/>
  <c r="F825" i="51"/>
  <c r="G825" i="51"/>
  <c r="H825" i="51"/>
  <c r="I825" i="51"/>
  <c r="J825" i="51"/>
  <c r="E826" i="51"/>
  <c r="F826" i="51"/>
  <c r="G826" i="51"/>
  <c r="H826" i="51"/>
  <c r="I826" i="51"/>
  <c r="J826" i="51"/>
  <c r="E827" i="51"/>
  <c r="F827" i="51"/>
  <c r="G827" i="51"/>
  <c r="H827" i="51"/>
  <c r="I827" i="51"/>
  <c r="J827" i="51"/>
  <c r="E828" i="51"/>
  <c r="F828" i="51"/>
  <c r="G828" i="51"/>
  <c r="H828" i="51"/>
  <c r="I828" i="51"/>
  <c r="J828" i="51"/>
  <c r="E829" i="51"/>
  <c r="F829" i="51"/>
  <c r="G829" i="51"/>
  <c r="H829" i="51"/>
  <c r="I829" i="51"/>
  <c r="J829" i="51"/>
  <c r="E830" i="51"/>
  <c r="F830" i="51"/>
  <c r="G830" i="51"/>
  <c r="H830" i="51"/>
  <c r="I830" i="51"/>
  <c r="J830" i="51"/>
  <c r="E831" i="51"/>
  <c r="F831" i="51"/>
  <c r="G831" i="51"/>
  <c r="H831" i="51"/>
  <c r="I831" i="51"/>
  <c r="J831" i="51"/>
  <c r="E832" i="51"/>
  <c r="F832" i="51"/>
  <c r="G832" i="51"/>
  <c r="H832" i="51"/>
  <c r="I832" i="51"/>
  <c r="J832" i="51"/>
  <c r="E833" i="51"/>
  <c r="F833" i="51"/>
  <c r="G833" i="51"/>
  <c r="H833" i="51"/>
  <c r="I833" i="51"/>
  <c r="J833" i="51"/>
  <c r="E834" i="51"/>
  <c r="F834" i="51"/>
  <c r="G834" i="51"/>
  <c r="H834" i="51"/>
  <c r="I834" i="51"/>
  <c r="J834" i="51"/>
  <c r="E835" i="51"/>
  <c r="F835" i="51"/>
  <c r="G835" i="51"/>
  <c r="H835" i="51"/>
  <c r="I835" i="51"/>
  <c r="J835" i="51"/>
  <c r="E836" i="51"/>
  <c r="F836" i="51"/>
  <c r="G836" i="51"/>
  <c r="H836" i="51"/>
  <c r="I836" i="51"/>
  <c r="J836" i="51"/>
  <c r="E837" i="51"/>
  <c r="F837" i="51"/>
  <c r="G837" i="51"/>
  <c r="H837" i="51"/>
  <c r="I837" i="51"/>
  <c r="J837" i="51"/>
  <c r="E838" i="51"/>
  <c r="F838" i="51"/>
  <c r="G838" i="51"/>
  <c r="H838" i="51"/>
  <c r="I838" i="51"/>
  <c r="J838" i="51"/>
  <c r="E839" i="51"/>
  <c r="F839" i="51"/>
  <c r="G839" i="51"/>
  <c r="H839" i="51"/>
  <c r="I839" i="51"/>
  <c r="J839" i="51"/>
  <c r="E840" i="51"/>
  <c r="F840" i="51"/>
  <c r="G840" i="51"/>
  <c r="H840" i="51"/>
  <c r="I840" i="51"/>
  <c r="J840" i="51"/>
  <c r="E841" i="51"/>
  <c r="F841" i="51"/>
  <c r="G841" i="51"/>
  <c r="H841" i="51"/>
  <c r="I841" i="51"/>
  <c r="J841" i="51"/>
  <c r="E842" i="51"/>
  <c r="F842" i="51"/>
  <c r="G842" i="51"/>
  <c r="H842" i="51"/>
  <c r="I842" i="51"/>
  <c r="J842" i="51"/>
  <c r="E843" i="51"/>
  <c r="F843" i="51"/>
  <c r="G843" i="51"/>
  <c r="H843" i="51"/>
  <c r="I843" i="51"/>
  <c r="J843" i="51"/>
  <c r="E844" i="51"/>
  <c r="F844" i="51"/>
  <c r="G844" i="51"/>
  <c r="H844" i="51"/>
  <c r="I844" i="51"/>
  <c r="J844" i="51"/>
  <c r="E845" i="51"/>
  <c r="F845" i="51"/>
  <c r="G845" i="51"/>
  <c r="H845" i="51"/>
  <c r="I845" i="51"/>
  <c r="J845" i="51"/>
  <c r="E846" i="51"/>
  <c r="F846" i="51"/>
  <c r="G846" i="51"/>
  <c r="H846" i="51"/>
  <c r="I846" i="51"/>
  <c r="J846" i="51"/>
  <c r="E847" i="51"/>
  <c r="F847" i="51"/>
  <c r="G847" i="51"/>
  <c r="H847" i="51"/>
  <c r="I847" i="51"/>
  <c r="J847" i="51"/>
  <c r="E848" i="51"/>
  <c r="F848" i="51"/>
  <c r="G848" i="51"/>
  <c r="H848" i="51"/>
  <c r="I848" i="51"/>
  <c r="J848" i="51"/>
  <c r="E849" i="51"/>
  <c r="F849" i="51"/>
  <c r="G849" i="51"/>
  <c r="H849" i="51"/>
  <c r="I849" i="51"/>
  <c r="J849" i="51"/>
  <c r="E850" i="51"/>
  <c r="F850" i="51"/>
  <c r="G850" i="51"/>
  <c r="H850" i="51"/>
  <c r="I850" i="51"/>
  <c r="J850" i="51"/>
  <c r="E851" i="51"/>
  <c r="F851" i="51"/>
  <c r="G851" i="51"/>
  <c r="H851" i="51"/>
  <c r="I851" i="51"/>
  <c r="J851" i="51"/>
  <c r="E852" i="51"/>
  <c r="F852" i="51"/>
  <c r="G852" i="51"/>
  <c r="H852" i="51"/>
  <c r="I852" i="51"/>
  <c r="J852" i="51"/>
  <c r="E853" i="51"/>
  <c r="F853" i="51"/>
  <c r="G853" i="51"/>
  <c r="H853" i="51"/>
  <c r="I853" i="51"/>
  <c r="J853" i="51"/>
  <c r="E854" i="51"/>
  <c r="F854" i="51"/>
  <c r="G854" i="51"/>
  <c r="H854" i="51"/>
  <c r="I854" i="51"/>
  <c r="J854" i="51"/>
  <c r="E855" i="51"/>
  <c r="F855" i="51"/>
  <c r="G855" i="51"/>
  <c r="H855" i="51"/>
  <c r="I855" i="51"/>
  <c r="J855" i="51"/>
  <c r="E856" i="51"/>
  <c r="F856" i="51"/>
  <c r="G856" i="51"/>
  <c r="H856" i="51"/>
  <c r="I856" i="51"/>
  <c r="J856" i="51"/>
  <c r="E857" i="51"/>
  <c r="F857" i="51"/>
  <c r="G857" i="51"/>
  <c r="H857" i="51"/>
  <c r="I857" i="51"/>
  <c r="J857" i="51"/>
  <c r="E858" i="51"/>
  <c r="F858" i="51"/>
  <c r="G858" i="51"/>
  <c r="H858" i="51"/>
  <c r="I858" i="51"/>
  <c r="J858" i="51"/>
  <c r="E859" i="51"/>
  <c r="F859" i="51"/>
  <c r="G859" i="51"/>
  <c r="H859" i="51"/>
  <c r="I859" i="51"/>
  <c r="J859" i="51"/>
  <c r="E860" i="51"/>
  <c r="F860" i="51"/>
  <c r="G860" i="51"/>
  <c r="H860" i="51"/>
  <c r="I860" i="51"/>
  <c r="J860" i="51"/>
  <c r="E861" i="51"/>
  <c r="F861" i="51"/>
  <c r="G861" i="51"/>
  <c r="H861" i="51"/>
  <c r="I861" i="51"/>
  <c r="J861" i="51"/>
  <c r="E862" i="51"/>
  <c r="F862" i="51"/>
  <c r="G862" i="51"/>
  <c r="H862" i="51"/>
  <c r="I862" i="51"/>
  <c r="J862" i="51"/>
  <c r="E863" i="51"/>
  <c r="F863" i="51"/>
  <c r="G863" i="51"/>
  <c r="H863" i="51"/>
  <c r="I863" i="51"/>
  <c r="J863" i="51"/>
  <c r="E864" i="51"/>
  <c r="F864" i="51"/>
  <c r="G864" i="51"/>
  <c r="H864" i="51"/>
  <c r="I864" i="51"/>
  <c r="J864" i="51"/>
  <c r="E865" i="51"/>
  <c r="F865" i="51"/>
  <c r="G865" i="51"/>
  <c r="H865" i="51"/>
  <c r="I865" i="51"/>
  <c r="J865" i="51"/>
  <c r="E866" i="51"/>
  <c r="F866" i="51"/>
  <c r="G866" i="51"/>
  <c r="H866" i="51"/>
  <c r="I866" i="51"/>
  <c r="J866" i="51"/>
  <c r="E867" i="51"/>
  <c r="F867" i="51"/>
  <c r="G867" i="51"/>
  <c r="H867" i="51"/>
  <c r="I867" i="51"/>
  <c r="J867" i="51"/>
  <c r="E868" i="51"/>
  <c r="F868" i="51"/>
  <c r="G868" i="51"/>
  <c r="H868" i="51"/>
  <c r="I868" i="51"/>
  <c r="J868" i="51"/>
  <c r="E869" i="51"/>
  <c r="F869" i="51"/>
  <c r="G869" i="51"/>
  <c r="H869" i="51"/>
  <c r="I869" i="51"/>
  <c r="J869" i="51"/>
  <c r="E870" i="51"/>
  <c r="F870" i="51"/>
  <c r="G870" i="51"/>
  <c r="H870" i="51"/>
  <c r="I870" i="51"/>
  <c r="J870" i="51"/>
  <c r="E871" i="51"/>
  <c r="F871" i="51"/>
  <c r="G871" i="51"/>
  <c r="H871" i="51"/>
  <c r="I871" i="51"/>
  <c r="J871" i="51"/>
  <c r="E872" i="51"/>
  <c r="F872" i="51"/>
  <c r="G872" i="51"/>
  <c r="H872" i="51"/>
  <c r="I872" i="51"/>
  <c r="J872" i="51"/>
  <c r="E873" i="51"/>
  <c r="F873" i="51"/>
  <c r="G873" i="51"/>
  <c r="H873" i="51"/>
  <c r="I873" i="51"/>
  <c r="J873" i="51"/>
  <c r="E874" i="51"/>
  <c r="F874" i="51"/>
  <c r="G874" i="51"/>
  <c r="H874" i="51"/>
  <c r="I874" i="51"/>
  <c r="J874" i="51"/>
  <c r="E875" i="51"/>
  <c r="F875" i="51"/>
  <c r="G875" i="51"/>
  <c r="H875" i="51"/>
  <c r="I875" i="51"/>
  <c r="J875" i="51"/>
  <c r="E876" i="51"/>
  <c r="F876" i="51"/>
  <c r="G876" i="51"/>
  <c r="H876" i="51"/>
  <c r="I876" i="51"/>
  <c r="J876" i="51"/>
  <c r="E877" i="51"/>
  <c r="F877" i="51"/>
  <c r="G877" i="51"/>
  <c r="H877" i="51"/>
  <c r="I877" i="51"/>
  <c r="J877" i="51"/>
  <c r="E878" i="51"/>
  <c r="F878" i="51"/>
  <c r="G878" i="51"/>
  <c r="H878" i="51"/>
  <c r="I878" i="51"/>
  <c r="J878" i="51"/>
  <c r="E879" i="51"/>
  <c r="F879" i="51"/>
  <c r="G879" i="51"/>
  <c r="H879" i="51"/>
  <c r="I879" i="51"/>
  <c r="J879" i="51"/>
  <c r="E880" i="51"/>
  <c r="F880" i="51"/>
  <c r="G880" i="51"/>
  <c r="H880" i="51"/>
  <c r="I880" i="51"/>
  <c r="J880" i="51"/>
  <c r="E881" i="51"/>
  <c r="F881" i="51"/>
  <c r="G881" i="51"/>
  <c r="H881" i="51"/>
  <c r="I881" i="51"/>
  <c r="J881" i="51"/>
  <c r="E882" i="51"/>
  <c r="F882" i="51"/>
  <c r="G882" i="51"/>
  <c r="H882" i="51"/>
  <c r="I882" i="51"/>
  <c r="J882" i="51"/>
  <c r="E883" i="51"/>
  <c r="F883" i="51"/>
  <c r="G883" i="51"/>
  <c r="H883" i="51"/>
  <c r="I883" i="51"/>
  <c r="J883" i="51"/>
  <c r="E884" i="51"/>
  <c r="F884" i="51"/>
  <c r="G884" i="51"/>
  <c r="H884" i="51"/>
  <c r="I884" i="51"/>
  <c r="J884" i="51"/>
  <c r="E885" i="51"/>
  <c r="F885" i="51"/>
  <c r="G885" i="51"/>
  <c r="H885" i="51"/>
  <c r="I885" i="51"/>
  <c r="J885" i="51"/>
  <c r="E886" i="51"/>
  <c r="F886" i="51"/>
  <c r="G886" i="51"/>
  <c r="H886" i="51"/>
  <c r="I886" i="51"/>
  <c r="J886" i="51"/>
  <c r="E887" i="51"/>
  <c r="F887" i="51"/>
  <c r="G887" i="51"/>
  <c r="H887" i="51"/>
  <c r="I887" i="51"/>
  <c r="J887" i="51"/>
  <c r="E888" i="51"/>
  <c r="F888" i="51"/>
  <c r="G888" i="51"/>
  <c r="H888" i="51"/>
  <c r="I888" i="51"/>
  <c r="J888" i="51"/>
  <c r="E889" i="51"/>
  <c r="F889" i="51"/>
  <c r="G889" i="51"/>
  <c r="H889" i="51"/>
  <c r="I889" i="51"/>
  <c r="J889" i="51"/>
  <c r="E890" i="51"/>
  <c r="F890" i="51"/>
  <c r="G890" i="51"/>
  <c r="H890" i="51"/>
  <c r="I890" i="51"/>
  <c r="J890" i="51"/>
  <c r="E891" i="51"/>
  <c r="F891" i="51"/>
  <c r="G891" i="51"/>
  <c r="H891" i="51"/>
  <c r="I891" i="51"/>
  <c r="J891" i="51"/>
  <c r="E892" i="51"/>
  <c r="F892" i="51"/>
  <c r="G892" i="51"/>
  <c r="H892" i="51"/>
  <c r="I892" i="51"/>
  <c r="J892" i="51"/>
  <c r="E893" i="51"/>
  <c r="F893" i="51"/>
  <c r="G893" i="51"/>
  <c r="H893" i="51"/>
  <c r="I893" i="51"/>
  <c r="J893" i="51"/>
  <c r="E894" i="51"/>
  <c r="F894" i="51"/>
  <c r="G894" i="51"/>
  <c r="H894" i="51"/>
  <c r="I894" i="51"/>
  <c r="J894" i="51"/>
  <c r="E895" i="51"/>
  <c r="F895" i="51"/>
  <c r="G895" i="51"/>
  <c r="H895" i="51"/>
  <c r="I895" i="51"/>
  <c r="J895" i="51"/>
  <c r="E896" i="51"/>
  <c r="F896" i="51"/>
  <c r="G896" i="51"/>
  <c r="H896" i="51"/>
  <c r="I896" i="51"/>
  <c r="J896" i="51"/>
  <c r="E897" i="51"/>
  <c r="F897" i="51"/>
  <c r="G897" i="51"/>
  <c r="H897" i="51"/>
  <c r="I897" i="51"/>
  <c r="J897" i="51"/>
  <c r="E898" i="51"/>
  <c r="F898" i="51"/>
  <c r="G898" i="51"/>
  <c r="H898" i="51"/>
  <c r="I898" i="51"/>
  <c r="J898" i="51"/>
  <c r="E899" i="51"/>
  <c r="F899" i="51"/>
  <c r="G899" i="51"/>
  <c r="H899" i="51"/>
  <c r="I899" i="51"/>
  <c r="J899" i="51"/>
  <c r="E900" i="51"/>
  <c r="F900" i="51"/>
  <c r="G900" i="51"/>
  <c r="H900" i="51"/>
  <c r="I900" i="51"/>
  <c r="J900" i="51"/>
  <c r="E901" i="51"/>
  <c r="F901" i="51"/>
  <c r="G901" i="51"/>
  <c r="H901" i="51"/>
  <c r="I901" i="51"/>
  <c r="J901" i="51"/>
  <c r="E902" i="51"/>
  <c r="F902" i="51"/>
  <c r="G902" i="51"/>
  <c r="H902" i="51"/>
  <c r="I902" i="51"/>
  <c r="J902" i="51"/>
  <c r="E903" i="51"/>
  <c r="F903" i="51"/>
  <c r="G903" i="51"/>
  <c r="H903" i="51"/>
  <c r="I903" i="51"/>
  <c r="J903" i="51"/>
  <c r="E904" i="51"/>
  <c r="F904" i="51"/>
  <c r="G904" i="51"/>
  <c r="H904" i="51"/>
  <c r="I904" i="51"/>
  <c r="J904" i="51"/>
  <c r="E905" i="51"/>
  <c r="F905" i="51"/>
  <c r="G905" i="51"/>
  <c r="H905" i="51"/>
  <c r="I905" i="51"/>
  <c r="J905" i="51"/>
  <c r="E906" i="51"/>
  <c r="F906" i="51"/>
  <c r="G906" i="51"/>
  <c r="H906" i="51"/>
  <c r="I906" i="51"/>
  <c r="J906" i="51"/>
  <c r="E907" i="51"/>
  <c r="F907" i="51"/>
  <c r="G907" i="51"/>
  <c r="H907" i="51"/>
  <c r="I907" i="51"/>
  <c r="J907" i="51"/>
  <c r="E908" i="51"/>
  <c r="F908" i="51"/>
  <c r="G908" i="51"/>
  <c r="H908" i="51"/>
  <c r="I908" i="51"/>
  <c r="J908" i="51"/>
  <c r="E909" i="51"/>
  <c r="F909" i="51"/>
  <c r="G909" i="51"/>
  <c r="H909" i="51"/>
  <c r="I909" i="51"/>
  <c r="J909" i="51"/>
  <c r="E910" i="51"/>
  <c r="F910" i="51"/>
  <c r="G910" i="51"/>
  <c r="H910" i="51"/>
  <c r="I910" i="51"/>
  <c r="J910" i="51"/>
  <c r="E911" i="51"/>
  <c r="F911" i="51"/>
  <c r="G911" i="51"/>
  <c r="H911" i="51"/>
  <c r="I911" i="51"/>
  <c r="J911" i="51"/>
  <c r="E912" i="51"/>
  <c r="F912" i="51"/>
  <c r="G912" i="51"/>
  <c r="H912" i="51"/>
  <c r="I912" i="51"/>
  <c r="J912" i="51"/>
  <c r="E913" i="51"/>
  <c r="F913" i="51"/>
  <c r="G913" i="51"/>
  <c r="H913" i="51"/>
  <c r="I913" i="51"/>
  <c r="J913" i="51"/>
  <c r="E914" i="51"/>
  <c r="F914" i="51"/>
  <c r="G914" i="51"/>
  <c r="H914" i="51"/>
  <c r="I914" i="51"/>
  <c r="J914" i="51"/>
  <c r="E915" i="51"/>
  <c r="F915" i="51"/>
  <c r="G915" i="51"/>
  <c r="H915" i="51"/>
  <c r="I915" i="51"/>
  <c r="J915" i="51"/>
  <c r="E916" i="51"/>
  <c r="F916" i="51"/>
  <c r="G916" i="51"/>
  <c r="H916" i="51"/>
  <c r="I916" i="51"/>
  <c r="J916" i="51"/>
  <c r="E917" i="51"/>
  <c r="F917" i="51"/>
  <c r="G917" i="51"/>
  <c r="H917" i="51"/>
  <c r="I917" i="51"/>
  <c r="J917" i="51"/>
  <c r="E918" i="51"/>
  <c r="F918" i="51"/>
  <c r="G918" i="51"/>
  <c r="H918" i="51"/>
  <c r="I918" i="51"/>
  <c r="J918" i="51"/>
  <c r="E919" i="51"/>
  <c r="F919" i="51"/>
  <c r="G919" i="51"/>
  <c r="H919" i="51"/>
  <c r="I919" i="51"/>
  <c r="J919" i="51"/>
  <c r="E920" i="51"/>
  <c r="F920" i="51"/>
  <c r="G920" i="51"/>
  <c r="H920" i="51"/>
  <c r="I920" i="51"/>
  <c r="J920" i="51"/>
  <c r="E921" i="51"/>
  <c r="F921" i="51"/>
  <c r="G921" i="51"/>
  <c r="H921" i="51"/>
  <c r="I921" i="51"/>
  <c r="J921" i="51"/>
  <c r="E922" i="51"/>
  <c r="F922" i="51"/>
  <c r="G922" i="51"/>
  <c r="H922" i="51"/>
  <c r="I922" i="51"/>
  <c r="J922" i="51"/>
  <c r="E923" i="51"/>
  <c r="F923" i="51"/>
  <c r="G923" i="51"/>
  <c r="H923" i="51"/>
  <c r="I923" i="51"/>
  <c r="J923" i="51"/>
  <c r="E924" i="51"/>
  <c r="F924" i="51"/>
  <c r="G924" i="51"/>
  <c r="H924" i="51"/>
  <c r="I924" i="51"/>
  <c r="J924" i="51"/>
  <c r="E925" i="51"/>
  <c r="F925" i="51"/>
  <c r="G925" i="51"/>
  <c r="H925" i="51"/>
  <c r="I925" i="51"/>
  <c r="J925" i="51"/>
  <c r="E926" i="51"/>
  <c r="F926" i="51"/>
  <c r="G926" i="51"/>
  <c r="H926" i="51"/>
  <c r="I926" i="51"/>
  <c r="J926" i="51"/>
  <c r="E927" i="51"/>
  <c r="F927" i="51"/>
  <c r="G927" i="51"/>
  <c r="H927" i="51"/>
  <c r="I927" i="51"/>
  <c r="J927" i="51"/>
  <c r="E928" i="51"/>
  <c r="F928" i="51"/>
  <c r="G928" i="51"/>
  <c r="H928" i="51"/>
  <c r="I928" i="51"/>
  <c r="J928" i="51"/>
  <c r="E929" i="51"/>
  <c r="F929" i="51"/>
  <c r="G929" i="51"/>
  <c r="H929" i="51"/>
  <c r="I929" i="51"/>
  <c r="J929" i="51"/>
  <c r="E930" i="51"/>
  <c r="F930" i="51"/>
  <c r="G930" i="51"/>
  <c r="H930" i="51"/>
  <c r="I930" i="51"/>
  <c r="J930" i="51"/>
  <c r="E931" i="51"/>
  <c r="F931" i="51"/>
  <c r="G931" i="51"/>
  <c r="H931" i="51"/>
  <c r="I931" i="51"/>
  <c r="J931" i="51"/>
  <c r="E932" i="51"/>
  <c r="F932" i="51"/>
  <c r="G932" i="51"/>
  <c r="H932" i="51"/>
  <c r="I932" i="51"/>
  <c r="J932" i="51"/>
  <c r="E933" i="51"/>
  <c r="F933" i="51"/>
  <c r="G933" i="51"/>
  <c r="H933" i="51"/>
  <c r="I933" i="51"/>
  <c r="J933" i="51"/>
  <c r="E934" i="51"/>
  <c r="F934" i="51"/>
  <c r="G934" i="51"/>
  <c r="H934" i="51"/>
  <c r="I934" i="51"/>
  <c r="J934" i="51"/>
  <c r="E935" i="51"/>
  <c r="F935" i="51"/>
  <c r="G935" i="51"/>
  <c r="H935" i="51"/>
  <c r="I935" i="51"/>
  <c r="J935" i="51"/>
  <c r="E936" i="51"/>
  <c r="F936" i="51"/>
  <c r="G936" i="51"/>
  <c r="H936" i="51"/>
  <c r="I936" i="51"/>
  <c r="J936" i="51"/>
  <c r="E937" i="51"/>
  <c r="F937" i="51"/>
  <c r="G937" i="51"/>
  <c r="H937" i="51"/>
  <c r="I937" i="51"/>
  <c r="J937" i="51"/>
  <c r="E938" i="51"/>
  <c r="F938" i="51"/>
  <c r="G938" i="51"/>
  <c r="H938" i="51"/>
  <c r="I938" i="51"/>
  <c r="J938" i="51"/>
  <c r="E939" i="51"/>
  <c r="F939" i="51"/>
  <c r="G939" i="51"/>
  <c r="H939" i="51"/>
  <c r="I939" i="51"/>
  <c r="J939" i="51"/>
  <c r="E940" i="51"/>
  <c r="F940" i="51"/>
  <c r="G940" i="51"/>
  <c r="H940" i="51"/>
  <c r="I940" i="51"/>
  <c r="J940" i="51"/>
  <c r="E941" i="51"/>
  <c r="F941" i="51"/>
  <c r="G941" i="51"/>
  <c r="H941" i="51"/>
  <c r="I941" i="51"/>
  <c r="J941" i="51"/>
  <c r="E942" i="51"/>
  <c r="F942" i="51"/>
  <c r="G942" i="51"/>
  <c r="H942" i="51"/>
  <c r="I942" i="51"/>
  <c r="J942" i="51"/>
  <c r="E943" i="51"/>
  <c r="F943" i="51"/>
  <c r="G943" i="51"/>
  <c r="H943" i="51"/>
  <c r="I943" i="51"/>
  <c r="J943" i="51"/>
  <c r="E944" i="51"/>
  <c r="F944" i="51"/>
  <c r="G944" i="51"/>
  <c r="H944" i="51"/>
  <c r="I944" i="51"/>
  <c r="J944" i="51"/>
  <c r="E945" i="51"/>
  <c r="F945" i="51"/>
  <c r="G945" i="51"/>
  <c r="H945" i="51"/>
  <c r="I945" i="51"/>
  <c r="J945" i="51"/>
  <c r="E946" i="51"/>
  <c r="F946" i="51"/>
  <c r="G946" i="51"/>
  <c r="H946" i="51"/>
  <c r="I946" i="51"/>
  <c r="J946" i="51"/>
  <c r="E947" i="51"/>
  <c r="F947" i="51"/>
  <c r="G947" i="51"/>
  <c r="H947" i="51"/>
  <c r="I947" i="51"/>
  <c r="J947" i="51"/>
  <c r="E948" i="51"/>
  <c r="F948" i="51"/>
  <c r="G948" i="51"/>
  <c r="H948" i="51"/>
  <c r="I948" i="51"/>
  <c r="J948" i="51"/>
  <c r="E949" i="51"/>
  <c r="F949" i="51"/>
  <c r="G949" i="51"/>
  <c r="H949" i="51"/>
  <c r="I949" i="51"/>
  <c r="J949" i="51"/>
  <c r="E950" i="51"/>
  <c r="F950" i="51"/>
  <c r="G950" i="51"/>
  <c r="H950" i="51"/>
  <c r="I950" i="51"/>
  <c r="J950" i="51"/>
  <c r="E765" i="51"/>
  <c r="F765" i="51"/>
  <c r="G765" i="51"/>
  <c r="H765" i="51"/>
  <c r="I765" i="51"/>
  <c r="J765" i="51"/>
  <c r="E766" i="51"/>
  <c r="F766" i="51"/>
  <c r="G766" i="51"/>
  <c r="H766" i="51"/>
  <c r="I766" i="51"/>
  <c r="J766" i="51"/>
  <c r="E767" i="51"/>
  <c r="F767" i="51"/>
  <c r="G767" i="51"/>
  <c r="H767" i="51"/>
  <c r="I767" i="51"/>
  <c r="J767" i="51"/>
  <c r="E768" i="51"/>
  <c r="F768" i="51"/>
  <c r="G768" i="51"/>
  <c r="H768" i="51"/>
  <c r="I768" i="51"/>
  <c r="J768" i="51"/>
  <c r="E769" i="51"/>
  <c r="F769" i="51"/>
  <c r="G769" i="51"/>
  <c r="H769" i="51"/>
  <c r="I769" i="51"/>
  <c r="J769" i="51"/>
  <c r="E770" i="51"/>
  <c r="F770" i="51"/>
  <c r="G770" i="51"/>
  <c r="H770" i="51"/>
  <c r="I770" i="51"/>
  <c r="J770" i="51"/>
  <c r="E771" i="51"/>
  <c r="F771" i="51"/>
  <c r="G771" i="51"/>
  <c r="H771" i="51"/>
  <c r="I771" i="51"/>
  <c r="J771" i="51"/>
  <c r="E772" i="51"/>
  <c r="F772" i="51"/>
  <c r="G772" i="51"/>
  <c r="H772" i="51"/>
  <c r="I772" i="51"/>
  <c r="J772" i="51"/>
  <c r="E773" i="51"/>
  <c r="F773" i="51"/>
  <c r="G773" i="51"/>
  <c r="H773" i="51"/>
  <c r="I773" i="51"/>
  <c r="J773" i="51"/>
  <c r="E797" i="51"/>
  <c r="F797" i="51"/>
  <c r="G797" i="51"/>
  <c r="H797" i="51"/>
  <c r="I797" i="51"/>
  <c r="J797" i="51"/>
  <c r="E798" i="51"/>
  <c r="F798" i="51"/>
  <c r="G798" i="51"/>
  <c r="H798" i="51"/>
  <c r="I798" i="51"/>
  <c r="J798" i="51"/>
  <c r="E799" i="51"/>
  <c r="F799" i="51"/>
  <c r="G799" i="51"/>
  <c r="H799" i="51"/>
  <c r="I799" i="51"/>
  <c r="J799" i="51"/>
  <c r="E800" i="51"/>
  <c r="F800" i="51"/>
  <c r="G800" i="51"/>
  <c r="H800" i="51"/>
  <c r="I800" i="51"/>
  <c r="J800" i="51"/>
  <c r="E801" i="51"/>
  <c r="F801" i="51"/>
  <c r="G801" i="51"/>
  <c r="H801" i="51"/>
  <c r="I801" i="51"/>
  <c r="J801" i="51"/>
  <c r="E802" i="51"/>
  <c r="F802" i="51"/>
  <c r="G802" i="51"/>
  <c r="H802" i="51"/>
  <c r="I802" i="51"/>
  <c r="J802" i="51"/>
  <c r="E803" i="51"/>
  <c r="F803" i="51"/>
  <c r="G803" i="51"/>
  <c r="H803" i="51"/>
  <c r="I803" i="51"/>
  <c r="J803" i="51"/>
  <c r="E804" i="51"/>
  <c r="F804" i="51"/>
  <c r="G804" i="51"/>
  <c r="H804" i="51"/>
  <c r="I804" i="51"/>
  <c r="J804" i="51"/>
  <c r="E805" i="51"/>
  <c r="F805" i="51"/>
  <c r="G805" i="51"/>
  <c r="H805" i="51"/>
  <c r="I805" i="51"/>
  <c r="J805" i="51"/>
  <c r="E806" i="51"/>
  <c r="F806" i="51"/>
  <c r="G806" i="51"/>
  <c r="H806" i="51"/>
  <c r="I806" i="51"/>
  <c r="J806" i="51"/>
  <c r="E807" i="51"/>
  <c r="F807" i="51"/>
  <c r="G807" i="51"/>
  <c r="H807" i="51"/>
  <c r="I807" i="51"/>
  <c r="J807" i="51"/>
  <c r="E808" i="51"/>
  <c r="F808" i="51"/>
  <c r="G808" i="51"/>
  <c r="H808" i="51"/>
  <c r="I808" i="51"/>
  <c r="J808" i="51"/>
  <c r="E809" i="51"/>
  <c r="F809" i="51"/>
  <c r="G809" i="51"/>
  <c r="H809" i="51"/>
  <c r="I809" i="51"/>
  <c r="J809" i="51"/>
  <c r="E810" i="51"/>
  <c r="F810" i="51"/>
  <c r="G810" i="51"/>
  <c r="H810" i="51"/>
  <c r="I810" i="51"/>
  <c r="J810" i="51"/>
  <c r="E811" i="51"/>
  <c r="F811" i="51"/>
  <c r="G811" i="51"/>
  <c r="H811" i="51"/>
  <c r="I811" i="51"/>
  <c r="J811" i="51"/>
  <c r="E812" i="51"/>
  <c r="F812" i="51"/>
  <c r="G812" i="51"/>
  <c r="H812" i="51"/>
  <c r="I812" i="51"/>
  <c r="J812" i="51"/>
  <c r="E813" i="51"/>
  <c r="F813" i="51"/>
  <c r="G813" i="51"/>
  <c r="H813" i="51"/>
  <c r="I813" i="51"/>
  <c r="J813" i="51"/>
  <c r="E814" i="51"/>
  <c r="F814" i="51"/>
  <c r="G814" i="51"/>
  <c r="H814" i="51"/>
  <c r="I814" i="51"/>
  <c r="J814" i="51"/>
  <c r="E815" i="51"/>
  <c r="F815" i="51"/>
  <c r="G815" i="51"/>
  <c r="H815" i="51"/>
  <c r="I815" i="51"/>
  <c r="J815" i="51"/>
  <c r="E816" i="51"/>
  <c r="F816" i="51"/>
  <c r="G816" i="51"/>
  <c r="H816" i="51"/>
  <c r="I816" i="51"/>
  <c r="J816" i="51"/>
  <c r="E716" i="51"/>
  <c r="F716" i="51"/>
  <c r="G716" i="51"/>
  <c r="H716" i="51"/>
  <c r="I716" i="51"/>
  <c r="J716" i="51"/>
  <c r="F717" i="51"/>
  <c r="G717" i="51"/>
  <c r="H717" i="51"/>
  <c r="I717" i="51"/>
  <c r="J717" i="51"/>
  <c r="E718" i="51"/>
  <c r="F718" i="51"/>
  <c r="G718" i="51"/>
  <c r="H718" i="51"/>
  <c r="I718" i="51"/>
  <c r="J718" i="51"/>
  <c r="E719" i="51"/>
  <c r="F719" i="51"/>
  <c r="G719" i="51"/>
  <c r="H719" i="51"/>
  <c r="I719" i="51"/>
  <c r="J719" i="51"/>
  <c r="E720" i="51"/>
  <c r="F720" i="51"/>
  <c r="G720" i="51"/>
  <c r="H720" i="51"/>
  <c r="I720" i="51"/>
  <c r="J720" i="51"/>
  <c r="E721" i="51"/>
  <c r="F721" i="51"/>
  <c r="G721" i="51"/>
  <c r="H721" i="51"/>
  <c r="I721" i="51"/>
  <c r="J721" i="51"/>
  <c r="E722" i="51"/>
  <c r="F722" i="51"/>
  <c r="G722" i="51"/>
  <c r="H722" i="51"/>
  <c r="I722" i="51"/>
  <c r="J722" i="51"/>
  <c r="E723" i="51"/>
  <c r="F723" i="51"/>
  <c r="G723" i="51"/>
  <c r="H723" i="51"/>
  <c r="I723" i="51"/>
  <c r="J723" i="51"/>
  <c r="E724" i="51"/>
  <c r="F724" i="51"/>
  <c r="G724" i="51"/>
  <c r="H724" i="51"/>
  <c r="I724" i="51"/>
  <c r="J724" i="51"/>
  <c r="E725" i="51"/>
  <c r="F725" i="51"/>
  <c r="G725" i="51"/>
  <c r="H725" i="51"/>
  <c r="I725" i="51"/>
  <c r="J725" i="51"/>
  <c r="E726" i="51"/>
  <c r="F726" i="51"/>
  <c r="G726" i="51"/>
  <c r="H726" i="51"/>
  <c r="I726" i="51"/>
  <c r="J726" i="51"/>
  <c r="E727" i="51"/>
  <c r="F727" i="51"/>
  <c r="G727" i="51"/>
  <c r="H727" i="51"/>
  <c r="I727" i="51"/>
  <c r="J727" i="51"/>
  <c r="E728" i="51"/>
  <c r="F728" i="51"/>
  <c r="G728" i="51"/>
  <c r="H728" i="51"/>
  <c r="I728" i="51"/>
  <c r="J728" i="51"/>
  <c r="E729" i="51"/>
  <c r="F729" i="51"/>
  <c r="G729" i="51"/>
  <c r="H729" i="51"/>
  <c r="I729" i="51"/>
  <c r="J729" i="51"/>
  <c r="E730" i="51"/>
  <c r="F730" i="51"/>
  <c r="G730" i="51"/>
  <c r="H730" i="51"/>
  <c r="I730" i="51"/>
  <c r="J730" i="51"/>
  <c r="E731" i="51"/>
  <c r="F731" i="51"/>
  <c r="G731" i="51"/>
  <c r="H731" i="51"/>
  <c r="I731" i="51"/>
  <c r="J731" i="51"/>
  <c r="E732" i="51"/>
  <c r="F732" i="51"/>
  <c r="G732" i="51"/>
  <c r="H732" i="51"/>
  <c r="I732" i="51"/>
  <c r="J732" i="51"/>
  <c r="E733" i="51"/>
  <c r="F733" i="51"/>
  <c r="G733" i="51"/>
  <c r="H733" i="51"/>
  <c r="I733" i="51"/>
  <c r="J733" i="51"/>
  <c r="E734" i="51"/>
  <c r="F734" i="51"/>
  <c r="G734" i="51"/>
  <c r="H734" i="51"/>
  <c r="I734" i="51"/>
  <c r="J734" i="51"/>
  <c r="E735" i="51"/>
  <c r="F735" i="51"/>
  <c r="G735" i="51"/>
  <c r="H735" i="51"/>
  <c r="I735" i="51"/>
  <c r="J735" i="51"/>
  <c r="E736" i="51"/>
  <c r="F736" i="51"/>
  <c r="G736" i="51"/>
  <c r="H736" i="51"/>
  <c r="I736" i="51"/>
  <c r="J736" i="51"/>
  <c r="E737" i="51"/>
  <c r="F737" i="51"/>
  <c r="G737" i="51"/>
  <c r="H737" i="51"/>
  <c r="I737" i="51"/>
  <c r="J737" i="51"/>
  <c r="E738" i="51"/>
  <c r="F738" i="51"/>
  <c r="G738" i="51"/>
  <c r="H738" i="51"/>
  <c r="I738" i="51"/>
  <c r="J738" i="51"/>
  <c r="E739" i="51"/>
  <c r="F739" i="51"/>
  <c r="G739" i="51"/>
  <c r="H739" i="51"/>
  <c r="I739" i="51"/>
  <c r="J739" i="51"/>
  <c r="F740" i="51"/>
  <c r="G740" i="51"/>
  <c r="H740" i="51"/>
  <c r="I740" i="51"/>
  <c r="J740" i="51"/>
  <c r="F741" i="51"/>
  <c r="G741" i="51"/>
  <c r="H741" i="51"/>
  <c r="I741" i="51"/>
  <c r="J741" i="51"/>
  <c r="E742" i="51"/>
  <c r="F742" i="51"/>
  <c r="G742" i="51"/>
  <c r="H742" i="51"/>
  <c r="I742" i="51"/>
  <c r="J742" i="51"/>
  <c r="E743" i="51"/>
  <c r="F743" i="51"/>
  <c r="G743" i="51"/>
  <c r="H743" i="51"/>
  <c r="I743" i="51"/>
  <c r="J743" i="51"/>
  <c r="E744" i="51"/>
  <c r="F744" i="51"/>
  <c r="G744" i="51"/>
  <c r="H744" i="51"/>
  <c r="I744" i="51"/>
  <c r="J744" i="51"/>
  <c r="E745" i="51"/>
  <c r="F745" i="51"/>
  <c r="G745" i="51"/>
  <c r="H745" i="51"/>
  <c r="I745" i="51"/>
  <c r="J745" i="51"/>
  <c r="E746" i="51"/>
  <c r="F746" i="51"/>
  <c r="G746" i="51"/>
  <c r="H746" i="51"/>
  <c r="I746" i="51"/>
  <c r="J746" i="51"/>
  <c r="E747" i="51"/>
  <c r="F747" i="51"/>
  <c r="G747" i="51"/>
  <c r="H747" i="51"/>
  <c r="I747" i="51"/>
  <c r="J747" i="51"/>
  <c r="E748" i="51"/>
  <c r="F748" i="51"/>
  <c r="G748" i="51"/>
  <c r="H748" i="51"/>
  <c r="I748" i="51"/>
  <c r="J748" i="51"/>
  <c r="E749" i="51"/>
  <c r="F749" i="51"/>
  <c r="G749" i="51"/>
  <c r="H749" i="51"/>
  <c r="I749" i="51"/>
  <c r="J749" i="51"/>
  <c r="E750" i="51"/>
  <c r="F750" i="51"/>
  <c r="G750" i="51"/>
  <c r="H750" i="51"/>
  <c r="I750" i="51"/>
  <c r="J750" i="51"/>
  <c r="E751" i="51"/>
  <c r="F751" i="51"/>
  <c r="G751" i="51"/>
  <c r="H751" i="51"/>
  <c r="I751" i="51"/>
  <c r="J751" i="51"/>
  <c r="E752" i="51"/>
  <c r="F752" i="51"/>
  <c r="G752" i="51"/>
  <c r="H752" i="51"/>
  <c r="I752" i="51"/>
  <c r="J752" i="51"/>
  <c r="E753" i="51"/>
  <c r="F753" i="51"/>
  <c r="G753" i="51"/>
  <c r="H753" i="51"/>
  <c r="I753" i="51"/>
  <c r="J753" i="51"/>
  <c r="E754" i="51"/>
  <c r="F754" i="51"/>
  <c r="G754" i="51"/>
  <c r="H754" i="51"/>
  <c r="I754" i="51"/>
  <c r="J754" i="51"/>
  <c r="E755" i="51"/>
  <c r="F755" i="51"/>
  <c r="G755" i="51"/>
  <c r="H755" i="51"/>
  <c r="I755" i="51"/>
  <c r="J755" i="51"/>
  <c r="E756" i="51"/>
  <c r="F756" i="51"/>
  <c r="G756" i="51"/>
  <c r="H756" i="51"/>
  <c r="I756" i="51"/>
  <c r="J756" i="51"/>
  <c r="E757" i="51"/>
  <c r="F757" i="51"/>
  <c r="G757" i="51"/>
  <c r="H757" i="51"/>
  <c r="I757" i="51"/>
  <c r="J757" i="51"/>
  <c r="E758" i="51"/>
  <c r="F758" i="51"/>
  <c r="G758" i="51"/>
  <c r="H758" i="51"/>
  <c r="I758" i="51"/>
  <c r="J758" i="51"/>
  <c r="E759" i="51"/>
  <c r="F759" i="51"/>
  <c r="G759" i="51"/>
  <c r="H759" i="51"/>
  <c r="I759" i="51"/>
  <c r="J759" i="51"/>
  <c r="E760" i="51"/>
  <c r="F760" i="51"/>
  <c r="G760" i="51"/>
  <c r="H760" i="51"/>
  <c r="I760" i="51"/>
  <c r="J760" i="51"/>
  <c r="E761" i="51"/>
  <c r="F761" i="51"/>
  <c r="G761" i="51"/>
  <c r="H761" i="51"/>
  <c r="I761" i="51"/>
  <c r="J761" i="51"/>
  <c r="E762" i="51"/>
  <c r="F762" i="51"/>
  <c r="G762" i="51"/>
  <c r="H762" i="51"/>
  <c r="I762" i="51"/>
  <c r="J762" i="51"/>
  <c r="E763" i="51"/>
  <c r="F763" i="51"/>
  <c r="G763" i="51"/>
  <c r="H763" i="51"/>
  <c r="I763" i="51"/>
  <c r="J763" i="51"/>
  <c r="E764" i="51"/>
  <c r="F764" i="51"/>
  <c r="G764" i="51"/>
  <c r="H764" i="51"/>
  <c r="I764" i="51"/>
  <c r="J764" i="51"/>
  <c r="E701" i="51"/>
  <c r="F701" i="51"/>
  <c r="G701" i="51"/>
  <c r="H701" i="51"/>
  <c r="I701" i="51"/>
  <c r="J701" i="51"/>
  <c r="E702" i="51"/>
  <c r="F702" i="51"/>
  <c r="G702" i="51"/>
  <c r="H702" i="51"/>
  <c r="I702" i="51"/>
  <c r="J702" i="51"/>
  <c r="E703" i="51"/>
  <c r="F703" i="51"/>
  <c r="G703" i="51"/>
  <c r="H703" i="51"/>
  <c r="I703" i="51"/>
  <c r="J703" i="51"/>
  <c r="E704" i="51"/>
  <c r="F704" i="51"/>
  <c r="G704" i="51"/>
  <c r="H704" i="51"/>
  <c r="I704" i="51"/>
  <c r="J704" i="51"/>
  <c r="E705" i="51"/>
  <c r="F705" i="51"/>
  <c r="G705" i="51"/>
  <c r="H705" i="51"/>
  <c r="I705" i="51"/>
  <c r="J705" i="51"/>
  <c r="E706" i="51"/>
  <c r="F706" i="51"/>
  <c r="G706" i="51"/>
  <c r="H706" i="51"/>
  <c r="I706" i="51"/>
  <c r="J706" i="51"/>
  <c r="E684" i="51"/>
  <c r="F684" i="51"/>
  <c r="G684" i="51"/>
  <c r="H684" i="51"/>
  <c r="I684" i="51"/>
  <c r="J684" i="51"/>
  <c r="E685" i="51"/>
  <c r="F685" i="51"/>
  <c r="G685" i="51"/>
  <c r="H685" i="51"/>
  <c r="I685" i="51"/>
  <c r="J685" i="51"/>
  <c r="E686" i="51"/>
  <c r="F686" i="51"/>
  <c r="G686" i="51"/>
  <c r="H686" i="51"/>
  <c r="I686" i="51"/>
  <c r="J686" i="51"/>
  <c r="E687" i="51"/>
  <c r="F687" i="51"/>
  <c r="G687" i="51"/>
  <c r="H687" i="51"/>
  <c r="I687" i="51"/>
  <c r="J687" i="51"/>
  <c r="E688" i="51"/>
  <c r="F688" i="51"/>
  <c r="G688" i="51"/>
  <c r="H688" i="51"/>
  <c r="I688" i="51"/>
  <c r="J688" i="51"/>
  <c r="E689" i="51"/>
  <c r="F689" i="51"/>
  <c r="G689" i="51"/>
  <c r="H689" i="51"/>
  <c r="I689" i="51"/>
  <c r="J689" i="51"/>
  <c r="E690" i="51"/>
  <c r="F690" i="51"/>
  <c r="G690" i="51"/>
  <c r="H690" i="51"/>
  <c r="I690" i="51"/>
  <c r="J690" i="51"/>
  <c r="E691" i="51"/>
  <c r="F691" i="51"/>
  <c r="G691" i="51"/>
  <c r="H691" i="51"/>
  <c r="I691" i="51"/>
  <c r="J691" i="51"/>
  <c r="E692" i="51"/>
  <c r="F692" i="51"/>
  <c r="G692" i="51"/>
  <c r="H692" i="51"/>
  <c r="I692" i="51"/>
  <c r="J692" i="51"/>
  <c r="E693" i="51"/>
  <c r="F693" i="51"/>
  <c r="G693" i="51"/>
  <c r="H693" i="51"/>
  <c r="I693" i="51"/>
  <c r="J693" i="51"/>
  <c r="E694" i="51"/>
  <c r="F694" i="51"/>
  <c r="G694" i="51"/>
  <c r="H694" i="51"/>
  <c r="I694" i="51"/>
  <c r="J694" i="51"/>
  <c r="E695" i="51"/>
  <c r="F695" i="51"/>
  <c r="G695" i="51"/>
  <c r="H695" i="51"/>
  <c r="I695" i="51"/>
  <c r="J695" i="51"/>
  <c r="E696" i="51"/>
  <c r="F696" i="51"/>
  <c r="G696" i="51"/>
  <c r="H696" i="51"/>
  <c r="I696" i="51"/>
  <c r="J696" i="51"/>
  <c r="E697" i="51"/>
  <c r="F697" i="51"/>
  <c r="G697" i="51"/>
  <c r="H697" i="51"/>
  <c r="I697" i="51"/>
  <c r="J697" i="51"/>
  <c r="E698" i="51"/>
  <c r="F698" i="51"/>
  <c r="G698" i="51"/>
  <c r="H698" i="51"/>
  <c r="I698" i="51"/>
  <c r="J698" i="51"/>
  <c r="E699" i="51"/>
  <c r="F699" i="51"/>
  <c r="G699" i="51"/>
  <c r="H699" i="51"/>
  <c r="I699" i="51"/>
  <c r="J699" i="51"/>
  <c r="E700" i="51"/>
  <c r="F700" i="51"/>
  <c r="G700" i="51"/>
  <c r="H700" i="51"/>
  <c r="I700" i="51"/>
  <c r="J700" i="51"/>
  <c r="E677" i="51"/>
  <c r="F677" i="51"/>
  <c r="G677" i="51"/>
  <c r="H677" i="51"/>
  <c r="I677" i="51"/>
  <c r="J677" i="51"/>
  <c r="E678" i="51"/>
  <c r="F678" i="51"/>
  <c r="G678" i="51"/>
  <c r="H678" i="51"/>
  <c r="I678" i="51"/>
  <c r="J678" i="51"/>
  <c r="E679" i="51"/>
  <c r="F679" i="51"/>
  <c r="G679" i="51"/>
  <c r="H679" i="51"/>
  <c r="I679" i="51"/>
  <c r="J679" i="51"/>
  <c r="E680" i="51"/>
  <c r="F680" i="51"/>
  <c r="G680" i="51"/>
  <c r="H680" i="51"/>
  <c r="I680" i="51"/>
  <c r="J680" i="51"/>
  <c r="E681" i="51"/>
  <c r="F681" i="51"/>
  <c r="G681" i="51"/>
  <c r="H681" i="51"/>
  <c r="I681" i="51"/>
  <c r="J681" i="51"/>
  <c r="E682" i="51"/>
  <c r="F682" i="51"/>
  <c r="G682" i="51"/>
  <c r="H682" i="51"/>
  <c r="I682" i="51"/>
  <c r="J682" i="51"/>
  <c r="E683" i="51"/>
  <c r="F683" i="51"/>
  <c r="G683" i="51"/>
  <c r="H683" i="51"/>
  <c r="I683" i="51"/>
  <c r="J683" i="51"/>
  <c r="E668" i="51"/>
  <c r="E669" i="51"/>
  <c r="E671" i="51"/>
  <c r="E673" i="51"/>
  <c r="E674" i="51"/>
  <c r="E676" i="51"/>
  <c r="E665" i="51"/>
  <c r="E664" i="51"/>
  <c r="E666" i="51"/>
  <c r="F665" i="51"/>
  <c r="G665" i="51"/>
  <c r="H665" i="51"/>
  <c r="I665" i="51"/>
  <c r="J665" i="51"/>
  <c r="F666" i="51"/>
  <c r="G666" i="51"/>
  <c r="F668" i="51"/>
  <c r="G668" i="51"/>
  <c r="F669" i="51"/>
  <c r="G669" i="51"/>
  <c r="F671" i="51"/>
  <c r="G671" i="51"/>
  <c r="F673" i="51"/>
  <c r="G673" i="51"/>
  <c r="F674" i="51"/>
  <c r="G674" i="51"/>
  <c r="F676" i="51"/>
  <c r="G676" i="51"/>
  <c r="J664" i="51"/>
  <c r="I664" i="51"/>
  <c r="H664" i="51"/>
  <c r="G664" i="51"/>
  <c r="F664" i="51"/>
  <c r="H149" i="47"/>
  <c r="O3" i="50" l="1"/>
  <c r="O11" i="38"/>
  <c r="O10" i="38"/>
  <c r="O11" i="9"/>
  <c r="O12" i="9"/>
  <c r="O13" i="9"/>
  <c r="O14" i="9"/>
  <c r="O15" i="9"/>
  <c r="O16" i="9"/>
  <c r="O17" i="9"/>
  <c r="O18" i="9"/>
  <c r="O19" i="9"/>
  <c r="O20" i="9"/>
  <c r="O21" i="9"/>
  <c r="O22" i="9"/>
  <c r="O10" i="9"/>
  <c r="N11" i="5"/>
  <c r="N12" i="5"/>
  <c r="N13" i="5"/>
  <c r="N14" i="5"/>
  <c r="N15" i="5"/>
  <c r="N16" i="5"/>
  <c r="N10" i="5"/>
  <c r="N11" i="35"/>
  <c r="N12" i="35"/>
  <c r="N10" i="35"/>
  <c r="O11" i="37"/>
  <c r="O12" i="37"/>
  <c r="O10" i="37"/>
  <c r="O10" i="45"/>
  <c r="O11" i="45"/>
  <c r="O12" i="45"/>
  <c r="O13" i="45"/>
  <c r="O14" i="45"/>
  <c r="O15" i="45"/>
  <c r="O16" i="45"/>
  <c r="O9" i="45"/>
  <c r="O10" i="47"/>
  <c r="O11" i="47"/>
  <c r="O12" i="47"/>
  <c r="O13" i="47"/>
  <c r="O9" i="47"/>
  <c r="O10" i="48"/>
  <c r="O11" i="48"/>
  <c r="O12" i="48"/>
  <c r="O13" i="48"/>
  <c r="O14" i="48"/>
  <c r="O15" i="48"/>
  <c r="O16" i="48"/>
  <c r="O17" i="48"/>
  <c r="O18" i="48"/>
  <c r="O19" i="48"/>
  <c r="O20" i="48"/>
  <c r="O21" i="48"/>
  <c r="O22" i="48"/>
  <c r="O23" i="48"/>
  <c r="O24" i="48"/>
  <c r="O25" i="48"/>
  <c r="O26" i="48"/>
  <c r="O9" i="48"/>
  <c r="O5" i="29"/>
  <c r="O6" i="29"/>
  <c r="O7" i="29"/>
  <c r="O8" i="29"/>
  <c r="O9" i="29"/>
  <c r="O10" i="29"/>
  <c r="O11" i="29"/>
  <c r="O12" i="29"/>
  <c r="O13" i="29"/>
  <c r="O14" i="29"/>
  <c r="O4" i="29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4" i="4"/>
  <c r="O5" i="2"/>
  <c r="O6" i="2"/>
  <c r="O7" i="2"/>
  <c r="O8" i="2"/>
  <c r="O9" i="2"/>
  <c r="O10" i="2"/>
  <c r="O11" i="2"/>
  <c r="O4" i="2"/>
  <c r="H18" i="50"/>
  <c r="K76" i="4" l="1"/>
  <c r="L76" i="4" s="1"/>
  <c r="H76" i="4"/>
  <c r="I76" i="4" s="1"/>
  <c r="I18" i="50" l="1"/>
  <c r="K7" i="50"/>
  <c r="L7" i="50" s="1"/>
  <c r="K8" i="50"/>
  <c r="L8" i="50" s="1"/>
  <c r="K9" i="50"/>
  <c r="L9" i="50" s="1"/>
  <c r="K10" i="50"/>
  <c r="L10" i="50" s="1"/>
  <c r="K11" i="50"/>
  <c r="L11" i="50" s="1"/>
  <c r="K12" i="50"/>
  <c r="L12" i="50" s="1"/>
  <c r="K13" i="50"/>
  <c r="L13" i="50" s="1"/>
  <c r="K15" i="50"/>
  <c r="L15" i="50" s="1"/>
  <c r="K16" i="50"/>
  <c r="L16" i="50" s="1"/>
  <c r="K6" i="50"/>
  <c r="L6" i="50" s="1"/>
  <c r="H14" i="50"/>
  <c r="K66" i="38"/>
  <c r="L66" i="38" s="1"/>
  <c r="K67" i="38"/>
  <c r="L67" i="38" s="1"/>
  <c r="K68" i="38"/>
  <c r="L68" i="38" s="1"/>
  <c r="K69" i="38"/>
  <c r="L69" i="38" s="1"/>
  <c r="K71" i="38"/>
  <c r="L71" i="38" s="1"/>
  <c r="K65" i="38"/>
  <c r="L65" i="38" s="1"/>
  <c r="K62" i="38"/>
  <c r="L62" i="38" s="1"/>
  <c r="K61" i="38"/>
  <c r="L61" i="38" s="1"/>
  <c r="K43" i="38"/>
  <c r="L43" i="38" s="1"/>
  <c r="K41" i="38"/>
  <c r="L41" i="38" s="1"/>
  <c r="K38" i="38"/>
  <c r="L38" i="38" s="1"/>
  <c r="K37" i="38"/>
  <c r="L37" i="38" s="1"/>
  <c r="H78" i="38"/>
  <c r="I78" i="38" s="1"/>
  <c r="H79" i="38"/>
  <c r="I79" i="38" s="1"/>
  <c r="H80" i="38"/>
  <c r="I80" i="38" s="1"/>
  <c r="H81" i="38"/>
  <c r="I81" i="38" s="1"/>
  <c r="H77" i="38"/>
  <c r="I77" i="38" s="1"/>
  <c r="H75" i="38"/>
  <c r="I75" i="38" s="1"/>
  <c r="H73" i="38"/>
  <c r="I73" i="38" s="1"/>
  <c r="H71" i="38"/>
  <c r="I71" i="38" s="1"/>
  <c r="H67" i="38"/>
  <c r="I67" i="38" s="1"/>
  <c r="H68" i="38"/>
  <c r="I68" i="38" s="1"/>
  <c r="H69" i="38"/>
  <c r="I69" i="38" s="1"/>
  <c r="H66" i="38"/>
  <c r="I66" i="38" s="1"/>
  <c r="H65" i="38"/>
  <c r="I65" i="38" s="1"/>
  <c r="H62" i="38"/>
  <c r="I62" i="38" s="1"/>
  <c r="H61" i="38"/>
  <c r="I61" i="38" s="1"/>
  <c r="H44" i="38"/>
  <c r="I44" i="38" s="1"/>
  <c r="H43" i="38"/>
  <c r="I43" i="38" s="1"/>
  <c r="H41" i="38"/>
  <c r="I41" i="38" s="1"/>
  <c r="H38" i="38"/>
  <c r="I38" i="38" s="1"/>
  <c r="H37" i="38"/>
  <c r="I37" i="38" s="1"/>
  <c r="K35" i="38"/>
  <c r="L35" i="38" s="1"/>
  <c r="H35" i="38"/>
  <c r="I35" i="38" s="1"/>
  <c r="O12" i="38"/>
  <c r="O13" i="38" s="1"/>
  <c r="P13" i="38"/>
  <c r="H144" i="9" l="1"/>
  <c r="I144" i="9" s="1"/>
  <c r="K146" i="9"/>
  <c r="L146" i="9" s="1"/>
  <c r="K132" i="9"/>
  <c r="L132" i="9" s="1"/>
  <c r="Q23" i="9"/>
  <c r="K205" i="9"/>
  <c r="L205" i="9" s="1"/>
  <c r="K192" i="9"/>
  <c r="L192" i="9" s="1"/>
  <c r="K185" i="9"/>
  <c r="L185" i="9" s="1"/>
  <c r="K180" i="9"/>
  <c r="L180" i="9" s="1"/>
  <c r="K153" i="9"/>
  <c r="L153" i="9" s="1"/>
  <c r="K140" i="9"/>
  <c r="L140" i="9" s="1"/>
  <c r="K125" i="9"/>
  <c r="L125" i="9" s="1"/>
  <c r="K118" i="9"/>
  <c r="L118" i="9" s="1"/>
  <c r="K95" i="9"/>
  <c r="L95" i="9" s="1"/>
  <c r="K70" i="9"/>
  <c r="L70" i="9" s="1"/>
  <c r="K55" i="9"/>
  <c r="L55" i="9" s="1"/>
  <c r="K41" i="9"/>
  <c r="L41" i="9" s="1"/>
  <c r="H207" i="9"/>
  <c r="I207" i="9" s="1"/>
  <c r="H202" i="9"/>
  <c r="I202" i="9" s="1"/>
  <c r="H203" i="9"/>
  <c r="I203" i="9" s="1"/>
  <c r="H204" i="9"/>
  <c r="I204" i="9" s="1"/>
  <c r="H205" i="9"/>
  <c r="I205" i="9" s="1"/>
  <c r="H201" i="9"/>
  <c r="I201" i="9" s="1"/>
  <c r="H200" i="9"/>
  <c r="I200" i="9" s="1"/>
  <c r="H191" i="9"/>
  <c r="I191" i="9" s="1"/>
  <c r="H190" i="9"/>
  <c r="I190" i="9" s="1"/>
  <c r="H184" i="9"/>
  <c r="I184" i="9" s="1"/>
  <c r="H183" i="9"/>
  <c r="I183" i="9" s="1"/>
  <c r="H182" i="9"/>
  <c r="I182" i="9" s="1"/>
  <c r="H173" i="9"/>
  <c r="I173" i="9"/>
  <c r="H174" i="9"/>
  <c r="I174" i="9" s="1"/>
  <c r="H175" i="9"/>
  <c r="I175" i="9" s="1"/>
  <c r="H176" i="9"/>
  <c r="I176" i="9" s="1"/>
  <c r="H177" i="9"/>
  <c r="I177" i="9" s="1"/>
  <c r="H178" i="9"/>
  <c r="I178" i="9" s="1"/>
  <c r="H179" i="9"/>
  <c r="I179" i="9" s="1"/>
  <c r="H172" i="9"/>
  <c r="I172" i="9" s="1"/>
  <c r="H160" i="9"/>
  <c r="I160" i="9" s="1"/>
  <c r="H161" i="9"/>
  <c r="I161" i="9" s="1"/>
  <c r="H162" i="9"/>
  <c r="I162" i="9"/>
  <c r="H163" i="9"/>
  <c r="I163" i="9" s="1"/>
  <c r="H164" i="9"/>
  <c r="I164" i="9" s="1"/>
  <c r="H165" i="9"/>
  <c r="I165" i="9" s="1"/>
  <c r="H166" i="9"/>
  <c r="I166" i="9" s="1"/>
  <c r="H167" i="9"/>
  <c r="I167" i="9" s="1"/>
  <c r="H168" i="9"/>
  <c r="I168" i="9" s="1"/>
  <c r="H159" i="9"/>
  <c r="I159" i="9" s="1"/>
  <c r="H158" i="9"/>
  <c r="I158" i="9" s="1"/>
  <c r="H152" i="9"/>
  <c r="I152" i="9" s="1"/>
  <c r="H151" i="9"/>
  <c r="I151" i="9" s="1"/>
  <c r="H139" i="9"/>
  <c r="I139" i="9" s="1"/>
  <c r="H145" i="9"/>
  <c r="I145" i="9" s="1"/>
  <c r="H138" i="9"/>
  <c r="I138" i="9" s="1"/>
  <c r="H137" i="9"/>
  <c r="I137" i="9" s="1"/>
  <c r="H131" i="9"/>
  <c r="I131" i="9" s="1"/>
  <c r="H130" i="9"/>
  <c r="I130" i="9" s="1"/>
  <c r="H124" i="9"/>
  <c r="I124" i="9" s="1"/>
  <c r="H123" i="9"/>
  <c r="I123" i="9" s="1"/>
  <c r="H111" i="9"/>
  <c r="I111" i="9" s="1"/>
  <c r="H112" i="9"/>
  <c r="I112" i="9" s="1"/>
  <c r="H113" i="9"/>
  <c r="I113" i="9" s="1"/>
  <c r="H114" i="9"/>
  <c r="I114" i="9" s="1"/>
  <c r="H115" i="9"/>
  <c r="I115" i="9" s="1"/>
  <c r="H116" i="9"/>
  <c r="I116" i="9" s="1"/>
  <c r="H117" i="9"/>
  <c r="I117" i="9" s="1"/>
  <c r="H106" i="9"/>
  <c r="I106" i="9" s="1"/>
  <c r="H107" i="9"/>
  <c r="I107" i="9" s="1"/>
  <c r="H108" i="9"/>
  <c r="I108" i="9" s="1"/>
  <c r="H109" i="9"/>
  <c r="I109" i="9" s="1"/>
  <c r="H110" i="9"/>
  <c r="I110" i="9" s="1"/>
  <c r="H105" i="9"/>
  <c r="I105" i="9" s="1"/>
  <c r="H104" i="9"/>
  <c r="I104" i="9" s="1"/>
  <c r="H103" i="9"/>
  <c r="I103" i="9" s="1"/>
  <c r="H102" i="9"/>
  <c r="I102" i="9" s="1"/>
  <c r="H101" i="9"/>
  <c r="I101" i="9" s="1"/>
  <c r="H100" i="9"/>
  <c r="I100" i="9" s="1"/>
  <c r="H91" i="9"/>
  <c r="I91" i="9" s="1"/>
  <c r="H92" i="9"/>
  <c r="I92" i="9" s="1"/>
  <c r="H93" i="9"/>
  <c r="I93" i="9" s="1"/>
  <c r="H94" i="9"/>
  <c r="I94" i="9" s="1"/>
  <c r="H90" i="9"/>
  <c r="I90" i="9" s="1"/>
  <c r="H89" i="9"/>
  <c r="I89" i="9" s="1"/>
  <c r="H84" i="9"/>
  <c r="I84" i="9" s="1"/>
  <c r="H85" i="9"/>
  <c r="I85" i="9"/>
  <c r="H83" i="9"/>
  <c r="I83" i="9" s="1"/>
  <c r="H82" i="9"/>
  <c r="I82" i="9" s="1"/>
  <c r="H81" i="9"/>
  <c r="I81" i="9" s="1"/>
  <c r="H80" i="9"/>
  <c r="I80" i="9" s="1"/>
  <c r="H79" i="9"/>
  <c r="I79" i="9" s="1"/>
  <c r="H78" i="9"/>
  <c r="I78" i="9" s="1"/>
  <c r="H77" i="9"/>
  <c r="I77" i="9" s="1"/>
  <c r="H76" i="9"/>
  <c r="I76" i="9" s="1"/>
  <c r="H75" i="9"/>
  <c r="I75" i="9" s="1"/>
  <c r="H69" i="9"/>
  <c r="I69" i="9" s="1"/>
  <c r="H68" i="9"/>
  <c r="I68" i="9" s="1"/>
  <c r="H67" i="9"/>
  <c r="I67" i="9" s="1"/>
  <c r="H66" i="9"/>
  <c r="I66" i="9" s="1"/>
  <c r="H65" i="9"/>
  <c r="I65" i="9" s="1"/>
  <c r="H64" i="9"/>
  <c r="I64" i="9" s="1"/>
  <c r="H63" i="9"/>
  <c r="I63" i="9" s="1"/>
  <c r="H62" i="9"/>
  <c r="I62" i="9" s="1"/>
  <c r="H61" i="9"/>
  <c r="I61" i="9" s="1"/>
  <c r="H54" i="9"/>
  <c r="I54" i="9" s="1"/>
  <c r="H53" i="9"/>
  <c r="I53" i="9" s="1"/>
  <c r="H52" i="9"/>
  <c r="I52" i="9" s="1"/>
  <c r="H51" i="9"/>
  <c r="I51" i="9" s="1"/>
  <c r="H50" i="9"/>
  <c r="I50" i="9" s="1"/>
  <c r="H49" i="9"/>
  <c r="I49" i="9" s="1"/>
  <c r="H48" i="9"/>
  <c r="I48" i="9" s="1"/>
  <c r="H47" i="9"/>
  <c r="I47" i="9" s="1"/>
  <c r="H46" i="9"/>
  <c r="I46" i="9" s="1"/>
  <c r="H34" i="9"/>
  <c r="I34" i="9" s="1"/>
  <c r="H35" i="9"/>
  <c r="I35" i="9" s="1"/>
  <c r="H36" i="9"/>
  <c r="I36" i="9" s="1"/>
  <c r="H37" i="9"/>
  <c r="I37" i="9" s="1"/>
  <c r="H38" i="9"/>
  <c r="I38" i="9" s="1"/>
  <c r="H39" i="9"/>
  <c r="I39" i="9" s="1"/>
  <c r="H40" i="9"/>
  <c r="I40" i="9" s="1"/>
  <c r="H41" i="9"/>
  <c r="I41" i="9" s="1"/>
  <c r="H42" i="9"/>
  <c r="H43" i="9"/>
  <c r="H44" i="9"/>
  <c r="H33" i="9"/>
  <c r="I33" i="9" s="1"/>
  <c r="P24" i="9"/>
  <c r="H204" i="5"/>
  <c r="I204" i="5" s="1"/>
  <c r="H205" i="5"/>
  <c r="I205" i="5" s="1"/>
  <c r="H206" i="5"/>
  <c r="I206" i="5" s="1"/>
  <c r="H207" i="5"/>
  <c r="I207" i="5" s="1"/>
  <c r="H208" i="5"/>
  <c r="I208" i="5" s="1"/>
  <c r="H209" i="5"/>
  <c r="I209" i="5" s="1"/>
  <c r="H210" i="5"/>
  <c r="I210" i="5" s="1"/>
  <c r="H211" i="5"/>
  <c r="I211" i="5" s="1"/>
  <c r="H212" i="5"/>
  <c r="I212" i="5" s="1"/>
  <c r="H213" i="5"/>
  <c r="I213" i="5" s="1"/>
  <c r="H214" i="5"/>
  <c r="I214" i="5" s="1"/>
  <c r="H215" i="5"/>
  <c r="I215" i="5"/>
  <c r="H217" i="5"/>
  <c r="I217" i="5" s="1"/>
  <c r="H218" i="5"/>
  <c r="I218" i="5" s="1"/>
  <c r="H219" i="5"/>
  <c r="I219" i="5" s="1"/>
  <c r="H220" i="5"/>
  <c r="I220" i="5" s="1"/>
  <c r="H222" i="5"/>
  <c r="I222" i="5" s="1"/>
  <c r="H224" i="5"/>
  <c r="I224" i="5" s="1"/>
  <c r="H225" i="5"/>
  <c r="I225" i="5" s="1"/>
  <c r="H229" i="5"/>
  <c r="I229" i="5" s="1"/>
  <c r="H230" i="5"/>
  <c r="I230" i="5" s="1"/>
  <c r="H232" i="5"/>
  <c r="I232" i="5" s="1"/>
  <c r="H233" i="5"/>
  <c r="I233" i="5" s="1"/>
  <c r="H234" i="5"/>
  <c r="I234" i="5" s="1"/>
  <c r="H235" i="5"/>
  <c r="I235" i="5"/>
  <c r="H237" i="5"/>
  <c r="I237" i="5" s="1"/>
  <c r="H238" i="5"/>
  <c r="I238" i="5" s="1"/>
  <c r="H239" i="5"/>
  <c r="I239" i="5" s="1"/>
  <c r="H241" i="5"/>
  <c r="I241" i="5" s="1"/>
  <c r="H242" i="5"/>
  <c r="I242" i="5" s="1"/>
  <c r="H243" i="5"/>
  <c r="I243" i="5" s="1"/>
  <c r="H244" i="5"/>
  <c r="I244" i="5" s="1"/>
  <c r="H246" i="5"/>
  <c r="I246" i="5" s="1"/>
  <c r="H247" i="5"/>
  <c r="I247" i="5" s="1"/>
  <c r="H248" i="5"/>
  <c r="I248" i="5" s="1"/>
  <c r="H250" i="5"/>
  <c r="I250" i="5" s="1"/>
  <c r="H251" i="5"/>
  <c r="I251" i="5" s="1"/>
  <c r="H252" i="5"/>
  <c r="I252" i="5" s="1"/>
  <c r="H253" i="5"/>
  <c r="I253" i="5" s="1"/>
  <c r="H254" i="5"/>
  <c r="I254" i="5" s="1"/>
  <c r="H255" i="5"/>
  <c r="I255" i="5" s="1"/>
  <c r="H257" i="5"/>
  <c r="I257" i="5" s="1"/>
  <c r="H258" i="5"/>
  <c r="I258" i="5" s="1"/>
  <c r="H259" i="5"/>
  <c r="I259" i="5" s="1"/>
  <c r="H260" i="5"/>
  <c r="I260" i="5" s="1"/>
  <c r="H262" i="5"/>
  <c r="I262" i="5" s="1"/>
  <c r="H263" i="5"/>
  <c r="I263" i="5" s="1"/>
  <c r="H264" i="5"/>
  <c r="I264" i="5" s="1"/>
  <c r="H265" i="5"/>
  <c r="I265" i="5" s="1"/>
  <c r="H266" i="5"/>
  <c r="I266" i="5" s="1"/>
  <c r="H268" i="5"/>
  <c r="I268" i="5" s="1"/>
  <c r="H269" i="5"/>
  <c r="I269" i="5" s="1"/>
  <c r="H270" i="5"/>
  <c r="I270" i="5" s="1"/>
  <c r="H271" i="5"/>
  <c r="I271" i="5" s="1"/>
  <c r="H272" i="5"/>
  <c r="I272" i="5" s="1"/>
  <c r="H274" i="5"/>
  <c r="I274" i="5" s="1"/>
  <c r="H275" i="5"/>
  <c r="I275" i="5" s="1"/>
  <c r="H276" i="5"/>
  <c r="I276" i="5" s="1"/>
  <c r="H283" i="5"/>
  <c r="I283" i="5" s="1"/>
  <c r="H284" i="5"/>
  <c r="I284" i="5" s="1"/>
  <c r="H285" i="5"/>
  <c r="I285" i="5" s="1"/>
  <c r="H286" i="5"/>
  <c r="I286" i="5" s="1"/>
  <c r="H287" i="5"/>
  <c r="I287" i="5" s="1"/>
  <c r="H288" i="5"/>
  <c r="I288" i="5" s="1"/>
  <c r="H289" i="5"/>
  <c r="I289" i="5" s="1"/>
  <c r="H290" i="5"/>
  <c r="I290" i="5" s="1"/>
  <c r="H291" i="5"/>
  <c r="I291" i="5" s="1"/>
  <c r="H292" i="5"/>
  <c r="I292" i="5" s="1"/>
  <c r="H293" i="5"/>
  <c r="I293" i="5" s="1"/>
  <c r="H294" i="5"/>
  <c r="I294" i="5" s="1"/>
  <c r="H295" i="5"/>
  <c r="I295" i="5"/>
  <c r="H297" i="5"/>
  <c r="I297" i="5" s="1"/>
  <c r="H299" i="5"/>
  <c r="I299" i="5" s="1"/>
  <c r="H340" i="5"/>
  <c r="I340" i="5" s="1"/>
  <c r="H341" i="5"/>
  <c r="I341" i="5" s="1"/>
  <c r="H342" i="5"/>
  <c r="I342" i="5" s="1"/>
  <c r="H343" i="5"/>
  <c r="I343" i="5" s="1"/>
  <c r="H344" i="5"/>
  <c r="I344" i="5" s="1"/>
  <c r="H345" i="5"/>
  <c r="I345" i="5" s="1"/>
  <c r="H347" i="5"/>
  <c r="I347" i="5" s="1"/>
  <c r="H348" i="5"/>
  <c r="I348" i="5" s="1"/>
  <c r="H203" i="5"/>
  <c r="I203" i="5" s="1"/>
  <c r="H202" i="5"/>
  <c r="I202" i="5" s="1"/>
  <c r="H201" i="5"/>
  <c r="I201" i="5" s="1"/>
  <c r="H148" i="5"/>
  <c r="I148" i="5" s="1"/>
  <c r="H149" i="5"/>
  <c r="I149" i="5" s="1"/>
  <c r="H150" i="5"/>
  <c r="I150" i="5" s="1"/>
  <c r="H151" i="5"/>
  <c r="I151" i="5" s="1"/>
  <c r="H152" i="5"/>
  <c r="I152" i="5" s="1"/>
  <c r="H153" i="5"/>
  <c r="I153" i="5" s="1"/>
  <c r="H154" i="5"/>
  <c r="I154" i="5" s="1"/>
  <c r="H155" i="5"/>
  <c r="I155" i="5" s="1"/>
  <c r="H156" i="5"/>
  <c r="I156" i="5" s="1"/>
  <c r="H157" i="5"/>
  <c r="I157" i="5" s="1"/>
  <c r="H158" i="5"/>
  <c r="I158" i="5" s="1"/>
  <c r="H159" i="5"/>
  <c r="I159" i="5" s="1"/>
  <c r="H160" i="5"/>
  <c r="I160" i="5" s="1"/>
  <c r="H161" i="5"/>
  <c r="I161" i="5" s="1"/>
  <c r="H162" i="5"/>
  <c r="I162" i="5" s="1"/>
  <c r="H164" i="5"/>
  <c r="I164" i="5" s="1"/>
  <c r="H165" i="5"/>
  <c r="I165" i="5" s="1"/>
  <c r="H166" i="5"/>
  <c r="I166" i="5" s="1"/>
  <c r="H167" i="5"/>
  <c r="I167" i="5" s="1"/>
  <c r="H169" i="5"/>
  <c r="I169" i="5" s="1"/>
  <c r="H172" i="5"/>
  <c r="I172" i="5" s="1"/>
  <c r="H173" i="5"/>
  <c r="I173" i="5"/>
  <c r="H174" i="5"/>
  <c r="I174" i="5" s="1"/>
  <c r="H175" i="5"/>
  <c r="I175" i="5" s="1"/>
  <c r="H176" i="5"/>
  <c r="I176" i="5" s="1"/>
  <c r="H177" i="5"/>
  <c r="I177" i="5" s="1"/>
  <c r="H179" i="5"/>
  <c r="I179" i="5" s="1"/>
  <c r="H180" i="5"/>
  <c r="I180" i="5" s="1"/>
  <c r="H181" i="5"/>
  <c r="I181" i="5" s="1"/>
  <c r="H147" i="5"/>
  <c r="I147" i="5" s="1"/>
  <c r="H146" i="5"/>
  <c r="I146" i="5" s="1"/>
  <c r="H145" i="5"/>
  <c r="I145" i="5" s="1"/>
  <c r="H140" i="5"/>
  <c r="I140" i="5" s="1"/>
  <c r="H141" i="5"/>
  <c r="I141" i="5"/>
  <c r="H136" i="5"/>
  <c r="I136" i="5" s="1"/>
  <c r="H137" i="5"/>
  <c r="I137" i="5" s="1"/>
  <c r="H132" i="5"/>
  <c r="I132" i="5" s="1"/>
  <c r="H133" i="5"/>
  <c r="I133" i="5" s="1"/>
  <c r="H126" i="5"/>
  <c r="I126" i="5" s="1"/>
  <c r="H127" i="5"/>
  <c r="I127" i="5" s="1"/>
  <c r="H128" i="5"/>
  <c r="I128" i="5" s="1"/>
  <c r="H129" i="5"/>
  <c r="I129" i="5" s="1"/>
  <c r="H119" i="5"/>
  <c r="I119" i="5" s="1"/>
  <c r="H120" i="5"/>
  <c r="I120" i="5" s="1"/>
  <c r="H121" i="5"/>
  <c r="I121" i="5" s="1"/>
  <c r="H113" i="5"/>
  <c r="I113" i="5" s="1"/>
  <c r="H108" i="5"/>
  <c r="I108" i="5" s="1"/>
  <c r="H109" i="5"/>
  <c r="I109" i="5" s="1"/>
  <c r="H110" i="5"/>
  <c r="I110" i="5" s="1"/>
  <c r="H139" i="5"/>
  <c r="I139" i="5" s="1"/>
  <c r="H135" i="5"/>
  <c r="I135" i="5" s="1"/>
  <c r="H131" i="5"/>
  <c r="I131" i="5" s="1"/>
  <c r="H125" i="5"/>
  <c r="I125" i="5" s="1"/>
  <c r="H123" i="5"/>
  <c r="I123" i="5" s="1"/>
  <c r="H118" i="5"/>
  <c r="I118" i="5" s="1"/>
  <c r="H116" i="5"/>
  <c r="I116" i="5" s="1"/>
  <c r="H112" i="5"/>
  <c r="I112" i="5" s="1"/>
  <c r="H107" i="5"/>
  <c r="I107" i="5" s="1"/>
  <c r="H91" i="5"/>
  <c r="I91" i="5" s="1"/>
  <c r="H92" i="5"/>
  <c r="I92" i="5" s="1"/>
  <c r="H93" i="5"/>
  <c r="I93" i="5"/>
  <c r="H94" i="5"/>
  <c r="I94" i="5" s="1"/>
  <c r="H95" i="5"/>
  <c r="I95" i="5" s="1"/>
  <c r="H96" i="5"/>
  <c r="I96" i="5" s="1"/>
  <c r="H97" i="5"/>
  <c r="I97" i="5" s="1"/>
  <c r="H98" i="5"/>
  <c r="I98" i="5" s="1"/>
  <c r="H99" i="5"/>
  <c r="I99" i="5" s="1"/>
  <c r="H100" i="5"/>
  <c r="I100" i="5" s="1"/>
  <c r="H101" i="5"/>
  <c r="I101" i="5" s="1"/>
  <c r="H102" i="5"/>
  <c r="I102" i="5" s="1"/>
  <c r="H103" i="5"/>
  <c r="I103" i="5" s="1"/>
  <c r="H104" i="5"/>
  <c r="I104" i="5" s="1"/>
  <c r="H105" i="5"/>
  <c r="I105" i="5" s="1"/>
  <c r="H81" i="5"/>
  <c r="I81" i="5" s="1"/>
  <c r="H82" i="5"/>
  <c r="I82" i="5" s="1"/>
  <c r="H83" i="5"/>
  <c r="I83" i="5" s="1"/>
  <c r="H76" i="5"/>
  <c r="I76" i="5" s="1"/>
  <c r="H77" i="5"/>
  <c r="I77" i="5" s="1"/>
  <c r="H78" i="5"/>
  <c r="I78" i="5" s="1"/>
  <c r="H90" i="5"/>
  <c r="I90" i="5" s="1"/>
  <c r="H80" i="5"/>
  <c r="I80" i="5" s="1"/>
  <c r="H75" i="5"/>
  <c r="I75" i="5" s="1"/>
  <c r="H73" i="5"/>
  <c r="I73" i="5" s="1"/>
  <c r="H67" i="5"/>
  <c r="I67" i="5" s="1"/>
  <c r="H65" i="5"/>
  <c r="I65" i="5" s="1"/>
  <c r="H64" i="5"/>
  <c r="I64" i="5" s="1"/>
  <c r="H61" i="5"/>
  <c r="I61" i="5" s="1"/>
  <c r="H62" i="5"/>
  <c r="I62" i="5" s="1"/>
  <c r="H57" i="5"/>
  <c r="I57" i="5" s="1"/>
  <c r="H52" i="5"/>
  <c r="I52" i="5" s="1"/>
  <c r="H53" i="5"/>
  <c r="I53" i="5" s="1"/>
  <c r="H54" i="5"/>
  <c r="I54" i="5" s="1"/>
  <c r="H48" i="5"/>
  <c r="I48" i="5" s="1"/>
  <c r="H49" i="5"/>
  <c r="I49" i="5" s="1"/>
  <c r="H43" i="5"/>
  <c r="I43" i="5" s="1"/>
  <c r="H44" i="5"/>
  <c r="I44" i="5" s="1"/>
  <c r="H45" i="5"/>
  <c r="I45" i="5"/>
  <c r="H60" i="5"/>
  <c r="I60" i="5" s="1"/>
  <c r="H56" i="5"/>
  <c r="I56" i="5" s="1"/>
  <c r="H51" i="5"/>
  <c r="I51" i="5" s="1"/>
  <c r="H47" i="5"/>
  <c r="I47" i="5" s="1"/>
  <c r="H42" i="5"/>
  <c r="I42" i="5" s="1"/>
  <c r="H34" i="5"/>
  <c r="I34" i="5" s="1"/>
  <c r="H35" i="5"/>
  <c r="I35" i="5" s="1"/>
  <c r="H36" i="5"/>
  <c r="I36" i="5" s="1"/>
  <c r="H37" i="5"/>
  <c r="I37" i="5" s="1"/>
  <c r="H38" i="5"/>
  <c r="I38" i="5" s="1"/>
  <c r="H39" i="5"/>
  <c r="I39" i="5" s="1"/>
  <c r="H40" i="5"/>
  <c r="I40" i="5" s="1"/>
  <c r="H33" i="5"/>
  <c r="I33" i="5" s="1"/>
  <c r="N17" i="5"/>
  <c r="N18" i="5"/>
  <c r="O18" i="5"/>
  <c r="H104" i="35"/>
  <c r="I104" i="35" s="1"/>
  <c r="H105" i="35"/>
  <c r="I105" i="35" s="1"/>
  <c r="H106" i="35"/>
  <c r="I106" i="35" s="1"/>
  <c r="H107" i="35"/>
  <c r="I107" i="35" s="1"/>
  <c r="H108" i="35"/>
  <c r="I108" i="35" s="1"/>
  <c r="H109" i="35"/>
  <c r="I109" i="35" s="1"/>
  <c r="H110" i="35"/>
  <c r="I110" i="35" s="1"/>
  <c r="H111" i="35"/>
  <c r="I111" i="35" s="1"/>
  <c r="H112" i="35"/>
  <c r="I112" i="35" s="1"/>
  <c r="H113" i="35"/>
  <c r="I113" i="35" s="1"/>
  <c r="H114" i="35"/>
  <c r="I114" i="35" s="1"/>
  <c r="H115" i="35"/>
  <c r="I115" i="35" s="1"/>
  <c r="H116" i="35"/>
  <c r="I116" i="35" s="1"/>
  <c r="H117" i="35"/>
  <c r="I117" i="35" s="1"/>
  <c r="H118" i="35"/>
  <c r="I118" i="35" s="1"/>
  <c r="H119" i="35"/>
  <c r="I119" i="35" s="1"/>
  <c r="H120" i="35"/>
  <c r="I120" i="35" s="1"/>
  <c r="H121" i="35"/>
  <c r="I121" i="35" s="1"/>
  <c r="H122" i="35"/>
  <c r="I122" i="35" s="1"/>
  <c r="H123" i="35"/>
  <c r="I123" i="35" s="1"/>
  <c r="H124" i="35"/>
  <c r="I124" i="35" s="1"/>
  <c r="H125" i="35"/>
  <c r="I125" i="35" s="1"/>
  <c r="H126" i="35"/>
  <c r="I126" i="35" s="1"/>
  <c r="H127" i="35"/>
  <c r="I127" i="35" s="1"/>
  <c r="H128" i="35"/>
  <c r="I128" i="35" s="1"/>
  <c r="H129" i="35"/>
  <c r="I129" i="35" s="1"/>
  <c r="H130" i="35"/>
  <c r="I130" i="35" s="1"/>
  <c r="H131" i="35"/>
  <c r="I131" i="35" s="1"/>
  <c r="H132" i="35"/>
  <c r="I132" i="35" s="1"/>
  <c r="H133" i="35"/>
  <c r="I133" i="35" s="1"/>
  <c r="H134" i="35"/>
  <c r="I134" i="35" s="1"/>
  <c r="H135" i="35"/>
  <c r="I135" i="35" s="1"/>
  <c r="H136" i="35"/>
  <c r="I136" i="35" s="1"/>
  <c r="H137" i="35"/>
  <c r="I137" i="35" s="1"/>
  <c r="H138" i="35"/>
  <c r="I138" i="35" s="1"/>
  <c r="H139" i="35"/>
  <c r="I139" i="35" s="1"/>
  <c r="H140" i="35"/>
  <c r="I140" i="35" s="1"/>
  <c r="H142" i="35"/>
  <c r="I142" i="35" s="1"/>
  <c r="H143" i="35"/>
  <c r="I143" i="35" s="1"/>
  <c r="H144" i="35"/>
  <c r="I144" i="35" s="1"/>
  <c r="H145" i="35"/>
  <c r="I145" i="35" s="1"/>
  <c r="H146" i="35"/>
  <c r="I146" i="35" s="1"/>
  <c r="H147" i="35"/>
  <c r="I147" i="35" s="1"/>
  <c r="H148" i="35"/>
  <c r="I148" i="35" s="1"/>
  <c r="H149" i="35"/>
  <c r="I149" i="35" s="1"/>
  <c r="H150" i="35"/>
  <c r="I150" i="35" s="1"/>
  <c r="H151" i="35"/>
  <c r="I151" i="35" s="1"/>
  <c r="H152" i="35"/>
  <c r="I152" i="35" s="1"/>
  <c r="H153" i="35"/>
  <c r="I153" i="35" s="1"/>
  <c r="H155" i="35"/>
  <c r="I155" i="35" s="1"/>
  <c r="H156" i="35"/>
  <c r="I156" i="35" s="1"/>
  <c r="H157" i="35"/>
  <c r="I157" i="35" s="1"/>
  <c r="H158" i="35"/>
  <c r="I158" i="35" s="1"/>
  <c r="H159" i="35"/>
  <c r="I159" i="35" s="1"/>
  <c r="H160" i="35"/>
  <c r="I160" i="35" s="1"/>
  <c r="H161" i="35"/>
  <c r="I161" i="35" s="1"/>
  <c r="H162" i="35"/>
  <c r="I162" i="35" s="1"/>
  <c r="H163" i="35"/>
  <c r="I163" i="35" s="1"/>
  <c r="H164" i="35"/>
  <c r="I164" i="35" s="1"/>
  <c r="H165" i="35"/>
  <c r="I165" i="35" s="1"/>
  <c r="H166" i="35"/>
  <c r="I166" i="35" s="1"/>
  <c r="H103" i="35"/>
  <c r="I103" i="35" s="1"/>
  <c r="H77" i="35"/>
  <c r="I77" i="35" s="1"/>
  <c r="H78" i="35"/>
  <c r="I78" i="35" s="1"/>
  <c r="H79" i="35"/>
  <c r="I79" i="35" s="1"/>
  <c r="H80" i="35"/>
  <c r="I80" i="35" s="1"/>
  <c r="H81" i="35"/>
  <c r="I81" i="35" s="1"/>
  <c r="H82" i="35"/>
  <c r="I82" i="35" s="1"/>
  <c r="H83" i="35"/>
  <c r="I83" i="35" s="1"/>
  <c r="H84" i="35"/>
  <c r="I84" i="35" s="1"/>
  <c r="H85" i="35"/>
  <c r="I85" i="35" s="1"/>
  <c r="H86" i="35"/>
  <c r="I86" i="35" s="1"/>
  <c r="H87" i="35"/>
  <c r="I87" i="35" s="1"/>
  <c r="H88" i="35"/>
  <c r="I88" i="35" s="1"/>
  <c r="H89" i="35"/>
  <c r="I89" i="35" s="1"/>
  <c r="H90" i="35"/>
  <c r="I90" i="35" s="1"/>
  <c r="H91" i="35"/>
  <c r="I91" i="35" s="1"/>
  <c r="H92" i="35"/>
  <c r="I92" i="35" s="1"/>
  <c r="H93" i="35"/>
  <c r="I93" i="35" s="1"/>
  <c r="H94" i="35"/>
  <c r="I94" i="35" s="1"/>
  <c r="H95" i="35"/>
  <c r="I95" i="35" s="1"/>
  <c r="H96" i="35"/>
  <c r="I96" i="35" s="1"/>
  <c r="H97" i="35"/>
  <c r="I97" i="35" s="1"/>
  <c r="H98" i="35"/>
  <c r="I98" i="35" s="1"/>
  <c r="H99" i="35"/>
  <c r="I99" i="35" s="1"/>
  <c r="H100" i="35"/>
  <c r="I100" i="35" s="1"/>
  <c r="H101" i="35"/>
  <c r="I101" i="35" s="1"/>
  <c r="H76" i="35"/>
  <c r="I76" i="35" s="1"/>
  <c r="H75" i="35"/>
  <c r="I75" i="35" s="1"/>
  <c r="H74" i="35"/>
  <c r="I74" i="35" s="1"/>
  <c r="H73" i="35"/>
  <c r="I73" i="35" s="1"/>
  <c r="H72" i="35"/>
  <c r="I72" i="35" s="1"/>
  <c r="H71" i="35"/>
  <c r="I71" i="35" s="1"/>
  <c r="H70" i="35"/>
  <c r="I70" i="35" s="1"/>
  <c r="H69" i="35"/>
  <c r="I69" i="35" s="1"/>
  <c r="H68" i="35"/>
  <c r="I68" i="35" s="1"/>
  <c r="H67" i="35"/>
  <c r="I67" i="35" s="1"/>
  <c r="H66" i="35"/>
  <c r="I66" i="35" s="1"/>
  <c r="H65" i="35"/>
  <c r="I65" i="35" s="1"/>
  <c r="H64" i="35"/>
  <c r="I64" i="35" s="1"/>
  <c r="H58" i="35"/>
  <c r="I58" i="35" s="1"/>
  <c r="H59" i="35"/>
  <c r="I59" i="35" s="1"/>
  <c r="H60" i="35"/>
  <c r="I60" i="35" s="1"/>
  <c r="H61" i="35"/>
  <c r="I61" i="35" s="1"/>
  <c r="H62" i="35"/>
  <c r="I62" i="35" s="1"/>
  <c r="H57" i="35"/>
  <c r="I57" i="35" s="1"/>
  <c r="H56" i="35"/>
  <c r="I56" i="35" s="1"/>
  <c r="H55" i="35"/>
  <c r="I55" i="35" s="1"/>
  <c r="H54" i="35"/>
  <c r="I54" i="35" s="1"/>
  <c r="H53" i="35"/>
  <c r="I53" i="35" s="1"/>
  <c r="H52" i="35"/>
  <c r="I52" i="35" s="1"/>
  <c r="H51" i="35"/>
  <c r="I51" i="35" s="1"/>
  <c r="H50" i="35"/>
  <c r="I50" i="35" s="1"/>
  <c r="H42" i="35"/>
  <c r="I42" i="35" s="1"/>
  <c r="H43" i="35"/>
  <c r="I43" i="35" s="1"/>
  <c r="H44" i="35"/>
  <c r="I44" i="35" s="1"/>
  <c r="H45" i="35"/>
  <c r="I45" i="35" s="1"/>
  <c r="H46" i="35"/>
  <c r="I46" i="35" s="1"/>
  <c r="H47" i="35"/>
  <c r="I47" i="35" s="1"/>
  <c r="H48" i="35"/>
  <c r="I48" i="35" s="1"/>
  <c r="H41" i="35"/>
  <c r="I41" i="35" s="1"/>
  <c r="H36" i="35"/>
  <c r="I36" i="35" s="1"/>
  <c r="H32" i="35"/>
  <c r="I32" i="35" s="1"/>
  <c r="N13" i="35"/>
  <c r="N14" i="35" s="1"/>
  <c r="O14" i="35"/>
  <c r="K37" i="37"/>
  <c r="L37" i="37" s="1"/>
  <c r="K38" i="37"/>
  <c r="L38" i="37" s="1"/>
  <c r="K43" i="37"/>
  <c r="L43" i="37" s="1"/>
  <c r="K47" i="37"/>
  <c r="L47" i="37" s="1"/>
  <c r="K48" i="37"/>
  <c r="L48" i="37" s="1"/>
  <c r="K49" i="37"/>
  <c r="L49" i="37" s="1"/>
  <c r="K50" i="37"/>
  <c r="L50" i="37" s="1"/>
  <c r="K33" i="37"/>
  <c r="L33" i="37" s="1"/>
  <c r="H48" i="37"/>
  <c r="I48" i="37" s="1"/>
  <c r="H49" i="37"/>
  <c r="I49" i="37" s="1"/>
  <c r="H50" i="37"/>
  <c r="I50" i="37" s="1"/>
  <c r="H47" i="37"/>
  <c r="I47" i="37" s="1"/>
  <c r="H43" i="37"/>
  <c r="I43" i="37" s="1"/>
  <c r="H38" i="37"/>
  <c r="I38" i="37" s="1"/>
  <c r="H37" i="37"/>
  <c r="I37" i="37" s="1"/>
  <c r="H33" i="37"/>
  <c r="I33" i="37" s="1"/>
  <c r="O13" i="37"/>
  <c r="O14" i="37"/>
  <c r="P15" i="37"/>
  <c r="K362" i="45"/>
  <c r="L362" i="45" s="1"/>
  <c r="K356" i="45"/>
  <c r="L356" i="45" s="1"/>
  <c r="K357" i="45"/>
  <c r="L357" i="45" s="1"/>
  <c r="K358" i="45"/>
  <c r="L358" i="45" s="1"/>
  <c r="K355" i="45"/>
  <c r="L355" i="45" s="1"/>
  <c r="K354" i="45"/>
  <c r="L354" i="45" s="1"/>
  <c r="K353" i="45"/>
  <c r="L353" i="45" s="1"/>
  <c r="K352" i="45"/>
  <c r="L352" i="45" s="1"/>
  <c r="K351" i="45"/>
  <c r="L351" i="45" s="1"/>
  <c r="K350" i="45"/>
  <c r="L350" i="45" s="1"/>
  <c r="K349" i="45"/>
  <c r="L349" i="45" s="1"/>
  <c r="K348" i="45"/>
  <c r="L348" i="45" s="1"/>
  <c r="K338" i="45"/>
  <c r="L338" i="45" s="1"/>
  <c r="K339" i="45"/>
  <c r="L339" i="45" s="1"/>
  <c r="K340" i="45"/>
  <c r="L340" i="45" s="1"/>
  <c r="K341" i="45"/>
  <c r="L341" i="45" s="1"/>
  <c r="K342" i="45"/>
  <c r="L342" i="45" s="1"/>
  <c r="K343" i="45"/>
  <c r="L343" i="45" s="1"/>
  <c r="K336" i="45"/>
  <c r="L336" i="45" s="1"/>
  <c r="K289" i="45"/>
  <c r="L289" i="45" s="1"/>
  <c r="K290" i="45"/>
  <c r="L290" i="45" s="1"/>
  <c r="K291" i="45"/>
  <c r="L291" i="45" s="1"/>
  <c r="K292" i="45"/>
  <c r="L292" i="45" s="1"/>
  <c r="K294" i="45"/>
  <c r="L294" i="45" s="1"/>
  <c r="K295" i="45"/>
  <c r="L295" i="45" s="1"/>
  <c r="K296" i="45"/>
  <c r="L296" i="45" s="1"/>
  <c r="K298" i="45"/>
  <c r="L298" i="45" s="1"/>
  <c r="K299" i="45"/>
  <c r="L299" i="45" s="1"/>
  <c r="K300" i="45"/>
  <c r="L300" i="45" s="1"/>
  <c r="K301" i="45"/>
  <c r="L301" i="45" s="1"/>
  <c r="K302" i="45"/>
  <c r="L302" i="45" s="1"/>
  <c r="K309" i="45"/>
  <c r="L309" i="45" s="1"/>
  <c r="K310" i="45"/>
  <c r="L310" i="45" s="1"/>
  <c r="K311" i="45"/>
  <c r="L311" i="45" s="1"/>
  <c r="K312" i="45"/>
  <c r="L312" i="45" s="1"/>
  <c r="K313" i="45"/>
  <c r="L313" i="45" s="1"/>
  <c r="K315" i="45"/>
  <c r="L315" i="45" s="1"/>
  <c r="K316" i="45"/>
  <c r="L316" i="45" s="1"/>
  <c r="K317" i="45"/>
  <c r="L317" i="45" s="1"/>
  <c r="K319" i="45"/>
  <c r="L319" i="45" s="1"/>
  <c r="K320" i="45"/>
  <c r="L320" i="45" s="1"/>
  <c r="K322" i="45"/>
  <c r="L322" i="45" s="1"/>
  <c r="K324" i="45"/>
  <c r="L324" i="45" s="1"/>
  <c r="K325" i="45"/>
  <c r="L325" i="45" s="1"/>
  <c r="K326" i="45"/>
  <c r="L326" i="45" s="1"/>
  <c r="K328" i="45"/>
  <c r="L328" i="45" s="1"/>
  <c r="K330" i="45"/>
  <c r="L330" i="45" s="1"/>
  <c r="K331" i="45"/>
  <c r="L331" i="45" s="1"/>
  <c r="K287" i="45"/>
  <c r="L287" i="45" s="1"/>
  <c r="K286" i="45"/>
  <c r="L286" i="45" s="1"/>
  <c r="K285" i="45"/>
  <c r="L285" i="45" s="1"/>
  <c r="K284" i="45"/>
  <c r="L284" i="45" s="1"/>
  <c r="K283" i="45"/>
  <c r="L283" i="45" s="1"/>
  <c r="K281" i="45"/>
  <c r="L281" i="45" s="1"/>
  <c r="K280" i="45"/>
  <c r="L280" i="45" s="1"/>
  <c r="K279" i="45"/>
  <c r="L279" i="45" s="1"/>
  <c r="K268" i="45"/>
  <c r="L268" i="45" s="1"/>
  <c r="K270" i="45"/>
  <c r="L270" i="45" s="1"/>
  <c r="K271" i="45"/>
  <c r="L271" i="45" s="1"/>
  <c r="K272" i="45"/>
  <c r="L272" i="45" s="1"/>
  <c r="K273" i="45"/>
  <c r="L273" i="45" s="1"/>
  <c r="K274" i="45"/>
  <c r="L274" i="45" s="1"/>
  <c r="K267" i="45"/>
  <c r="L267" i="45" s="1"/>
  <c r="K266" i="45"/>
  <c r="L266" i="45" s="1"/>
  <c r="K265" i="45"/>
  <c r="L265" i="45" s="1"/>
  <c r="K242" i="45"/>
  <c r="L242" i="45" s="1"/>
  <c r="K243" i="45"/>
  <c r="L243" i="45" s="1"/>
  <c r="K244" i="45"/>
  <c r="L244" i="45" s="1"/>
  <c r="K245" i="45"/>
  <c r="L245" i="45" s="1"/>
  <c r="K246" i="45"/>
  <c r="L246" i="45" s="1"/>
  <c r="K247" i="45"/>
  <c r="L247" i="45" s="1"/>
  <c r="K248" i="45"/>
  <c r="L248" i="45" s="1"/>
  <c r="K249" i="45"/>
  <c r="L249" i="45" s="1"/>
  <c r="K250" i="45"/>
  <c r="L250" i="45" s="1"/>
  <c r="K252" i="45"/>
  <c r="L252" i="45" s="1"/>
  <c r="K253" i="45"/>
  <c r="L253" i="45" s="1"/>
  <c r="K257" i="45"/>
  <c r="L257" i="45" s="1"/>
  <c r="K258" i="45"/>
  <c r="L258" i="45" s="1"/>
  <c r="K259" i="45"/>
  <c r="L259" i="45" s="1"/>
  <c r="K231" i="45"/>
  <c r="L231" i="45" s="1"/>
  <c r="K232" i="45"/>
  <c r="L232" i="45" s="1"/>
  <c r="K233" i="45"/>
  <c r="L233" i="45" s="1"/>
  <c r="K234" i="45"/>
  <c r="L234" i="45" s="1"/>
  <c r="K235" i="45"/>
  <c r="L235" i="45" s="1"/>
  <c r="K236" i="45"/>
  <c r="L236" i="45" s="1"/>
  <c r="K238" i="45"/>
  <c r="L238" i="45" s="1"/>
  <c r="K239" i="45"/>
  <c r="L239" i="45" s="1"/>
  <c r="K230" i="45"/>
  <c r="L230" i="45" s="1"/>
  <c r="K229" i="45"/>
  <c r="L229" i="45" s="1"/>
  <c r="K228" i="45"/>
  <c r="L228" i="45" s="1"/>
  <c r="K174" i="45"/>
  <c r="L174" i="45" s="1"/>
  <c r="K175" i="45"/>
  <c r="L175" i="45" s="1"/>
  <c r="K176" i="45"/>
  <c r="L176" i="45" s="1"/>
  <c r="K177" i="45"/>
  <c r="L177" i="45" s="1"/>
  <c r="K178" i="45"/>
  <c r="L178" i="45" s="1"/>
  <c r="K179" i="45"/>
  <c r="L179" i="45" s="1"/>
  <c r="K180" i="45"/>
  <c r="L180" i="45" s="1"/>
  <c r="K181" i="45"/>
  <c r="L181" i="45" s="1"/>
  <c r="K183" i="45"/>
  <c r="L183" i="45" s="1"/>
  <c r="K184" i="45"/>
  <c r="L184" i="45" s="1"/>
  <c r="K185" i="45"/>
  <c r="L185" i="45" s="1"/>
  <c r="K186" i="45"/>
  <c r="L186" i="45" s="1"/>
  <c r="K187" i="45"/>
  <c r="L187" i="45" s="1"/>
  <c r="K188" i="45"/>
  <c r="L188" i="45" s="1"/>
  <c r="K190" i="45"/>
  <c r="L190" i="45" s="1"/>
  <c r="K191" i="45"/>
  <c r="L191" i="45" s="1"/>
  <c r="K192" i="45"/>
  <c r="L192" i="45" s="1"/>
  <c r="K193" i="45"/>
  <c r="L193" i="45" s="1"/>
  <c r="K194" i="45"/>
  <c r="L194" i="45" s="1"/>
  <c r="K195" i="45"/>
  <c r="L195" i="45" s="1"/>
  <c r="K196" i="45"/>
  <c r="L196" i="45" s="1"/>
  <c r="K197" i="45"/>
  <c r="L197" i="45" s="1"/>
  <c r="K198" i="45"/>
  <c r="L198" i="45" s="1"/>
  <c r="K199" i="45"/>
  <c r="L199" i="45" s="1"/>
  <c r="K200" i="45"/>
  <c r="L200" i="45" s="1"/>
  <c r="K201" i="45"/>
  <c r="L201" i="45" s="1"/>
  <c r="K203" i="45"/>
  <c r="L203" i="45" s="1"/>
  <c r="K204" i="45"/>
  <c r="L204" i="45" s="1"/>
  <c r="K205" i="45"/>
  <c r="L205" i="45" s="1"/>
  <c r="K206" i="45"/>
  <c r="L206" i="45" s="1"/>
  <c r="K207" i="45"/>
  <c r="L207" i="45" s="1"/>
  <c r="K208" i="45"/>
  <c r="L208" i="45" s="1"/>
  <c r="K209" i="45"/>
  <c r="L209" i="45" s="1"/>
  <c r="K210" i="45"/>
  <c r="L210" i="45" s="1"/>
  <c r="K211" i="45"/>
  <c r="L211" i="45" s="1"/>
  <c r="K212" i="45"/>
  <c r="L212" i="45" s="1"/>
  <c r="K213" i="45"/>
  <c r="L213" i="45" s="1"/>
  <c r="K214" i="45"/>
  <c r="L214" i="45" s="1"/>
  <c r="K215" i="45"/>
  <c r="L215" i="45" s="1"/>
  <c r="K217" i="45"/>
  <c r="L217" i="45" s="1"/>
  <c r="K218" i="45"/>
  <c r="L218" i="45" s="1"/>
  <c r="K219" i="45"/>
  <c r="L219" i="45" s="1"/>
  <c r="K173" i="45"/>
  <c r="L173" i="45" s="1"/>
  <c r="K172" i="45"/>
  <c r="L172" i="45" s="1"/>
  <c r="K171" i="45"/>
  <c r="L171" i="45" s="1"/>
  <c r="K170" i="45"/>
  <c r="L170" i="45" s="1"/>
  <c r="K169" i="45"/>
  <c r="L169" i="45" s="1"/>
  <c r="K35" i="45"/>
  <c r="L35" i="45" s="1"/>
  <c r="K36" i="45"/>
  <c r="L36" i="45" s="1"/>
  <c r="K37" i="45"/>
  <c r="L37" i="45" s="1"/>
  <c r="K38" i="45"/>
  <c r="L38" i="45" s="1"/>
  <c r="K39" i="45"/>
  <c r="L39" i="45" s="1"/>
  <c r="K40" i="45"/>
  <c r="L40" i="45" s="1"/>
  <c r="K41" i="45"/>
  <c r="L41" i="45" s="1"/>
  <c r="K43" i="45"/>
  <c r="L43" i="45" s="1"/>
  <c r="K44" i="45"/>
  <c r="L44" i="45" s="1"/>
  <c r="K45" i="45"/>
  <c r="L45" i="45" s="1"/>
  <c r="K46" i="45"/>
  <c r="L46" i="45" s="1"/>
  <c r="K47" i="45"/>
  <c r="L47" i="45" s="1"/>
  <c r="K48" i="45"/>
  <c r="L48" i="45" s="1"/>
  <c r="K49" i="45"/>
  <c r="L49" i="45" s="1"/>
  <c r="K50" i="45"/>
  <c r="L50" i="45" s="1"/>
  <c r="K51" i="45"/>
  <c r="L51" i="45" s="1"/>
  <c r="K52" i="45"/>
  <c r="L52" i="45" s="1"/>
  <c r="K53" i="45"/>
  <c r="L53" i="45" s="1"/>
  <c r="K54" i="45"/>
  <c r="L54" i="45" s="1"/>
  <c r="K55" i="45"/>
  <c r="L55" i="45" s="1"/>
  <c r="K57" i="45"/>
  <c r="L57" i="45" s="1"/>
  <c r="K58" i="45"/>
  <c r="L58" i="45" s="1"/>
  <c r="K59" i="45"/>
  <c r="L59" i="45" s="1"/>
  <c r="K60" i="45"/>
  <c r="L60" i="45" s="1"/>
  <c r="K61" i="45"/>
  <c r="L61" i="45" s="1"/>
  <c r="K62" i="45"/>
  <c r="L62" i="45" s="1"/>
  <c r="K63" i="45"/>
  <c r="L63" i="45" s="1"/>
  <c r="K64" i="45"/>
  <c r="L64" i="45" s="1"/>
  <c r="K65" i="45"/>
  <c r="L65" i="45" s="1"/>
  <c r="K66" i="45"/>
  <c r="L66" i="45" s="1"/>
  <c r="K67" i="45"/>
  <c r="L67" i="45" s="1"/>
  <c r="K68" i="45"/>
  <c r="L68" i="45" s="1"/>
  <c r="K69" i="45"/>
  <c r="L69" i="45" s="1"/>
  <c r="K70" i="45"/>
  <c r="L70" i="45" s="1"/>
  <c r="K71" i="45"/>
  <c r="L71" i="45" s="1"/>
  <c r="K72" i="45"/>
  <c r="L72" i="45" s="1"/>
  <c r="K73" i="45"/>
  <c r="L73" i="45" s="1"/>
  <c r="K74" i="45"/>
  <c r="L74" i="45" s="1"/>
  <c r="K75" i="45"/>
  <c r="L75" i="45" s="1"/>
  <c r="K76" i="45"/>
  <c r="L76" i="45" s="1"/>
  <c r="K77" i="45"/>
  <c r="L77" i="45" s="1"/>
  <c r="K78" i="45"/>
  <c r="L78" i="45" s="1"/>
  <c r="K79" i="45"/>
  <c r="L79" i="45" s="1"/>
  <c r="K80" i="45"/>
  <c r="L80" i="45" s="1"/>
  <c r="K81" i="45"/>
  <c r="L81" i="45" s="1"/>
  <c r="K82" i="45"/>
  <c r="L82" i="45" s="1"/>
  <c r="K83" i="45"/>
  <c r="L83" i="45" s="1"/>
  <c r="K84" i="45"/>
  <c r="L84" i="45" s="1"/>
  <c r="K85" i="45"/>
  <c r="L85" i="45" s="1"/>
  <c r="K86" i="45"/>
  <c r="L86" i="45" s="1"/>
  <c r="K87" i="45"/>
  <c r="L87" i="45" s="1"/>
  <c r="K88" i="45"/>
  <c r="L88" i="45" s="1"/>
  <c r="K89" i="45"/>
  <c r="L89" i="45" s="1"/>
  <c r="K90" i="45"/>
  <c r="L90" i="45" s="1"/>
  <c r="K91" i="45"/>
  <c r="L91" i="45" s="1"/>
  <c r="K92" i="45"/>
  <c r="L92" i="45" s="1"/>
  <c r="K93" i="45"/>
  <c r="L93" i="45" s="1"/>
  <c r="K94" i="45"/>
  <c r="L94" i="45" s="1"/>
  <c r="K96" i="45"/>
  <c r="L96" i="45" s="1"/>
  <c r="K97" i="45"/>
  <c r="L97" i="45" s="1"/>
  <c r="K98" i="45"/>
  <c r="L98" i="45" s="1"/>
  <c r="K99" i="45"/>
  <c r="L99" i="45" s="1"/>
  <c r="K100" i="45"/>
  <c r="L100" i="45" s="1"/>
  <c r="K101" i="45"/>
  <c r="L101" i="45" s="1"/>
  <c r="K102" i="45"/>
  <c r="L102" i="45" s="1"/>
  <c r="K103" i="45"/>
  <c r="L103" i="45" s="1"/>
  <c r="K104" i="45"/>
  <c r="L104" i="45" s="1"/>
  <c r="K105" i="45"/>
  <c r="L105" i="45" s="1"/>
  <c r="K106" i="45"/>
  <c r="L106" i="45" s="1"/>
  <c r="K107" i="45"/>
  <c r="L107" i="45" s="1"/>
  <c r="K108" i="45"/>
  <c r="L108" i="45" s="1"/>
  <c r="K109" i="45"/>
  <c r="L109" i="45" s="1"/>
  <c r="K110" i="45"/>
  <c r="L110" i="45" s="1"/>
  <c r="K111" i="45"/>
  <c r="L111" i="45" s="1"/>
  <c r="K112" i="45"/>
  <c r="L112" i="45" s="1"/>
  <c r="K113" i="45"/>
  <c r="L113" i="45" s="1"/>
  <c r="K114" i="45"/>
  <c r="L114" i="45" s="1"/>
  <c r="K115" i="45"/>
  <c r="L115" i="45" s="1"/>
  <c r="K116" i="45"/>
  <c r="L116" i="45" s="1"/>
  <c r="K117" i="45"/>
  <c r="L117" i="45" s="1"/>
  <c r="K118" i="45"/>
  <c r="L118" i="45" s="1"/>
  <c r="K119" i="45"/>
  <c r="L119" i="45" s="1"/>
  <c r="K120" i="45"/>
  <c r="L120" i="45" s="1"/>
  <c r="K121" i="45"/>
  <c r="L121" i="45" s="1"/>
  <c r="K122" i="45"/>
  <c r="L122" i="45" s="1"/>
  <c r="K123" i="45"/>
  <c r="L123" i="45" s="1"/>
  <c r="K124" i="45"/>
  <c r="L124" i="45" s="1"/>
  <c r="K125" i="45"/>
  <c r="L125" i="45" s="1"/>
  <c r="K126" i="45"/>
  <c r="L126" i="45" s="1"/>
  <c r="K127" i="45"/>
  <c r="L127" i="45" s="1"/>
  <c r="K128" i="45"/>
  <c r="L128" i="45" s="1"/>
  <c r="K129" i="45"/>
  <c r="L129" i="45" s="1"/>
  <c r="K130" i="45"/>
  <c r="L130" i="45" s="1"/>
  <c r="K131" i="45"/>
  <c r="L131" i="45" s="1"/>
  <c r="K132" i="45"/>
  <c r="L132" i="45" s="1"/>
  <c r="K133" i="45"/>
  <c r="L133" i="45" s="1"/>
  <c r="K135" i="45"/>
  <c r="L135" i="45" s="1"/>
  <c r="K136" i="45"/>
  <c r="L136" i="45" s="1"/>
  <c r="K137" i="45"/>
  <c r="L137" i="45" s="1"/>
  <c r="K138" i="45"/>
  <c r="L138" i="45" s="1"/>
  <c r="K139" i="45"/>
  <c r="L139" i="45" s="1"/>
  <c r="K140" i="45"/>
  <c r="L140" i="45" s="1"/>
  <c r="K141" i="45"/>
  <c r="L141" i="45" s="1"/>
  <c r="K142" i="45"/>
  <c r="L142" i="45" s="1"/>
  <c r="K143" i="45"/>
  <c r="L143" i="45" s="1"/>
  <c r="K144" i="45"/>
  <c r="L144" i="45" s="1"/>
  <c r="K145" i="45"/>
  <c r="L145" i="45" s="1"/>
  <c r="K146" i="45"/>
  <c r="L146" i="45" s="1"/>
  <c r="K148" i="45"/>
  <c r="L148" i="45" s="1"/>
  <c r="K149" i="45"/>
  <c r="L149" i="45" s="1"/>
  <c r="K150" i="45"/>
  <c r="L150" i="45" s="1"/>
  <c r="K151" i="45"/>
  <c r="L151" i="45" s="1"/>
  <c r="K152" i="45"/>
  <c r="L152" i="45" s="1"/>
  <c r="K153" i="45"/>
  <c r="L153" i="45" s="1"/>
  <c r="K154" i="45"/>
  <c r="L154" i="45" s="1"/>
  <c r="K155" i="45"/>
  <c r="L155" i="45" s="1"/>
  <c r="K156" i="45"/>
  <c r="L156" i="45" s="1"/>
  <c r="K157" i="45"/>
  <c r="L157" i="45" s="1"/>
  <c r="K158" i="45"/>
  <c r="L158" i="45" s="1"/>
  <c r="K159" i="45"/>
  <c r="L159" i="45" s="1"/>
  <c r="K34" i="45"/>
  <c r="L34" i="45" s="1"/>
  <c r="H362" i="45"/>
  <c r="I362" i="45" s="1"/>
  <c r="H356" i="45"/>
  <c r="I356" i="45" s="1"/>
  <c r="H357" i="45"/>
  <c r="I357" i="45" s="1"/>
  <c r="H358" i="45"/>
  <c r="I358" i="45" s="1"/>
  <c r="H355" i="45"/>
  <c r="I355" i="45" s="1"/>
  <c r="H354" i="45"/>
  <c r="I354" i="45" s="1"/>
  <c r="H353" i="45"/>
  <c r="I353" i="45" s="1"/>
  <c r="H352" i="45"/>
  <c r="I352" i="45" s="1"/>
  <c r="H351" i="45"/>
  <c r="I351" i="45" s="1"/>
  <c r="H350" i="45"/>
  <c r="I350" i="45" s="1"/>
  <c r="H349" i="45"/>
  <c r="I349" i="45" s="1"/>
  <c r="H348" i="45"/>
  <c r="I348" i="45" s="1"/>
  <c r="H338" i="45"/>
  <c r="I338" i="45" s="1"/>
  <c r="H339" i="45"/>
  <c r="I339" i="45" s="1"/>
  <c r="H340" i="45"/>
  <c r="I340" i="45" s="1"/>
  <c r="H341" i="45"/>
  <c r="I341" i="45" s="1"/>
  <c r="H342" i="45"/>
  <c r="I342" i="45" s="1"/>
  <c r="H343" i="45"/>
  <c r="I343" i="45" s="1"/>
  <c r="H336" i="45"/>
  <c r="I336" i="45" s="1"/>
  <c r="H286" i="45"/>
  <c r="I286" i="45" s="1"/>
  <c r="H287" i="45"/>
  <c r="I287" i="45" s="1"/>
  <c r="H289" i="45"/>
  <c r="I289" i="45" s="1"/>
  <c r="H290" i="45"/>
  <c r="I290" i="45" s="1"/>
  <c r="H291" i="45"/>
  <c r="I291" i="45" s="1"/>
  <c r="H292" i="45"/>
  <c r="I292" i="45" s="1"/>
  <c r="H294" i="45"/>
  <c r="I294" i="45" s="1"/>
  <c r="H295" i="45"/>
  <c r="I295" i="45" s="1"/>
  <c r="H296" i="45"/>
  <c r="I296" i="45" s="1"/>
  <c r="H298" i="45"/>
  <c r="I298" i="45" s="1"/>
  <c r="H299" i="45"/>
  <c r="I299" i="45" s="1"/>
  <c r="H300" i="45"/>
  <c r="I300" i="45" s="1"/>
  <c r="H301" i="45"/>
  <c r="I301" i="45" s="1"/>
  <c r="H302" i="45"/>
  <c r="I302" i="45" s="1"/>
  <c r="H309" i="45"/>
  <c r="I309" i="45" s="1"/>
  <c r="H310" i="45"/>
  <c r="I310" i="45" s="1"/>
  <c r="H311" i="45"/>
  <c r="I311" i="45" s="1"/>
  <c r="H312" i="45"/>
  <c r="I312" i="45" s="1"/>
  <c r="H313" i="45"/>
  <c r="I313" i="45" s="1"/>
  <c r="H315" i="45"/>
  <c r="I315" i="45" s="1"/>
  <c r="H316" i="45"/>
  <c r="I316" i="45" s="1"/>
  <c r="H317" i="45"/>
  <c r="I317" i="45" s="1"/>
  <c r="H319" i="45"/>
  <c r="I319" i="45" s="1"/>
  <c r="H320" i="45"/>
  <c r="I320" i="45" s="1"/>
  <c r="H322" i="45"/>
  <c r="I322" i="45" s="1"/>
  <c r="H324" i="45"/>
  <c r="I324" i="45" s="1"/>
  <c r="H325" i="45"/>
  <c r="I325" i="45" s="1"/>
  <c r="H326" i="45"/>
  <c r="I326" i="45" s="1"/>
  <c r="H328" i="45"/>
  <c r="I328" i="45" s="1"/>
  <c r="H330" i="45"/>
  <c r="I330" i="45" s="1"/>
  <c r="H331" i="45"/>
  <c r="I331" i="45" s="1"/>
  <c r="H285" i="45"/>
  <c r="I285" i="45" s="1"/>
  <c r="H284" i="45"/>
  <c r="I284" i="45" s="1"/>
  <c r="H283" i="45"/>
  <c r="I283" i="45" s="1"/>
  <c r="H281" i="45"/>
  <c r="I281" i="45" s="1"/>
  <c r="H280" i="45"/>
  <c r="I280" i="45" s="1"/>
  <c r="H279" i="45"/>
  <c r="I279" i="45" s="1"/>
  <c r="H270" i="45"/>
  <c r="I270" i="45" s="1"/>
  <c r="H271" i="45"/>
  <c r="I271" i="45" s="1"/>
  <c r="H272" i="45"/>
  <c r="I272" i="45" s="1"/>
  <c r="H273" i="45"/>
  <c r="I273" i="45" s="1"/>
  <c r="H274" i="45"/>
  <c r="I274" i="45" s="1"/>
  <c r="H268" i="45"/>
  <c r="I268" i="45" s="1"/>
  <c r="H267" i="45"/>
  <c r="I267" i="45" s="1"/>
  <c r="H266" i="45"/>
  <c r="I266" i="45" s="1"/>
  <c r="H265" i="45"/>
  <c r="I265" i="45" s="1"/>
  <c r="H252" i="45"/>
  <c r="I252" i="45" s="1"/>
  <c r="H253" i="45"/>
  <c r="I253" i="45" s="1"/>
  <c r="H257" i="45"/>
  <c r="I257" i="45" s="1"/>
  <c r="H258" i="45"/>
  <c r="I258" i="45" s="1"/>
  <c r="H259" i="45"/>
  <c r="I259" i="45" s="1"/>
  <c r="H250" i="45"/>
  <c r="I250" i="45" s="1"/>
  <c r="H249" i="45"/>
  <c r="I249" i="45" s="1"/>
  <c r="H248" i="45"/>
  <c r="I248" i="45" s="1"/>
  <c r="H247" i="45"/>
  <c r="I247" i="45" s="1"/>
  <c r="H246" i="45"/>
  <c r="I246" i="45" s="1"/>
  <c r="H245" i="45"/>
  <c r="I245" i="45" s="1"/>
  <c r="H244" i="45"/>
  <c r="I244" i="45" s="1"/>
  <c r="H243" i="45"/>
  <c r="I243" i="45" s="1"/>
  <c r="H242" i="45"/>
  <c r="I242" i="45" s="1"/>
  <c r="H239" i="45"/>
  <c r="I239" i="45" s="1"/>
  <c r="H238" i="45"/>
  <c r="I238" i="45" s="1"/>
  <c r="H236" i="45"/>
  <c r="I236" i="45" s="1"/>
  <c r="H235" i="45"/>
  <c r="I235" i="45" s="1"/>
  <c r="H234" i="45"/>
  <c r="I234" i="45" s="1"/>
  <c r="H233" i="45"/>
  <c r="I233" i="45" s="1"/>
  <c r="H232" i="45"/>
  <c r="I232" i="45" s="1"/>
  <c r="H231" i="45"/>
  <c r="I231" i="45" s="1"/>
  <c r="H230" i="45"/>
  <c r="I230" i="45" s="1"/>
  <c r="H229" i="45"/>
  <c r="I229" i="45" s="1"/>
  <c r="H228" i="45"/>
  <c r="I228" i="45" s="1"/>
  <c r="H209" i="45"/>
  <c r="I209" i="45" s="1"/>
  <c r="H210" i="45"/>
  <c r="I210" i="45" s="1"/>
  <c r="H211" i="45"/>
  <c r="I211" i="45" s="1"/>
  <c r="H212" i="45"/>
  <c r="I212" i="45" s="1"/>
  <c r="H213" i="45"/>
  <c r="I213" i="45" s="1"/>
  <c r="H214" i="45"/>
  <c r="I214" i="45" s="1"/>
  <c r="H215" i="45"/>
  <c r="I215" i="45" s="1"/>
  <c r="H217" i="45"/>
  <c r="I217" i="45" s="1"/>
  <c r="H218" i="45"/>
  <c r="I218" i="45" s="1"/>
  <c r="H219" i="45"/>
  <c r="I219" i="45" s="1"/>
  <c r="H208" i="45"/>
  <c r="I208" i="45" s="1"/>
  <c r="H207" i="45"/>
  <c r="I207" i="45" s="1"/>
  <c r="H206" i="45"/>
  <c r="I206" i="45" s="1"/>
  <c r="H205" i="45"/>
  <c r="I205" i="45" s="1"/>
  <c r="H204" i="45"/>
  <c r="I204" i="45" s="1"/>
  <c r="H203" i="45"/>
  <c r="I203" i="45" s="1"/>
  <c r="H201" i="45"/>
  <c r="I201" i="45" s="1"/>
  <c r="H200" i="45"/>
  <c r="I200" i="45" s="1"/>
  <c r="H199" i="45"/>
  <c r="I199" i="45" s="1"/>
  <c r="H198" i="45"/>
  <c r="I198" i="45" s="1"/>
  <c r="H197" i="45"/>
  <c r="I197" i="45" s="1"/>
  <c r="H196" i="45"/>
  <c r="I196" i="45" s="1"/>
  <c r="H195" i="45"/>
  <c r="I195" i="45" s="1"/>
  <c r="H194" i="45"/>
  <c r="I194" i="45" s="1"/>
  <c r="H193" i="45"/>
  <c r="I193" i="45" s="1"/>
  <c r="H192" i="45"/>
  <c r="I192" i="45" s="1"/>
  <c r="H191" i="45"/>
  <c r="I191" i="45" s="1"/>
  <c r="H190" i="45"/>
  <c r="I190" i="45" s="1"/>
  <c r="H188" i="45"/>
  <c r="I188" i="45" s="1"/>
  <c r="H187" i="45"/>
  <c r="I187" i="45" s="1"/>
  <c r="H186" i="45"/>
  <c r="I186" i="45" s="1"/>
  <c r="H185" i="45"/>
  <c r="I185" i="45" s="1"/>
  <c r="H184" i="45"/>
  <c r="I184" i="45" s="1"/>
  <c r="H183" i="45"/>
  <c r="I183" i="45" s="1"/>
  <c r="H170" i="45"/>
  <c r="I170" i="45" s="1"/>
  <c r="H171" i="45"/>
  <c r="I171" i="45" s="1"/>
  <c r="H172" i="45"/>
  <c r="I172" i="45" s="1"/>
  <c r="H173" i="45"/>
  <c r="I173" i="45" s="1"/>
  <c r="H174" i="45"/>
  <c r="I174" i="45" s="1"/>
  <c r="H175" i="45"/>
  <c r="I175" i="45" s="1"/>
  <c r="H176" i="45"/>
  <c r="I176" i="45" s="1"/>
  <c r="H177" i="45"/>
  <c r="I177" i="45" s="1"/>
  <c r="H178" i="45"/>
  <c r="I178" i="45" s="1"/>
  <c r="H179" i="45"/>
  <c r="I179" i="45" s="1"/>
  <c r="H180" i="45"/>
  <c r="I180" i="45" s="1"/>
  <c r="H181" i="45"/>
  <c r="I181" i="45" s="1"/>
  <c r="H169" i="45"/>
  <c r="I169" i="45" s="1"/>
  <c r="P18" i="45"/>
  <c r="L192" i="47"/>
  <c r="L193" i="47"/>
  <c r="L194" i="47"/>
  <c r="L191" i="47"/>
  <c r="L188" i="47"/>
  <c r="L187" i="47"/>
  <c r="L186" i="47"/>
  <c r="L185" i="47"/>
  <c r="L184" i="47"/>
  <c r="L183" i="47"/>
  <c r="L169" i="47"/>
  <c r="L170" i="47"/>
  <c r="L171" i="47"/>
  <c r="L172" i="47"/>
  <c r="L173" i="47"/>
  <c r="K241" i="47"/>
  <c r="L241" i="47" s="1"/>
  <c r="K242" i="47"/>
  <c r="L242" i="47" s="1"/>
  <c r="K244" i="47"/>
  <c r="L244" i="47" s="1"/>
  <c r="K245" i="47"/>
  <c r="L245" i="47" s="1"/>
  <c r="K246" i="47"/>
  <c r="K248" i="47"/>
  <c r="L248" i="47" s="1"/>
  <c r="K249" i="47"/>
  <c r="L249" i="47" s="1"/>
  <c r="K251" i="47"/>
  <c r="L251" i="47" s="1"/>
  <c r="K253" i="47"/>
  <c r="L253" i="47" s="1"/>
  <c r="K254" i="47"/>
  <c r="L254" i="47" s="1"/>
  <c r="K240" i="47"/>
  <c r="L240" i="47" s="1"/>
  <c r="K239" i="47"/>
  <c r="L239" i="47" s="1"/>
  <c r="K238" i="47"/>
  <c r="L238" i="47" s="1"/>
  <c r="K237" i="47"/>
  <c r="L237" i="47" s="1"/>
  <c r="K228" i="47"/>
  <c r="L228" i="47" s="1"/>
  <c r="K229" i="47"/>
  <c r="L229" i="47" s="1"/>
  <c r="K231" i="47"/>
  <c r="L231" i="47" s="1"/>
  <c r="K232" i="47"/>
  <c r="L232" i="47" s="1"/>
  <c r="K233" i="47"/>
  <c r="L233" i="47" s="1"/>
  <c r="K234" i="47"/>
  <c r="L234" i="47" s="1"/>
  <c r="K227" i="47"/>
  <c r="L227" i="47" s="1"/>
  <c r="K204" i="47"/>
  <c r="K206" i="47"/>
  <c r="L206" i="47" s="1"/>
  <c r="K207" i="47"/>
  <c r="K209" i="47"/>
  <c r="K210" i="47"/>
  <c r="L210" i="47" s="1"/>
  <c r="K211" i="47"/>
  <c r="L211" i="47" s="1"/>
  <c r="K203" i="47"/>
  <c r="K202" i="47"/>
  <c r="L202" i="47" s="1"/>
  <c r="K201" i="47"/>
  <c r="L201" i="47" s="1"/>
  <c r="K196" i="47"/>
  <c r="L196" i="47" s="1"/>
  <c r="K197" i="47"/>
  <c r="L197" i="47" s="1"/>
  <c r="K195" i="47"/>
  <c r="L195" i="47" s="1"/>
  <c r="K190" i="47"/>
  <c r="L190" i="47" s="1"/>
  <c r="K189" i="47"/>
  <c r="L189" i="47" s="1"/>
  <c r="K182" i="47"/>
  <c r="L182" i="47" s="1"/>
  <c r="K181" i="47"/>
  <c r="L181" i="47" s="1"/>
  <c r="K174" i="47"/>
  <c r="L174" i="47" s="1"/>
  <c r="K159" i="47"/>
  <c r="L159" i="47" s="1"/>
  <c r="K160" i="47"/>
  <c r="L160" i="47" s="1"/>
  <c r="K161" i="47"/>
  <c r="L161" i="47" s="1"/>
  <c r="K162" i="47"/>
  <c r="L162" i="47" s="1"/>
  <c r="K164" i="47"/>
  <c r="L164" i="47" s="1"/>
  <c r="K165" i="47"/>
  <c r="L165" i="47" s="1"/>
  <c r="K166" i="47"/>
  <c r="L166" i="47" s="1"/>
  <c r="K167" i="47"/>
  <c r="L167" i="47" s="1"/>
  <c r="K168" i="47"/>
  <c r="L168" i="47" s="1"/>
  <c r="K157" i="47"/>
  <c r="L157" i="47" s="1"/>
  <c r="K156" i="47"/>
  <c r="L156" i="47" s="1"/>
  <c r="K155" i="47"/>
  <c r="L155" i="47" s="1"/>
  <c r="K154" i="47"/>
  <c r="L154" i="47" s="1"/>
  <c r="K150" i="47"/>
  <c r="L150" i="47" s="1"/>
  <c r="K151" i="47"/>
  <c r="L151" i="47" s="1"/>
  <c r="K152" i="47"/>
  <c r="L152" i="47" s="1"/>
  <c r="K149" i="47"/>
  <c r="L149" i="47" s="1"/>
  <c r="K146" i="47"/>
  <c r="L146" i="47" s="1"/>
  <c r="K142" i="47"/>
  <c r="L142" i="47" s="1"/>
  <c r="K143" i="47"/>
  <c r="L143" i="47" s="1"/>
  <c r="K138" i="47"/>
  <c r="L138" i="47" s="1"/>
  <c r="K139" i="47"/>
  <c r="L139" i="47" s="1"/>
  <c r="K130" i="47"/>
  <c r="L130" i="47" s="1"/>
  <c r="K131" i="47"/>
  <c r="L131" i="47" s="1"/>
  <c r="K141" i="47"/>
  <c r="L141" i="47" s="1"/>
  <c r="K137" i="47"/>
  <c r="L137" i="47" s="1"/>
  <c r="K129" i="47"/>
  <c r="L129" i="47" s="1"/>
  <c r="K124" i="47"/>
  <c r="L124" i="47" s="1"/>
  <c r="K123" i="47"/>
  <c r="L123" i="47" s="1"/>
  <c r="K121" i="47"/>
  <c r="L121" i="47" s="1"/>
  <c r="K115" i="47"/>
  <c r="L115" i="47" s="1"/>
  <c r="K113" i="47"/>
  <c r="L113" i="47" s="1"/>
  <c r="K93" i="47"/>
  <c r="L93" i="47" s="1"/>
  <c r="K95" i="47"/>
  <c r="L95" i="47" s="1"/>
  <c r="K97" i="47"/>
  <c r="K98" i="47"/>
  <c r="K99" i="47"/>
  <c r="L99" i="47" s="1"/>
  <c r="K101" i="47"/>
  <c r="L101" i="47" s="1"/>
  <c r="K103" i="47"/>
  <c r="L103" i="47" s="1"/>
  <c r="K91" i="47"/>
  <c r="L91" i="47" s="1"/>
  <c r="K88" i="47"/>
  <c r="L88" i="47" s="1"/>
  <c r="K87" i="47"/>
  <c r="L87" i="47" s="1"/>
  <c r="K65" i="47"/>
  <c r="L65" i="47" s="1"/>
  <c r="K67" i="47"/>
  <c r="L67" i="47" s="1"/>
  <c r="K69" i="47"/>
  <c r="L69" i="47" s="1"/>
  <c r="K70" i="47"/>
  <c r="L70" i="47" s="1"/>
  <c r="K71" i="47"/>
  <c r="L71" i="47" s="1"/>
  <c r="K72" i="47"/>
  <c r="L72" i="47" s="1"/>
  <c r="K73" i="47"/>
  <c r="L73" i="47" s="1"/>
  <c r="K74" i="47"/>
  <c r="L74" i="47" s="1"/>
  <c r="K76" i="47"/>
  <c r="L76" i="47" s="1"/>
  <c r="K77" i="47"/>
  <c r="L77" i="47" s="1"/>
  <c r="K64" i="47"/>
  <c r="L64" i="47" s="1"/>
  <c r="K63" i="47"/>
  <c r="L63" i="47" s="1"/>
  <c r="K61" i="47"/>
  <c r="L61" i="47" s="1"/>
  <c r="K60" i="47"/>
  <c r="L60" i="47" s="1"/>
  <c r="K58" i="47"/>
  <c r="L58" i="47" s="1"/>
  <c r="K56" i="47"/>
  <c r="L56" i="47" s="1"/>
  <c r="K55" i="47"/>
  <c r="L55" i="47" s="1"/>
  <c r="K51" i="47"/>
  <c r="L51" i="47" s="1"/>
  <c r="K50" i="47"/>
  <c r="L50" i="47" s="1"/>
  <c r="K49" i="47"/>
  <c r="L49" i="47" s="1"/>
  <c r="K48" i="47"/>
  <c r="L48" i="47" s="1"/>
  <c r="K47" i="47"/>
  <c r="L47" i="47" s="1"/>
  <c r="K36" i="47"/>
  <c r="L36" i="47" s="1"/>
  <c r="K37" i="47"/>
  <c r="L37" i="47" s="1"/>
  <c r="K38" i="47"/>
  <c r="L38" i="47" s="1"/>
  <c r="K39" i="47"/>
  <c r="L39" i="47" s="1"/>
  <c r="K40" i="47"/>
  <c r="L40" i="47" s="1"/>
  <c r="K41" i="47"/>
  <c r="L41" i="47" s="1"/>
  <c r="K42" i="47"/>
  <c r="L42" i="47" s="1"/>
  <c r="K35" i="47"/>
  <c r="L35" i="47" s="1"/>
  <c r="K34" i="47"/>
  <c r="L34" i="47" s="1"/>
  <c r="K30" i="47"/>
  <c r="L30" i="47" s="1"/>
  <c r="K29" i="47"/>
  <c r="L29" i="47" s="1"/>
  <c r="I212" i="47"/>
  <c r="I208" i="47"/>
  <c r="I207" i="47"/>
  <c r="I203" i="47"/>
  <c r="I161" i="47"/>
  <c r="I75" i="47"/>
  <c r="H124" i="47"/>
  <c r="I124" i="47" s="1"/>
  <c r="H130" i="47"/>
  <c r="I130" i="47" s="1"/>
  <c r="H131" i="47"/>
  <c r="I131" i="47" s="1"/>
  <c r="H138" i="47"/>
  <c r="I138" i="47" s="1"/>
  <c r="H139" i="47"/>
  <c r="I139" i="47" s="1"/>
  <c r="H140" i="47"/>
  <c r="H141" i="47"/>
  <c r="I141" i="47" s="1"/>
  <c r="H142" i="47"/>
  <c r="I142" i="47" s="1"/>
  <c r="H143" i="47"/>
  <c r="I143" i="47" s="1"/>
  <c r="H150" i="47"/>
  <c r="I150" i="47" s="1"/>
  <c r="H151" i="47"/>
  <c r="I151" i="47" s="1"/>
  <c r="H152" i="47"/>
  <c r="I152" i="47" s="1"/>
  <c r="H155" i="47"/>
  <c r="I155" i="47" s="1"/>
  <c r="H156" i="47"/>
  <c r="I156" i="47" s="1"/>
  <c r="H160" i="47"/>
  <c r="I160" i="47" s="1"/>
  <c r="H165" i="47"/>
  <c r="I165" i="47" s="1"/>
  <c r="H166" i="47"/>
  <c r="I166" i="47" s="1"/>
  <c r="H167" i="47"/>
  <c r="I167" i="47" s="1"/>
  <c r="H168" i="47"/>
  <c r="I168" i="47" s="1"/>
  <c r="H182" i="47"/>
  <c r="I182" i="47" s="1"/>
  <c r="H190" i="47"/>
  <c r="I190" i="47" s="1"/>
  <c r="H196" i="47"/>
  <c r="I196" i="47" s="1"/>
  <c r="H197" i="47"/>
  <c r="I197" i="47" s="1"/>
  <c r="H202" i="47"/>
  <c r="I202" i="47" s="1"/>
  <c r="H211" i="47"/>
  <c r="I211" i="47" s="1"/>
  <c r="H228" i="47"/>
  <c r="I228" i="47" s="1"/>
  <c r="H229" i="47"/>
  <c r="I229" i="47" s="1"/>
  <c r="H232" i="47"/>
  <c r="I232" i="47" s="1"/>
  <c r="H233" i="47"/>
  <c r="I233" i="47" s="1"/>
  <c r="H234" i="47"/>
  <c r="I234" i="47" s="1"/>
  <c r="H238" i="47"/>
  <c r="I238" i="47" s="1"/>
  <c r="H239" i="47"/>
  <c r="I239" i="47" s="1"/>
  <c r="H240" i="47"/>
  <c r="I240" i="47" s="1"/>
  <c r="H241" i="47"/>
  <c r="I241" i="47" s="1"/>
  <c r="H242" i="47"/>
  <c r="I242" i="47" s="1"/>
  <c r="H245" i="47"/>
  <c r="I245" i="47" s="1"/>
  <c r="H249" i="47"/>
  <c r="I249" i="47" s="1"/>
  <c r="H254" i="47"/>
  <c r="I254" i="47" s="1"/>
  <c r="M254" i="47" s="1"/>
  <c r="H253" i="47"/>
  <c r="I253" i="47" s="1"/>
  <c r="H251" i="47"/>
  <c r="I251" i="47" s="1"/>
  <c r="H248" i="47"/>
  <c r="I248" i="47" s="1"/>
  <c r="H244" i="47"/>
  <c r="I244" i="47" s="1"/>
  <c r="H237" i="47"/>
  <c r="I237" i="47" s="1"/>
  <c r="H231" i="47"/>
  <c r="I231" i="47" s="1"/>
  <c r="H227" i="47"/>
  <c r="I227" i="47" s="1"/>
  <c r="H210" i="47"/>
  <c r="I210" i="47" s="1"/>
  <c r="H206" i="47"/>
  <c r="I206" i="47" s="1"/>
  <c r="H201" i="47"/>
  <c r="I201" i="47" s="1"/>
  <c r="H195" i="47"/>
  <c r="I195" i="47" s="1"/>
  <c r="H189" i="47"/>
  <c r="I189" i="47" s="1"/>
  <c r="H181" i="47"/>
  <c r="I181" i="47" s="1"/>
  <c r="H174" i="47"/>
  <c r="I174" i="47" s="1"/>
  <c r="H164" i="47"/>
  <c r="I164" i="47" s="1"/>
  <c r="H159" i="47"/>
  <c r="I159" i="47" s="1"/>
  <c r="H154" i="47"/>
  <c r="I154" i="47" s="1"/>
  <c r="I149" i="47"/>
  <c r="H146" i="47"/>
  <c r="I146" i="47" s="1"/>
  <c r="H137" i="47"/>
  <c r="I137" i="47" s="1"/>
  <c r="H129" i="47"/>
  <c r="I129" i="47" s="1"/>
  <c r="H123" i="47"/>
  <c r="I123" i="47" s="1"/>
  <c r="H121" i="47"/>
  <c r="I121" i="47" s="1"/>
  <c r="H115" i="47"/>
  <c r="I115" i="47" s="1"/>
  <c r="H113" i="47"/>
  <c r="I113" i="47" s="1"/>
  <c r="H103" i="47"/>
  <c r="I103" i="47" s="1"/>
  <c r="H101" i="47"/>
  <c r="I101" i="47" s="1"/>
  <c r="H99" i="47"/>
  <c r="I99" i="47" s="1"/>
  <c r="H95" i="47"/>
  <c r="I95" i="47" s="1"/>
  <c r="H93" i="47"/>
  <c r="I93" i="47" s="1"/>
  <c r="H91" i="47"/>
  <c r="I91" i="47" s="1"/>
  <c r="H88" i="47"/>
  <c r="I88" i="47" s="1"/>
  <c r="H87" i="47"/>
  <c r="I87" i="47" s="1"/>
  <c r="H76" i="47"/>
  <c r="I76" i="47" s="1"/>
  <c r="H70" i="47"/>
  <c r="H71" i="47"/>
  <c r="I71" i="47" s="1"/>
  <c r="H72" i="47"/>
  <c r="I72" i="47" s="1"/>
  <c r="H73" i="47"/>
  <c r="I73" i="47" s="1"/>
  <c r="H74" i="47"/>
  <c r="I74" i="47" s="1"/>
  <c r="H69" i="47"/>
  <c r="H67" i="47"/>
  <c r="I67" i="47" s="1"/>
  <c r="H64" i="47"/>
  <c r="I64" i="47" s="1"/>
  <c r="H65" i="47"/>
  <c r="I65" i="47" s="1"/>
  <c r="H61" i="47"/>
  <c r="I61" i="47" s="1"/>
  <c r="H56" i="47"/>
  <c r="I56" i="47" s="1"/>
  <c r="H63" i="47"/>
  <c r="I63" i="47" s="1"/>
  <c r="H60" i="47"/>
  <c r="I60" i="47" s="1"/>
  <c r="H58" i="47"/>
  <c r="I58" i="47" s="1"/>
  <c r="H55" i="47"/>
  <c r="I55" i="47" s="1"/>
  <c r="H48" i="47"/>
  <c r="H49" i="47"/>
  <c r="I49" i="47" s="1"/>
  <c r="H50" i="47"/>
  <c r="I50" i="47" s="1"/>
  <c r="H51" i="47"/>
  <c r="I51" i="47" s="1"/>
  <c r="H47" i="47"/>
  <c r="I47" i="47" s="1"/>
  <c r="H35" i="47"/>
  <c r="I35" i="47" s="1"/>
  <c r="H36" i="47"/>
  <c r="I36" i="47" s="1"/>
  <c r="H37" i="47"/>
  <c r="I37" i="47" s="1"/>
  <c r="H38" i="47"/>
  <c r="I38" i="47" s="1"/>
  <c r="H39" i="47"/>
  <c r="I39" i="47" s="1"/>
  <c r="H40" i="47"/>
  <c r="I40" i="47" s="1"/>
  <c r="H41" i="47"/>
  <c r="I41" i="47" s="1"/>
  <c r="H42" i="47"/>
  <c r="I42" i="47" s="1"/>
  <c r="H34" i="47"/>
  <c r="I34" i="47" s="1"/>
  <c r="H30" i="47"/>
  <c r="I30" i="47" s="1"/>
  <c r="H29" i="47"/>
  <c r="I29" i="47" s="1"/>
  <c r="P15" i="47"/>
  <c r="O14" i="47"/>
  <c r="O15" i="47"/>
  <c r="K539" i="48"/>
  <c r="L539" i="48" s="1"/>
  <c r="K528" i="48"/>
  <c r="L528" i="48" s="1"/>
  <c r="K529" i="48"/>
  <c r="L529" i="48" s="1"/>
  <c r="K530" i="48"/>
  <c r="L530" i="48" s="1"/>
  <c r="K531" i="48"/>
  <c r="L531" i="48" s="1"/>
  <c r="K532" i="48"/>
  <c r="L532" i="48" s="1"/>
  <c r="K533" i="48"/>
  <c r="L533" i="48" s="1"/>
  <c r="K527" i="48"/>
  <c r="L527" i="48" s="1"/>
  <c r="K520" i="48"/>
  <c r="L520" i="48" s="1"/>
  <c r="K521" i="48"/>
  <c r="L521" i="48" s="1"/>
  <c r="K522" i="48"/>
  <c r="L522" i="48" s="1"/>
  <c r="K523" i="48"/>
  <c r="L523" i="48" s="1"/>
  <c r="K524" i="48"/>
  <c r="L524" i="48" s="1"/>
  <c r="K519" i="48"/>
  <c r="L519" i="48" s="1"/>
  <c r="H521" i="48"/>
  <c r="I521" i="48" s="1"/>
  <c r="H524" i="48"/>
  <c r="I524" i="48" s="1"/>
  <c r="H525" i="48"/>
  <c r="I525" i="48" s="1"/>
  <c r="K550" i="48"/>
  <c r="L550" i="48" s="1"/>
  <c r="K551" i="48"/>
  <c r="L551" i="48" s="1"/>
  <c r="K552" i="48"/>
  <c r="L552" i="48" s="1"/>
  <c r="K553" i="48"/>
  <c r="L553" i="48" s="1"/>
  <c r="K555" i="48"/>
  <c r="L555" i="48" s="1"/>
  <c r="K556" i="48"/>
  <c r="L556" i="48" s="1"/>
  <c r="K557" i="48"/>
  <c r="L557" i="48" s="1"/>
  <c r="K558" i="48"/>
  <c r="L558" i="48" s="1"/>
  <c r="K560" i="48"/>
  <c r="L560" i="48" s="1"/>
  <c r="K561" i="48"/>
  <c r="L561" i="48" s="1"/>
  <c r="K562" i="48"/>
  <c r="L562" i="48" s="1"/>
  <c r="K563" i="48"/>
  <c r="L563" i="48" s="1"/>
  <c r="K565" i="48"/>
  <c r="L565" i="48" s="1"/>
  <c r="K567" i="48"/>
  <c r="L567" i="48" s="1"/>
  <c r="K568" i="48"/>
  <c r="L568" i="48" s="1"/>
  <c r="K569" i="48"/>
  <c r="L569" i="48" s="1"/>
  <c r="K570" i="48"/>
  <c r="L570" i="48" s="1"/>
  <c r="K571" i="48"/>
  <c r="L571" i="48" s="1"/>
  <c r="K573" i="48"/>
  <c r="L573" i="48" s="1"/>
  <c r="K574" i="48"/>
  <c r="L574" i="48" s="1"/>
  <c r="K576" i="48"/>
  <c r="L576" i="48" s="1"/>
  <c r="K577" i="48"/>
  <c r="L577" i="48" s="1"/>
  <c r="K578" i="48"/>
  <c r="L578" i="48" s="1"/>
  <c r="K580" i="48"/>
  <c r="L580" i="48" s="1"/>
  <c r="K581" i="48"/>
  <c r="L581" i="48" s="1"/>
  <c r="K582" i="48"/>
  <c r="L582" i="48" s="1"/>
  <c r="K548" i="48"/>
  <c r="L548" i="48" s="1"/>
  <c r="K545" i="48"/>
  <c r="L545" i="48" s="1"/>
  <c r="K544" i="48"/>
  <c r="L544" i="48" s="1"/>
  <c r="K538" i="48"/>
  <c r="L538" i="48" s="1"/>
  <c r="K536" i="48"/>
  <c r="L536" i="48" s="1"/>
  <c r="K535" i="48"/>
  <c r="L535" i="48" s="1"/>
  <c r="K514" i="48"/>
  <c r="L514" i="48" s="1"/>
  <c r="K513" i="48"/>
  <c r="L513" i="48" s="1"/>
  <c r="K511" i="48"/>
  <c r="L511" i="48" s="1"/>
  <c r="K510" i="48"/>
  <c r="L510" i="48" s="1"/>
  <c r="K505" i="48"/>
  <c r="L505" i="48" s="1"/>
  <c r="K506" i="48"/>
  <c r="L506" i="48" s="1"/>
  <c r="K507" i="48"/>
  <c r="L507" i="48" s="1"/>
  <c r="K504" i="48"/>
  <c r="L504" i="48" s="1"/>
  <c r="K503" i="48"/>
  <c r="L503" i="48" s="1"/>
  <c r="K502" i="48"/>
  <c r="L502" i="48" s="1"/>
  <c r="K493" i="48"/>
  <c r="L493" i="48" s="1"/>
  <c r="K492" i="48"/>
  <c r="L492" i="48" s="1"/>
  <c r="K491" i="48"/>
  <c r="L491" i="48" s="1"/>
  <c r="K483" i="48"/>
  <c r="L483" i="48" s="1"/>
  <c r="K484" i="48"/>
  <c r="L484" i="48" s="1"/>
  <c r="K481" i="48"/>
  <c r="L481" i="48" s="1"/>
  <c r="K480" i="48"/>
  <c r="L480" i="48" s="1"/>
  <c r="K478" i="48"/>
  <c r="L478" i="48" s="1"/>
  <c r="K477" i="48"/>
  <c r="L477" i="48" s="1"/>
  <c r="K476" i="48"/>
  <c r="L476" i="48" s="1"/>
  <c r="K462" i="48"/>
  <c r="L462" i="48" s="1"/>
  <c r="K463" i="48"/>
  <c r="L463" i="48" s="1"/>
  <c r="K464" i="48"/>
  <c r="L464" i="48" s="1"/>
  <c r="K465" i="48"/>
  <c r="L465" i="48" s="1"/>
  <c r="K466" i="48"/>
  <c r="L466" i="48" s="1"/>
  <c r="K467" i="48"/>
  <c r="L467" i="48" s="1"/>
  <c r="K468" i="48"/>
  <c r="L468" i="48" s="1"/>
  <c r="K469" i="48"/>
  <c r="L469" i="48" s="1"/>
  <c r="K470" i="48"/>
  <c r="L470" i="48" s="1"/>
  <c r="K471" i="48"/>
  <c r="L471" i="48" s="1"/>
  <c r="K472" i="48"/>
  <c r="L472" i="48" s="1"/>
  <c r="K473" i="48"/>
  <c r="L473" i="48" s="1"/>
  <c r="K474" i="48"/>
  <c r="L474" i="48" s="1"/>
  <c r="K461" i="48"/>
  <c r="L461" i="48" s="1"/>
  <c r="K460" i="48"/>
  <c r="L460" i="48" s="1"/>
  <c r="K455" i="48"/>
  <c r="L455" i="48" s="1"/>
  <c r="K454" i="48"/>
  <c r="L454" i="48" s="1"/>
  <c r="K452" i="48"/>
  <c r="L452" i="48" s="1"/>
  <c r="K450" i="48"/>
  <c r="L450" i="48" s="1"/>
  <c r="K448" i="48"/>
  <c r="L448" i="48" s="1"/>
  <c r="K439" i="48"/>
  <c r="L439" i="48" s="1"/>
  <c r="K440" i="48"/>
  <c r="L440" i="48" s="1"/>
  <c r="K441" i="48"/>
  <c r="L441" i="48" s="1"/>
  <c r="K442" i="48"/>
  <c r="L442" i="48" s="1"/>
  <c r="K443" i="48"/>
  <c r="L443" i="48" s="1"/>
  <c r="K444" i="48"/>
  <c r="L444" i="48" s="1"/>
  <c r="K445" i="48"/>
  <c r="L445" i="48" s="1"/>
  <c r="K446" i="48"/>
  <c r="L446" i="48" s="1"/>
  <c r="K438" i="48"/>
  <c r="L438" i="48" s="1"/>
  <c r="K436" i="48"/>
  <c r="L436" i="48" s="1"/>
  <c r="K434" i="48"/>
  <c r="L434" i="48" s="1"/>
  <c r="K432" i="48"/>
  <c r="L432" i="48" s="1"/>
  <c r="K430" i="48"/>
  <c r="L430" i="48" s="1"/>
  <c r="K427" i="48"/>
  <c r="L427" i="48" s="1"/>
  <c r="K426" i="48"/>
  <c r="L426" i="48" s="1"/>
  <c r="K425" i="48"/>
  <c r="L425" i="48" s="1"/>
  <c r="K424" i="48"/>
  <c r="L424" i="48" s="1"/>
  <c r="K407" i="48"/>
  <c r="L407" i="48" s="1"/>
  <c r="K408" i="48"/>
  <c r="L408" i="48" s="1"/>
  <c r="K409" i="48"/>
  <c r="L409" i="48" s="1"/>
  <c r="K410" i="48"/>
  <c r="L410" i="48" s="1"/>
  <c r="K411" i="48"/>
  <c r="L411" i="48" s="1"/>
  <c r="K412" i="48"/>
  <c r="L412" i="48" s="1"/>
  <c r="K414" i="48"/>
  <c r="L414" i="48" s="1"/>
  <c r="K415" i="48"/>
  <c r="L415" i="48" s="1"/>
  <c r="K416" i="48"/>
  <c r="L416" i="48" s="1"/>
  <c r="K418" i="48"/>
  <c r="L418" i="48" s="1"/>
  <c r="K419" i="48"/>
  <c r="L419" i="48" s="1"/>
  <c r="K420" i="48"/>
  <c r="L420" i="48" s="1"/>
  <c r="K421" i="48"/>
  <c r="L421" i="48" s="1"/>
  <c r="K422" i="48"/>
  <c r="L422" i="48" s="1"/>
  <c r="K399" i="48"/>
  <c r="L399" i="48" s="1"/>
  <c r="K400" i="48"/>
  <c r="L400" i="48" s="1"/>
  <c r="K401" i="48"/>
  <c r="L401" i="48" s="1"/>
  <c r="K402" i="48"/>
  <c r="L402" i="48" s="1"/>
  <c r="K403" i="48"/>
  <c r="L403" i="48" s="1"/>
  <c r="K404" i="48"/>
  <c r="L404" i="48" s="1"/>
  <c r="K405" i="48"/>
  <c r="L405" i="48" s="1"/>
  <c r="K398" i="48"/>
  <c r="L398" i="48" s="1"/>
  <c r="K389" i="48"/>
  <c r="L389" i="48" s="1"/>
  <c r="K378" i="48"/>
  <c r="L378" i="48" s="1"/>
  <c r="K379" i="48"/>
  <c r="L379" i="48" s="1"/>
  <c r="K380" i="48"/>
  <c r="L380" i="48" s="1"/>
  <c r="K381" i="48"/>
  <c r="L381" i="48" s="1"/>
  <c r="K382" i="48"/>
  <c r="L382" i="48" s="1"/>
  <c r="K383" i="48"/>
  <c r="L383" i="48" s="1"/>
  <c r="K393" i="48"/>
  <c r="L393" i="48" s="1"/>
  <c r="K388" i="48"/>
  <c r="L388" i="48" s="1"/>
  <c r="K386" i="48"/>
  <c r="L386" i="48" s="1"/>
  <c r="K377" i="48"/>
  <c r="L377" i="48" s="1"/>
  <c r="K375" i="48"/>
  <c r="L375" i="48" s="1"/>
  <c r="K373" i="48"/>
  <c r="L373" i="48" s="1"/>
  <c r="K369" i="48"/>
  <c r="L369" i="48" s="1"/>
  <c r="K361" i="48"/>
  <c r="L361" i="48" s="1"/>
  <c r="K358" i="48"/>
  <c r="L358" i="48" s="1"/>
  <c r="K355" i="48"/>
  <c r="L355" i="48" s="1"/>
  <c r="K354" i="48"/>
  <c r="L354" i="48" s="1"/>
  <c r="K353" i="48"/>
  <c r="L353" i="48" s="1"/>
  <c r="K348" i="48"/>
  <c r="L348" i="48" s="1"/>
  <c r="K347" i="48"/>
  <c r="L347" i="48" s="1"/>
  <c r="K346" i="48"/>
  <c r="L346" i="48" s="1"/>
  <c r="K336" i="48"/>
  <c r="L336" i="48" s="1"/>
  <c r="K337" i="48"/>
  <c r="L337" i="48" s="1"/>
  <c r="K338" i="48"/>
  <c r="L338" i="48" s="1"/>
  <c r="K339" i="48"/>
  <c r="L339" i="48" s="1"/>
  <c r="K340" i="48"/>
  <c r="L340" i="48" s="1"/>
  <c r="K341" i="48"/>
  <c r="L341" i="48" s="1"/>
  <c r="K342" i="48"/>
  <c r="L342" i="48" s="1"/>
  <c r="K335" i="48"/>
  <c r="L335" i="48" s="1"/>
  <c r="K334" i="48"/>
  <c r="L334" i="48" s="1"/>
  <c r="K333" i="48"/>
  <c r="L333" i="48" s="1"/>
  <c r="K332" i="48"/>
  <c r="L332" i="48" s="1"/>
  <c r="K331" i="48"/>
  <c r="L331" i="48" s="1"/>
  <c r="K330" i="48"/>
  <c r="L330" i="48" s="1"/>
  <c r="K329" i="48"/>
  <c r="L329" i="48" s="1"/>
  <c r="K328" i="48"/>
  <c r="L328" i="48" s="1"/>
  <c r="K327" i="48"/>
  <c r="L327" i="48" s="1"/>
  <c r="K326" i="48"/>
  <c r="L326" i="48" s="1"/>
  <c r="K325" i="48"/>
  <c r="L325" i="48" s="1"/>
  <c r="K324" i="48"/>
  <c r="L324" i="48" s="1"/>
  <c r="K323" i="48"/>
  <c r="L323" i="48" s="1"/>
  <c r="K322" i="48"/>
  <c r="L322" i="48" s="1"/>
  <c r="K321" i="48"/>
  <c r="L321" i="48" s="1"/>
  <c r="K320" i="48"/>
  <c r="L320" i="48" s="1"/>
  <c r="K319" i="48"/>
  <c r="L319" i="48" s="1"/>
  <c r="K318" i="48"/>
  <c r="L318" i="48" s="1"/>
  <c r="K317" i="48"/>
  <c r="L317" i="48" s="1"/>
  <c r="K316" i="48"/>
  <c r="L316" i="48" s="1"/>
  <c r="K311" i="48"/>
  <c r="L311" i="48" s="1"/>
  <c r="K312" i="48"/>
  <c r="L312" i="48" s="1"/>
  <c r="K313" i="48"/>
  <c r="L313" i="48" s="1"/>
  <c r="K310" i="48"/>
  <c r="L310" i="48" s="1"/>
  <c r="K309" i="48"/>
  <c r="L309" i="48" s="1"/>
  <c r="K308" i="48"/>
  <c r="L308" i="48" s="1"/>
  <c r="K307" i="48"/>
  <c r="L307" i="48" s="1"/>
  <c r="K306" i="48"/>
  <c r="L306" i="48" s="1"/>
  <c r="K305" i="48"/>
  <c r="L305" i="48" s="1"/>
  <c r="K304" i="48"/>
  <c r="L304" i="48" s="1"/>
  <c r="K303" i="48"/>
  <c r="L303" i="48" s="1"/>
  <c r="K302" i="48"/>
  <c r="L302" i="48" s="1"/>
  <c r="K301" i="48"/>
  <c r="L301" i="48" s="1"/>
  <c r="K300" i="48"/>
  <c r="L300" i="48" s="1"/>
  <c r="K299" i="48"/>
  <c r="L299" i="48" s="1"/>
  <c r="K298" i="48"/>
  <c r="L298" i="48" s="1"/>
  <c r="K297" i="48"/>
  <c r="L297" i="48" s="1"/>
  <c r="K296" i="48"/>
  <c r="L296" i="48" s="1"/>
  <c r="K295" i="48"/>
  <c r="L295" i="48" s="1"/>
  <c r="K294" i="48"/>
  <c r="L294" i="48" s="1"/>
  <c r="K293" i="48"/>
  <c r="L293" i="48" s="1"/>
  <c r="K292" i="48"/>
  <c r="L292" i="48" s="1"/>
  <c r="K291" i="48"/>
  <c r="L291" i="48" s="1"/>
  <c r="K290" i="48"/>
  <c r="L290" i="48" s="1"/>
  <c r="K289" i="48"/>
  <c r="L289" i="48" s="1"/>
  <c r="K288" i="48"/>
  <c r="L288" i="48" s="1"/>
  <c r="K287" i="48"/>
  <c r="L287" i="48" s="1"/>
  <c r="K286" i="48"/>
  <c r="L286" i="48" s="1"/>
  <c r="K285" i="48"/>
  <c r="L285" i="48" s="1"/>
  <c r="K284" i="48"/>
  <c r="L284" i="48" s="1"/>
  <c r="K283" i="48"/>
  <c r="L283" i="48" s="1"/>
  <c r="K282" i="48"/>
  <c r="L282" i="48" s="1"/>
  <c r="K281" i="48"/>
  <c r="L281" i="48" s="1"/>
  <c r="K280" i="48"/>
  <c r="L280" i="48" s="1"/>
  <c r="K279" i="48"/>
  <c r="L279" i="48" s="1"/>
  <c r="K278" i="48"/>
  <c r="L278" i="48" s="1"/>
  <c r="K277" i="48"/>
  <c r="L277" i="48" s="1"/>
  <c r="K273" i="48"/>
  <c r="L273" i="48" s="1"/>
  <c r="K274" i="48"/>
  <c r="L274" i="48" s="1"/>
  <c r="K275" i="48"/>
  <c r="L275" i="48" s="1"/>
  <c r="K272" i="48"/>
  <c r="L272" i="48" s="1"/>
  <c r="K271" i="48"/>
  <c r="L271" i="48" s="1"/>
  <c r="K270" i="48"/>
  <c r="L270" i="48" s="1"/>
  <c r="K269" i="48"/>
  <c r="L269" i="48" s="1"/>
  <c r="K268" i="48"/>
  <c r="L268" i="48" s="1"/>
  <c r="K267" i="48"/>
  <c r="L267" i="48" s="1"/>
  <c r="K266" i="48"/>
  <c r="L266" i="48" s="1"/>
  <c r="K265" i="48"/>
  <c r="L265" i="48" s="1"/>
  <c r="K264" i="48"/>
  <c r="L264" i="48" s="1"/>
  <c r="K263" i="48"/>
  <c r="L263" i="48" s="1"/>
  <c r="K262" i="48"/>
  <c r="L262" i="48" s="1"/>
  <c r="K261" i="48"/>
  <c r="L261" i="48" s="1"/>
  <c r="K260" i="48"/>
  <c r="L260" i="48" s="1"/>
  <c r="K259" i="48"/>
  <c r="L259" i="48" s="1"/>
  <c r="K258" i="48"/>
  <c r="L258" i="48" s="1"/>
  <c r="K257" i="48"/>
  <c r="L257" i="48" s="1"/>
  <c r="K256" i="48"/>
  <c r="L256" i="48" s="1"/>
  <c r="K255" i="48"/>
  <c r="L255" i="48" s="1"/>
  <c r="K254" i="48"/>
  <c r="L254" i="48" s="1"/>
  <c r="K253" i="48"/>
  <c r="L253" i="48" s="1"/>
  <c r="K252" i="48"/>
  <c r="L252" i="48" s="1"/>
  <c r="K251" i="48"/>
  <c r="L251" i="48" s="1"/>
  <c r="K250" i="48"/>
  <c r="L250" i="48" s="1"/>
  <c r="K249" i="48"/>
  <c r="L249" i="48" s="1"/>
  <c r="K248" i="48"/>
  <c r="L248" i="48" s="1"/>
  <c r="K247" i="48"/>
  <c r="L247" i="48" s="1"/>
  <c r="K246" i="48"/>
  <c r="L246" i="48" s="1"/>
  <c r="K245" i="48"/>
  <c r="L245" i="48" s="1"/>
  <c r="K237" i="48"/>
  <c r="L237" i="48" s="1"/>
  <c r="K238" i="48"/>
  <c r="L238" i="48" s="1"/>
  <c r="K239" i="48"/>
  <c r="L239" i="48" s="1"/>
  <c r="K240" i="48"/>
  <c r="L240" i="48" s="1"/>
  <c r="K241" i="48"/>
  <c r="L241" i="48" s="1"/>
  <c r="K242" i="48"/>
  <c r="L242" i="48" s="1"/>
  <c r="K236" i="48"/>
  <c r="L236" i="48" s="1"/>
  <c r="K235" i="48"/>
  <c r="L235" i="48" s="1"/>
  <c r="K234" i="48"/>
  <c r="L234" i="48" s="1"/>
  <c r="K233" i="48"/>
  <c r="L233" i="48" s="1"/>
  <c r="K232" i="48"/>
  <c r="L232" i="48" s="1"/>
  <c r="K231" i="48"/>
  <c r="L231" i="48" s="1"/>
  <c r="K230" i="48"/>
  <c r="L230" i="48" s="1"/>
  <c r="K229" i="48"/>
  <c r="L229" i="48" s="1"/>
  <c r="K228" i="48"/>
  <c r="L228" i="48" s="1"/>
  <c r="K227" i="48"/>
  <c r="L227" i="48" s="1"/>
  <c r="K226" i="48"/>
  <c r="L226" i="48" s="1"/>
  <c r="K225" i="48"/>
  <c r="L225" i="48" s="1"/>
  <c r="K224" i="48"/>
  <c r="L224" i="48" s="1"/>
  <c r="K223" i="48"/>
  <c r="L223" i="48" s="1"/>
  <c r="K222" i="48"/>
  <c r="L222" i="48" s="1"/>
  <c r="K221" i="48"/>
  <c r="L221" i="48" s="1"/>
  <c r="K215" i="48"/>
  <c r="L215" i="48" s="1"/>
  <c r="K216" i="48"/>
  <c r="L216" i="48" s="1"/>
  <c r="K217" i="48"/>
  <c r="L217" i="48" s="1"/>
  <c r="K218" i="48"/>
  <c r="L218" i="48" s="1"/>
  <c r="K219" i="48"/>
  <c r="L219" i="48" s="1"/>
  <c r="K214" i="48"/>
  <c r="L214" i="48" s="1"/>
  <c r="K213" i="48"/>
  <c r="L213" i="48" s="1"/>
  <c r="K212" i="48"/>
  <c r="L212" i="48" s="1"/>
  <c r="K204" i="48"/>
  <c r="L204" i="48" s="1"/>
  <c r="K205" i="48"/>
  <c r="L205" i="48" s="1"/>
  <c r="K203" i="48"/>
  <c r="L203" i="48" s="1"/>
  <c r="K201" i="48"/>
  <c r="L201" i="48" s="1"/>
  <c r="K199" i="48"/>
  <c r="L199" i="48" s="1"/>
  <c r="K197" i="48"/>
  <c r="L197" i="48" s="1"/>
  <c r="K191" i="48"/>
  <c r="L191" i="48" s="1"/>
  <c r="K192" i="48"/>
  <c r="L192" i="48" s="1"/>
  <c r="K193" i="48"/>
  <c r="L193" i="48" s="1"/>
  <c r="K194" i="48"/>
  <c r="L194" i="48" s="1"/>
  <c r="K195" i="48"/>
  <c r="L195" i="48" s="1"/>
  <c r="K190" i="48"/>
  <c r="L190" i="48" s="1"/>
  <c r="K188" i="48"/>
  <c r="L188" i="48" s="1"/>
  <c r="K175" i="48"/>
  <c r="L175" i="48" s="1"/>
  <c r="K176" i="48"/>
  <c r="L176" i="48" s="1"/>
  <c r="K177" i="48"/>
  <c r="L177" i="48" s="1"/>
  <c r="K178" i="48"/>
  <c r="L178" i="48" s="1"/>
  <c r="K179" i="48"/>
  <c r="L179" i="48" s="1"/>
  <c r="K181" i="48"/>
  <c r="L181" i="48" s="1"/>
  <c r="K182" i="48"/>
  <c r="L182" i="48" s="1"/>
  <c r="K183" i="48"/>
  <c r="L183" i="48" s="1"/>
  <c r="K184" i="48"/>
  <c r="L184" i="48" s="1"/>
  <c r="K166" i="48"/>
  <c r="L166" i="48" s="1"/>
  <c r="K167" i="48"/>
  <c r="L167" i="48" s="1"/>
  <c r="K168" i="48"/>
  <c r="L168" i="48" s="1"/>
  <c r="K169" i="48"/>
  <c r="L169" i="48" s="1"/>
  <c r="K170" i="48"/>
  <c r="L170" i="48" s="1"/>
  <c r="K171" i="48"/>
  <c r="L171" i="48" s="1"/>
  <c r="K172" i="48"/>
  <c r="L172" i="48" s="1"/>
  <c r="K173" i="48"/>
  <c r="L173" i="48" s="1"/>
  <c r="K165" i="48"/>
  <c r="L165" i="48" s="1"/>
  <c r="K157" i="48"/>
  <c r="L157" i="48" s="1"/>
  <c r="K154" i="48"/>
  <c r="L154" i="48" s="1"/>
  <c r="K151" i="48"/>
  <c r="L151" i="48" s="1"/>
  <c r="K147" i="48"/>
  <c r="L147" i="48" s="1"/>
  <c r="K143" i="48"/>
  <c r="L143" i="48" s="1"/>
  <c r="K139" i="48"/>
  <c r="L139" i="48" s="1"/>
  <c r="K135" i="48"/>
  <c r="L135" i="48" s="1"/>
  <c r="K131" i="48"/>
  <c r="L131" i="48" s="1"/>
  <c r="K127" i="48"/>
  <c r="L127" i="48" s="1"/>
  <c r="K123" i="48"/>
  <c r="L123" i="48" s="1"/>
  <c r="K118" i="48"/>
  <c r="L118" i="48" s="1"/>
  <c r="K113" i="48"/>
  <c r="L113" i="48" s="1"/>
  <c r="K110" i="48"/>
  <c r="L110" i="48" s="1"/>
  <c r="K104" i="48"/>
  <c r="L104" i="48" s="1"/>
  <c r="K99" i="48"/>
  <c r="L99" i="48" s="1"/>
  <c r="K98" i="48"/>
  <c r="L98" i="48" s="1"/>
  <c r="K97" i="48"/>
  <c r="L97" i="48" s="1"/>
  <c r="K96" i="48"/>
  <c r="L96" i="48" s="1"/>
  <c r="K58" i="48"/>
  <c r="L58" i="48" s="1"/>
  <c r="K59" i="48"/>
  <c r="L59" i="48" s="1"/>
  <c r="K83" i="48"/>
  <c r="L83" i="48" s="1"/>
  <c r="K76" i="48"/>
  <c r="L76" i="48" s="1"/>
  <c r="K65" i="48"/>
  <c r="L65" i="48" s="1"/>
  <c r="K57" i="48"/>
  <c r="L57" i="48" s="1"/>
  <c r="K49" i="48"/>
  <c r="L49" i="48" s="1"/>
  <c r="K42" i="48"/>
  <c r="L42" i="48" s="1"/>
  <c r="K34" i="48"/>
  <c r="L34" i="48" s="1"/>
  <c r="K35" i="48"/>
  <c r="L35" i="48" s="1"/>
  <c r="K36" i="48"/>
  <c r="L36" i="48" s="1"/>
  <c r="K37" i="48"/>
  <c r="L37" i="48" s="1"/>
  <c r="K38" i="48"/>
  <c r="L38" i="48" s="1"/>
  <c r="K33" i="48"/>
  <c r="L33" i="48" s="1"/>
  <c r="H582" i="48"/>
  <c r="I582" i="48" s="1"/>
  <c r="H581" i="48"/>
  <c r="I581" i="48" s="1"/>
  <c r="H580" i="48"/>
  <c r="I580" i="48" s="1"/>
  <c r="H574" i="48"/>
  <c r="I574" i="48" s="1"/>
  <c r="H573" i="48"/>
  <c r="I573" i="48" s="1"/>
  <c r="H569" i="48"/>
  <c r="I569" i="48" s="1"/>
  <c r="H570" i="48"/>
  <c r="I570" i="48" s="1"/>
  <c r="H571" i="48"/>
  <c r="I571" i="48" s="1"/>
  <c r="H568" i="48"/>
  <c r="I568" i="48" s="1"/>
  <c r="H567" i="48"/>
  <c r="I567" i="48" s="1"/>
  <c r="H565" i="48"/>
  <c r="I565" i="48" s="1"/>
  <c r="H563" i="48"/>
  <c r="I563" i="48" s="1"/>
  <c r="H562" i="48"/>
  <c r="I562" i="48" s="1"/>
  <c r="H561" i="48"/>
  <c r="I561" i="48" s="1"/>
  <c r="H560" i="48"/>
  <c r="I560" i="48" s="1"/>
  <c r="H558" i="48"/>
  <c r="I558" i="48" s="1"/>
  <c r="H557" i="48"/>
  <c r="I557" i="48" s="1"/>
  <c r="H556" i="48"/>
  <c r="I556" i="48" s="1"/>
  <c r="H555" i="48"/>
  <c r="I555" i="48" s="1"/>
  <c r="H550" i="48"/>
  <c r="I550" i="48" s="1"/>
  <c r="H551" i="48"/>
  <c r="I551" i="48" s="1"/>
  <c r="H552" i="48"/>
  <c r="I552" i="48" s="1"/>
  <c r="H553" i="48"/>
  <c r="I553" i="48" s="1"/>
  <c r="H548" i="48"/>
  <c r="I548" i="48" s="1"/>
  <c r="H545" i="48"/>
  <c r="I545" i="48" s="1"/>
  <c r="H544" i="48"/>
  <c r="I544" i="48" s="1"/>
  <c r="H539" i="48"/>
  <c r="I539" i="48" s="1"/>
  <c r="H536" i="48"/>
  <c r="I536" i="48" s="1"/>
  <c r="H535" i="48"/>
  <c r="I535" i="48" s="1"/>
  <c r="H533" i="48"/>
  <c r="I533" i="48" s="1"/>
  <c r="H531" i="48"/>
  <c r="I531" i="48" s="1"/>
  <c r="H530" i="48"/>
  <c r="I530" i="48" s="1"/>
  <c r="H529" i="48"/>
  <c r="I529" i="48" s="1"/>
  <c r="H528" i="48"/>
  <c r="I528" i="48" s="1"/>
  <c r="H527" i="48"/>
  <c r="I527" i="48" s="1"/>
  <c r="H514" i="48"/>
  <c r="I514" i="48" s="1"/>
  <c r="H511" i="48"/>
  <c r="I511" i="48" s="1"/>
  <c r="H504" i="48"/>
  <c r="I504" i="48" s="1"/>
  <c r="H505" i="48"/>
  <c r="I505" i="48" s="1"/>
  <c r="H506" i="48"/>
  <c r="I506" i="48" s="1"/>
  <c r="H507" i="48"/>
  <c r="I507" i="48" s="1"/>
  <c r="H508" i="48"/>
  <c r="I508" i="48" s="1"/>
  <c r="H494" i="48"/>
  <c r="I494" i="48" s="1"/>
  <c r="H495" i="48"/>
  <c r="I495" i="48" s="1"/>
  <c r="H496" i="48"/>
  <c r="I496" i="48" s="1"/>
  <c r="H497" i="48"/>
  <c r="I497" i="48" s="1"/>
  <c r="H498" i="48"/>
  <c r="I498" i="48" s="1"/>
  <c r="H499" i="48"/>
  <c r="I499" i="48" s="1"/>
  <c r="H500" i="48"/>
  <c r="I500" i="48" s="1"/>
  <c r="H501" i="48"/>
  <c r="I501" i="48" s="1"/>
  <c r="H502" i="48"/>
  <c r="I502" i="48" s="1"/>
  <c r="H503" i="48"/>
  <c r="I503" i="48" s="1"/>
  <c r="H493" i="48"/>
  <c r="I493" i="48" s="1"/>
  <c r="H492" i="48"/>
  <c r="I492" i="48" s="1"/>
  <c r="H491" i="48"/>
  <c r="I491" i="48" s="1"/>
  <c r="H490" i="48"/>
  <c r="I490" i="48" s="1"/>
  <c r="H489" i="48"/>
  <c r="I489" i="48" s="1"/>
  <c r="H483" i="48"/>
  <c r="I483" i="48" s="1"/>
  <c r="H484" i="48"/>
  <c r="I484" i="48" s="1"/>
  <c r="H478" i="48"/>
  <c r="I478" i="48" s="1"/>
  <c r="H477" i="48"/>
  <c r="I477" i="48" s="1"/>
  <c r="H461" i="48"/>
  <c r="I461" i="48" s="1"/>
  <c r="H462" i="48"/>
  <c r="I462" i="48" s="1"/>
  <c r="H463" i="48"/>
  <c r="I463" i="48" s="1"/>
  <c r="H464" i="48"/>
  <c r="I464" i="48" s="1"/>
  <c r="H465" i="48"/>
  <c r="I465" i="48" s="1"/>
  <c r="H466" i="48"/>
  <c r="I466" i="48" s="1"/>
  <c r="H467" i="48"/>
  <c r="I467" i="48" s="1"/>
  <c r="H468" i="48"/>
  <c r="I468" i="48" s="1"/>
  <c r="H469" i="48"/>
  <c r="I469" i="48" s="1"/>
  <c r="H470" i="48"/>
  <c r="I470" i="48" s="1"/>
  <c r="H471" i="48"/>
  <c r="I471" i="48" s="1"/>
  <c r="H472" i="48"/>
  <c r="I472" i="48" s="1"/>
  <c r="H473" i="48"/>
  <c r="I473" i="48" s="1"/>
  <c r="H460" i="48"/>
  <c r="I460" i="48" s="1"/>
  <c r="H455" i="48"/>
  <c r="I455" i="48" s="1"/>
  <c r="H452" i="48"/>
  <c r="I452" i="48" s="1"/>
  <c r="H450" i="48"/>
  <c r="I450" i="48" s="1"/>
  <c r="H439" i="48"/>
  <c r="I439" i="48" s="1"/>
  <c r="H440" i="48"/>
  <c r="I440" i="48" s="1"/>
  <c r="H441" i="48"/>
  <c r="I441" i="48" s="1"/>
  <c r="H442" i="48"/>
  <c r="I442" i="48" s="1"/>
  <c r="H443" i="48"/>
  <c r="I443" i="48" s="1"/>
  <c r="H444" i="48"/>
  <c r="I444" i="48" s="1"/>
  <c r="H445" i="48"/>
  <c r="I445" i="48" s="1"/>
  <c r="H446" i="48"/>
  <c r="I446" i="48" s="1"/>
  <c r="H438" i="48"/>
  <c r="I438" i="48" s="1"/>
  <c r="H436" i="48"/>
  <c r="I436" i="48" s="1"/>
  <c r="H434" i="48"/>
  <c r="I434" i="48" s="1"/>
  <c r="H432" i="48"/>
  <c r="I432" i="48" s="1"/>
  <c r="H430" i="48"/>
  <c r="I430" i="48" s="1"/>
  <c r="H427" i="48"/>
  <c r="I427" i="48" s="1"/>
  <c r="H421" i="48"/>
  <c r="I421" i="48" s="1"/>
  <c r="H422" i="48"/>
  <c r="I422" i="48" s="1"/>
  <c r="H426" i="48"/>
  <c r="I426" i="48" s="1"/>
  <c r="H425" i="48"/>
  <c r="I425" i="48" s="1"/>
  <c r="H424" i="48"/>
  <c r="I424" i="48" s="1"/>
  <c r="H420" i="48"/>
  <c r="I420" i="48" s="1"/>
  <c r="H419" i="48"/>
  <c r="I419" i="48" s="1"/>
  <c r="H418" i="48"/>
  <c r="I418" i="48" s="1"/>
  <c r="H416" i="48"/>
  <c r="I416" i="48" s="1"/>
  <c r="H415" i="48"/>
  <c r="I415" i="48" s="1"/>
  <c r="H414" i="48"/>
  <c r="I414" i="48" s="1"/>
  <c r="H403" i="48"/>
  <c r="I403" i="48" s="1"/>
  <c r="H404" i="48"/>
  <c r="I404" i="48" s="1"/>
  <c r="H405" i="48"/>
  <c r="I405" i="48" s="1"/>
  <c r="H407" i="48"/>
  <c r="I407" i="48" s="1"/>
  <c r="H408" i="48"/>
  <c r="I408" i="48" s="1"/>
  <c r="H409" i="48"/>
  <c r="I409" i="48" s="1"/>
  <c r="H410" i="48"/>
  <c r="I410" i="48" s="1"/>
  <c r="H411" i="48"/>
  <c r="I411" i="48" s="1"/>
  <c r="H412" i="48"/>
  <c r="I412" i="48" s="1"/>
  <c r="H399" i="48"/>
  <c r="I399" i="48" s="1"/>
  <c r="H400" i="48"/>
  <c r="I400" i="48" s="1"/>
  <c r="H401" i="48"/>
  <c r="I401" i="48" s="1"/>
  <c r="H398" i="48"/>
  <c r="I398" i="48" s="1"/>
  <c r="H393" i="48"/>
  <c r="I393" i="48" s="1"/>
  <c r="H389" i="48"/>
  <c r="I389" i="48" s="1"/>
  <c r="H388" i="48"/>
  <c r="I388" i="48" s="1"/>
  <c r="H378" i="48"/>
  <c r="I378" i="48" s="1"/>
  <c r="H379" i="48"/>
  <c r="I379" i="48" s="1"/>
  <c r="H380" i="48"/>
  <c r="I380" i="48" s="1"/>
  <c r="H381" i="48"/>
  <c r="I381" i="48" s="1"/>
  <c r="H382" i="48"/>
  <c r="I382" i="48" s="1"/>
  <c r="H383" i="48"/>
  <c r="I383" i="48" s="1"/>
  <c r="H377" i="48"/>
  <c r="I377" i="48" s="1"/>
  <c r="H373" i="48"/>
  <c r="I373" i="48" s="1"/>
  <c r="H369" i="48"/>
  <c r="I369" i="48" s="1"/>
  <c r="H361" i="48"/>
  <c r="I361" i="48" s="1"/>
  <c r="H356" i="48"/>
  <c r="I356" i="48" s="1"/>
  <c r="H357" i="48"/>
  <c r="I357" i="48" s="1"/>
  <c r="H358" i="48"/>
  <c r="I358" i="48" s="1"/>
  <c r="H355" i="48"/>
  <c r="I355" i="48" s="1"/>
  <c r="H354" i="48"/>
  <c r="I354" i="48" s="1"/>
  <c r="H353" i="48"/>
  <c r="I353" i="48" s="1"/>
  <c r="H348" i="48"/>
  <c r="I348" i="48" s="1"/>
  <c r="H347" i="48"/>
  <c r="I347" i="48" s="1"/>
  <c r="H346" i="48"/>
  <c r="I346" i="48" s="1"/>
  <c r="H341" i="48"/>
  <c r="I341" i="48" s="1"/>
  <c r="H342" i="48"/>
  <c r="I342" i="48" s="1"/>
  <c r="H340" i="48"/>
  <c r="I340" i="48" s="1"/>
  <c r="H339" i="48"/>
  <c r="I339" i="48" s="1"/>
  <c r="H338" i="48"/>
  <c r="I338" i="48" s="1"/>
  <c r="H337" i="48"/>
  <c r="I337" i="48" s="1"/>
  <c r="H336" i="48"/>
  <c r="I336" i="48" s="1"/>
  <c r="H335" i="48"/>
  <c r="I335" i="48" s="1"/>
  <c r="H334" i="48"/>
  <c r="I334" i="48" s="1"/>
  <c r="H333" i="48"/>
  <c r="I333" i="48" s="1"/>
  <c r="H332" i="48"/>
  <c r="I332" i="48" s="1"/>
  <c r="H331" i="48"/>
  <c r="I331" i="48" s="1"/>
  <c r="H330" i="48"/>
  <c r="I330" i="48" s="1"/>
  <c r="H329" i="48"/>
  <c r="I329" i="48" s="1"/>
  <c r="H328" i="48"/>
  <c r="I328" i="48" s="1"/>
  <c r="H327" i="48"/>
  <c r="I327" i="48" s="1"/>
  <c r="H326" i="48"/>
  <c r="I326" i="48" s="1"/>
  <c r="H325" i="48"/>
  <c r="I325" i="48" s="1"/>
  <c r="H324" i="48"/>
  <c r="I324" i="48" s="1"/>
  <c r="H323" i="48"/>
  <c r="I323" i="48" s="1"/>
  <c r="H322" i="48"/>
  <c r="I322" i="48" s="1"/>
  <c r="H321" i="48"/>
  <c r="I321" i="48" s="1"/>
  <c r="H320" i="48"/>
  <c r="I320" i="48" s="1"/>
  <c r="H319" i="48"/>
  <c r="I319" i="48" s="1"/>
  <c r="H318" i="48"/>
  <c r="I318" i="48" s="1"/>
  <c r="H317" i="48"/>
  <c r="I317" i="48" s="1"/>
  <c r="H316" i="48"/>
  <c r="I316" i="48" s="1"/>
  <c r="H313" i="48"/>
  <c r="I313" i="48" s="1"/>
  <c r="H312" i="48"/>
  <c r="I312" i="48" s="1"/>
  <c r="H311" i="48"/>
  <c r="I311" i="48" s="1"/>
  <c r="H310" i="48"/>
  <c r="I310" i="48" s="1"/>
  <c r="H309" i="48"/>
  <c r="I309" i="48" s="1"/>
  <c r="H308" i="48"/>
  <c r="I308" i="48" s="1"/>
  <c r="H307" i="48"/>
  <c r="I307" i="48" s="1"/>
  <c r="H306" i="48"/>
  <c r="I306" i="48" s="1"/>
  <c r="H305" i="48"/>
  <c r="I305" i="48" s="1"/>
  <c r="H304" i="48"/>
  <c r="I304" i="48" s="1"/>
  <c r="H303" i="48"/>
  <c r="I303" i="48" s="1"/>
  <c r="H302" i="48"/>
  <c r="I302" i="48" s="1"/>
  <c r="H301" i="48"/>
  <c r="I301" i="48" s="1"/>
  <c r="H300" i="48"/>
  <c r="I300" i="48" s="1"/>
  <c r="H299" i="48"/>
  <c r="I299" i="48" s="1"/>
  <c r="H298" i="48"/>
  <c r="I298" i="48" s="1"/>
  <c r="H297" i="48"/>
  <c r="I297" i="48" s="1"/>
  <c r="H296" i="48"/>
  <c r="I296" i="48" s="1"/>
  <c r="H295" i="48"/>
  <c r="I295" i="48" s="1"/>
  <c r="H294" i="48"/>
  <c r="I294" i="48" s="1"/>
  <c r="H293" i="48"/>
  <c r="I293" i="48" s="1"/>
  <c r="H292" i="48"/>
  <c r="I292" i="48" s="1"/>
  <c r="H291" i="48"/>
  <c r="I291" i="48" s="1"/>
  <c r="H290" i="48"/>
  <c r="I290" i="48" s="1"/>
  <c r="H289" i="48"/>
  <c r="I289" i="48" s="1"/>
  <c r="H288" i="48"/>
  <c r="I288" i="48" s="1"/>
  <c r="H287" i="48"/>
  <c r="I287" i="48" s="1"/>
  <c r="H286" i="48"/>
  <c r="I286" i="48" s="1"/>
  <c r="H285" i="48"/>
  <c r="I285" i="48" s="1"/>
  <c r="H284" i="48"/>
  <c r="I284" i="48" s="1"/>
  <c r="H283" i="48"/>
  <c r="I283" i="48" s="1"/>
  <c r="H282" i="48"/>
  <c r="I282" i="48" s="1"/>
  <c r="H281" i="48"/>
  <c r="I281" i="48" s="1"/>
  <c r="H280" i="48"/>
  <c r="I280" i="48" s="1"/>
  <c r="H279" i="48"/>
  <c r="I279" i="48" s="1"/>
  <c r="H278" i="48"/>
  <c r="I278" i="48" s="1"/>
  <c r="H277" i="48"/>
  <c r="I277" i="48" s="1"/>
  <c r="H275" i="48"/>
  <c r="I275" i="48" s="1"/>
  <c r="H274" i="48"/>
  <c r="I274" i="48" s="1"/>
  <c r="H273" i="48"/>
  <c r="I273" i="48" s="1"/>
  <c r="H272" i="48"/>
  <c r="I272" i="48" s="1"/>
  <c r="H271" i="48"/>
  <c r="I271" i="48" s="1"/>
  <c r="H270" i="48"/>
  <c r="I270" i="48" s="1"/>
  <c r="H269" i="48"/>
  <c r="I269" i="48" s="1"/>
  <c r="H268" i="48"/>
  <c r="I268" i="48" s="1"/>
  <c r="H267" i="48"/>
  <c r="I267" i="48" s="1"/>
  <c r="H266" i="48"/>
  <c r="I266" i="48" s="1"/>
  <c r="H265" i="48"/>
  <c r="I265" i="48" s="1"/>
  <c r="H264" i="48"/>
  <c r="I264" i="48" s="1"/>
  <c r="H263" i="48"/>
  <c r="I263" i="48" s="1"/>
  <c r="H262" i="48"/>
  <c r="I262" i="48" s="1"/>
  <c r="H261" i="48"/>
  <c r="I261" i="48" s="1"/>
  <c r="H260" i="48"/>
  <c r="I260" i="48" s="1"/>
  <c r="H259" i="48"/>
  <c r="I259" i="48" s="1"/>
  <c r="H258" i="48"/>
  <c r="I258" i="48" s="1"/>
  <c r="H257" i="48"/>
  <c r="I257" i="48" s="1"/>
  <c r="H256" i="48"/>
  <c r="I256" i="48" s="1"/>
  <c r="H255" i="48"/>
  <c r="I255" i="48" s="1"/>
  <c r="H254" i="48"/>
  <c r="I254" i="48" s="1"/>
  <c r="H253" i="48"/>
  <c r="I253" i="48" s="1"/>
  <c r="H252" i="48"/>
  <c r="I252" i="48" s="1"/>
  <c r="H251" i="48"/>
  <c r="I251" i="48" s="1"/>
  <c r="H250" i="48"/>
  <c r="I250" i="48" s="1"/>
  <c r="H249" i="48"/>
  <c r="I249" i="48" s="1"/>
  <c r="H248" i="48"/>
  <c r="I248" i="48" s="1"/>
  <c r="H247" i="48"/>
  <c r="I247" i="48" s="1"/>
  <c r="H246" i="48"/>
  <c r="I246" i="48" s="1"/>
  <c r="H245" i="48"/>
  <c r="I245" i="48" s="1"/>
  <c r="H244" i="48"/>
  <c r="I244" i="48" s="1"/>
  <c r="H242" i="48"/>
  <c r="I242" i="48" s="1"/>
  <c r="H241" i="48"/>
  <c r="I241" i="48" s="1"/>
  <c r="H240" i="48"/>
  <c r="I240" i="48" s="1"/>
  <c r="H239" i="48"/>
  <c r="I239" i="48" s="1"/>
  <c r="H238" i="48"/>
  <c r="I238" i="48" s="1"/>
  <c r="H237" i="48"/>
  <c r="I237" i="48" s="1"/>
  <c r="H236" i="48"/>
  <c r="I236" i="48" s="1"/>
  <c r="H235" i="48"/>
  <c r="I235" i="48" s="1"/>
  <c r="H234" i="48"/>
  <c r="I234" i="48" s="1"/>
  <c r="H233" i="48"/>
  <c r="I233" i="48" s="1"/>
  <c r="H232" i="48"/>
  <c r="I232" i="48" s="1"/>
  <c r="H231" i="48"/>
  <c r="I231" i="48" s="1"/>
  <c r="H230" i="48"/>
  <c r="I230" i="48" s="1"/>
  <c r="H229" i="48"/>
  <c r="I229" i="48" s="1"/>
  <c r="H228" i="48"/>
  <c r="I228" i="48" s="1"/>
  <c r="H227" i="48"/>
  <c r="I227" i="48" s="1"/>
  <c r="H226" i="48"/>
  <c r="I226" i="48" s="1"/>
  <c r="H225" i="48"/>
  <c r="I225" i="48" s="1"/>
  <c r="H224" i="48"/>
  <c r="I224" i="48" s="1"/>
  <c r="H223" i="48"/>
  <c r="I223" i="48" s="1"/>
  <c r="H222" i="48"/>
  <c r="I222" i="48" s="1"/>
  <c r="H221" i="48"/>
  <c r="I221" i="48" s="1"/>
  <c r="H215" i="48"/>
  <c r="I215" i="48" s="1"/>
  <c r="H216" i="48"/>
  <c r="I216" i="48" s="1"/>
  <c r="H217" i="48"/>
  <c r="I217" i="48" s="1"/>
  <c r="H218" i="48"/>
  <c r="I218" i="48" s="1"/>
  <c r="H219" i="48"/>
  <c r="I219" i="48" s="1"/>
  <c r="H214" i="48"/>
  <c r="I214" i="48" s="1"/>
  <c r="H213" i="48"/>
  <c r="I213" i="48" s="1"/>
  <c r="H212" i="48"/>
  <c r="I212" i="48" s="1"/>
  <c r="H197" i="48"/>
  <c r="I197" i="48" s="1"/>
  <c r="H199" i="48"/>
  <c r="I199" i="48" s="1"/>
  <c r="H201" i="48"/>
  <c r="I201" i="48" s="1"/>
  <c r="H203" i="48"/>
  <c r="I203" i="48" s="1"/>
  <c r="H204" i="48"/>
  <c r="I204" i="48" s="1"/>
  <c r="H205" i="48"/>
  <c r="I205" i="48" s="1"/>
  <c r="H194" i="48"/>
  <c r="I194" i="48" s="1"/>
  <c r="H195" i="48"/>
  <c r="I195" i="48" s="1"/>
  <c r="H175" i="48"/>
  <c r="I175" i="48" s="1"/>
  <c r="H176" i="48"/>
  <c r="I176" i="48" s="1"/>
  <c r="H177" i="48"/>
  <c r="I177" i="48" s="1"/>
  <c r="H178" i="48"/>
  <c r="I178" i="48" s="1"/>
  <c r="H179" i="48"/>
  <c r="I179" i="48" s="1"/>
  <c r="H181" i="48"/>
  <c r="I181" i="48" s="1"/>
  <c r="H182" i="48"/>
  <c r="I182" i="48" s="1"/>
  <c r="H183" i="48"/>
  <c r="I183" i="48" s="1"/>
  <c r="H184" i="48"/>
  <c r="I184" i="48" s="1"/>
  <c r="H159" i="48"/>
  <c r="I159" i="48" s="1"/>
  <c r="H158" i="48"/>
  <c r="I158" i="48" s="1"/>
  <c r="H157" i="48"/>
  <c r="I157" i="48" s="1"/>
  <c r="H155" i="48"/>
  <c r="I155" i="48" s="1"/>
  <c r="H154" i="48"/>
  <c r="I154" i="48" s="1"/>
  <c r="H152" i="48"/>
  <c r="I152" i="48" s="1"/>
  <c r="H151" i="48"/>
  <c r="I151" i="48" s="1"/>
  <c r="H149" i="48"/>
  <c r="I149" i="48" s="1"/>
  <c r="H148" i="48"/>
  <c r="I148" i="48" s="1"/>
  <c r="H147" i="48"/>
  <c r="I147" i="48" s="1"/>
  <c r="H145" i="48"/>
  <c r="I145" i="48" s="1"/>
  <c r="H144" i="48"/>
  <c r="I144" i="48" s="1"/>
  <c r="H143" i="48"/>
  <c r="I143" i="48" s="1"/>
  <c r="H141" i="48"/>
  <c r="I141" i="48" s="1"/>
  <c r="H140" i="48"/>
  <c r="I140" i="48" s="1"/>
  <c r="H139" i="48"/>
  <c r="I139" i="48" s="1"/>
  <c r="H137" i="48"/>
  <c r="I137" i="48" s="1"/>
  <c r="H136" i="48"/>
  <c r="I136" i="48" s="1"/>
  <c r="H135" i="48"/>
  <c r="I135" i="48" s="1"/>
  <c r="H133" i="48"/>
  <c r="I133" i="48" s="1"/>
  <c r="H132" i="48"/>
  <c r="I132" i="48" s="1"/>
  <c r="H131" i="48"/>
  <c r="I131" i="48" s="1"/>
  <c r="H129" i="48"/>
  <c r="I129" i="48" s="1"/>
  <c r="H128" i="48"/>
  <c r="I128" i="48" s="1"/>
  <c r="H127" i="48"/>
  <c r="I127" i="48" s="1"/>
  <c r="H125" i="48"/>
  <c r="I125" i="48" s="1"/>
  <c r="H124" i="48"/>
  <c r="I124" i="48" s="1"/>
  <c r="H123" i="48"/>
  <c r="I123" i="48" s="1"/>
  <c r="H121" i="48"/>
  <c r="I121" i="48" s="1"/>
  <c r="H120" i="48"/>
  <c r="I120" i="48" s="1"/>
  <c r="H119" i="48"/>
  <c r="I119" i="48" s="1"/>
  <c r="H118" i="48"/>
  <c r="I118" i="48" s="1"/>
  <c r="H115" i="48"/>
  <c r="I115" i="48" s="1"/>
  <c r="H116" i="48"/>
  <c r="I116" i="48" s="1"/>
  <c r="H114" i="48"/>
  <c r="I114" i="48" s="1"/>
  <c r="H113" i="48"/>
  <c r="I113" i="48" s="1"/>
  <c r="H111" i="48"/>
  <c r="I111" i="48" s="1"/>
  <c r="H110" i="48"/>
  <c r="I110" i="48" s="1"/>
  <c r="H97" i="48"/>
  <c r="I97" i="48" s="1"/>
  <c r="H98" i="48"/>
  <c r="I98" i="48" s="1"/>
  <c r="H99" i="48"/>
  <c r="I99" i="48" s="1"/>
  <c r="H104" i="48"/>
  <c r="I104" i="48" s="1"/>
  <c r="H96" i="48"/>
  <c r="I96" i="48" s="1"/>
  <c r="H90" i="48"/>
  <c r="I90" i="48" s="1"/>
  <c r="H83" i="48"/>
  <c r="I83" i="48" s="1"/>
  <c r="H76" i="48"/>
  <c r="I76" i="48" s="1"/>
  <c r="H65" i="48"/>
  <c r="I65" i="48" s="1"/>
  <c r="H60" i="48"/>
  <c r="I60" i="48" s="1"/>
  <c r="H57" i="48"/>
  <c r="I57" i="48" s="1"/>
  <c r="H53" i="48"/>
  <c r="I53" i="48" s="1"/>
  <c r="H50" i="48"/>
  <c r="I50" i="48" s="1"/>
  <c r="H45" i="48"/>
  <c r="I45" i="48" s="1"/>
  <c r="H42" i="48"/>
  <c r="I42" i="48" s="1"/>
  <c r="H34" i="48"/>
  <c r="I34" i="48" s="1"/>
  <c r="H35" i="48"/>
  <c r="I35" i="48" s="1"/>
  <c r="H36" i="48"/>
  <c r="I36" i="48" s="1"/>
  <c r="H37" i="48"/>
  <c r="I37" i="48" s="1"/>
  <c r="H38" i="48"/>
  <c r="I38" i="48" s="1"/>
  <c r="H33" i="48"/>
  <c r="I33" i="48" s="1"/>
  <c r="K586" i="48"/>
  <c r="L586" i="48" s="1"/>
  <c r="O27" i="48"/>
  <c r="P28" i="48"/>
  <c r="K684" i="29"/>
  <c r="L684" i="29" s="1"/>
  <c r="K683" i="29"/>
  <c r="L683" i="29" s="1"/>
  <c r="K682" i="29"/>
  <c r="L682" i="29" s="1"/>
  <c r="K681" i="29"/>
  <c r="L681" i="29" s="1"/>
  <c r="K675" i="29"/>
  <c r="L675" i="29" s="1"/>
  <c r="K674" i="29"/>
  <c r="L674" i="29" s="1"/>
  <c r="K673" i="29"/>
  <c r="L673" i="29" s="1"/>
  <c r="K672" i="29"/>
  <c r="L672" i="29" s="1"/>
  <c r="K671" i="29"/>
  <c r="L671" i="29" s="1"/>
  <c r="K670" i="29"/>
  <c r="L670" i="29" s="1"/>
  <c r="K669" i="29"/>
  <c r="L669" i="29" s="1"/>
  <c r="K668" i="29"/>
  <c r="L668" i="29" s="1"/>
  <c r="K667" i="29"/>
  <c r="L667" i="29" s="1"/>
  <c r="K665" i="29"/>
  <c r="L665" i="29" s="1"/>
  <c r="K664" i="29"/>
  <c r="L664" i="29" s="1"/>
  <c r="K663" i="29"/>
  <c r="L663" i="29" s="1"/>
  <c r="K662" i="29"/>
  <c r="L662" i="29" s="1"/>
  <c r="K661" i="29"/>
  <c r="L661" i="29" s="1"/>
  <c r="K658" i="29"/>
  <c r="L658" i="29" s="1"/>
  <c r="K657" i="29"/>
  <c r="L657" i="29" s="1"/>
  <c r="K656" i="29"/>
  <c r="L656" i="29" s="1"/>
  <c r="K655" i="29"/>
  <c r="L655" i="29" s="1"/>
  <c r="K653" i="29"/>
  <c r="L653" i="29" s="1"/>
  <c r="K652" i="29"/>
  <c r="L652" i="29" s="1"/>
  <c r="K651" i="29"/>
  <c r="L651" i="29" s="1"/>
  <c r="K650" i="29"/>
  <c r="L650" i="29" s="1"/>
  <c r="K648" i="29"/>
  <c r="L648" i="29" s="1"/>
  <c r="K647" i="29"/>
  <c r="L647" i="29" s="1"/>
  <c r="K646" i="29"/>
  <c r="L646" i="29" s="1"/>
  <c r="K645" i="29"/>
  <c r="L645" i="29" s="1"/>
  <c r="K644" i="29"/>
  <c r="L644" i="29" s="1"/>
  <c r="K641" i="29"/>
  <c r="L641" i="29" s="1"/>
  <c r="K640" i="29"/>
  <c r="L640" i="29" s="1"/>
  <c r="K639" i="29"/>
  <c r="L639" i="29" s="1"/>
  <c r="K638" i="29"/>
  <c r="L638" i="29" s="1"/>
  <c r="K636" i="29"/>
  <c r="L636" i="29" s="1"/>
  <c r="K635" i="29"/>
  <c r="L635" i="29" s="1"/>
  <c r="K634" i="29"/>
  <c r="L634" i="29" s="1"/>
  <c r="K633" i="29"/>
  <c r="L633" i="29" s="1"/>
  <c r="K630" i="29"/>
  <c r="L630" i="29" s="1"/>
  <c r="K629" i="29"/>
  <c r="L629" i="29" s="1"/>
  <c r="K628" i="29"/>
  <c r="L628" i="29" s="1"/>
  <c r="K627" i="29"/>
  <c r="L627" i="29" s="1"/>
  <c r="K626" i="29"/>
  <c r="L626" i="29" s="1"/>
  <c r="K622" i="29"/>
  <c r="L622" i="29" s="1"/>
  <c r="K621" i="29"/>
  <c r="L621" i="29" s="1"/>
  <c r="K620" i="29"/>
  <c r="L620" i="29" s="1"/>
  <c r="K619" i="29"/>
  <c r="L619" i="29" s="1"/>
  <c r="K617" i="29"/>
  <c r="L617" i="29" s="1"/>
  <c r="K616" i="29"/>
  <c r="L616" i="29" s="1"/>
  <c r="K615" i="29"/>
  <c r="L615" i="29" s="1"/>
  <c r="K614" i="29"/>
  <c r="L614" i="29" s="1"/>
  <c r="K612" i="29"/>
  <c r="L612" i="29" s="1"/>
  <c r="K611" i="29"/>
  <c r="L611" i="29" s="1"/>
  <c r="K610" i="29"/>
  <c r="L610" i="29" s="1"/>
  <c r="K609" i="29"/>
  <c r="L609" i="29" s="1"/>
  <c r="K603" i="29"/>
  <c r="L603" i="29" s="1"/>
  <c r="K602" i="29"/>
  <c r="L602" i="29" s="1"/>
  <c r="K598" i="29"/>
  <c r="L598" i="29" s="1"/>
  <c r="K597" i="29"/>
  <c r="L597" i="29" s="1"/>
  <c r="K596" i="29"/>
  <c r="L596" i="29" s="1"/>
  <c r="K595" i="29"/>
  <c r="L595" i="29" s="1"/>
  <c r="K593" i="29"/>
  <c r="L593" i="29" s="1"/>
  <c r="K592" i="29"/>
  <c r="L592" i="29" s="1"/>
  <c r="K591" i="29"/>
  <c r="L591" i="29" s="1"/>
  <c r="K589" i="29"/>
  <c r="L589" i="29" s="1"/>
  <c r="K587" i="29"/>
  <c r="L587" i="29" s="1"/>
  <c r="K585" i="29"/>
  <c r="L585" i="29" s="1"/>
  <c r="K584" i="29"/>
  <c r="L584" i="29" s="1"/>
  <c r="K582" i="29"/>
  <c r="L582" i="29" s="1"/>
  <c r="K581" i="29"/>
  <c r="L581" i="29" s="1"/>
  <c r="K579" i="29"/>
  <c r="L579" i="29" s="1"/>
  <c r="K578" i="29"/>
  <c r="L578" i="29" s="1"/>
  <c r="K576" i="29"/>
  <c r="L576" i="29" s="1"/>
  <c r="K575" i="29"/>
  <c r="L575" i="29" s="1"/>
  <c r="K574" i="29"/>
  <c r="L574" i="29" s="1"/>
  <c r="K573" i="29"/>
  <c r="L573" i="29" s="1"/>
  <c r="K567" i="29"/>
  <c r="L567" i="29" s="1"/>
  <c r="K566" i="29"/>
  <c r="L566" i="29" s="1"/>
  <c r="K564" i="29"/>
  <c r="L564" i="29" s="1"/>
  <c r="K563" i="29"/>
  <c r="L563" i="29" s="1"/>
  <c r="K562" i="29"/>
  <c r="L562" i="29" s="1"/>
  <c r="K561" i="29"/>
  <c r="L561" i="29" s="1"/>
  <c r="K560" i="29"/>
  <c r="L560" i="29" s="1"/>
  <c r="K558" i="29"/>
  <c r="L558" i="29" s="1"/>
  <c r="K556" i="29"/>
  <c r="L556" i="29" s="1"/>
  <c r="K555" i="29"/>
  <c r="L555" i="29" s="1"/>
  <c r="K551" i="29"/>
  <c r="L551" i="29" s="1"/>
  <c r="K550" i="29"/>
  <c r="L550" i="29" s="1"/>
  <c r="K548" i="29"/>
  <c r="L548" i="29" s="1"/>
  <c r="K547" i="29"/>
  <c r="L547" i="29" s="1"/>
  <c r="K546" i="29"/>
  <c r="L546" i="29" s="1"/>
  <c r="K545" i="29"/>
  <c r="L545" i="29" s="1"/>
  <c r="K544" i="29"/>
  <c r="L544" i="29" s="1"/>
  <c r="K542" i="29"/>
  <c r="L542" i="29" s="1"/>
  <c r="K540" i="29"/>
  <c r="L540" i="29" s="1"/>
  <c r="K539" i="29"/>
  <c r="L539" i="29" s="1"/>
  <c r="K532" i="29"/>
  <c r="L532" i="29" s="1"/>
  <c r="K531" i="29"/>
  <c r="L531" i="29" s="1"/>
  <c r="K529" i="29"/>
  <c r="L529" i="29" s="1"/>
  <c r="K528" i="29"/>
  <c r="L528" i="29" s="1"/>
  <c r="K526" i="29"/>
  <c r="L526" i="29" s="1"/>
  <c r="K525" i="29"/>
  <c r="L525" i="29" s="1"/>
  <c r="K522" i="29"/>
  <c r="L522" i="29" s="1"/>
  <c r="K520" i="29"/>
  <c r="L520" i="29" s="1"/>
  <c r="K518" i="29"/>
  <c r="L518" i="29" s="1"/>
  <c r="K517" i="29"/>
  <c r="L517" i="29" s="1"/>
  <c r="K513" i="29"/>
  <c r="L513" i="29" s="1"/>
  <c r="K512" i="29"/>
  <c r="L512" i="29" s="1"/>
  <c r="K510" i="29"/>
  <c r="L510" i="29" s="1"/>
  <c r="K509" i="29"/>
  <c r="L509" i="29" s="1"/>
  <c r="K507" i="29"/>
  <c r="L507" i="29" s="1"/>
  <c r="K506" i="29"/>
  <c r="L506" i="29" s="1"/>
  <c r="K504" i="29"/>
  <c r="L504" i="29" s="1"/>
  <c r="K502" i="29"/>
  <c r="L502" i="29" s="1"/>
  <c r="K500" i="29"/>
  <c r="L500" i="29" s="1"/>
  <c r="K499" i="29"/>
  <c r="L499" i="29" s="1"/>
  <c r="K492" i="29"/>
  <c r="L492" i="29" s="1"/>
  <c r="K491" i="29"/>
  <c r="L491" i="29" s="1"/>
  <c r="K489" i="29"/>
  <c r="L489" i="29" s="1"/>
  <c r="K487" i="29"/>
  <c r="L487" i="29" s="1"/>
  <c r="K485" i="29"/>
  <c r="L485" i="29" s="1"/>
  <c r="K484" i="29"/>
  <c r="L484" i="29" s="1"/>
  <c r="K483" i="29"/>
  <c r="L483" i="29" s="1"/>
  <c r="K481" i="29"/>
  <c r="L481" i="29" s="1"/>
  <c r="K479" i="29"/>
  <c r="L479" i="29" s="1"/>
  <c r="K478" i="29"/>
  <c r="L478" i="29" s="1"/>
  <c r="K474" i="29"/>
  <c r="L474" i="29" s="1"/>
  <c r="K473" i="29"/>
  <c r="L473" i="29" s="1"/>
  <c r="K471" i="29"/>
  <c r="L471" i="29" s="1"/>
  <c r="K470" i="29"/>
  <c r="L470" i="29" s="1"/>
  <c r="K468" i="29"/>
  <c r="L468" i="29" s="1"/>
  <c r="K467" i="29"/>
  <c r="L467" i="29" s="1"/>
  <c r="K465" i="29"/>
  <c r="L465" i="29" s="1"/>
  <c r="K463" i="29"/>
  <c r="L463" i="29" s="1"/>
  <c r="K462" i="29"/>
  <c r="L462" i="29" s="1"/>
  <c r="K460" i="29"/>
  <c r="L460" i="29" s="1"/>
  <c r="K459" i="29"/>
  <c r="L459" i="29" s="1"/>
  <c r="K458" i="29"/>
  <c r="L458" i="29" s="1"/>
  <c r="K456" i="29"/>
  <c r="L456" i="29" s="1"/>
  <c r="K454" i="29"/>
  <c r="L454" i="29" s="1"/>
  <c r="K453" i="29"/>
  <c r="L453" i="29" s="1"/>
  <c r="K452" i="29"/>
  <c r="L452" i="29" s="1"/>
  <c r="K451" i="29"/>
  <c r="L451" i="29" s="1"/>
  <c r="K450" i="29"/>
  <c r="L450" i="29" s="1"/>
  <c r="K443" i="29"/>
  <c r="L443" i="29" s="1"/>
  <c r="K442" i="29"/>
  <c r="L442" i="29" s="1"/>
  <c r="K441" i="29"/>
  <c r="L441" i="29" s="1"/>
  <c r="K440" i="29"/>
  <c r="L440" i="29" s="1"/>
  <c r="K438" i="29"/>
  <c r="L438" i="29" s="1"/>
  <c r="K437" i="29"/>
  <c r="L437" i="29" s="1"/>
  <c r="K436" i="29"/>
  <c r="L436" i="29" s="1"/>
  <c r="K435" i="29"/>
  <c r="L435" i="29" s="1"/>
  <c r="K433" i="29"/>
  <c r="L433" i="29" s="1"/>
  <c r="K432" i="29"/>
  <c r="L432" i="29" s="1"/>
  <c r="K431" i="29"/>
  <c r="L431" i="29" s="1"/>
  <c r="K430" i="29"/>
  <c r="L430" i="29" s="1"/>
  <c r="K426" i="29"/>
  <c r="L426" i="29" s="1"/>
  <c r="K425" i="29"/>
  <c r="L425" i="29" s="1"/>
  <c r="K424" i="29"/>
  <c r="L424" i="29" s="1"/>
  <c r="K423" i="29"/>
  <c r="L423" i="29" s="1"/>
  <c r="K421" i="29"/>
  <c r="L421" i="29" s="1"/>
  <c r="K420" i="29"/>
  <c r="L420" i="29" s="1"/>
  <c r="K419" i="29"/>
  <c r="L419" i="29" s="1"/>
  <c r="K418" i="29"/>
  <c r="L418" i="29" s="1"/>
  <c r="K416" i="29"/>
  <c r="L416" i="29" s="1"/>
  <c r="K415" i="29"/>
  <c r="L415" i="29" s="1"/>
  <c r="K414" i="29"/>
  <c r="L414" i="29" s="1"/>
  <c r="K413" i="29"/>
  <c r="L413" i="29" s="1"/>
  <c r="K409" i="29"/>
  <c r="L409" i="29" s="1"/>
  <c r="K408" i="29"/>
  <c r="L408" i="29" s="1"/>
  <c r="K407" i="29"/>
  <c r="L407" i="29" s="1"/>
  <c r="K406" i="29"/>
  <c r="L406" i="29" s="1"/>
  <c r="K404" i="29"/>
  <c r="L404" i="29" s="1"/>
  <c r="K403" i="29"/>
  <c r="L403" i="29" s="1"/>
  <c r="K402" i="29"/>
  <c r="L402" i="29" s="1"/>
  <c r="K401" i="29"/>
  <c r="L401" i="29" s="1"/>
  <c r="K399" i="29"/>
  <c r="L399" i="29" s="1"/>
  <c r="K398" i="29"/>
  <c r="L398" i="29" s="1"/>
  <c r="K397" i="29"/>
  <c r="L397" i="29" s="1"/>
  <c r="K396" i="29"/>
  <c r="L396" i="29" s="1"/>
  <c r="K392" i="29"/>
  <c r="L392" i="29" s="1"/>
  <c r="K391" i="29"/>
  <c r="L391" i="29" s="1"/>
  <c r="K390" i="29"/>
  <c r="L390" i="29" s="1"/>
  <c r="K389" i="29"/>
  <c r="L389" i="29" s="1"/>
  <c r="K387" i="29"/>
  <c r="L387" i="29" s="1"/>
  <c r="K386" i="29"/>
  <c r="L386" i="29" s="1"/>
  <c r="K385" i="29"/>
  <c r="L385" i="29" s="1"/>
  <c r="K384" i="29"/>
  <c r="L384" i="29" s="1"/>
  <c r="K382" i="29"/>
  <c r="L382" i="29" s="1"/>
  <c r="K381" i="29"/>
  <c r="L381" i="29" s="1"/>
  <c r="K380" i="29"/>
  <c r="L380" i="29" s="1"/>
  <c r="K379" i="29"/>
  <c r="L379" i="29" s="1"/>
  <c r="K378" i="29"/>
  <c r="L378" i="29" s="1"/>
  <c r="K374" i="29"/>
  <c r="L374" i="29" s="1"/>
  <c r="K373" i="29"/>
  <c r="L373" i="29" s="1"/>
  <c r="K372" i="29"/>
  <c r="L372" i="29" s="1"/>
  <c r="K371" i="29"/>
  <c r="L371" i="29" s="1"/>
  <c r="K369" i="29"/>
  <c r="L369" i="29" s="1"/>
  <c r="K368" i="29"/>
  <c r="L368" i="29" s="1"/>
  <c r="K367" i="29"/>
  <c r="L367" i="29" s="1"/>
  <c r="K366" i="29"/>
  <c r="L366" i="29" s="1"/>
  <c r="K364" i="29"/>
  <c r="L364" i="29" s="1"/>
  <c r="K363" i="29"/>
  <c r="L363" i="29" s="1"/>
  <c r="K362" i="29"/>
  <c r="L362" i="29" s="1"/>
  <c r="K361" i="29"/>
  <c r="L361" i="29" s="1"/>
  <c r="K360" i="29"/>
  <c r="L360" i="29" s="1"/>
  <c r="K356" i="29"/>
  <c r="L356" i="29" s="1"/>
  <c r="K355" i="29"/>
  <c r="L355" i="29" s="1"/>
  <c r="K354" i="29"/>
  <c r="L354" i="29" s="1"/>
  <c r="K353" i="29"/>
  <c r="L353" i="29" s="1"/>
  <c r="K351" i="29"/>
  <c r="L351" i="29" s="1"/>
  <c r="K350" i="29"/>
  <c r="L350" i="29" s="1"/>
  <c r="K349" i="29"/>
  <c r="L349" i="29" s="1"/>
  <c r="K348" i="29"/>
  <c r="L348" i="29" s="1"/>
  <c r="K346" i="29"/>
  <c r="L346" i="29" s="1"/>
  <c r="K345" i="29"/>
  <c r="L345" i="29" s="1"/>
  <c r="K344" i="29"/>
  <c r="L344" i="29" s="1"/>
  <c r="K343" i="29"/>
  <c r="L343" i="29" s="1"/>
  <c r="K339" i="29"/>
  <c r="L339" i="29" s="1"/>
  <c r="K338" i="29"/>
  <c r="L338" i="29" s="1"/>
  <c r="K337" i="29"/>
  <c r="L337" i="29" s="1"/>
  <c r="K336" i="29"/>
  <c r="L336" i="29" s="1"/>
  <c r="K334" i="29"/>
  <c r="L334" i="29" s="1"/>
  <c r="K333" i="29"/>
  <c r="L333" i="29" s="1"/>
  <c r="K332" i="29"/>
  <c r="L332" i="29" s="1"/>
  <c r="K331" i="29"/>
  <c r="L331" i="29" s="1"/>
  <c r="K329" i="29"/>
  <c r="L329" i="29" s="1"/>
  <c r="K328" i="29"/>
  <c r="L328" i="29" s="1"/>
  <c r="K327" i="29"/>
  <c r="L327" i="29" s="1"/>
  <c r="K326" i="29"/>
  <c r="L326" i="29" s="1"/>
  <c r="K320" i="29"/>
  <c r="L320" i="29" s="1"/>
  <c r="K319" i="29"/>
  <c r="L319" i="29" s="1"/>
  <c r="K317" i="29"/>
  <c r="L317" i="29" s="1"/>
  <c r="K315" i="29"/>
  <c r="L315" i="29" s="1"/>
  <c r="K313" i="29"/>
  <c r="L313" i="29" s="1"/>
  <c r="K312" i="29"/>
  <c r="L312" i="29" s="1"/>
  <c r="K311" i="29"/>
  <c r="L311" i="29" s="1"/>
  <c r="K306" i="29"/>
  <c r="L306" i="29" s="1"/>
  <c r="K305" i="29"/>
  <c r="L305" i="29" s="1"/>
  <c r="K304" i="29"/>
  <c r="L304" i="29" s="1"/>
  <c r="K303" i="29"/>
  <c r="L303" i="29" s="1"/>
  <c r="K300" i="29"/>
  <c r="L300" i="29" s="1"/>
  <c r="K299" i="29"/>
  <c r="L299" i="29" s="1"/>
  <c r="K297" i="29"/>
  <c r="L297" i="29" s="1"/>
  <c r="K296" i="29"/>
  <c r="L296" i="29" s="1"/>
  <c r="K294" i="29"/>
  <c r="L294" i="29" s="1"/>
  <c r="K293" i="29"/>
  <c r="L293" i="29" s="1"/>
  <c r="K292" i="29"/>
  <c r="L292" i="29" s="1"/>
  <c r="K291" i="29"/>
  <c r="L291" i="29" s="1"/>
  <c r="K289" i="29"/>
  <c r="L289" i="29" s="1"/>
  <c r="K288" i="29"/>
  <c r="L288" i="29" s="1"/>
  <c r="K287" i="29"/>
  <c r="L287" i="29" s="1"/>
  <c r="K286" i="29"/>
  <c r="L286" i="29" s="1"/>
  <c r="K284" i="29"/>
  <c r="L284" i="29" s="1"/>
  <c r="K282" i="29"/>
  <c r="L282" i="29" s="1"/>
  <c r="K278" i="29"/>
  <c r="L278" i="29" s="1"/>
  <c r="K277" i="29"/>
  <c r="L277" i="29" s="1"/>
  <c r="K275" i="29"/>
  <c r="L275" i="29" s="1"/>
  <c r="K274" i="29"/>
  <c r="L274" i="29" s="1"/>
  <c r="K272" i="29"/>
  <c r="L272" i="29" s="1"/>
  <c r="K271" i="29"/>
  <c r="L271" i="29" s="1"/>
  <c r="K270" i="29"/>
  <c r="L270" i="29" s="1"/>
  <c r="K269" i="29"/>
  <c r="L269" i="29" s="1"/>
  <c r="K267" i="29"/>
  <c r="L267" i="29" s="1"/>
  <c r="K266" i="29"/>
  <c r="L266" i="29" s="1"/>
  <c r="K265" i="29"/>
  <c r="L265" i="29" s="1"/>
  <c r="K264" i="29"/>
  <c r="L264" i="29" s="1"/>
  <c r="K262" i="29"/>
  <c r="L262" i="29" s="1"/>
  <c r="K260" i="29"/>
  <c r="L260" i="29" s="1"/>
  <c r="K257" i="29"/>
  <c r="L257" i="29" s="1"/>
  <c r="K256" i="29"/>
  <c r="L256" i="29" s="1"/>
  <c r="K254" i="29"/>
  <c r="L254" i="29" s="1"/>
  <c r="K253" i="29"/>
  <c r="L253" i="29" s="1"/>
  <c r="K251" i="29"/>
  <c r="L251" i="29" s="1"/>
  <c r="K247" i="29"/>
  <c r="L247" i="29" s="1"/>
  <c r="K246" i="29"/>
  <c r="L246" i="29" s="1"/>
  <c r="K244" i="29"/>
  <c r="L244" i="29" s="1"/>
  <c r="K243" i="29"/>
  <c r="L243" i="29" s="1"/>
  <c r="K241" i="29"/>
  <c r="L241" i="29" s="1"/>
  <c r="K240" i="29"/>
  <c r="L240" i="29" s="1"/>
  <c r="K239" i="29"/>
  <c r="L239" i="29" s="1"/>
  <c r="K238" i="29"/>
  <c r="L238" i="29" s="1"/>
  <c r="K236" i="29"/>
  <c r="L236" i="29" s="1"/>
  <c r="K235" i="29"/>
  <c r="L235" i="29" s="1"/>
  <c r="K234" i="29"/>
  <c r="L234" i="29" s="1"/>
  <c r="K233" i="29"/>
  <c r="L233" i="29" s="1"/>
  <c r="K231" i="29"/>
  <c r="L231" i="29" s="1"/>
  <c r="K229" i="29"/>
  <c r="L229" i="29" s="1"/>
  <c r="K225" i="29"/>
  <c r="L225" i="29" s="1"/>
  <c r="K224" i="29"/>
  <c r="L224" i="29" s="1"/>
  <c r="K223" i="29"/>
  <c r="L223" i="29" s="1"/>
  <c r="K221" i="29"/>
  <c r="L221" i="29" s="1"/>
  <c r="K220" i="29"/>
  <c r="L220" i="29" s="1"/>
  <c r="K219" i="29"/>
  <c r="L219" i="29" s="1"/>
  <c r="K218" i="29"/>
  <c r="L218" i="29" s="1"/>
  <c r="K217" i="29"/>
  <c r="L217" i="29" s="1"/>
  <c r="K215" i="29"/>
  <c r="L215" i="29" s="1"/>
  <c r="K214" i="29"/>
  <c r="L214" i="29" s="1"/>
  <c r="K213" i="29"/>
  <c r="L213" i="29" s="1"/>
  <c r="K212" i="29"/>
  <c r="L212" i="29" s="1"/>
  <c r="K210" i="29"/>
  <c r="L210" i="29" s="1"/>
  <c r="K209" i="29"/>
  <c r="L209" i="29" s="1"/>
  <c r="K208" i="29"/>
  <c r="L208" i="29" s="1"/>
  <c r="K207" i="29"/>
  <c r="L207" i="29" s="1"/>
  <c r="K205" i="29"/>
  <c r="L205" i="29" s="1"/>
  <c r="K204" i="29"/>
  <c r="L204" i="29" s="1"/>
  <c r="K201" i="29"/>
  <c r="L201" i="29" s="1"/>
  <c r="K200" i="29"/>
  <c r="L200" i="29" s="1"/>
  <c r="K199" i="29"/>
  <c r="L199" i="29" s="1"/>
  <c r="K198" i="29"/>
  <c r="L198" i="29" s="1"/>
  <c r="K196" i="29"/>
  <c r="L196" i="29" s="1"/>
  <c r="K195" i="29"/>
  <c r="L195" i="29" s="1"/>
  <c r="K194" i="29"/>
  <c r="L194" i="29" s="1"/>
  <c r="K193" i="29"/>
  <c r="L193" i="29" s="1"/>
  <c r="K191" i="29"/>
  <c r="L191" i="29" s="1"/>
  <c r="K190" i="29"/>
  <c r="L190" i="29" s="1"/>
  <c r="K189" i="29"/>
  <c r="L189" i="29" s="1"/>
  <c r="K188" i="29"/>
  <c r="L188" i="29" s="1"/>
  <c r="K186" i="29"/>
  <c r="L186" i="29" s="1"/>
  <c r="K185" i="29"/>
  <c r="L185" i="29" s="1"/>
  <c r="K179" i="29"/>
  <c r="L179" i="29" s="1"/>
  <c r="K178" i="29"/>
  <c r="L178" i="29" s="1"/>
  <c r="K176" i="29"/>
  <c r="L176" i="29" s="1"/>
  <c r="K175" i="29"/>
  <c r="L175" i="29" s="1"/>
  <c r="K174" i="29"/>
  <c r="L174" i="29" s="1"/>
  <c r="K173" i="29"/>
  <c r="L173" i="29" s="1"/>
  <c r="K171" i="29"/>
  <c r="L171" i="29" s="1"/>
  <c r="K170" i="29"/>
  <c r="L170" i="29" s="1"/>
  <c r="K169" i="29"/>
  <c r="L169" i="29" s="1"/>
  <c r="K168" i="29"/>
  <c r="L168" i="29" s="1"/>
  <c r="K166" i="29"/>
  <c r="L166" i="29" s="1"/>
  <c r="K164" i="29"/>
  <c r="L164" i="29" s="1"/>
  <c r="K163" i="29"/>
  <c r="L163" i="29" s="1"/>
  <c r="K160" i="29"/>
  <c r="L160" i="29" s="1"/>
  <c r="K159" i="29"/>
  <c r="L159" i="29" s="1"/>
  <c r="K157" i="29"/>
  <c r="L157" i="29" s="1"/>
  <c r="K155" i="29"/>
  <c r="L155" i="29" s="1"/>
  <c r="K154" i="29"/>
  <c r="L154" i="29" s="1"/>
  <c r="K153" i="29"/>
  <c r="L153" i="29" s="1"/>
  <c r="K152" i="29"/>
  <c r="L152" i="29" s="1"/>
  <c r="K150" i="29"/>
  <c r="L150" i="29" s="1"/>
  <c r="K149" i="29"/>
  <c r="L149" i="29" s="1"/>
  <c r="K148" i="29"/>
  <c r="L148" i="29" s="1"/>
  <c r="K147" i="29"/>
  <c r="L147" i="29" s="1"/>
  <c r="K145" i="29"/>
  <c r="L145" i="29" s="1"/>
  <c r="K143" i="29"/>
  <c r="L143" i="29" s="1"/>
  <c r="K142" i="29"/>
  <c r="L142" i="29" s="1"/>
  <c r="K139" i="29"/>
  <c r="L139" i="29" s="1"/>
  <c r="K138" i="29"/>
  <c r="L138" i="29" s="1"/>
  <c r="K136" i="29"/>
  <c r="L136" i="29" s="1"/>
  <c r="K134" i="29"/>
  <c r="L134" i="29" s="1"/>
  <c r="K133" i="29"/>
  <c r="L133" i="29" s="1"/>
  <c r="K132" i="29"/>
  <c r="L132" i="29" s="1"/>
  <c r="K131" i="29"/>
  <c r="L131" i="29" s="1"/>
  <c r="K129" i="29"/>
  <c r="L129" i="29" s="1"/>
  <c r="K128" i="29"/>
  <c r="L128" i="29" s="1"/>
  <c r="K127" i="29"/>
  <c r="L127" i="29" s="1"/>
  <c r="K126" i="29"/>
  <c r="L126" i="29" s="1"/>
  <c r="K124" i="29"/>
  <c r="L124" i="29" s="1"/>
  <c r="K122" i="29"/>
  <c r="L122" i="29" s="1"/>
  <c r="K121" i="29"/>
  <c r="L121" i="29" s="1"/>
  <c r="K117" i="29"/>
  <c r="L117" i="29" s="1"/>
  <c r="K116" i="29"/>
  <c r="L116" i="29" s="1"/>
  <c r="K114" i="29"/>
  <c r="L114" i="29" s="1"/>
  <c r="K112" i="29"/>
  <c r="L112" i="29" s="1"/>
  <c r="K111" i="29"/>
  <c r="L111" i="29" s="1"/>
  <c r="K110" i="29"/>
  <c r="L110" i="29" s="1"/>
  <c r="K109" i="29"/>
  <c r="L109" i="29" s="1"/>
  <c r="K107" i="29"/>
  <c r="L107" i="29" s="1"/>
  <c r="K106" i="29"/>
  <c r="L106" i="29" s="1"/>
  <c r="K105" i="29"/>
  <c r="L105" i="29" s="1"/>
  <c r="K104" i="29"/>
  <c r="L104" i="29" s="1"/>
  <c r="K102" i="29"/>
  <c r="L102" i="29" s="1"/>
  <c r="K101" i="29"/>
  <c r="L101" i="29" s="1"/>
  <c r="K100" i="29"/>
  <c r="L100" i="29" s="1"/>
  <c r="K99" i="29"/>
  <c r="L99" i="29" s="1"/>
  <c r="K95" i="29"/>
  <c r="L95" i="29" s="1"/>
  <c r="K94" i="29"/>
  <c r="L94" i="29" s="1"/>
  <c r="K92" i="29"/>
  <c r="L92" i="29" s="1"/>
  <c r="K91" i="29"/>
  <c r="L91" i="29" s="1"/>
  <c r="K89" i="29"/>
  <c r="L89" i="29" s="1"/>
  <c r="K41" i="29"/>
  <c r="L41" i="29" s="1"/>
  <c r="K43" i="29"/>
  <c r="L43" i="29" s="1"/>
  <c r="K44" i="29"/>
  <c r="L44" i="29" s="1"/>
  <c r="K45" i="29"/>
  <c r="L45" i="29" s="1"/>
  <c r="K46" i="29"/>
  <c r="L46" i="29" s="1"/>
  <c r="K48" i="29"/>
  <c r="L48" i="29" s="1"/>
  <c r="K50" i="29"/>
  <c r="L50" i="29" s="1"/>
  <c r="K51" i="29"/>
  <c r="L51" i="29" s="1"/>
  <c r="K52" i="29"/>
  <c r="L52" i="29" s="1"/>
  <c r="K53" i="29"/>
  <c r="L53" i="29" s="1"/>
  <c r="K55" i="29"/>
  <c r="L55" i="29" s="1"/>
  <c r="K56" i="29"/>
  <c r="L56" i="29" s="1"/>
  <c r="K57" i="29"/>
  <c r="L57" i="29" s="1"/>
  <c r="K58" i="29"/>
  <c r="L58" i="29" s="1"/>
  <c r="K62" i="29"/>
  <c r="L62" i="29" s="1"/>
  <c r="K63" i="29"/>
  <c r="L63" i="29" s="1"/>
  <c r="K65" i="29"/>
  <c r="L65" i="29" s="1"/>
  <c r="K66" i="29"/>
  <c r="L66" i="29" s="1"/>
  <c r="K67" i="29"/>
  <c r="L67" i="29" s="1"/>
  <c r="K68" i="29"/>
  <c r="L68" i="29" s="1"/>
  <c r="K70" i="29"/>
  <c r="L70" i="29" s="1"/>
  <c r="K71" i="29"/>
  <c r="L71" i="29" s="1"/>
  <c r="K72" i="29"/>
  <c r="L72" i="29" s="1"/>
  <c r="K73" i="29"/>
  <c r="L73" i="29" s="1"/>
  <c r="K75" i="29"/>
  <c r="L75" i="29" s="1"/>
  <c r="K77" i="29"/>
  <c r="L77" i="29" s="1"/>
  <c r="K78" i="29"/>
  <c r="L78" i="29" s="1"/>
  <c r="K79" i="29"/>
  <c r="L79" i="29" s="1"/>
  <c r="K80" i="29"/>
  <c r="L80" i="29" s="1"/>
  <c r="K82" i="29"/>
  <c r="L82" i="29" s="1"/>
  <c r="K83" i="29"/>
  <c r="L83" i="29" s="1"/>
  <c r="K84" i="29"/>
  <c r="L84" i="29" s="1"/>
  <c r="K85" i="29"/>
  <c r="L85" i="29" s="1"/>
  <c r="K86" i="29"/>
  <c r="L86" i="29" s="1"/>
  <c r="K87" i="29"/>
  <c r="L87" i="29" s="1"/>
  <c r="K31" i="29"/>
  <c r="L31" i="29" s="1"/>
  <c r="K33" i="29"/>
  <c r="L33" i="29" s="1"/>
  <c r="K34" i="29"/>
  <c r="L34" i="29" s="1"/>
  <c r="K35" i="29"/>
  <c r="L35" i="29" s="1"/>
  <c r="K36" i="29"/>
  <c r="L36" i="29" s="1"/>
  <c r="K38" i="29"/>
  <c r="L38" i="29" s="1"/>
  <c r="K39" i="29"/>
  <c r="L39" i="29" s="1"/>
  <c r="K40" i="29"/>
  <c r="L40" i="29" s="1"/>
  <c r="K30" i="29"/>
  <c r="L30" i="29" s="1"/>
  <c r="H684" i="29"/>
  <c r="I684" i="29" s="1"/>
  <c r="H683" i="29"/>
  <c r="I683" i="29" s="1"/>
  <c r="H682" i="29"/>
  <c r="I682" i="29" s="1"/>
  <c r="H681" i="29"/>
  <c r="I681" i="29" s="1"/>
  <c r="H675" i="29"/>
  <c r="I675" i="29" s="1"/>
  <c r="H674" i="29"/>
  <c r="I674" i="29" s="1"/>
  <c r="H673" i="29"/>
  <c r="I673" i="29" s="1"/>
  <c r="H672" i="29"/>
  <c r="I672" i="29" s="1"/>
  <c r="H671" i="29"/>
  <c r="I671" i="29" s="1"/>
  <c r="H670" i="29"/>
  <c r="I670" i="29" s="1"/>
  <c r="H669" i="29"/>
  <c r="I669" i="29" s="1"/>
  <c r="H668" i="29"/>
  <c r="I668" i="29" s="1"/>
  <c r="H667" i="29"/>
  <c r="I667" i="29" s="1"/>
  <c r="H665" i="29"/>
  <c r="I665" i="29" s="1"/>
  <c r="H664" i="29"/>
  <c r="I664" i="29" s="1"/>
  <c r="H663" i="29"/>
  <c r="I663" i="29" s="1"/>
  <c r="H662" i="29"/>
  <c r="I662" i="29" s="1"/>
  <c r="H661" i="29"/>
  <c r="I661" i="29" s="1"/>
  <c r="H658" i="29"/>
  <c r="I658" i="29" s="1"/>
  <c r="H657" i="29"/>
  <c r="I657" i="29" s="1"/>
  <c r="H656" i="29"/>
  <c r="I656" i="29" s="1"/>
  <c r="H655" i="29"/>
  <c r="I655" i="29" s="1"/>
  <c r="H653" i="29"/>
  <c r="I653" i="29" s="1"/>
  <c r="H652" i="29"/>
  <c r="I652" i="29" s="1"/>
  <c r="H651" i="29"/>
  <c r="I651" i="29" s="1"/>
  <c r="H650" i="29"/>
  <c r="I650" i="29" s="1"/>
  <c r="H648" i="29"/>
  <c r="I648" i="29" s="1"/>
  <c r="H647" i="29"/>
  <c r="I647" i="29" s="1"/>
  <c r="H646" i="29"/>
  <c r="I646" i="29" s="1"/>
  <c r="H645" i="29"/>
  <c r="I645" i="29" s="1"/>
  <c r="H644" i="29"/>
  <c r="I644" i="29" s="1"/>
  <c r="H641" i="29"/>
  <c r="I641" i="29" s="1"/>
  <c r="H640" i="29"/>
  <c r="I640" i="29" s="1"/>
  <c r="H639" i="29"/>
  <c r="I639" i="29" s="1"/>
  <c r="H638" i="29"/>
  <c r="I638" i="29" s="1"/>
  <c r="H636" i="29"/>
  <c r="I636" i="29" s="1"/>
  <c r="H635" i="29"/>
  <c r="I635" i="29" s="1"/>
  <c r="H634" i="29"/>
  <c r="I634" i="29" s="1"/>
  <c r="H633" i="29"/>
  <c r="I633" i="29" s="1"/>
  <c r="H630" i="29"/>
  <c r="I630" i="29" s="1"/>
  <c r="H629" i="29"/>
  <c r="I629" i="29" s="1"/>
  <c r="H628" i="29"/>
  <c r="I628" i="29" s="1"/>
  <c r="H627" i="29"/>
  <c r="I627" i="29" s="1"/>
  <c r="H626" i="29"/>
  <c r="I626" i="29" s="1"/>
  <c r="H622" i="29"/>
  <c r="I622" i="29" s="1"/>
  <c r="H621" i="29"/>
  <c r="I621" i="29" s="1"/>
  <c r="H620" i="29"/>
  <c r="I620" i="29" s="1"/>
  <c r="H619" i="29"/>
  <c r="I619" i="29" s="1"/>
  <c r="H617" i="29"/>
  <c r="I617" i="29" s="1"/>
  <c r="H616" i="29"/>
  <c r="I616" i="29" s="1"/>
  <c r="H615" i="29"/>
  <c r="I615" i="29" s="1"/>
  <c r="H614" i="29"/>
  <c r="I614" i="29" s="1"/>
  <c r="H612" i="29"/>
  <c r="I612" i="29" s="1"/>
  <c r="H611" i="29"/>
  <c r="I611" i="29" s="1"/>
  <c r="H610" i="29"/>
  <c r="I610" i="29" s="1"/>
  <c r="H609" i="29"/>
  <c r="I609" i="29" s="1"/>
  <c r="H603" i="29"/>
  <c r="I603" i="29" s="1"/>
  <c r="H602" i="29"/>
  <c r="I602" i="29" s="1"/>
  <c r="H598" i="29"/>
  <c r="I598" i="29" s="1"/>
  <c r="H597" i="29"/>
  <c r="I597" i="29" s="1"/>
  <c r="H596" i="29"/>
  <c r="I596" i="29" s="1"/>
  <c r="H595" i="29"/>
  <c r="I595" i="29" s="1"/>
  <c r="H593" i="29"/>
  <c r="I593" i="29" s="1"/>
  <c r="H592" i="29"/>
  <c r="I592" i="29" s="1"/>
  <c r="H591" i="29"/>
  <c r="I591" i="29" s="1"/>
  <c r="H589" i="29"/>
  <c r="I589" i="29" s="1"/>
  <c r="H587" i="29"/>
  <c r="I587" i="29" s="1"/>
  <c r="H585" i="29"/>
  <c r="I585" i="29" s="1"/>
  <c r="H584" i="29"/>
  <c r="I584" i="29" s="1"/>
  <c r="H582" i="29"/>
  <c r="I582" i="29" s="1"/>
  <c r="H581" i="29"/>
  <c r="I581" i="29" s="1"/>
  <c r="H579" i="29"/>
  <c r="I579" i="29" s="1"/>
  <c r="H578" i="29"/>
  <c r="I578" i="29" s="1"/>
  <c r="H576" i="29"/>
  <c r="I576" i="29" s="1"/>
  <c r="H575" i="29"/>
  <c r="I575" i="29" s="1"/>
  <c r="H574" i="29"/>
  <c r="I574" i="29" s="1"/>
  <c r="H573" i="29"/>
  <c r="I573" i="29" s="1"/>
  <c r="H567" i="29"/>
  <c r="I567" i="29" s="1"/>
  <c r="H566" i="29"/>
  <c r="I566" i="29" s="1"/>
  <c r="H564" i="29"/>
  <c r="I564" i="29" s="1"/>
  <c r="H563" i="29"/>
  <c r="I563" i="29" s="1"/>
  <c r="H562" i="29"/>
  <c r="I562" i="29" s="1"/>
  <c r="H561" i="29"/>
  <c r="I561" i="29" s="1"/>
  <c r="H560" i="29"/>
  <c r="I560" i="29" s="1"/>
  <c r="H558" i="29"/>
  <c r="I558" i="29" s="1"/>
  <c r="H556" i="29"/>
  <c r="I556" i="29" s="1"/>
  <c r="H555" i="29"/>
  <c r="I555" i="29" s="1"/>
  <c r="H551" i="29"/>
  <c r="I551" i="29" s="1"/>
  <c r="H550" i="29"/>
  <c r="I550" i="29" s="1"/>
  <c r="H548" i="29"/>
  <c r="I548" i="29" s="1"/>
  <c r="H547" i="29"/>
  <c r="I547" i="29" s="1"/>
  <c r="H546" i="29"/>
  <c r="I546" i="29" s="1"/>
  <c r="H545" i="29"/>
  <c r="I545" i="29" s="1"/>
  <c r="H343" i="29"/>
  <c r="I343" i="29" s="1"/>
  <c r="H344" i="29"/>
  <c r="I344" i="29" s="1"/>
  <c r="H345" i="29"/>
  <c r="I345" i="29" s="1"/>
  <c r="H346" i="29"/>
  <c r="I346" i="29" s="1"/>
  <c r="H348" i="29"/>
  <c r="I348" i="29" s="1"/>
  <c r="H349" i="29"/>
  <c r="I349" i="29" s="1"/>
  <c r="H350" i="29"/>
  <c r="I350" i="29" s="1"/>
  <c r="H351" i="29"/>
  <c r="I351" i="29" s="1"/>
  <c r="H353" i="29"/>
  <c r="I353" i="29" s="1"/>
  <c r="H354" i="29"/>
  <c r="I354" i="29" s="1"/>
  <c r="H355" i="29"/>
  <c r="I355" i="29" s="1"/>
  <c r="H356" i="29"/>
  <c r="I356" i="29" s="1"/>
  <c r="H360" i="29"/>
  <c r="I360" i="29" s="1"/>
  <c r="H361" i="29"/>
  <c r="I361" i="29" s="1"/>
  <c r="H362" i="29"/>
  <c r="I362" i="29" s="1"/>
  <c r="H363" i="29"/>
  <c r="I363" i="29" s="1"/>
  <c r="H364" i="29"/>
  <c r="I364" i="29" s="1"/>
  <c r="H366" i="29"/>
  <c r="I366" i="29" s="1"/>
  <c r="H367" i="29"/>
  <c r="I367" i="29" s="1"/>
  <c r="H368" i="29"/>
  <c r="I368" i="29" s="1"/>
  <c r="H369" i="29"/>
  <c r="I369" i="29" s="1"/>
  <c r="H371" i="29"/>
  <c r="I371" i="29" s="1"/>
  <c r="H372" i="29"/>
  <c r="I372" i="29" s="1"/>
  <c r="H373" i="29"/>
  <c r="I373" i="29" s="1"/>
  <c r="H374" i="29"/>
  <c r="I374" i="29" s="1"/>
  <c r="H378" i="29"/>
  <c r="I378" i="29" s="1"/>
  <c r="H379" i="29"/>
  <c r="I379" i="29" s="1"/>
  <c r="H380" i="29"/>
  <c r="I380" i="29" s="1"/>
  <c r="H381" i="29"/>
  <c r="I381" i="29" s="1"/>
  <c r="H382" i="29"/>
  <c r="I382" i="29" s="1"/>
  <c r="H384" i="29"/>
  <c r="I384" i="29" s="1"/>
  <c r="H385" i="29"/>
  <c r="I385" i="29" s="1"/>
  <c r="H386" i="29"/>
  <c r="I386" i="29" s="1"/>
  <c r="H387" i="29"/>
  <c r="I387" i="29" s="1"/>
  <c r="H389" i="29"/>
  <c r="I389" i="29" s="1"/>
  <c r="H390" i="29"/>
  <c r="I390" i="29" s="1"/>
  <c r="H391" i="29"/>
  <c r="I391" i="29" s="1"/>
  <c r="H392" i="29"/>
  <c r="I392" i="29" s="1"/>
  <c r="H396" i="29"/>
  <c r="I396" i="29" s="1"/>
  <c r="H397" i="29"/>
  <c r="I397" i="29" s="1"/>
  <c r="H398" i="29"/>
  <c r="I398" i="29" s="1"/>
  <c r="H399" i="29"/>
  <c r="I399" i="29" s="1"/>
  <c r="H401" i="29"/>
  <c r="I401" i="29" s="1"/>
  <c r="H402" i="29"/>
  <c r="I402" i="29" s="1"/>
  <c r="H403" i="29"/>
  <c r="I403" i="29" s="1"/>
  <c r="H404" i="29"/>
  <c r="I404" i="29" s="1"/>
  <c r="H406" i="29"/>
  <c r="I406" i="29" s="1"/>
  <c r="H407" i="29"/>
  <c r="I407" i="29" s="1"/>
  <c r="H408" i="29"/>
  <c r="I408" i="29" s="1"/>
  <c r="H409" i="29"/>
  <c r="I409" i="29" s="1"/>
  <c r="H413" i="29"/>
  <c r="I413" i="29" s="1"/>
  <c r="H414" i="29"/>
  <c r="I414" i="29" s="1"/>
  <c r="H415" i="29"/>
  <c r="I415" i="29" s="1"/>
  <c r="H416" i="29"/>
  <c r="I416" i="29" s="1"/>
  <c r="H418" i="29"/>
  <c r="I418" i="29" s="1"/>
  <c r="H419" i="29"/>
  <c r="I419" i="29" s="1"/>
  <c r="H420" i="29"/>
  <c r="I420" i="29" s="1"/>
  <c r="H421" i="29"/>
  <c r="I421" i="29" s="1"/>
  <c r="H423" i="29"/>
  <c r="I423" i="29" s="1"/>
  <c r="H424" i="29"/>
  <c r="I424" i="29" s="1"/>
  <c r="H425" i="29"/>
  <c r="I425" i="29" s="1"/>
  <c r="H426" i="29"/>
  <c r="I426" i="29" s="1"/>
  <c r="H430" i="29"/>
  <c r="I430" i="29" s="1"/>
  <c r="H431" i="29"/>
  <c r="I431" i="29" s="1"/>
  <c r="H432" i="29"/>
  <c r="I432" i="29" s="1"/>
  <c r="H433" i="29"/>
  <c r="I433" i="29" s="1"/>
  <c r="H435" i="29"/>
  <c r="I435" i="29" s="1"/>
  <c r="H436" i="29"/>
  <c r="I436" i="29" s="1"/>
  <c r="H437" i="29"/>
  <c r="I437" i="29" s="1"/>
  <c r="H438" i="29"/>
  <c r="I438" i="29" s="1"/>
  <c r="H440" i="29"/>
  <c r="I440" i="29" s="1"/>
  <c r="H441" i="29"/>
  <c r="I441" i="29" s="1"/>
  <c r="H442" i="29"/>
  <c r="I442" i="29" s="1"/>
  <c r="H443" i="29"/>
  <c r="I443" i="29" s="1"/>
  <c r="H450" i="29"/>
  <c r="I450" i="29" s="1"/>
  <c r="H451" i="29"/>
  <c r="I451" i="29" s="1"/>
  <c r="H452" i="29"/>
  <c r="I452" i="29" s="1"/>
  <c r="H453" i="29"/>
  <c r="I453" i="29" s="1"/>
  <c r="H454" i="29"/>
  <c r="I454" i="29" s="1"/>
  <c r="H456" i="29"/>
  <c r="I456" i="29" s="1"/>
  <c r="H458" i="29"/>
  <c r="I458" i="29" s="1"/>
  <c r="H459" i="29"/>
  <c r="I459" i="29" s="1"/>
  <c r="H460" i="29"/>
  <c r="I460" i="29" s="1"/>
  <c r="H462" i="29"/>
  <c r="I462" i="29" s="1"/>
  <c r="H463" i="29"/>
  <c r="I463" i="29" s="1"/>
  <c r="H465" i="29"/>
  <c r="I465" i="29" s="1"/>
  <c r="H467" i="29"/>
  <c r="I467" i="29" s="1"/>
  <c r="H468" i="29"/>
  <c r="I468" i="29" s="1"/>
  <c r="H470" i="29"/>
  <c r="I470" i="29" s="1"/>
  <c r="H471" i="29"/>
  <c r="I471" i="29" s="1"/>
  <c r="H473" i="29"/>
  <c r="I473" i="29" s="1"/>
  <c r="H474" i="29"/>
  <c r="I474" i="29" s="1"/>
  <c r="H478" i="29"/>
  <c r="I478" i="29" s="1"/>
  <c r="H479" i="29"/>
  <c r="I479" i="29" s="1"/>
  <c r="H481" i="29"/>
  <c r="I481" i="29" s="1"/>
  <c r="H483" i="29"/>
  <c r="I483" i="29" s="1"/>
  <c r="H484" i="29"/>
  <c r="I484" i="29" s="1"/>
  <c r="H485" i="29"/>
  <c r="I485" i="29" s="1"/>
  <c r="H487" i="29"/>
  <c r="I487" i="29" s="1"/>
  <c r="H489" i="29"/>
  <c r="I489" i="29" s="1"/>
  <c r="H491" i="29"/>
  <c r="I491" i="29" s="1"/>
  <c r="H492" i="29"/>
  <c r="I492" i="29" s="1"/>
  <c r="H499" i="29"/>
  <c r="I499" i="29" s="1"/>
  <c r="H500" i="29"/>
  <c r="I500" i="29" s="1"/>
  <c r="H502" i="29"/>
  <c r="I502" i="29" s="1"/>
  <c r="H504" i="29"/>
  <c r="I504" i="29" s="1"/>
  <c r="H506" i="29"/>
  <c r="I506" i="29" s="1"/>
  <c r="H507" i="29"/>
  <c r="I507" i="29" s="1"/>
  <c r="H509" i="29"/>
  <c r="I509" i="29" s="1"/>
  <c r="H510" i="29"/>
  <c r="I510" i="29" s="1"/>
  <c r="H512" i="29"/>
  <c r="I512" i="29" s="1"/>
  <c r="H513" i="29"/>
  <c r="I513" i="29" s="1"/>
  <c r="H517" i="29"/>
  <c r="I517" i="29" s="1"/>
  <c r="H518" i="29"/>
  <c r="I518" i="29" s="1"/>
  <c r="H520" i="29"/>
  <c r="I520" i="29" s="1"/>
  <c r="H522" i="29"/>
  <c r="I522" i="29" s="1"/>
  <c r="H525" i="29"/>
  <c r="I525" i="29" s="1"/>
  <c r="H526" i="29"/>
  <c r="I526" i="29" s="1"/>
  <c r="H528" i="29"/>
  <c r="I528" i="29" s="1"/>
  <c r="H529" i="29"/>
  <c r="I529" i="29" s="1"/>
  <c r="H531" i="29"/>
  <c r="I531" i="29" s="1"/>
  <c r="H532" i="29"/>
  <c r="I532" i="29" s="1"/>
  <c r="H539" i="29"/>
  <c r="I539" i="29" s="1"/>
  <c r="H540" i="29"/>
  <c r="I540" i="29" s="1"/>
  <c r="H542" i="29"/>
  <c r="I542" i="29" s="1"/>
  <c r="H544" i="29"/>
  <c r="I544" i="29" s="1"/>
  <c r="H339" i="29"/>
  <c r="I339" i="29" s="1"/>
  <c r="H338" i="29"/>
  <c r="I338" i="29" s="1"/>
  <c r="H337" i="29"/>
  <c r="I337" i="29" s="1"/>
  <c r="H336" i="29"/>
  <c r="I336" i="29" s="1"/>
  <c r="H334" i="29"/>
  <c r="I334" i="29" s="1"/>
  <c r="H333" i="29"/>
  <c r="I333" i="29" s="1"/>
  <c r="H332" i="29"/>
  <c r="I332" i="29" s="1"/>
  <c r="H331" i="29"/>
  <c r="I331" i="29" s="1"/>
  <c r="H329" i="29"/>
  <c r="I329" i="29" s="1"/>
  <c r="H328" i="29"/>
  <c r="I328" i="29" s="1"/>
  <c r="H327" i="29"/>
  <c r="I327" i="29" s="1"/>
  <c r="H326" i="29"/>
  <c r="I326" i="29" s="1"/>
  <c r="H320" i="29"/>
  <c r="I320" i="29" s="1"/>
  <c r="H319" i="29"/>
  <c r="I319" i="29" s="1"/>
  <c r="H317" i="29"/>
  <c r="I317" i="29" s="1"/>
  <c r="H315" i="29"/>
  <c r="I315" i="29" s="1"/>
  <c r="H313" i="29"/>
  <c r="I313" i="29" s="1"/>
  <c r="H312" i="29"/>
  <c r="I312" i="29" s="1"/>
  <c r="H311" i="29"/>
  <c r="I311" i="29" s="1"/>
  <c r="H306" i="29"/>
  <c r="I306" i="29" s="1"/>
  <c r="H305" i="29"/>
  <c r="I305" i="29" s="1"/>
  <c r="H304" i="29"/>
  <c r="I304" i="29" s="1"/>
  <c r="H303" i="29"/>
  <c r="I303" i="29" s="1"/>
  <c r="H300" i="29"/>
  <c r="I300" i="29" s="1"/>
  <c r="H299" i="29"/>
  <c r="I299" i="29" s="1"/>
  <c r="H297" i="29"/>
  <c r="I297" i="29" s="1"/>
  <c r="H296" i="29"/>
  <c r="I296" i="29" s="1"/>
  <c r="H294" i="29"/>
  <c r="I294" i="29" s="1"/>
  <c r="H293" i="29"/>
  <c r="I293" i="29" s="1"/>
  <c r="H292" i="29"/>
  <c r="I292" i="29" s="1"/>
  <c r="H291" i="29"/>
  <c r="I291" i="29" s="1"/>
  <c r="H289" i="29"/>
  <c r="I289" i="29" s="1"/>
  <c r="H288" i="29"/>
  <c r="I288" i="29" s="1"/>
  <c r="H287" i="29"/>
  <c r="I287" i="29" s="1"/>
  <c r="H286" i="29"/>
  <c r="I286" i="29" s="1"/>
  <c r="H284" i="29"/>
  <c r="I284" i="29" s="1"/>
  <c r="H282" i="29"/>
  <c r="I282" i="29" s="1"/>
  <c r="H278" i="29"/>
  <c r="I278" i="29" s="1"/>
  <c r="H277" i="29"/>
  <c r="I277" i="29" s="1"/>
  <c r="H275" i="29"/>
  <c r="I275" i="29" s="1"/>
  <c r="H274" i="29"/>
  <c r="I274" i="29" s="1"/>
  <c r="H272" i="29"/>
  <c r="I272" i="29" s="1"/>
  <c r="H271" i="29"/>
  <c r="I271" i="29" s="1"/>
  <c r="H270" i="29"/>
  <c r="I270" i="29" s="1"/>
  <c r="H269" i="29"/>
  <c r="I269" i="29" s="1"/>
  <c r="H267" i="29"/>
  <c r="I267" i="29" s="1"/>
  <c r="H266" i="29"/>
  <c r="I266" i="29" s="1"/>
  <c r="H265" i="29"/>
  <c r="I265" i="29" s="1"/>
  <c r="H264" i="29"/>
  <c r="I264" i="29" s="1"/>
  <c r="H262" i="29"/>
  <c r="I262" i="29" s="1"/>
  <c r="H260" i="29"/>
  <c r="I260" i="29" s="1"/>
  <c r="H257" i="29"/>
  <c r="I257" i="29" s="1"/>
  <c r="H256" i="29"/>
  <c r="I256" i="29" s="1"/>
  <c r="H254" i="29"/>
  <c r="I254" i="29" s="1"/>
  <c r="H253" i="29"/>
  <c r="I253" i="29" s="1"/>
  <c r="H251" i="29"/>
  <c r="I251" i="29" s="1"/>
  <c r="H247" i="29"/>
  <c r="I247" i="29" s="1"/>
  <c r="H246" i="29"/>
  <c r="I246" i="29" s="1"/>
  <c r="H244" i="29"/>
  <c r="I244" i="29" s="1"/>
  <c r="H243" i="29"/>
  <c r="I243" i="29" s="1"/>
  <c r="H241" i="29"/>
  <c r="I241" i="29" s="1"/>
  <c r="H240" i="29"/>
  <c r="I240" i="29" s="1"/>
  <c r="H239" i="29"/>
  <c r="I239" i="29" s="1"/>
  <c r="H238" i="29"/>
  <c r="I238" i="29" s="1"/>
  <c r="H236" i="29"/>
  <c r="I236" i="29" s="1"/>
  <c r="H235" i="29"/>
  <c r="I235" i="29" s="1"/>
  <c r="H234" i="29"/>
  <c r="I234" i="29" s="1"/>
  <c r="H233" i="29"/>
  <c r="I233" i="29" s="1"/>
  <c r="H231" i="29"/>
  <c r="I231" i="29" s="1"/>
  <c r="H229" i="29"/>
  <c r="I229" i="29" s="1"/>
  <c r="H225" i="29"/>
  <c r="I225" i="29" s="1"/>
  <c r="H224" i="29"/>
  <c r="I224" i="29" s="1"/>
  <c r="H223" i="29"/>
  <c r="I223" i="29" s="1"/>
  <c r="H221" i="29"/>
  <c r="I221" i="29" s="1"/>
  <c r="H220" i="29"/>
  <c r="I220" i="29" s="1"/>
  <c r="H219" i="29"/>
  <c r="I219" i="29" s="1"/>
  <c r="H218" i="29"/>
  <c r="I218" i="29" s="1"/>
  <c r="H217" i="29"/>
  <c r="I217" i="29" s="1"/>
  <c r="H215" i="29"/>
  <c r="I215" i="29" s="1"/>
  <c r="H214" i="29"/>
  <c r="I214" i="29" s="1"/>
  <c r="H213" i="29"/>
  <c r="I213" i="29" s="1"/>
  <c r="H212" i="29"/>
  <c r="I212" i="29" s="1"/>
  <c r="H210" i="29"/>
  <c r="I210" i="29" s="1"/>
  <c r="H209" i="29"/>
  <c r="I209" i="29" s="1"/>
  <c r="H208" i="29"/>
  <c r="I208" i="29" s="1"/>
  <c r="H207" i="29"/>
  <c r="I207" i="29" s="1"/>
  <c r="H205" i="29"/>
  <c r="I205" i="29" s="1"/>
  <c r="H204" i="29"/>
  <c r="I204" i="29" s="1"/>
  <c r="H201" i="29"/>
  <c r="I201" i="29" s="1"/>
  <c r="H200" i="29"/>
  <c r="I200" i="29" s="1"/>
  <c r="H199" i="29"/>
  <c r="I199" i="29" s="1"/>
  <c r="H198" i="29"/>
  <c r="I198" i="29" s="1"/>
  <c r="H196" i="29"/>
  <c r="I196" i="29" s="1"/>
  <c r="H195" i="29"/>
  <c r="I195" i="29" s="1"/>
  <c r="H194" i="29"/>
  <c r="I194" i="29" s="1"/>
  <c r="H193" i="29"/>
  <c r="I193" i="29" s="1"/>
  <c r="H191" i="29"/>
  <c r="I191" i="29" s="1"/>
  <c r="H190" i="29"/>
  <c r="I190" i="29" s="1"/>
  <c r="H189" i="29"/>
  <c r="I189" i="29" s="1"/>
  <c r="H188" i="29"/>
  <c r="I188" i="29" s="1"/>
  <c r="H186" i="29"/>
  <c r="I186" i="29" s="1"/>
  <c r="H185" i="29"/>
  <c r="I185" i="29" s="1"/>
  <c r="H31" i="29"/>
  <c r="I31" i="29" s="1"/>
  <c r="H33" i="29"/>
  <c r="I33" i="29" s="1"/>
  <c r="H34" i="29"/>
  <c r="I34" i="29" s="1"/>
  <c r="H35" i="29"/>
  <c r="I35" i="29" s="1"/>
  <c r="H36" i="29"/>
  <c r="I36" i="29" s="1"/>
  <c r="H38" i="29"/>
  <c r="I38" i="29" s="1"/>
  <c r="H39" i="29"/>
  <c r="I39" i="29" s="1"/>
  <c r="H40" i="29"/>
  <c r="I40" i="29" s="1"/>
  <c r="H41" i="29"/>
  <c r="I41" i="29" s="1"/>
  <c r="H43" i="29"/>
  <c r="I43" i="29" s="1"/>
  <c r="H44" i="29"/>
  <c r="I44" i="29" s="1"/>
  <c r="H45" i="29"/>
  <c r="I45" i="29" s="1"/>
  <c r="H46" i="29"/>
  <c r="I46" i="29" s="1"/>
  <c r="H48" i="29"/>
  <c r="I48" i="29" s="1"/>
  <c r="H50" i="29"/>
  <c r="I50" i="29" s="1"/>
  <c r="H51" i="29"/>
  <c r="I51" i="29" s="1"/>
  <c r="H52" i="29"/>
  <c r="I52" i="29" s="1"/>
  <c r="H53" i="29"/>
  <c r="I53" i="29" s="1"/>
  <c r="H55" i="29"/>
  <c r="I55" i="29" s="1"/>
  <c r="H56" i="29"/>
  <c r="I56" i="29" s="1"/>
  <c r="H57" i="29"/>
  <c r="I57" i="29" s="1"/>
  <c r="H58" i="29"/>
  <c r="I58" i="29" s="1"/>
  <c r="H62" i="29"/>
  <c r="I62" i="29" s="1"/>
  <c r="H63" i="29"/>
  <c r="I63" i="29" s="1"/>
  <c r="H65" i="29"/>
  <c r="I65" i="29" s="1"/>
  <c r="H66" i="29"/>
  <c r="I66" i="29" s="1"/>
  <c r="H67" i="29"/>
  <c r="I67" i="29" s="1"/>
  <c r="H68" i="29"/>
  <c r="I68" i="29" s="1"/>
  <c r="H70" i="29"/>
  <c r="I70" i="29" s="1"/>
  <c r="H71" i="29"/>
  <c r="I71" i="29" s="1"/>
  <c r="H72" i="29"/>
  <c r="I72" i="29" s="1"/>
  <c r="H73" i="29"/>
  <c r="I73" i="29" s="1"/>
  <c r="H75" i="29"/>
  <c r="I75" i="29" s="1"/>
  <c r="H77" i="29"/>
  <c r="I77" i="29" s="1"/>
  <c r="H78" i="29"/>
  <c r="I78" i="29" s="1"/>
  <c r="H79" i="29"/>
  <c r="I79" i="29" s="1"/>
  <c r="H80" i="29"/>
  <c r="I80" i="29" s="1"/>
  <c r="H82" i="29"/>
  <c r="I82" i="29" s="1"/>
  <c r="H83" i="29"/>
  <c r="I83" i="29" s="1"/>
  <c r="H84" i="29"/>
  <c r="I84" i="29" s="1"/>
  <c r="H85" i="29"/>
  <c r="I85" i="29" s="1"/>
  <c r="H86" i="29"/>
  <c r="I86" i="29" s="1"/>
  <c r="H87" i="29"/>
  <c r="I87" i="29" s="1"/>
  <c r="H89" i="29"/>
  <c r="I89" i="29" s="1"/>
  <c r="H91" i="29"/>
  <c r="I91" i="29" s="1"/>
  <c r="H92" i="29"/>
  <c r="I92" i="29" s="1"/>
  <c r="H94" i="29"/>
  <c r="I94" i="29" s="1"/>
  <c r="H95" i="29"/>
  <c r="I95" i="29" s="1"/>
  <c r="H99" i="29"/>
  <c r="I99" i="29" s="1"/>
  <c r="H100" i="29"/>
  <c r="I100" i="29" s="1"/>
  <c r="H101" i="29"/>
  <c r="I101" i="29" s="1"/>
  <c r="H102" i="29"/>
  <c r="I102" i="29" s="1"/>
  <c r="H104" i="29"/>
  <c r="I104" i="29" s="1"/>
  <c r="H105" i="29"/>
  <c r="I105" i="29" s="1"/>
  <c r="H106" i="29"/>
  <c r="I106" i="29" s="1"/>
  <c r="H107" i="29"/>
  <c r="I107" i="29" s="1"/>
  <c r="H109" i="29"/>
  <c r="I109" i="29" s="1"/>
  <c r="H110" i="29"/>
  <c r="I110" i="29" s="1"/>
  <c r="H111" i="29"/>
  <c r="I111" i="29" s="1"/>
  <c r="H112" i="29"/>
  <c r="I112" i="29" s="1"/>
  <c r="H114" i="29"/>
  <c r="I114" i="29" s="1"/>
  <c r="H116" i="29"/>
  <c r="I116" i="29" s="1"/>
  <c r="H117" i="29"/>
  <c r="I117" i="29" s="1"/>
  <c r="H121" i="29"/>
  <c r="I121" i="29" s="1"/>
  <c r="H122" i="29"/>
  <c r="I122" i="29" s="1"/>
  <c r="H124" i="29"/>
  <c r="I124" i="29" s="1"/>
  <c r="H126" i="29"/>
  <c r="I126" i="29" s="1"/>
  <c r="H127" i="29"/>
  <c r="I127" i="29" s="1"/>
  <c r="H128" i="29"/>
  <c r="I128" i="29" s="1"/>
  <c r="H129" i="29"/>
  <c r="I129" i="29" s="1"/>
  <c r="H131" i="29"/>
  <c r="I131" i="29" s="1"/>
  <c r="H132" i="29"/>
  <c r="I132" i="29" s="1"/>
  <c r="H133" i="29"/>
  <c r="I133" i="29" s="1"/>
  <c r="H134" i="29"/>
  <c r="I134" i="29" s="1"/>
  <c r="H136" i="29"/>
  <c r="I136" i="29" s="1"/>
  <c r="H138" i="29"/>
  <c r="I138" i="29" s="1"/>
  <c r="H139" i="29"/>
  <c r="I139" i="29" s="1"/>
  <c r="H142" i="29"/>
  <c r="I142" i="29" s="1"/>
  <c r="H143" i="29"/>
  <c r="I143" i="29" s="1"/>
  <c r="H145" i="29"/>
  <c r="I145" i="29" s="1"/>
  <c r="H147" i="29"/>
  <c r="I147" i="29" s="1"/>
  <c r="H148" i="29"/>
  <c r="I148" i="29" s="1"/>
  <c r="H149" i="29"/>
  <c r="I149" i="29" s="1"/>
  <c r="H150" i="29"/>
  <c r="I150" i="29" s="1"/>
  <c r="H152" i="29"/>
  <c r="I152" i="29" s="1"/>
  <c r="H153" i="29"/>
  <c r="I153" i="29" s="1"/>
  <c r="H154" i="29"/>
  <c r="I154" i="29" s="1"/>
  <c r="H155" i="29"/>
  <c r="I155" i="29" s="1"/>
  <c r="H157" i="29"/>
  <c r="I157" i="29" s="1"/>
  <c r="H159" i="29"/>
  <c r="I159" i="29" s="1"/>
  <c r="H160" i="29"/>
  <c r="I160" i="29" s="1"/>
  <c r="H163" i="29"/>
  <c r="I163" i="29" s="1"/>
  <c r="H164" i="29"/>
  <c r="I164" i="29" s="1"/>
  <c r="H166" i="29"/>
  <c r="I166" i="29" s="1"/>
  <c r="H168" i="29"/>
  <c r="I168" i="29" s="1"/>
  <c r="H169" i="29"/>
  <c r="I169" i="29" s="1"/>
  <c r="H170" i="29"/>
  <c r="I170" i="29" s="1"/>
  <c r="H171" i="29"/>
  <c r="I171" i="29" s="1"/>
  <c r="H173" i="29"/>
  <c r="I173" i="29" s="1"/>
  <c r="H174" i="29"/>
  <c r="I174" i="29" s="1"/>
  <c r="H175" i="29"/>
  <c r="I175" i="29" s="1"/>
  <c r="H176" i="29"/>
  <c r="I176" i="29" s="1"/>
  <c r="H178" i="29"/>
  <c r="I178" i="29" s="1"/>
  <c r="H179" i="29"/>
  <c r="I179" i="29" s="1"/>
  <c r="H30" i="29"/>
  <c r="I30" i="29" s="1"/>
  <c r="O15" i="29"/>
  <c r="O16" i="29" s="1"/>
  <c r="P16" i="29"/>
  <c r="M76" i="4"/>
  <c r="K64" i="4"/>
  <c r="L64" i="4" s="1"/>
  <c r="K62" i="4"/>
  <c r="L62" i="4" s="1"/>
  <c r="K60" i="4"/>
  <c r="L60" i="4" s="1"/>
  <c r="K75" i="4"/>
  <c r="L75" i="4" s="1"/>
  <c r="K77" i="4"/>
  <c r="L77" i="4" s="1"/>
  <c r="K74" i="4"/>
  <c r="L74" i="4" s="1"/>
  <c r="K79" i="4"/>
  <c r="L79" i="4" s="1"/>
  <c r="K83" i="4"/>
  <c r="L83" i="4" s="1"/>
  <c r="K114" i="4"/>
  <c r="L114" i="4" s="1"/>
  <c r="K119" i="4"/>
  <c r="L119" i="4" s="1"/>
  <c r="K118" i="4"/>
  <c r="L118" i="4" s="1"/>
  <c r="K117" i="4"/>
  <c r="L117" i="4" s="1"/>
  <c r="K116" i="4"/>
  <c r="L116" i="4" s="1"/>
  <c r="K153" i="4"/>
  <c r="L153" i="4" s="1"/>
  <c r="K154" i="4"/>
  <c r="L154" i="4" s="1"/>
  <c r="K152" i="4"/>
  <c r="L152" i="4" s="1"/>
  <c r="K150" i="4"/>
  <c r="L150" i="4" s="1"/>
  <c r="K162" i="4"/>
  <c r="L162" i="4" s="1"/>
  <c r="K171" i="4"/>
  <c r="L171" i="4" s="1"/>
  <c r="K170" i="4"/>
  <c r="L170" i="4" s="1"/>
  <c r="K169" i="4"/>
  <c r="L169" i="4" s="1"/>
  <c r="K168" i="4"/>
  <c r="L168" i="4" s="1"/>
  <c r="K181" i="4"/>
  <c r="L181" i="4" s="1"/>
  <c r="K180" i="4"/>
  <c r="L180" i="4" s="1"/>
  <c r="K179" i="4"/>
  <c r="L179" i="4" s="1"/>
  <c r="K178" i="4"/>
  <c r="L178" i="4" s="1"/>
  <c r="K238" i="4"/>
  <c r="L238" i="4" s="1"/>
  <c r="K237" i="4"/>
  <c r="L237" i="4" s="1"/>
  <c r="K236" i="4"/>
  <c r="L236" i="4" s="1"/>
  <c r="K274" i="4"/>
  <c r="L274" i="4" s="1"/>
  <c r="K275" i="4"/>
  <c r="L275" i="4" s="1"/>
  <c r="K273" i="4"/>
  <c r="L273" i="4" s="1"/>
  <c r="I156" i="4"/>
  <c r="H275" i="4"/>
  <c r="I275" i="4" s="1"/>
  <c r="H277" i="4"/>
  <c r="I277" i="4" s="1"/>
  <c r="H278" i="4"/>
  <c r="I278" i="4" s="1"/>
  <c r="H279" i="4"/>
  <c r="I279" i="4" s="1"/>
  <c r="H280" i="4"/>
  <c r="I280" i="4" s="1"/>
  <c r="H281" i="4"/>
  <c r="I281" i="4" s="1"/>
  <c r="H282" i="4"/>
  <c r="I282" i="4" s="1"/>
  <c r="H283" i="4"/>
  <c r="I283" i="4" s="1"/>
  <c r="H268" i="4"/>
  <c r="I268" i="4" s="1"/>
  <c r="H269" i="4"/>
  <c r="I269" i="4" s="1"/>
  <c r="H260" i="4"/>
  <c r="I260" i="4" s="1"/>
  <c r="H261" i="4"/>
  <c r="I261" i="4" s="1"/>
  <c r="H262" i="4"/>
  <c r="I262" i="4" s="1"/>
  <c r="H247" i="4"/>
  <c r="I247" i="4" s="1"/>
  <c r="H238" i="4"/>
  <c r="I238" i="4" s="1"/>
  <c r="H239" i="4"/>
  <c r="I239" i="4" s="1"/>
  <c r="H240" i="4"/>
  <c r="I240" i="4" s="1"/>
  <c r="H225" i="4"/>
  <c r="I225" i="4" s="1"/>
  <c r="H274" i="4"/>
  <c r="I274" i="4" s="1"/>
  <c r="H273" i="4"/>
  <c r="I273" i="4" s="1"/>
  <c r="H267" i="4"/>
  <c r="I267" i="4" s="1"/>
  <c r="H266" i="4"/>
  <c r="I266" i="4" s="1"/>
  <c r="H259" i="4"/>
  <c r="I259" i="4" s="1"/>
  <c r="H258" i="4"/>
  <c r="I258" i="4" s="1"/>
  <c r="H253" i="4"/>
  <c r="I253" i="4" s="1"/>
  <c r="H252" i="4"/>
  <c r="I252" i="4" s="1"/>
  <c r="H246" i="4"/>
  <c r="I246" i="4" s="1"/>
  <c r="H245" i="4"/>
  <c r="I245" i="4" s="1"/>
  <c r="H236" i="4"/>
  <c r="I236" i="4" s="1"/>
  <c r="H231" i="4"/>
  <c r="I231" i="4" s="1"/>
  <c r="H230" i="4"/>
  <c r="I230" i="4" s="1"/>
  <c r="H224" i="4"/>
  <c r="I224" i="4" s="1"/>
  <c r="H223" i="4"/>
  <c r="I223" i="4" s="1"/>
  <c r="H218" i="4"/>
  <c r="I218" i="4" s="1"/>
  <c r="H217" i="4"/>
  <c r="I217" i="4" s="1"/>
  <c r="H209" i="4"/>
  <c r="I209" i="4" s="1"/>
  <c r="H210" i="4"/>
  <c r="I210" i="4" s="1"/>
  <c r="H211" i="4"/>
  <c r="I211" i="4" s="1"/>
  <c r="H212" i="4"/>
  <c r="I212" i="4" s="1"/>
  <c r="H199" i="4"/>
  <c r="I199" i="4" s="1"/>
  <c r="H198" i="4"/>
  <c r="I198" i="4" s="1"/>
  <c r="H188" i="4"/>
  <c r="I188" i="4" s="1"/>
  <c r="H179" i="4"/>
  <c r="I179" i="4" s="1"/>
  <c r="H180" i="4"/>
  <c r="I180" i="4" s="1"/>
  <c r="H181" i="4"/>
  <c r="I181" i="4" s="1"/>
  <c r="H169" i="4"/>
  <c r="I169" i="4" s="1"/>
  <c r="H170" i="4"/>
  <c r="I170" i="4" s="1"/>
  <c r="H171" i="4"/>
  <c r="I171" i="4" s="1"/>
  <c r="H208" i="4"/>
  <c r="I208" i="4" s="1"/>
  <c r="H203" i="4"/>
  <c r="I203" i="4" s="1"/>
  <c r="H193" i="4"/>
  <c r="I193" i="4" s="1"/>
  <c r="H187" i="4"/>
  <c r="I187" i="4" s="1"/>
  <c r="H178" i="4"/>
  <c r="I178" i="4" s="1"/>
  <c r="H168" i="4"/>
  <c r="I168" i="4" s="1"/>
  <c r="H162" i="4"/>
  <c r="I162" i="4" s="1"/>
  <c r="H157" i="4"/>
  <c r="I157" i="4" s="1"/>
  <c r="H154" i="4"/>
  <c r="I154" i="4" s="1"/>
  <c r="H150" i="4"/>
  <c r="I150" i="4" s="1"/>
  <c r="H153" i="4"/>
  <c r="I153" i="4" s="1"/>
  <c r="H152" i="4"/>
  <c r="I152" i="4" s="1"/>
  <c r="H145" i="4"/>
  <c r="I145" i="4" s="1"/>
  <c r="H144" i="4"/>
  <c r="I144" i="4" s="1"/>
  <c r="H138" i="4"/>
  <c r="I138" i="4" s="1"/>
  <c r="H133" i="4"/>
  <c r="I133" i="4" s="1"/>
  <c r="H132" i="4"/>
  <c r="I132" i="4" s="1"/>
  <c r="H127" i="4"/>
  <c r="I127" i="4" s="1"/>
  <c r="H126" i="4"/>
  <c r="I126" i="4" s="1"/>
  <c r="H121" i="4"/>
  <c r="I121" i="4" s="1"/>
  <c r="H117" i="4"/>
  <c r="I117" i="4" s="1"/>
  <c r="H118" i="4"/>
  <c r="I118" i="4" s="1"/>
  <c r="H119" i="4"/>
  <c r="I119" i="4" s="1"/>
  <c r="H116" i="4"/>
  <c r="I116" i="4" s="1"/>
  <c r="H107" i="4"/>
  <c r="I107" i="4" s="1"/>
  <c r="H108" i="4"/>
  <c r="I108" i="4" s="1"/>
  <c r="H109" i="4"/>
  <c r="I109" i="4" s="1"/>
  <c r="H101" i="4"/>
  <c r="I101" i="4" s="1"/>
  <c r="H114" i="4"/>
  <c r="I114" i="4" s="1"/>
  <c r="H106" i="4"/>
  <c r="I106" i="4" s="1"/>
  <c r="H100" i="4"/>
  <c r="I100" i="4" s="1"/>
  <c r="H95" i="4"/>
  <c r="I95" i="4" s="1"/>
  <c r="H83" i="4"/>
  <c r="I83" i="4" s="1"/>
  <c r="H79" i="4"/>
  <c r="I79" i="4" s="1"/>
  <c r="H77" i="4"/>
  <c r="I77" i="4" s="1"/>
  <c r="H75" i="4"/>
  <c r="I75" i="4" s="1"/>
  <c r="H74" i="4"/>
  <c r="I74" i="4" s="1"/>
  <c r="H68" i="4"/>
  <c r="I68" i="4" s="1"/>
  <c r="H69" i="4"/>
  <c r="I69" i="4" s="1"/>
  <c r="H67" i="4"/>
  <c r="I67" i="4" s="1"/>
  <c r="H64" i="4"/>
  <c r="I64" i="4" s="1"/>
  <c r="H62" i="4"/>
  <c r="I62" i="4" s="1"/>
  <c r="H60" i="4"/>
  <c r="I60" i="4" s="1"/>
  <c r="Q25" i="4"/>
  <c r="Q26" i="4"/>
  <c r="O34" i="4"/>
  <c r="P35" i="4"/>
  <c r="H424" i="2"/>
  <c r="I424" i="2" s="1"/>
  <c r="H368" i="2"/>
  <c r="I368" i="2" s="1"/>
  <c r="L377" i="2"/>
  <c r="L71" i="2"/>
  <c r="K629" i="2"/>
  <c r="L629" i="2" s="1"/>
  <c r="K626" i="2"/>
  <c r="K624" i="2"/>
  <c r="L624" i="2" s="1"/>
  <c r="K622" i="2"/>
  <c r="L622" i="2" s="1"/>
  <c r="K620" i="2"/>
  <c r="L620" i="2" s="1"/>
  <c r="K618" i="2"/>
  <c r="L618" i="2" s="1"/>
  <c r="K616" i="2"/>
  <c r="L616" i="2" s="1"/>
  <c r="K615" i="2"/>
  <c r="L615" i="2" s="1"/>
  <c r="K614" i="2"/>
  <c r="L614" i="2" s="1"/>
  <c r="K613" i="2"/>
  <c r="L613" i="2" s="1"/>
  <c r="K612" i="2"/>
  <c r="L612" i="2" s="1"/>
  <c r="K611" i="2"/>
  <c r="L611" i="2" s="1"/>
  <c r="K607" i="2"/>
  <c r="L607" i="2" s="1"/>
  <c r="K606" i="2"/>
  <c r="L606" i="2" s="1"/>
  <c r="K605" i="2"/>
  <c r="L605" i="2" s="1"/>
  <c r="K603" i="2"/>
  <c r="L603" i="2" s="1"/>
  <c r="K602" i="2"/>
  <c r="L602" i="2" s="1"/>
  <c r="K601" i="2"/>
  <c r="L601" i="2" s="1"/>
  <c r="K599" i="2"/>
  <c r="L599" i="2" s="1"/>
  <c r="K598" i="2"/>
  <c r="L598" i="2" s="1"/>
  <c r="K597" i="2"/>
  <c r="L597" i="2" s="1"/>
  <c r="K595" i="2"/>
  <c r="L595" i="2" s="1"/>
  <c r="K594" i="2"/>
  <c r="L594" i="2" s="1"/>
  <c r="K593" i="2"/>
  <c r="L593" i="2" s="1"/>
  <c r="K591" i="2"/>
  <c r="L591" i="2" s="1"/>
  <c r="K590" i="2"/>
  <c r="L590" i="2" s="1"/>
  <c r="K589" i="2"/>
  <c r="L589" i="2" s="1"/>
  <c r="K587" i="2"/>
  <c r="L587" i="2" s="1"/>
  <c r="K586" i="2"/>
  <c r="L586" i="2" s="1"/>
  <c r="K585" i="2"/>
  <c r="L585" i="2" s="1"/>
  <c r="K578" i="2"/>
  <c r="L578" i="2" s="1"/>
  <c r="K577" i="2"/>
  <c r="L577" i="2" s="1"/>
  <c r="K576" i="2"/>
  <c r="L576" i="2" s="1"/>
  <c r="K575" i="2"/>
  <c r="K568" i="2"/>
  <c r="L568" i="2" s="1"/>
  <c r="K562" i="2"/>
  <c r="L562" i="2" s="1"/>
  <c r="K561" i="2"/>
  <c r="L561" i="2" s="1"/>
  <c r="K560" i="2"/>
  <c r="L560" i="2" s="1"/>
  <c r="K559" i="2"/>
  <c r="L559" i="2" s="1"/>
  <c r="K557" i="2"/>
  <c r="L557" i="2" s="1"/>
  <c r="K556" i="2"/>
  <c r="L556" i="2" s="1"/>
  <c r="K547" i="2"/>
  <c r="L547" i="2" s="1"/>
  <c r="K546" i="2"/>
  <c r="L546" i="2" s="1"/>
  <c r="K545" i="2"/>
  <c r="L545" i="2" s="1"/>
  <c r="K544" i="2"/>
  <c r="L544" i="2" s="1"/>
  <c r="K542" i="2"/>
  <c r="L542" i="2" s="1"/>
  <c r="K540" i="2"/>
  <c r="L540" i="2" s="1"/>
  <c r="K537" i="2"/>
  <c r="L537" i="2" s="1"/>
  <c r="K536" i="2"/>
  <c r="L536" i="2" s="1"/>
  <c r="K534" i="2"/>
  <c r="L534" i="2" s="1"/>
  <c r="K533" i="2"/>
  <c r="L533" i="2" s="1"/>
  <c r="K532" i="2"/>
  <c r="L532" i="2" s="1"/>
  <c r="K530" i="2"/>
  <c r="L530" i="2" s="1"/>
  <c r="K529" i="2"/>
  <c r="L529" i="2" s="1"/>
  <c r="K502" i="2"/>
  <c r="L502" i="2" s="1"/>
  <c r="K503" i="2"/>
  <c r="L503" i="2" s="1"/>
  <c r="K505" i="2"/>
  <c r="L505" i="2" s="1"/>
  <c r="K506" i="2"/>
  <c r="L506" i="2" s="1"/>
  <c r="K507" i="2"/>
  <c r="L507" i="2" s="1"/>
  <c r="K508" i="2"/>
  <c r="L508" i="2" s="1"/>
  <c r="K510" i="2"/>
  <c r="L510" i="2" s="1"/>
  <c r="K511" i="2"/>
  <c r="L511" i="2" s="1"/>
  <c r="K512" i="2"/>
  <c r="L512" i="2" s="1"/>
  <c r="K513" i="2"/>
  <c r="L513" i="2" s="1"/>
  <c r="K515" i="2"/>
  <c r="L515" i="2" s="1"/>
  <c r="K516" i="2"/>
  <c r="L516" i="2" s="1"/>
  <c r="K517" i="2"/>
  <c r="L517" i="2" s="1"/>
  <c r="K518" i="2"/>
  <c r="L518" i="2" s="1"/>
  <c r="K520" i="2"/>
  <c r="L520" i="2" s="1"/>
  <c r="K521" i="2"/>
  <c r="L521" i="2" s="1"/>
  <c r="K522" i="2"/>
  <c r="L522" i="2" s="1"/>
  <c r="K523" i="2"/>
  <c r="L523" i="2" s="1"/>
  <c r="K501" i="2"/>
  <c r="L501" i="2" s="1"/>
  <c r="K500" i="2"/>
  <c r="L500" i="2" s="1"/>
  <c r="K443" i="2"/>
  <c r="L443" i="2" s="1"/>
  <c r="K444" i="2"/>
  <c r="L444" i="2" s="1"/>
  <c r="K445" i="2"/>
  <c r="L445" i="2" s="1"/>
  <c r="K446" i="2"/>
  <c r="L446" i="2" s="1"/>
  <c r="K447" i="2"/>
  <c r="L447" i="2" s="1"/>
  <c r="K448" i="2"/>
  <c r="L448" i="2" s="1"/>
  <c r="K449" i="2"/>
  <c r="L449" i="2" s="1"/>
  <c r="K450" i="2"/>
  <c r="L450" i="2" s="1"/>
  <c r="K451" i="2"/>
  <c r="L451" i="2" s="1"/>
  <c r="K452" i="2"/>
  <c r="L452" i="2" s="1"/>
  <c r="K453" i="2"/>
  <c r="L453" i="2" s="1"/>
  <c r="K454" i="2"/>
  <c r="L454" i="2" s="1"/>
  <c r="K455" i="2"/>
  <c r="L455" i="2" s="1"/>
  <c r="K456" i="2"/>
  <c r="L456" i="2" s="1"/>
  <c r="K457" i="2"/>
  <c r="L457" i="2" s="1"/>
  <c r="K458" i="2"/>
  <c r="L458" i="2" s="1"/>
  <c r="K459" i="2"/>
  <c r="L459" i="2" s="1"/>
  <c r="K460" i="2"/>
  <c r="L460" i="2" s="1"/>
  <c r="K461" i="2"/>
  <c r="L461" i="2" s="1"/>
  <c r="K462" i="2"/>
  <c r="L462" i="2" s="1"/>
  <c r="K463" i="2"/>
  <c r="L463" i="2" s="1"/>
  <c r="K464" i="2"/>
  <c r="L464" i="2" s="1"/>
  <c r="K465" i="2"/>
  <c r="L465" i="2" s="1"/>
  <c r="K466" i="2"/>
  <c r="L466" i="2" s="1"/>
  <c r="K469" i="2"/>
  <c r="L469" i="2" s="1"/>
  <c r="K470" i="2"/>
  <c r="L470" i="2" s="1"/>
  <c r="K442" i="2"/>
  <c r="L442" i="2" s="1"/>
  <c r="K434" i="2"/>
  <c r="K432" i="2"/>
  <c r="L432" i="2" s="1"/>
  <c r="K430" i="2"/>
  <c r="L430" i="2" s="1"/>
  <c r="K428" i="2"/>
  <c r="L428" i="2" s="1"/>
  <c r="K426" i="2"/>
  <c r="L426" i="2" s="1"/>
  <c r="K424" i="2"/>
  <c r="L424" i="2" s="1"/>
  <c r="K422" i="2"/>
  <c r="L422" i="2" s="1"/>
  <c r="K420" i="2"/>
  <c r="L420" i="2" s="1"/>
  <c r="K418" i="2"/>
  <c r="L418" i="2" s="1"/>
  <c r="K416" i="2"/>
  <c r="L416" i="2" s="1"/>
  <c r="K414" i="2"/>
  <c r="L414" i="2" s="1"/>
  <c r="K412" i="2"/>
  <c r="L412" i="2" s="1"/>
  <c r="K409" i="2"/>
  <c r="L409" i="2" s="1"/>
  <c r="K407" i="2"/>
  <c r="L407" i="2" s="1"/>
  <c r="K405" i="2"/>
  <c r="L405" i="2" s="1"/>
  <c r="K403" i="2"/>
  <c r="L403" i="2" s="1"/>
  <c r="K400" i="2"/>
  <c r="L400" i="2" s="1"/>
  <c r="K398" i="2"/>
  <c r="L398" i="2" s="1"/>
  <c r="K396" i="2"/>
  <c r="L396" i="2" s="1"/>
  <c r="K394" i="2"/>
  <c r="L394" i="2" s="1"/>
  <c r="K392" i="2"/>
  <c r="L392" i="2" s="1"/>
  <c r="K390" i="2"/>
  <c r="L390" i="2" s="1"/>
  <c r="K388" i="2"/>
  <c r="L388" i="2" s="1"/>
  <c r="K386" i="2"/>
  <c r="L386" i="2" s="1"/>
  <c r="K384" i="2"/>
  <c r="L384" i="2" s="1"/>
  <c r="K379" i="2"/>
  <c r="L379" i="2" s="1"/>
  <c r="K380" i="2"/>
  <c r="L380" i="2" s="1"/>
  <c r="K381" i="2"/>
  <c r="L381" i="2" s="1"/>
  <c r="K382" i="2"/>
  <c r="L382" i="2" s="1"/>
  <c r="K378" i="2"/>
  <c r="L378" i="2" s="1"/>
  <c r="K376" i="2"/>
  <c r="L376" i="2" s="1"/>
  <c r="K374" i="2"/>
  <c r="L374" i="2" s="1"/>
  <c r="K372" i="2"/>
  <c r="L372" i="2" s="1"/>
  <c r="K370" i="2"/>
  <c r="L370" i="2" s="1"/>
  <c r="K368" i="2"/>
  <c r="L368" i="2" s="1"/>
  <c r="K366" i="2"/>
  <c r="L366" i="2" s="1"/>
  <c r="K364" i="2"/>
  <c r="L364" i="2" s="1"/>
  <c r="K362" i="2"/>
  <c r="L362" i="2" s="1"/>
  <c r="K360" i="2"/>
  <c r="L360" i="2" s="1"/>
  <c r="K358" i="2"/>
  <c r="L358" i="2" s="1"/>
  <c r="K201" i="2"/>
  <c r="L201" i="2" s="1"/>
  <c r="K203" i="2"/>
  <c r="L203" i="2" s="1"/>
  <c r="K205" i="2"/>
  <c r="L205" i="2" s="1"/>
  <c r="K207" i="2"/>
  <c r="L207" i="2" s="1"/>
  <c r="K209" i="2"/>
  <c r="L209" i="2" s="1"/>
  <c r="K211" i="2"/>
  <c r="L211" i="2" s="1"/>
  <c r="K213" i="2"/>
  <c r="L213" i="2" s="1"/>
  <c r="K216" i="2"/>
  <c r="L216" i="2" s="1"/>
  <c r="K218" i="2"/>
  <c r="L218" i="2" s="1"/>
  <c r="K221" i="2"/>
  <c r="L221" i="2" s="1"/>
  <c r="K223" i="2"/>
  <c r="L223" i="2" s="1"/>
  <c r="K225" i="2"/>
  <c r="L225" i="2" s="1"/>
  <c r="K227" i="2"/>
  <c r="L227" i="2" s="1"/>
  <c r="K229" i="2"/>
  <c r="L229" i="2" s="1"/>
  <c r="K231" i="2"/>
  <c r="L231" i="2" s="1"/>
  <c r="K233" i="2"/>
  <c r="L233" i="2" s="1"/>
  <c r="K235" i="2"/>
  <c r="L235" i="2" s="1"/>
  <c r="K237" i="2"/>
  <c r="L237" i="2" s="1"/>
  <c r="K239" i="2"/>
  <c r="L239" i="2" s="1"/>
  <c r="K241" i="2"/>
  <c r="L241" i="2" s="1"/>
  <c r="K244" i="2"/>
  <c r="L244" i="2" s="1"/>
  <c r="K246" i="2"/>
  <c r="L246" i="2" s="1"/>
  <c r="K248" i="2"/>
  <c r="L248" i="2" s="1"/>
  <c r="K250" i="2"/>
  <c r="L250" i="2" s="1"/>
  <c r="K252" i="2"/>
  <c r="L252" i="2" s="1"/>
  <c r="K254" i="2"/>
  <c r="L254" i="2" s="1"/>
  <c r="K256" i="2"/>
  <c r="L256" i="2" s="1"/>
  <c r="K258" i="2"/>
  <c r="L258" i="2" s="1"/>
  <c r="K260" i="2"/>
  <c r="L260" i="2" s="1"/>
  <c r="K262" i="2"/>
  <c r="L262" i="2" s="1"/>
  <c r="K264" i="2"/>
  <c r="L264" i="2" s="1"/>
  <c r="K267" i="2"/>
  <c r="L267" i="2" s="1"/>
  <c r="K270" i="2"/>
  <c r="L270" i="2" s="1"/>
  <c r="K272" i="2"/>
  <c r="L272" i="2" s="1"/>
  <c r="K275" i="2"/>
  <c r="L275" i="2" s="1"/>
  <c r="K276" i="2"/>
  <c r="L276" i="2" s="1"/>
  <c r="K278" i="2"/>
  <c r="L278" i="2" s="1"/>
  <c r="K280" i="2"/>
  <c r="L280" i="2" s="1"/>
  <c r="K282" i="2"/>
  <c r="L282" i="2" s="1"/>
  <c r="K284" i="2"/>
  <c r="L284" i="2" s="1"/>
  <c r="K286" i="2"/>
  <c r="L286" i="2" s="1"/>
  <c r="K288" i="2"/>
  <c r="L288" i="2" s="1"/>
  <c r="K290" i="2"/>
  <c r="L290" i="2" s="1"/>
  <c r="K294" i="2"/>
  <c r="L294" i="2" s="1"/>
  <c r="K296" i="2"/>
  <c r="L296" i="2" s="1"/>
  <c r="K300" i="2"/>
  <c r="L300" i="2" s="1"/>
  <c r="K302" i="2"/>
  <c r="L302" i="2" s="1"/>
  <c r="K303" i="2"/>
  <c r="L303" i="2" s="1"/>
  <c r="K305" i="2"/>
  <c r="L305" i="2" s="1"/>
  <c r="K306" i="2"/>
  <c r="L306" i="2" s="1"/>
  <c r="K307" i="2"/>
  <c r="L307" i="2" s="1"/>
  <c r="K308" i="2"/>
  <c r="L308" i="2" s="1"/>
  <c r="K310" i="2"/>
  <c r="L310" i="2" s="1"/>
  <c r="K311" i="2"/>
  <c r="L311" i="2" s="1"/>
  <c r="K312" i="2"/>
  <c r="L312" i="2" s="1"/>
  <c r="K313" i="2"/>
  <c r="L313" i="2" s="1"/>
  <c r="K314" i="2"/>
  <c r="L314" i="2" s="1"/>
  <c r="K316" i="2"/>
  <c r="L316" i="2" s="1"/>
  <c r="K318" i="2"/>
  <c r="L318" i="2" s="1"/>
  <c r="K320" i="2"/>
  <c r="L320" i="2" s="1"/>
  <c r="K322" i="2"/>
  <c r="L322" i="2" s="1"/>
  <c r="K324" i="2"/>
  <c r="L324" i="2" s="1"/>
  <c r="K325" i="2"/>
  <c r="L325" i="2" s="1"/>
  <c r="K326" i="2"/>
  <c r="L326" i="2" s="1"/>
  <c r="K329" i="2"/>
  <c r="L329" i="2" s="1"/>
  <c r="K330" i="2"/>
  <c r="L330" i="2" s="1"/>
  <c r="K331" i="2"/>
  <c r="L331" i="2" s="1"/>
  <c r="K332" i="2"/>
  <c r="L332" i="2" s="1"/>
  <c r="K333" i="2"/>
  <c r="L333" i="2" s="1"/>
  <c r="K334" i="2"/>
  <c r="L334" i="2" s="1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198" i="2"/>
  <c r="L198" i="2" s="1"/>
  <c r="K194" i="2"/>
  <c r="L194" i="2" s="1"/>
  <c r="K192" i="2"/>
  <c r="L192" i="2" s="1"/>
  <c r="K189" i="2"/>
  <c r="L189" i="2" s="1"/>
  <c r="K186" i="2"/>
  <c r="L186" i="2" s="1"/>
  <c r="K185" i="2"/>
  <c r="L185" i="2" s="1"/>
  <c r="K184" i="2"/>
  <c r="L184" i="2" s="1"/>
  <c r="K182" i="2"/>
  <c r="L182" i="2" s="1"/>
  <c r="K181" i="2"/>
  <c r="L181" i="2" s="1"/>
  <c r="K180" i="2"/>
  <c r="L180" i="2" s="1"/>
  <c r="K179" i="2"/>
  <c r="L179" i="2" s="1"/>
  <c r="K178" i="2"/>
  <c r="L178" i="2" s="1"/>
  <c r="K176" i="2"/>
  <c r="L176" i="2" s="1"/>
  <c r="K174" i="2"/>
  <c r="L174" i="2" s="1"/>
  <c r="K173" i="2"/>
  <c r="L173" i="2" s="1"/>
  <c r="K171" i="2"/>
  <c r="L171" i="2" s="1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L169" i="2" s="1"/>
  <c r="K163" i="2"/>
  <c r="L163" i="2" s="1"/>
  <c r="K137" i="2"/>
  <c r="L137" i="2" s="1"/>
  <c r="K136" i="2"/>
  <c r="L136" i="2" s="1"/>
  <c r="K134" i="2"/>
  <c r="L134" i="2" s="1"/>
  <c r="K131" i="2"/>
  <c r="L131" i="2" s="1"/>
  <c r="K126" i="2"/>
  <c r="L126" i="2" s="1"/>
  <c r="K127" i="2"/>
  <c r="L127" i="2" s="1"/>
  <c r="K128" i="2"/>
  <c r="L128" i="2" s="1"/>
  <c r="K125" i="2"/>
  <c r="L125" i="2" s="1"/>
  <c r="K122" i="2"/>
  <c r="L122" i="2" s="1"/>
  <c r="K113" i="2"/>
  <c r="L113" i="2" s="1"/>
  <c r="K114" i="2"/>
  <c r="L114" i="2" s="1"/>
  <c r="K112" i="2"/>
  <c r="L112" i="2" s="1"/>
  <c r="K109" i="2"/>
  <c r="L109" i="2" s="1"/>
  <c r="K106" i="2"/>
  <c r="L106" i="2" s="1"/>
  <c r="K103" i="2"/>
  <c r="L103" i="2" s="1"/>
  <c r="K97" i="2"/>
  <c r="L97" i="2" s="1"/>
  <c r="K98" i="2"/>
  <c r="L98" i="2" s="1"/>
  <c r="K99" i="2"/>
  <c r="L99" i="2" s="1"/>
  <c r="K96" i="2"/>
  <c r="L96" i="2" s="1"/>
  <c r="K95" i="2"/>
  <c r="L95" i="2" s="1"/>
  <c r="K94" i="2"/>
  <c r="L94" i="2" s="1"/>
  <c r="K92" i="2"/>
  <c r="L92" i="2" s="1"/>
  <c r="K91" i="2"/>
  <c r="L91" i="2" s="1"/>
  <c r="K90" i="2"/>
  <c r="L90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2" i="2"/>
  <c r="L82" i="2" s="1"/>
  <c r="K70" i="2"/>
  <c r="L70" i="2" s="1"/>
  <c r="K69" i="2"/>
  <c r="L69" i="2" s="1"/>
  <c r="K68" i="2"/>
  <c r="L68" i="2" s="1"/>
  <c r="K65" i="2"/>
  <c r="L65" i="2" s="1"/>
  <c r="K63" i="2"/>
  <c r="L63" i="2" s="1"/>
  <c r="K60" i="2"/>
  <c r="L60" i="2" s="1"/>
  <c r="K56" i="2"/>
  <c r="L56" i="2" s="1"/>
  <c r="K32" i="2"/>
  <c r="L32" i="2" s="1"/>
  <c r="I668" i="51" s="1"/>
  <c r="K33" i="2"/>
  <c r="L33" i="2" s="1"/>
  <c r="I669" i="51" s="1"/>
  <c r="K35" i="2"/>
  <c r="L35" i="2" s="1"/>
  <c r="I671" i="51" s="1"/>
  <c r="K37" i="2"/>
  <c r="L37" i="2" s="1"/>
  <c r="I673" i="51" s="1"/>
  <c r="K38" i="2"/>
  <c r="L38" i="2" s="1"/>
  <c r="I674" i="51" s="1"/>
  <c r="K40" i="2"/>
  <c r="L40" i="2" s="1"/>
  <c r="I676" i="51" s="1"/>
  <c r="K41" i="2"/>
  <c r="L41" i="2" s="1"/>
  <c r="K45" i="2"/>
  <c r="L45" i="2" s="1"/>
  <c r="K46" i="2"/>
  <c r="L46" i="2" s="1"/>
  <c r="K47" i="2"/>
  <c r="L47" i="2" s="1"/>
  <c r="K48" i="2"/>
  <c r="L48" i="2" s="1"/>
  <c r="K50" i="2"/>
  <c r="L50" i="2" s="1"/>
  <c r="K52" i="2"/>
  <c r="L52" i="2" s="1"/>
  <c r="K30" i="2"/>
  <c r="L30" i="2" s="1"/>
  <c r="I666" i="51" s="1"/>
  <c r="H60" i="2"/>
  <c r="I60" i="2" s="1"/>
  <c r="H63" i="2"/>
  <c r="I63" i="2" s="1"/>
  <c r="H65" i="2"/>
  <c r="I65" i="2" s="1"/>
  <c r="H68" i="2"/>
  <c r="I68" i="2" s="1"/>
  <c r="H69" i="2"/>
  <c r="I69" i="2" s="1"/>
  <c r="H70" i="2"/>
  <c r="I70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90" i="2"/>
  <c r="I90" i="2" s="1"/>
  <c r="H91" i="2"/>
  <c r="I91" i="2" s="1"/>
  <c r="H92" i="2"/>
  <c r="I92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3" i="2"/>
  <c r="I103" i="2" s="1"/>
  <c r="H106" i="2"/>
  <c r="I106" i="2" s="1"/>
  <c r="H109" i="2"/>
  <c r="I109" i="2" s="1"/>
  <c r="H112" i="2"/>
  <c r="I112" i="2" s="1"/>
  <c r="H113" i="2"/>
  <c r="I113" i="2" s="1"/>
  <c r="H114" i="2"/>
  <c r="I114" i="2" s="1"/>
  <c r="M114" i="2" s="1"/>
  <c r="H122" i="2"/>
  <c r="I122" i="2" s="1"/>
  <c r="H125" i="2"/>
  <c r="I125" i="2" s="1"/>
  <c r="H126" i="2"/>
  <c r="I126" i="2" s="1"/>
  <c r="H127" i="2"/>
  <c r="I127" i="2" s="1"/>
  <c r="H128" i="2"/>
  <c r="I128" i="2" s="1"/>
  <c r="H131" i="2"/>
  <c r="I131" i="2" s="1"/>
  <c r="H134" i="2"/>
  <c r="I134" i="2" s="1"/>
  <c r="H136" i="2"/>
  <c r="I136" i="2" s="1"/>
  <c r="H137" i="2"/>
  <c r="I137" i="2" s="1"/>
  <c r="H163" i="2"/>
  <c r="I163" i="2" s="1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I169" i="2" s="1"/>
  <c r="H171" i="2"/>
  <c r="I171" i="2" s="1"/>
  <c r="H173" i="2"/>
  <c r="I173" i="2" s="1"/>
  <c r="H174" i="2"/>
  <c r="I174" i="2" s="1"/>
  <c r="H176" i="2"/>
  <c r="I176" i="2" s="1"/>
  <c r="H178" i="2"/>
  <c r="I178" i="2" s="1"/>
  <c r="H179" i="2"/>
  <c r="I179" i="2" s="1"/>
  <c r="H180" i="2"/>
  <c r="I180" i="2" s="1"/>
  <c r="H181" i="2"/>
  <c r="I181" i="2" s="1"/>
  <c r="H182" i="2"/>
  <c r="I182" i="2" s="1"/>
  <c r="H184" i="2"/>
  <c r="I184" i="2" s="1"/>
  <c r="H185" i="2"/>
  <c r="I185" i="2" s="1"/>
  <c r="H186" i="2"/>
  <c r="I186" i="2" s="1"/>
  <c r="H189" i="2"/>
  <c r="I189" i="2" s="1"/>
  <c r="H192" i="2"/>
  <c r="I192" i="2" s="1"/>
  <c r="H194" i="2"/>
  <c r="I194" i="2" s="1"/>
  <c r="H198" i="2"/>
  <c r="I198" i="2" s="1"/>
  <c r="H201" i="2"/>
  <c r="I201" i="2" s="1"/>
  <c r="H203" i="2"/>
  <c r="I203" i="2" s="1"/>
  <c r="H205" i="2"/>
  <c r="I205" i="2" s="1"/>
  <c r="H207" i="2"/>
  <c r="I207" i="2" s="1"/>
  <c r="H209" i="2"/>
  <c r="I209" i="2" s="1"/>
  <c r="H211" i="2"/>
  <c r="I211" i="2" s="1"/>
  <c r="H213" i="2"/>
  <c r="I213" i="2" s="1"/>
  <c r="H216" i="2"/>
  <c r="I216" i="2" s="1"/>
  <c r="H218" i="2"/>
  <c r="I218" i="2" s="1"/>
  <c r="H221" i="2"/>
  <c r="I221" i="2" s="1"/>
  <c r="H223" i="2"/>
  <c r="I223" i="2" s="1"/>
  <c r="H225" i="2"/>
  <c r="I225" i="2" s="1"/>
  <c r="H227" i="2"/>
  <c r="I227" i="2" s="1"/>
  <c r="H229" i="2"/>
  <c r="I229" i="2" s="1"/>
  <c r="H231" i="2"/>
  <c r="I231" i="2" s="1"/>
  <c r="H233" i="2"/>
  <c r="I233" i="2" s="1"/>
  <c r="H235" i="2"/>
  <c r="I235" i="2" s="1"/>
  <c r="H237" i="2"/>
  <c r="I237" i="2" s="1"/>
  <c r="H239" i="2"/>
  <c r="I239" i="2" s="1"/>
  <c r="H241" i="2"/>
  <c r="I241" i="2" s="1"/>
  <c r="H244" i="2"/>
  <c r="I244" i="2" s="1"/>
  <c r="H246" i="2"/>
  <c r="I246" i="2" s="1"/>
  <c r="H248" i="2"/>
  <c r="I248" i="2" s="1"/>
  <c r="H250" i="2"/>
  <c r="I250" i="2" s="1"/>
  <c r="H252" i="2"/>
  <c r="I252" i="2" s="1"/>
  <c r="H254" i="2"/>
  <c r="I254" i="2" s="1"/>
  <c r="H256" i="2"/>
  <c r="I256" i="2" s="1"/>
  <c r="H258" i="2"/>
  <c r="I258" i="2" s="1"/>
  <c r="H260" i="2"/>
  <c r="I260" i="2" s="1"/>
  <c r="H262" i="2"/>
  <c r="I262" i="2" s="1"/>
  <c r="H264" i="2"/>
  <c r="I264" i="2" s="1"/>
  <c r="H267" i="2"/>
  <c r="I267" i="2" s="1"/>
  <c r="H270" i="2"/>
  <c r="I270" i="2" s="1"/>
  <c r="H272" i="2"/>
  <c r="I272" i="2" s="1"/>
  <c r="H275" i="2"/>
  <c r="I275" i="2" s="1"/>
  <c r="H276" i="2"/>
  <c r="I276" i="2" s="1"/>
  <c r="H278" i="2"/>
  <c r="I278" i="2" s="1"/>
  <c r="H280" i="2"/>
  <c r="I280" i="2" s="1"/>
  <c r="H282" i="2"/>
  <c r="I282" i="2" s="1"/>
  <c r="H284" i="2"/>
  <c r="I284" i="2" s="1"/>
  <c r="H286" i="2"/>
  <c r="I286" i="2" s="1"/>
  <c r="H288" i="2"/>
  <c r="I288" i="2" s="1"/>
  <c r="H290" i="2"/>
  <c r="I290" i="2" s="1"/>
  <c r="H294" i="2"/>
  <c r="I294" i="2" s="1"/>
  <c r="H296" i="2"/>
  <c r="I296" i="2" s="1"/>
  <c r="H300" i="2"/>
  <c r="I300" i="2" s="1"/>
  <c r="H302" i="2"/>
  <c r="I302" i="2" s="1"/>
  <c r="H303" i="2"/>
  <c r="I303" i="2" s="1"/>
  <c r="H305" i="2"/>
  <c r="I305" i="2" s="1"/>
  <c r="H306" i="2"/>
  <c r="I306" i="2" s="1"/>
  <c r="H307" i="2"/>
  <c r="I307" i="2" s="1"/>
  <c r="H308" i="2"/>
  <c r="I308" i="2" s="1"/>
  <c r="H310" i="2"/>
  <c r="I310" i="2" s="1"/>
  <c r="H311" i="2"/>
  <c r="I311" i="2" s="1"/>
  <c r="H312" i="2"/>
  <c r="I312" i="2" s="1"/>
  <c r="H313" i="2"/>
  <c r="I313" i="2" s="1"/>
  <c r="H314" i="2"/>
  <c r="I314" i="2" s="1"/>
  <c r="H316" i="2"/>
  <c r="I316" i="2" s="1"/>
  <c r="H318" i="2"/>
  <c r="I318" i="2" s="1"/>
  <c r="H320" i="2"/>
  <c r="I320" i="2" s="1"/>
  <c r="H322" i="2"/>
  <c r="I322" i="2" s="1"/>
  <c r="H324" i="2"/>
  <c r="I324" i="2" s="1"/>
  <c r="H325" i="2"/>
  <c r="I325" i="2" s="1"/>
  <c r="H326" i="2"/>
  <c r="I326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I334" i="2" s="1"/>
  <c r="H335" i="2"/>
  <c r="I335" i="2" s="1"/>
  <c r="H336" i="2"/>
  <c r="I336" i="2" s="1"/>
  <c r="H337" i="2"/>
  <c r="I337" i="2" s="1"/>
  <c r="H338" i="2"/>
  <c r="I338" i="2" s="1"/>
  <c r="H339" i="2"/>
  <c r="I339" i="2" s="1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I346" i="2" s="1"/>
  <c r="H347" i="2"/>
  <c r="I347" i="2" s="1"/>
  <c r="H348" i="2"/>
  <c r="I348" i="2" s="1"/>
  <c r="H349" i="2"/>
  <c r="I349" i="2" s="1"/>
  <c r="H358" i="2"/>
  <c r="I358" i="2" s="1"/>
  <c r="H360" i="2"/>
  <c r="I360" i="2" s="1"/>
  <c r="H362" i="2"/>
  <c r="I362" i="2" s="1"/>
  <c r="H364" i="2"/>
  <c r="I364" i="2" s="1"/>
  <c r="H366" i="2"/>
  <c r="I366" i="2" s="1"/>
  <c r="H370" i="2"/>
  <c r="I370" i="2" s="1"/>
  <c r="H372" i="2"/>
  <c r="I372" i="2" s="1"/>
  <c r="H374" i="2"/>
  <c r="I374" i="2" s="1"/>
  <c r="H376" i="2"/>
  <c r="I376" i="2" s="1"/>
  <c r="H378" i="2"/>
  <c r="I378" i="2" s="1"/>
  <c r="H379" i="2"/>
  <c r="I379" i="2" s="1"/>
  <c r="H380" i="2"/>
  <c r="I380" i="2" s="1"/>
  <c r="H381" i="2"/>
  <c r="I381" i="2" s="1"/>
  <c r="H382" i="2"/>
  <c r="I382" i="2" s="1"/>
  <c r="H384" i="2"/>
  <c r="I384" i="2" s="1"/>
  <c r="H386" i="2"/>
  <c r="I386" i="2" s="1"/>
  <c r="H388" i="2"/>
  <c r="I388" i="2" s="1"/>
  <c r="H390" i="2"/>
  <c r="I390" i="2" s="1"/>
  <c r="H392" i="2"/>
  <c r="I392" i="2" s="1"/>
  <c r="H394" i="2"/>
  <c r="I394" i="2" s="1"/>
  <c r="H396" i="2"/>
  <c r="I396" i="2" s="1"/>
  <c r="H398" i="2"/>
  <c r="I398" i="2" s="1"/>
  <c r="H400" i="2"/>
  <c r="I400" i="2" s="1"/>
  <c r="H403" i="2"/>
  <c r="I403" i="2" s="1"/>
  <c r="H405" i="2"/>
  <c r="I405" i="2" s="1"/>
  <c r="H407" i="2"/>
  <c r="I407" i="2" s="1"/>
  <c r="H409" i="2"/>
  <c r="I409" i="2" s="1"/>
  <c r="H412" i="2"/>
  <c r="I412" i="2" s="1"/>
  <c r="H414" i="2"/>
  <c r="I414" i="2" s="1"/>
  <c r="H416" i="2"/>
  <c r="I416" i="2" s="1"/>
  <c r="H418" i="2"/>
  <c r="I418" i="2" s="1"/>
  <c r="H420" i="2"/>
  <c r="I420" i="2" s="1"/>
  <c r="H422" i="2"/>
  <c r="I422" i="2" s="1"/>
  <c r="H426" i="2"/>
  <c r="I426" i="2" s="1"/>
  <c r="H428" i="2"/>
  <c r="I428" i="2" s="1"/>
  <c r="H430" i="2"/>
  <c r="I430" i="2" s="1"/>
  <c r="H432" i="2"/>
  <c r="I432" i="2" s="1"/>
  <c r="H434" i="2"/>
  <c r="I434" i="2" s="1"/>
  <c r="H435" i="2"/>
  <c r="I435" i="2" s="1"/>
  <c r="H436" i="2"/>
  <c r="I436" i="2" s="1"/>
  <c r="H442" i="2"/>
  <c r="I442" i="2" s="1"/>
  <c r="H443" i="2"/>
  <c r="I443" i="2" s="1"/>
  <c r="H444" i="2"/>
  <c r="I444" i="2" s="1"/>
  <c r="H445" i="2"/>
  <c r="I445" i="2" s="1"/>
  <c r="H446" i="2"/>
  <c r="I446" i="2" s="1"/>
  <c r="H447" i="2"/>
  <c r="I447" i="2" s="1"/>
  <c r="H448" i="2"/>
  <c r="I448" i="2" s="1"/>
  <c r="H449" i="2"/>
  <c r="I449" i="2" s="1"/>
  <c r="H450" i="2"/>
  <c r="I450" i="2" s="1"/>
  <c r="H451" i="2"/>
  <c r="I451" i="2" s="1"/>
  <c r="H452" i="2"/>
  <c r="I452" i="2" s="1"/>
  <c r="H453" i="2"/>
  <c r="I453" i="2" s="1"/>
  <c r="H454" i="2"/>
  <c r="I454" i="2" s="1"/>
  <c r="H455" i="2"/>
  <c r="I455" i="2" s="1"/>
  <c r="H456" i="2"/>
  <c r="I456" i="2" s="1"/>
  <c r="H457" i="2"/>
  <c r="I457" i="2" s="1"/>
  <c r="H458" i="2"/>
  <c r="I458" i="2" s="1"/>
  <c r="H459" i="2"/>
  <c r="I459" i="2" s="1"/>
  <c r="H460" i="2"/>
  <c r="I460" i="2" s="1"/>
  <c r="H461" i="2"/>
  <c r="I461" i="2" s="1"/>
  <c r="H462" i="2"/>
  <c r="I462" i="2" s="1"/>
  <c r="H463" i="2"/>
  <c r="I463" i="2" s="1"/>
  <c r="H464" i="2"/>
  <c r="I464" i="2" s="1"/>
  <c r="H465" i="2"/>
  <c r="I465" i="2" s="1"/>
  <c r="H466" i="2"/>
  <c r="I466" i="2" s="1"/>
  <c r="H469" i="2"/>
  <c r="I469" i="2" s="1"/>
  <c r="H470" i="2"/>
  <c r="I470" i="2" s="1"/>
  <c r="H471" i="2"/>
  <c r="I471" i="2" s="1"/>
  <c r="H500" i="2"/>
  <c r="I500" i="2" s="1"/>
  <c r="H501" i="2"/>
  <c r="I501" i="2" s="1"/>
  <c r="H502" i="2"/>
  <c r="I502" i="2" s="1"/>
  <c r="H503" i="2"/>
  <c r="I503" i="2" s="1"/>
  <c r="H505" i="2"/>
  <c r="I505" i="2" s="1"/>
  <c r="H506" i="2"/>
  <c r="I506" i="2" s="1"/>
  <c r="H507" i="2"/>
  <c r="I507" i="2" s="1"/>
  <c r="H508" i="2"/>
  <c r="I508" i="2" s="1"/>
  <c r="H510" i="2"/>
  <c r="I510" i="2" s="1"/>
  <c r="H511" i="2"/>
  <c r="I511" i="2" s="1"/>
  <c r="H512" i="2"/>
  <c r="I512" i="2" s="1"/>
  <c r="H513" i="2"/>
  <c r="I513" i="2" s="1"/>
  <c r="H515" i="2"/>
  <c r="I515" i="2" s="1"/>
  <c r="H516" i="2"/>
  <c r="I516" i="2" s="1"/>
  <c r="H517" i="2"/>
  <c r="I517" i="2" s="1"/>
  <c r="H518" i="2"/>
  <c r="I518" i="2" s="1"/>
  <c r="H520" i="2"/>
  <c r="I520" i="2" s="1"/>
  <c r="H521" i="2"/>
  <c r="I521" i="2" s="1"/>
  <c r="H522" i="2"/>
  <c r="I522" i="2" s="1"/>
  <c r="H523" i="2"/>
  <c r="I523" i="2" s="1"/>
  <c r="H529" i="2"/>
  <c r="I529" i="2" s="1"/>
  <c r="H530" i="2"/>
  <c r="I530" i="2" s="1"/>
  <c r="H532" i="2"/>
  <c r="I532" i="2" s="1"/>
  <c r="H533" i="2"/>
  <c r="I533" i="2" s="1"/>
  <c r="H534" i="2"/>
  <c r="I534" i="2" s="1"/>
  <c r="H536" i="2"/>
  <c r="I536" i="2" s="1"/>
  <c r="H537" i="2"/>
  <c r="I537" i="2" s="1"/>
  <c r="H540" i="2"/>
  <c r="I540" i="2" s="1"/>
  <c r="H542" i="2"/>
  <c r="I542" i="2" s="1"/>
  <c r="H544" i="2"/>
  <c r="I544" i="2" s="1"/>
  <c r="H545" i="2"/>
  <c r="I545" i="2" s="1"/>
  <c r="H546" i="2"/>
  <c r="I546" i="2" s="1"/>
  <c r="H547" i="2"/>
  <c r="I547" i="2" s="1"/>
  <c r="H556" i="2"/>
  <c r="I556" i="2" s="1"/>
  <c r="H557" i="2"/>
  <c r="I557" i="2" s="1"/>
  <c r="H559" i="2"/>
  <c r="I559" i="2" s="1"/>
  <c r="H560" i="2"/>
  <c r="I560" i="2" s="1"/>
  <c r="H561" i="2"/>
  <c r="I561" i="2" s="1"/>
  <c r="H562" i="2"/>
  <c r="I562" i="2" s="1"/>
  <c r="H568" i="2"/>
  <c r="I568" i="2" s="1"/>
  <c r="H575" i="2"/>
  <c r="I575" i="2" s="1"/>
  <c r="H576" i="2"/>
  <c r="I576" i="2" s="1"/>
  <c r="H577" i="2"/>
  <c r="I577" i="2" s="1"/>
  <c r="H578" i="2"/>
  <c r="I578" i="2" s="1"/>
  <c r="H585" i="2"/>
  <c r="I585" i="2" s="1"/>
  <c r="H586" i="2"/>
  <c r="I586" i="2" s="1"/>
  <c r="H587" i="2"/>
  <c r="I587" i="2" s="1"/>
  <c r="H589" i="2"/>
  <c r="I589" i="2" s="1"/>
  <c r="H590" i="2"/>
  <c r="I590" i="2" s="1"/>
  <c r="H591" i="2"/>
  <c r="I591" i="2" s="1"/>
  <c r="H593" i="2"/>
  <c r="I593" i="2" s="1"/>
  <c r="H594" i="2"/>
  <c r="I594" i="2" s="1"/>
  <c r="H595" i="2"/>
  <c r="I595" i="2" s="1"/>
  <c r="H597" i="2"/>
  <c r="I597" i="2" s="1"/>
  <c r="H598" i="2"/>
  <c r="I598" i="2" s="1"/>
  <c r="H599" i="2"/>
  <c r="I599" i="2" s="1"/>
  <c r="H601" i="2"/>
  <c r="I601" i="2" s="1"/>
  <c r="H602" i="2"/>
  <c r="I602" i="2" s="1"/>
  <c r="H603" i="2"/>
  <c r="I603" i="2" s="1"/>
  <c r="H605" i="2"/>
  <c r="I605" i="2" s="1"/>
  <c r="H606" i="2"/>
  <c r="I606" i="2" s="1"/>
  <c r="H607" i="2"/>
  <c r="I607" i="2" s="1"/>
  <c r="H611" i="2"/>
  <c r="I611" i="2" s="1"/>
  <c r="H612" i="2"/>
  <c r="I612" i="2" s="1"/>
  <c r="H613" i="2"/>
  <c r="I613" i="2" s="1"/>
  <c r="H614" i="2"/>
  <c r="I614" i="2" s="1"/>
  <c r="H615" i="2"/>
  <c r="I615" i="2" s="1"/>
  <c r="H616" i="2"/>
  <c r="I616" i="2" s="1"/>
  <c r="H618" i="2"/>
  <c r="I618" i="2" s="1"/>
  <c r="H620" i="2"/>
  <c r="I620" i="2" s="1"/>
  <c r="H622" i="2"/>
  <c r="I622" i="2" s="1"/>
  <c r="H624" i="2"/>
  <c r="I624" i="2" s="1"/>
  <c r="H626" i="2"/>
  <c r="I626" i="2" s="1"/>
  <c r="H629" i="2"/>
  <c r="I629" i="2" s="1"/>
  <c r="H630" i="2"/>
  <c r="I630" i="2" s="1"/>
  <c r="H56" i="2"/>
  <c r="I56" i="2" s="1"/>
  <c r="H52" i="2"/>
  <c r="I52" i="2" s="1"/>
  <c r="H50" i="2"/>
  <c r="I50" i="2" s="1"/>
  <c r="H48" i="2"/>
  <c r="I48" i="2" s="1"/>
  <c r="H47" i="2"/>
  <c r="I47" i="2" s="1"/>
  <c r="H46" i="2"/>
  <c r="I46" i="2" s="1"/>
  <c r="H45" i="2"/>
  <c r="I45" i="2" s="1"/>
  <c r="H32" i="2"/>
  <c r="I32" i="2" s="1"/>
  <c r="H668" i="51" s="1"/>
  <c r="H33" i="2"/>
  <c r="I33" i="2" s="1"/>
  <c r="H669" i="51" s="1"/>
  <c r="H35" i="2"/>
  <c r="I35" i="2" s="1"/>
  <c r="H671" i="51" s="1"/>
  <c r="H37" i="2"/>
  <c r="I37" i="2" s="1"/>
  <c r="H673" i="51" s="1"/>
  <c r="H38" i="2"/>
  <c r="I38" i="2" s="1"/>
  <c r="H674" i="51" s="1"/>
  <c r="H40" i="2"/>
  <c r="I40" i="2" s="1"/>
  <c r="H676" i="51" s="1"/>
  <c r="H41" i="2"/>
  <c r="I41" i="2" s="1"/>
  <c r="H30" i="2"/>
  <c r="I30" i="2" s="1"/>
  <c r="H666" i="51" s="1"/>
  <c r="O12" i="2"/>
  <c r="O13" i="2" s="1"/>
  <c r="P13" i="2"/>
  <c r="Q34" i="4" l="1"/>
  <c r="O35" i="4"/>
  <c r="O15" i="37"/>
  <c r="Q27" i="48"/>
  <c r="O28" i="48"/>
  <c r="O24" i="9"/>
  <c r="O18" i="45"/>
  <c r="P77" i="4"/>
  <c r="M534" i="2"/>
  <c r="M683" i="29"/>
  <c r="M670" i="29"/>
  <c r="M665" i="29"/>
  <c r="M650" i="29"/>
  <c r="M641" i="29"/>
  <c r="M627" i="29"/>
  <c r="M619" i="29"/>
  <c r="M602" i="29"/>
  <c r="M596" i="29"/>
  <c r="M595" i="29"/>
  <c r="M592" i="29"/>
  <c r="M591" i="29"/>
  <c r="M531" i="29"/>
  <c r="M528" i="29"/>
  <c r="M517" i="29"/>
  <c r="M504" i="29"/>
  <c r="M500" i="29"/>
  <c r="M465" i="29"/>
  <c r="M441" i="29"/>
  <c r="M420" i="29"/>
  <c r="M416" i="29"/>
  <c r="M396" i="29"/>
  <c r="M389" i="29"/>
  <c r="M385" i="29"/>
  <c r="M381" i="29"/>
  <c r="M313" i="29"/>
  <c r="M269" i="29"/>
  <c r="M265" i="29"/>
  <c r="M254" i="29"/>
  <c r="M241" i="29"/>
  <c r="M221" i="29"/>
  <c r="M215" i="29"/>
  <c r="M208" i="29"/>
  <c r="M199" i="29"/>
  <c r="M195" i="29"/>
  <c r="M179" i="29"/>
  <c r="M175" i="29"/>
  <c r="M147" i="29"/>
  <c r="M139" i="29"/>
  <c r="M131" i="29"/>
  <c r="M127" i="29"/>
  <c r="M121" i="29"/>
  <c r="M117" i="29"/>
  <c r="M109" i="29"/>
  <c r="M105" i="29"/>
  <c r="M101" i="29"/>
  <c r="M91" i="29"/>
  <c r="M87" i="29"/>
  <c r="M83" i="29"/>
  <c r="M79" i="29"/>
  <c r="M71" i="29"/>
  <c r="M56" i="29"/>
  <c r="M44" i="29"/>
  <c r="R41" i="29"/>
  <c r="M305" i="29" l="1"/>
  <c r="M328" i="29"/>
  <c r="M332" i="29"/>
  <c r="M204" i="29"/>
  <c r="M212" i="29"/>
  <c r="M282" i="29"/>
  <c r="M663" i="29"/>
  <c r="M304" i="29"/>
  <c r="M331" i="29"/>
  <c r="M368" i="29"/>
  <c r="M372" i="29"/>
  <c r="M382" i="29"/>
  <c r="M386" i="29"/>
  <c r="M603" i="29"/>
  <c r="M430" i="29"/>
  <c r="M438" i="29"/>
  <c r="M452" i="29"/>
  <c r="M460" i="29"/>
  <c r="M479" i="29"/>
  <c r="M483" i="29"/>
  <c r="M491" i="29"/>
  <c r="M645" i="29"/>
  <c r="M653" i="29"/>
  <c r="M657" i="29"/>
  <c r="M662" i="29"/>
  <c r="M667" i="29"/>
  <c r="M675" i="29"/>
  <c r="M684" i="29"/>
  <c r="M128" i="29"/>
  <c r="M136" i="29"/>
  <c r="M164" i="29"/>
  <c r="M193" i="29"/>
  <c r="M201" i="29"/>
  <c r="M234" i="29"/>
  <c r="M238" i="29"/>
  <c r="M247" i="29"/>
  <c r="M251" i="29"/>
  <c r="M287" i="29"/>
  <c r="M291" i="29"/>
  <c r="M299" i="29"/>
  <c r="M315" i="29"/>
  <c r="M391" i="29"/>
  <c r="M398" i="29"/>
  <c r="M402" i="29"/>
  <c r="M406" i="29"/>
  <c r="M547" i="29"/>
  <c r="M556" i="29"/>
  <c r="M560" i="29"/>
  <c r="M564" i="29"/>
  <c r="M581" i="29"/>
  <c r="M609" i="29"/>
  <c r="M617" i="29"/>
  <c r="M526" i="29"/>
  <c r="M668" i="29"/>
  <c r="M257" i="29"/>
  <c r="M33" i="29"/>
  <c r="M30" i="29"/>
  <c r="M102" i="29"/>
  <c r="M170" i="29"/>
  <c r="M51" i="29"/>
  <c r="M55" i="29"/>
  <c r="M62" i="29"/>
  <c r="M95" i="29"/>
  <c r="M100" i="29"/>
  <c r="M104" i="29"/>
  <c r="M112" i="29"/>
  <c r="M116" i="29"/>
  <c r="M153" i="29"/>
  <c r="M186" i="29"/>
  <c r="M190" i="29"/>
  <c r="M194" i="29"/>
  <c r="M210" i="29"/>
  <c r="M214" i="29"/>
  <c r="M219" i="29"/>
  <c r="M231" i="29"/>
  <c r="M235" i="29"/>
  <c r="M239" i="29"/>
  <c r="M284" i="29"/>
  <c r="M288" i="29"/>
  <c r="M292" i="29"/>
  <c r="M296" i="29"/>
  <c r="M329" i="29"/>
  <c r="M333" i="29"/>
  <c r="M337" i="29"/>
  <c r="M343" i="29"/>
  <c r="M163" i="29"/>
  <c r="M36" i="29"/>
  <c r="M40" i="29"/>
  <c r="M66" i="29"/>
  <c r="M629" i="29"/>
  <c r="M652" i="29"/>
  <c r="M52" i="29"/>
  <c r="M209" i="29"/>
  <c r="M353" i="29"/>
  <c r="M82" i="29"/>
  <c r="M223" i="29"/>
  <c r="M593" i="29"/>
  <c r="M658" i="29"/>
  <c r="M661" i="29"/>
  <c r="M171" i="29"/>
  <c r="M188" i="29"/>
  <c r="M220" i="29"/>
  <c r="M520" i="29"/>
  <c r="M408" i="29"/>
  <c r="M31" i="29"/>
  <c r="M35" i="29"/>
  <c r="M58" i="29"/>
  <c r="M65" i="29"/>
  <c r="M73" i="29"/>
  <c r="M77" i="29"/>
  <c r="M432" i="29"/>
  <c r="M440" i="29"/>
  <c r="M450" i="29"/>
  <c r="M462" i="29"/>
  <c r="M470" i="29"/>
  <c r="M67" i="29"/>
  <c r="M129" i="29"/>
  <c r="M289" i="29"/>
  <c r="M351" i="29"/>
  <c r="M506" i="29"/>
  <c r="M529" i="29"/>
  <c r="M39" i="29"/>
  <c r="M46" i="29"/>
  <c r="M50" i="29"/>
  <c r="M68" i="29"/>
  <c r="M72" i="29"/>
  <c r="M84" i="29"/>
  <c r="M92" i="29"/>
  <c r="M142" i="29"/>
  <c r="M150" i="29"/>
  <c r="M154" i="29"/>
  <c r="M225" i="29"/>
  <c r="M294" i="29"/>
  <c r="M317" i="29"/>
  <c r="M326" i="29"/>
  <c r="M399" i="29"/>
  <c r="M403" i="29"/>
  <c r="M407" i="29"/>
  <c r="M431" i="29"/>
  <c r="M507" i="29"/>
  <c r="M540" i="29"/>
  <c r="M544" i="29"/>
  <c r="M548" i="29"/>
  <c r="M178" i="29"/>
  <c r="M262" i="29"/>
  <c r="M338" i="29"/>
  <c r="M371" i="29"/>
  <c r="M468" i="29"/>
  <c r="M471" i="29"/>
  <c r="M640" i="29"/>
  <c r="M360" i="29"/>
  <c r="M404" i="29"/>
  <c r="M453" i="29"/>
  <c r="M610" i="29"/>
  <c r="M621" i="29"/>
  <c r="M633" i="29"/>
  <c r="M168" i="29"/>
  <c r="M271" i="29"/>
  <c r="M551" i="29"/>
  <c r="M622" i="29"/>
  <c r="M176" i="29"/>
  <c r="M185" i="29"/>
  <c r="M189" i="29"/>
  <c r="M196" i="29"/>
  <c r="M200" i="29"/>
  <c r="M260" i="29"/>
  <c r="M264" i="29"/>
  <c r="M272" i="29"/>
  <c r="M277" i="29"/>
  <c r="M336" i="29"/>
  <c r="M346" i="29"/>
  <c r="M350" i="29"/>
  <c r="M361" i="29"/>
  <c r="M369" i="29"/>
  <c r="M415" i="29"/>
  <c r="M419" i="29"/>
  <c r="M433" i="29"/>
  <c r="M437" i="29"/>
  <c r="M454" i="29"/>
  <c r="M458" i="29"/>
  <c r="M473" i="29"/>
  <c r="M563" i="29"/>
  <c r="M567" i="29"/>
  <c r="M576" i="29"/>
  <c r="M584" i="29"/>
  <c r="M611" i="29"/>
  <c r="M615" i="29"/>
  <c r="M628" i="29"/>
  <c r="M634" i="29"/>
  <c r="M638" i="29"/>
  <c r="M533" i="2"/>
  <c r="M682" i="29"/>
  <c r="M57" i="29"/>
  <c r="M149" i="29"/>
  <c r="M320" i="29"/>
  <c r="M246" i="29"/>
  <c r="M423" i="29"/>
  <c r="M674" i="29"/>
  <c r="M124" i="29"/>
  <c r="M354" i="29"/>
  <c r="M378" i="29"/>
  <c r="M80" i="29"/>
  <c r="M143" i="29"/>
  <c r="M159" i="29"/>
  <c r="M169" i="29"/>
  <c r="M274" i="29"/>
  <c r="M311" i="29"/>
  <c r="M327" i="29"/>
  <c r="M334" i="29"/>
  <c r="M344" i="29"/>
  <c r="M348" i="29"/>
  <c r="M355" i="29"/>
  <c r="M362" i="29"/>
  <c r="M366" i="29"/>
  <c r="M373" i="29"/>
  <c r="M379" i="29"/>
  <c r="M390" i="29"/>
  <c r="M413" i="29"/>
  <c r="M421" i="29"/>
  <c r="M424" i="29"/>
  <c r="M435" i="29"/>
  <c r="M451" i="29"/>
  <c r="M459" i="29"/>
  <c r="M484" i="29"/>
  <c r="M487" i="29"/>
  <c r="M512" i="29"/>
  <c r="M518" i="29"/>
  <c r="M522" i="29"/>
  <c r="M545" i="29"/>
  <c r="M573" i="29"/>
  <c r="M585" i="29"/>
  <c r="M612" i="29"/>
  <c r="M616" i="29"/>
  <c r="M646" i="29"/>
  <c r="M122" i="29"/>
  <c r="M364" i="29"/>
  <c r="M614" i="29"/>
  <c r="M41" i="29"/>
  <c r="M48" i="29"/>
  <c r="M106" i="29"/>
  <c r="M110" i="29"/>
  <c r="M114" i="29"/>
  <c r="M133" i="29"/>
  <c r="M155" i="29"/>
  <c r="M160" i="29"/>
  <c r="M166" i="29"/>
  <c r="M217" i="29"/>
  <c r="M224" i="29"/>
  <c r="M236" i="29"/>
  <c r="M243" i="29"/>
  <c r="M256" i="29"/>
  <c r="M266" i="29"/>
  <c r="M270" i="29"/>
  <c r="M278" i="29"/>
  <c r="M300" i="29"/>
  <c r="M425" i="29"/>
  <c r="M463" i="29"/>
  <c r="M474" i="29"/>
  <c r="M481" i="29"/>
  <c r="M492" i="29"/>
  <c r="M509" i="29"/>
  <c r="M513" i="29"/>
  <c r="M532" i="29"/>
  <c r="M561" i="29"/>
  <c r="M574" i="29"/>
  <c r="M578" i="29"/>
  <c r="M589" i="29"/>
  <c r="M597" i="29"/>
  <c r="M620" i="29"/>
  <c r="M635" i="29"/>
  <c r="M639" i="29"/>
  <c r="M647" i="29"/>
  <c r="M651" i="29"/>
  <c r="M655" i="29"/>
  <c r="M672" i="29"/>
  <c r="M587" i="29"/>
  <c r="M43" i="29"/>
  <c r="M207" i="29"/>
  <c r="M34" i="29"/>
  <c r="M78" i="29"/>
  <c r="M85" i="29"/>
  <c r="M89" i="29"/>
  <c r="M94" i="29"/>
  <c r="M99" i="29"/>
  <c r="M126" i="29"/>
  <c r="M148" i="29"/>
  <c r="M174" i="29"/>
  <c r="M198" i="29"/>
  <c r="M205" i="29"/>
  <c r="M213" i="29"/>
  <c r="M240" i="29"/>
  <c r="M275" i="29"/>
  <c r="M293" i="29"/>
  <c r="M306" i="29"/>
  <c r="M312" i="29"/>
  <c r="M319" i="29"/>
  <c r="M339" i="29"/>
  <c r="M345" i="29"/>
  <c r="M349" i="29"/>
  <c r="M356" i="29"/>
  <c r="M363" i="29"/>
  <c r="M367" i="29"/>
  <c r="M374" i="29"/>
  <c r="M380" i="29"/>
  <c r="M387" i="29"/>
  <c r="M397" i="29"/>
  <c r="M401" i="29"/>
  <c r="M414" i="29"/>
  <c r="M418" i="29"/>
  <c r="M436" i="29"/>
  <c r="M443" i="29"/>
  <c r="M456" i="29"/>
  <c r="M467" i="29"/>
  <c r="M485" i="29"/>
  <c r="M502" i="29"/>
  <c r="M525" i="29"/>
  <c r="M542" i="29"/>
  <c r="M546" i="29"/>
  <c r="M550" i="29"/>
  <c r="M582" i="29"/>
  <c r="M644" i="29"/>
  <c r="M664" i="29"/>
  <c r="M681" i="29"/>
  <c r="M75" i="29"/>
  <c r="M86" i="29"/>
  <c r="M555" i="29"/>
  <c r="M392" i="29"/>
  <c r="M38" i="29"/>
  <c r="M45" i="29"/>
  <c r="M53" i="29"/>
  <c r="M63" i="29"/>
  <c r="M107" i="29"/>
  <c r="M111" i="29"/>
  <c r="M134" i="29"/>
  <c r="M138" i="29"/>
  <c r="M145" i="29"/>
  <c r="M152" i="29"/>
  <c r="M157" i="29"/>
  <c r="M191" i="29"/>
  <c r="M218" i="29"/>
  <c r="M229" i="29"/>
  <c r="M233" i="29"/>
  <c r="M244" i="29"/>
  <c r="M253" i="29"/>
  <c r="M267" i="29"/>
  <c r="M286" i="29"/>
  <c r="M297" i="29"/>
  <c r="M303" i="29"/>
  <c r="M384" i="29"/>
  <c r="M409" i="29"/>
  <c r="M426" i="29"/>
  <c r="M478" i="29"/>
  <c r="M489" i="29"/>
  <c r="M499" i="29"/>
  <c r="M510" i="29"/>
  <c r="M539" i="29"/>
  <c r="M558" i="29"/>
  <c r="M562" i="29"/>
  <c r="M566" i="29"/>
  <c r="M575" i="29"/>
  <c r="M579" i="29"/>
  <c r="M598" i="29"/>
  <c r="M626" i="29"/>
  <c r="M630" i="29"/>
  <c r="M636" i="29"/>
  <c r="M648" i="29"/>
  <c r="M656" i="29"/>
  <c r="M669" i="29"/>
  <c r="M673" i="29"/>
  <c r="M132" i="29"/>
  <c r="M70" i="29"/>
  <c r="M173" i="29"/>
  <c r="M442" i="29"/>
  <c r="M671" i="29"/>
  <c r="M427" i="29" l="1"/>
  <c r="M475" i="29"/>
  <c r="M8" i="29" s="1"/>
  <c r="M393" i="29"/>
  <c r="M534" i="29"/>
  <c r="M10" i="29" s="1"/>
  <c r="M659" i="29"/>
  <c r="M642" i="29"/>
  <c r="M686" i="29"/>
  <c r="M14" i="29" s="1"/>
  <c r="M444" i="29"/>
  <c r="M623" i="29"/>
  <c r="M605" i="29"/>
  <c r="M12" i="29" s="1"/>
  <c r="M308" i="29"/>
  <c r="M5" i="29" s="1"/>
  <c r="M357" i="29"/>
  <c r="M322" i="29"/>
  <c r="M6" i="29" s="1"/>
  <c r="M494" i="29"/>
  <c r="M9" i="29" s="1"/>
  <c r="M375" i="29"/>
  <c r="M410" i="29"/>
  <c r="M569" i="29"/>
  <c r="M11" i="29" s="1"/>
  <c r="M340" i="29"/>
  <c r="M676" i="29"/>
  <c r="M181" i="29"/>
  <c r="M4" i="29" s="1"/>
  <c r="M678" i="29" l="1"/>
  <c r="M13" i="29" s="1"/>
  <c r="M446" i="29"/>
  <c r="M7" i="29" s="1"/>
  <c r="L630" i="2"/>
  <c r="L626" i="2"/>
  <c r="M626" i="2"/>
  <c r="M624" i="2"/>
  <c r="M620" i="2"/>
  <c r="M615" i="2"/>
  <c r="M611" i="2"/>
  <c r="M593" i="2"/>
  <c r="M587" i="2"/>
  <c r="L575" i="2"/>
  <c r="M522" i="2"/>
  <c r="M520" i="2"/>
  <c r="M518" i="2"/>
  <c r="L471" i="2"/>
  <c r="L436" i="2"/>
  <c r="L435" i="2"/>
  <c r="L434" i="2"/>
  <c r="M434" i="2" s="1"/>
  <c r="M430" i="2"/>
  <c r="M422" i="2"/>
  <c r="M396" i="2"/>
  <c r="M388" i="2"/>
  <c r="M379" i="2"/>
  <c r="M368" i="2"/>
  <c r="M360" i="2"/>
  <c r="L349" i="2"/>
  <c r="L348" i="2"/>
  <c r="L347" i="2"/>
  <c r="M347" i="2"/>
  <c r="L346" i="2"/>
  <c r="L345" i="2"/>
  <c r="L344" i="2"/>
  <c r="L343" i="2"/>
  <c r="L342" i="2"/>
  <c r="L341" i="2"/>
  <c r="L340" i="2"/>
  <c r="L339" i="2"/>
  <c r="M339" i="2"/>
  <c r="L338" i="2"/>
  <c r="L337" i="2"/>
  <c r="L336" i="2"/>
  <c r="M336" i="2"/>
  <c r="L335" i="2"/>
  <c r="M332" i="2"/>
  <c r="M326" i="2"/>
  <c r="M320" i="2"/>
  <c r="M313" i="2"/>
  <c r="M308" i="2"/>
  <c r="M305" i="2"/>
  <c r="M303" i="2"/>
  <c r="M296" i="2"/>
  <c r="M294" i="2"/>
  <c r="M286" i="2"/>
  <c r="M284" i="2"/>
  <c r="M276" i="2"/>
  <c r="M267" i="2"/>
  <c r="M260" i="2"/>
  <c r="M252" i="2"/>
  <c r="M244" i="2"/>
  <c r="M227" i="2"/>
  <c r="M218" i="2"/>
  <c r="M209" i="2"/>
  <c r="M201" i="2"/>
  <c r="M185" i="2"/>
  <c r="M182" i="2"/>
  <c r="M171" i="2"/>
  <c r="M166" i="2"/>
  <c r="M164" i="2"/>
  <c r="M134" i="2"/>
  <c r="M96" i="2"/>
  <c r="M91" i="2"/>
  <c r="M90" i="2"/>
  <c r="M85" i="2"/>
  <c r="M82" i="2"/>
  <c r="M70" i="2"/>
  <c r="M63" i="2"/>
  <c r="M52" i="2"/>
  <c r="M46" i="2"/>
  <c r="M45" i="2"/>
  <c r="M38" i="2"/>
  <c r="J674" i="51" s="1"/>
  <c r="M37" i="2"/>
  <c r="J673" i="51" s="1"/>
  <c r="M32" i="2"/>
  <c r="J668" i="51" s="1"/>
  <c r="M30" i="2"/>
  <c r="J666" i="51" s="1"/>
  <c r="M270" i="2" l="1"/>
  <c r="M125" i="2"/>
  <c r="M131" i="2"/>
  <c r="M163" i="2"/>
  <c r="M112" i="2"/>
  <c r="M521" i="2"/>
  <c r="M35" i="2"/>
  <c r="J671" i="51" s="1"/>
  <c r="M41" i="2"/>
  <c r="M48" i="2"/>
  <c r="M60" i="2"/>
  <c r="M69" i="2"/>
  <c r="M84" i="2"/>
  <c r="M94" i="2"/>
  <c r="M98" i="2"/>
  <c r="M184" i="2"/>
  <c r="M192" i="2"/>
  <c r="M211" i="2"/>
  <c r="M221" i="2"/>
  <c r="M229" i="2"/>
  <c r="M262" i="2"/>
  <c r="M306" i="2"/>
  <c r="M311" i="2"/>
  <c r="M316" i="2"/>
  <c r="M334" i="2"/>
  <c r="M169" i="2"/>
  <c r="M106" i="2"/>
  <c r="M458" i="2"/>
  <c r="M462" i="2"/>
  <c r="M500" i="2"/>
  <c r="M618" i="2"/>
  <c r="M536" i="2"/>
  <c r="M455" i="2"/>
  <c r="M463" i="2"/>
  <c r="M469" i="2"/>
  <c r="M511" i="2"/>
  <c r="M516" i="2"/>
  <c r="M181" i="2"/>
  <c r="M95" i="2"/>
  <c r="M99" i="2"/>
  <c r="M407" i="2"/>
  <c r="M556" i="2"/>
  <c r="M127" i="2"/>
  <c r="M231" i="2"/>
  <c r="M248" i="2"/>
  <c r="M256" i="2"/>
  <c r="M435" i="2"/>
  <c r="M444" i="2"/>
  <c r="M448" i="2"/>
  <c r="M452" i="2"/>
  <c r="M456" i="2"/>
  <c r="M460" i="2"/>
  <c r="M464" i="2"/>
  <c r="M470" i="2"/>
  <c r="M507" i="2"/>
  <c r="M512" i="2"/>
  <c r="M530" i="2"/>
  <c r="M529" i="2"/>
  <c r="M557" i="2"/>
  <c r="M562" i="2"/>
  <c r="M173" i="2"/>
  <c r="M237" i="2"/>
  <c r="M254" i="2"/>
  <c r="M314" i="2"/>
  <c r="M370" i="2"/>
  <c r="M382" i="2"/>
  <c r="M540" i="2"/>
  <c r="M546" i="2"/>
  <c r="M568" i="2"/>
  <c r="M578" i="2"/>
  <c r="M629" i="2"/>
  <c r="M403" i="2"/>
  <c r="M205" i="2"/>
  <c r="M213" i="2"/>
  <c r="M330" i="2"/>
  <c r="M337" i="2"/>
  <c r="M345" i="2"/>
  <c r="M349" i="2"/>
  <c r="M364" i="2"/>
  <c r="M372" i="2"/>
  <c r="M390" i="2"/>
  <c r="M432" i="2"/>
  <c r="M461" i="2"/>
  <c r="M465" i="2"/>
  <c r="M471" i="2"/>
  <c r="M503" i="2"/>
  <c r="M508" i="2"/>
  <c r="M513" i="2"/>
  <c r="M589" i="2"/>
  <c r="M594" i="2"/>
  <c r="M605" i="2"/>
  <c r="M612" i="2"/>
  <c r="M622" i="2"/>
  <c r="M288" i="2"/>
  <c r="M186" i="2"/>
  <c r="M198" i="2"/>
  <c r="M207" i="2"/>
  <c r="M216" i="2"/>
  <c r="M264" i="2"/>
  <c r="M275" i="2"/>
  <c r="M290" i="2"/>
  <c r="M302" i="2"/>
  <c r="M312" i="2"/>
  <c r="M325" i="2"/>
  <c r="M331" i="2"/>
  <c r="M338" i="2"/>
  <c r="M342" i="2"/>
  <c r="M358" i="2"/>
  <c r="M374" i="2"/>
  <c r="M392" i="2"/>
  <c r="M442" i="2"/>
  <c r="M450" i="2"/>
  <c r="M532" i="2"/>
  <c r="M590" i="2"/>
  <c r="M595" i="2"/>
  <c r="M601" i="2"/>
  <c r="M606" i="2"/>
  <c r="M613" i="2"/>
  <c r="M597" i="2"/>
  <c r="M33" i="2"/>
  <c r="J669" i="51" s="1"/>
  <c r="M47" i="2"/>
  <c r="M68" i="2"/>
  <c r="M83" i="2"/>
  <c r="M87" i="2"/>
  <c r="M97" i="2"/>
  <c r="M122" i="2"/>
  <c r="M137" i="2"/>
  <c r="M225" i="2"/>
  <c r="M233" i="2"/>
  <c r="M241" i="2"/>
  <c r="M250" i="2"/>
  <c r="M258" i="2"/>
  <c r="M523" i="2"/>
  <c r="M50" i="2"/>
  <c r="M178" i="2"/>
  <c r="M405" i="2"/>
  <c r="M414" i="2"/>
  <c r="M559" i="2"/>
  <c r="M128" i="2"/>
  <c r="M40" i="2"/>
  <c r="J676" i="51" s="1"/>
  <c r="M65" i="2"/>
  <c r="M86" i="2"/>
  <c r="M103" i="2"/>
  <c r="M167" i="2"/>
  <c r="M179" i="2"/>
  <c r="M189" i="2"/>
  <c r="M282" i="2"/>
  <c r="M307" i="2"/>
  <c r="M324" i="2"/>
  <c r="M341" i="2"/>
  <c r="M384" i="2"/>
  <c r="M398" i="2"/>
  <c r="M416" i="2"/>
  <c r="M424" i="2"/>
  <c r="M436" i="2"/>
  <c r="M445" i="2"/>
  <c r="M449" i="2"/>
  <c r="M459" i="2"/>
  <c r="M501" i="2"/>
  <c r="M506" i="2"/>
  <c r="M542" i="2"/>
  <c r="M547" i="2"/>
  <c r="M560" i="2"/>
  <c r="M575" i="2"/>
  <c r="M585" i="2"/>
  <c r="M598" i="2"/>
  <c r="M603" i="2"/>
  <c r="M239" i="2"/>
  <c r="M56" i="2"/>
  <c r="M92" i="2"/>
  <c r="M113" i="2"/>
  <c r="M126" i="2"/>
  <c r="M168" i="2"/>
  <c r="M174" i="2"/>
  <c r="M180" i="2"/>
  <c r="M203" i="2"/>
  <c r="M235" i="2"/>
  <c r="M318" i="2"/>
  <c r="M335" i="2"/>
  <c r="M346" i="2"/>
  <c r="M366" i="2"/>
  <c r="M380" i="2"/>
  <c r="M386" i="2"/>
  <c r="M400" i="2"/>
  <c r="M409" i="2"/>
  <c r="M418" i="2"/>
  <c r="M426" i="2"/>
  <c r="M446" i="2"/>
  <c r="M453" i="2"/>
  <c r="M502" i="2"/>
  <c r="M517" i="2"/>
  <c r="M544" i="2"/>
  <c r="M561" i="2"/>
  <c r="M576" i="2"/>
  <c r="M586" i="2"/>
  <c r="M599" i="2"/>
  <c r="M616" i="2"/>
  <c r="M88" i="2"/>
  <c r="M109" i="2"/>
  <c r="M136" i="2"/>
  <c r="M165" i="2"/>
  <c r="M176" i="2"/>
  <c r="M194" i="2"/>
  <c r="M223" i="2"/>
  <c r="M246" i="2"/>
  <c r="M278" i="2"/>
  <c r="M343" i="2"/>
  <c r="M376" i="2"/>
  <c r="M381" i="2"/>
  <c r="M394" i="2"/>
  <c r="M412" i="2"/>
  <c r="M420" i="2"/>
  <c r="M428" i="2"/>
  <c r="M443" i="2"/>
  <c r="M447" i="2"/>
  <c r="M454" i="2"/>
  <c r="M457" i="2"/>
  <c r="M537" i="2"/>
  <c r="M545" i="2"/>
  <c r="M577" i="2"/>
  <c r="M591" i="2"/>
  <c r="M630" i="2"/>
  <c r="M272" i="2"/>
  <c r="M280" i="2"/>
  <c r="M300" i="2"/>
  <c r="M310" i="2"/>
  <c r="M322" i="2"/>
  <c r="M329" i="2"/>
  <c r="M333" i="2"/>
  <c r="M340" i="2"/>
  <c r="M344" i="2"/>
  <c r="M348" i="2"/>
  <c r="M362" i="2"/>
  <c r="M378" i="2"/>
  <c r="M451" i="2"/>
  <c r="M466" i="2"/>
  <c r="M505" i="2"/>
  <c r="M510" i="2"/>
  <c r="M515" i="2"/>
  <c r="M602" i="2"/>
  <c r="M607" i="2"/>
  <c r="M614" i="2"/>
  <c r="J1268" i="51" l="1"/>
  <c r="J1295" i="51" s="1"/>
  <c r="M72" i="2"/>
  <c r="M4" i="2" s="1"/>
  <c r="M632" i="2"/>
  <c r="M11" i="2" s="1"/>
  <c r="M351" i="2"/>
  <c r="M7" i="2" s="1"/>
  <c r="M438" i="2"/>
  <c r="M8" i="2" s="1"/>
  <c r="M187" i="2"/>
  <c r="M6" i="2" s="1"/>
  <c r="M473" i="2"/>
  <c r="M9" i="2" s="1"/>
  <c r="M549" i="2"/>
  <c r="M10" i="2" s="1"/>
  <c r="M139" i="2"/>
  <c r="M5" i="2" s="1"/>
  <c r="M13" i="2" l="1"/>
  <c r="L18" i="50"/>
  <c r="G578" i="48"/>
  <c r="H578" i="48" s="1"/>
  <c r="I578" i="48" s="1"/>
  <c r="M18" i="50" l="1"/>
  <c r="L590" i="48"/>
  <c r="I590" i="48"/>
  <c r="L589" i="48"/>
  <c r="I589" i="48"/>
  <c r="L588" i="48"/>
  <c r="I588" i="48"/>
  <c r="L587" i="48"/>
  <c r="I587" i="48"/>
  <c r="I586" i="48"/>
  <c r="M578" i="48"/>
  <c r="G577" i="48"/>
  <c r="H577" i="48" s="1"/>
  <c r="I577" i="48" s="1"/>
  <c r="G576" i="48"/>
  <c r="H576" i="48" s="1"/>
  <c r="I576" i="48" s="1"/>
  <c r="M573" i="48"/>
  <c r="M568" i="48"/>
  <c r="M560" i="48"/>
  <c r="M550" i="48"/>
  <c r="M544" i="48"/>
  <c r="G538" i="48"/>
  <c r="H538" i="48" s="1"/>
  <c r="I538" i="48" s="1"/>
  <c r="M533" i="48"/>
  <c r="G532" i="48"/>
  <c r="M531" i="48"/>
  <c r="M530" i="48"/>
  <c r="M529" i="48"/>
  <c r="M528" i="48"/>
  <c r="L525" i="48"/>
  <c r="M525" i="48" s="1"/>
  <c r="G523" i="48"/>
  <c r="G522" i="48"/>
  <c r="H522" i="48" s="1"/>
  <c r="I522" i="48" s="1"/>
  <c r="M521" i="48"/>
  <c r="G520" i="48"/>
  <c r="H520" i="48" s="1"/>
  <c r="I520" i="48" s="1"/>
  <c r="G519" i="48"/>
  <c r="H519" i="48" s="1"/>
  <c r="I519" i="48" s="1"/>
  <c r="G513" i="48"/>
  <c r="H513" i="48" s="1"/>
  <c r="I513" i="48" s="1"/>
  <c r="G510" i="48"/>
  <c r="H510" i="48" s="1"/>
  <c r="I510" i="48" s="1"/>
  <c r="L508" i="48"/>
  <c r="L501" i="48"/>
  <c r="L500" i="48"/>
  <c r="L499" i="48"/>
  <c r="M499" i="48" s="1"/>
  <c r="L498" i="48"/>
  <c r="L497" i="48"/>
  <c r="L496" i="48"/>
  <c r="L495" i="48"/>
  <c r="M495" i="48" s="1"/>
  <c r="L494" i="48"/>
  <c r="M491" i="48"/>
  <c r="L490" i="48"/>
  <c r="L489" i="48"/>
  <c r="M489" i="48" s="1"/>
  <c r="M484" i="48"/>
  <c r="G481" i="48"/>
  <c r="H481" i="48" s="1"/>
  <c r="I481" i="48" s="1"/>
  <c r="G480" i="48"/>
  <c r="G476" i="48"/>
  <c r="H476" i="48" s="1"/>
  <c r="I476" i="48" s="1"/>
  <c r="I474" i="48"/>
  <c r="M474" i="48" s="1"/>
  <c r="M470" i="48"/>
  <c r="M466" i="48"/>
  <c r="G454" i="48"/>
  <c r="H454" i="48" s="1"/>
  <c r="I454" i="48" s="1"/>
  <c r="I448" i="48"/>
  <c r="M438" i="48"/>
  <c r="M421" i="48"/>
  <c r="M418" i="48"/>
  <c r="M409" i="48"/>
  <c r="M401" i="48"/>
  <c r="M399" i="48"/>
  <c r="L394" i="48"/>
  <c r="L20" i="48" s="1"/>
  <c r="M388" i="48"/>
  <c r="G386" i="48"/>
  <c r="H386" i="48" s="1"/>
  <c r="I386" i="48" s="1"/>
  <c r="G375" i="48"/>
  <c r="H375" i="48" s="1"/>
  <c r="I375" i="48" s="1"/>
  <c r="L368" i="48"/>
  <c r="I368" i="48"/>
  <c r="L367" i="48"/>
  <c r="I367" i="48"/>
  <c r="L366" i="48"/>
  <c r="I366" i="48"/>
  <c r="L365" i="48"/>
  <c r="I365" i="48"/>
  <c r="L364" i="48"/>
  <c r="I364" i="48"/>
  <c r="L363" i="48"/>
  <c r="I363" i="48"/>
  <c r="L362" i="48"/>
  <c r="I362" i="48"/>
  <c r="L359" i="48"/>
  <c r="I359" i="48"/>
  <c r="L357" i="48"/>
  <c r="L356" i="48"/>
  <c r="M356" i="48" s="1"/>
  <c r="M317" i="48"/>
  <c r="M257" i="48"/>
  <c r="M256" i="48"/>
  <c r="M255" i="48"/>
  <c r="M252" i="48"/>
  <c r="M251" i="48"/>
  <c r="M248" i="48"/>
  <c r="M247" i="48"/>
  <c r="M240" i="48"/>
  <c r="M238" i="48"/>
  <c r="M234" i="48"/>
  <c r="M230" i="48"/>
  <c r="M226" i="48"/>
  <c r="M225" i="48"/>
  <c r="M223" i="48"/>
  <c r="M221" i="48"/>
  <c r="M218" i="48"/>
  <c r="M216" i="48"/>
  <c r="M214" i="48"/>
  <c r="M204" i="48"/>
  <c r="M197" i="48"/>
  <c r="M195" i="48"/>
  <c r="M194" i="48"/>
  <c r="G193" i="48"/>
  <c r="H193" i="48" s="1"/>
  <c r="I193" i="48" s="1"/>
  <c r="G192" i="48"/>
  <c r="H192" i="48" s="1"/>
  <c r="I192" i="48" s="1"/>
  <c r="G191" i="48"/>
  <c r="G190" i="48"/>
  <c r="G188" i="48"/>
  <c r="H188" i="48" s="1"/>
  <c r="I188" i="48" s="1"/>
  <c r="M184" i="48"/>
  <c r="M183" i="48"/>
  <c r="M179" i="48"/>
  <c r="M178" i="48"/>
  <c r="M176" i="48"/>
  <c r="G173" i="48"/>
  <c r="H173" i="48" s="1"/>
  <c r="I173" i="48" s="1"/>
  <c r="G172" i="48"/>
  <c r="G171" i="48"/>
  <c r="H171" i="48" s="1"/>
  <c r="I171" i="48" s="1"/>
  <c r="G170" i="48"/>
  <c r="G169" i="48"/>
  <c r="H169" i="48" s="1"/>
  <c r="I169" i="48" s="1"/>
  <c r="G168" i="48"/>
  <c r="H168" i="48" s="1"/>
  <c r="I168" i="48" s="1"/>
  <c r="G167" i="48"/>
  <c r="H167" i="48" s="1"/>
  <c r="I167" i="48" s="1"/>
  <c r="G166" i="48"/>
  <c r="G165" i="48"/>
  <c r="H165" i="48" s="1"/>
  <c r="I165" i="48" s="1"/>
  <c r="M159" i="48"/>
  <c r="M158" i="48"/>
  <c r="M155" i="48"/>
  <c r="M152" i="48"/>
  <c r="M149" i="48"/>
  <c r="M148" i="48"/>
  <c r="M145" i="48"/>
  <c r="M144" i="48"/>
  <c r="M141" i="48"/>
  <c r="M140" i="48"/>
  <c r="M137" i="48"/>
  <c r="M136" i="48"/>
  <c r="M133" i="48"/>
  <c r="M132" i="48"/>
  <c r="M129" i="48"/>
  <c r="M128" i="48"/>
  <c r="M125" i="48"/>
  <c r="M124" i="48"/>
  <c r="M121" i="48"/>
  <c r="M120" i="48"/>
  <c r="M119" i="48"/>
  <c r="M116" i="48"/>
  <c r="M115" i="48"/>
  <c r="M114" i="48"/>
  <c r="M113" i="48"/>
  <c r="M111" i="48"/>
  <c r="L107" i="48"/>
  <c r="I107" i="48"/>
  <c r="L106" i="48"/>
  <c r="I106" i="48"/>
  <c r="L105" i="48"/>
  <c r="I105" i="48"/>
  <c r="L100" i="48"/>
  <c r="I100" i="48"/>
  <c r="L92" i="48"/>
  <c r="M92" i="48" s="1"/>
  <c r="L91" i="48"/>
  <c r="M91" i="48" s="1"/>
  <c r="L90" i="48"/>
  <c r="L89" i="48"/>
  <c r="M89" i="48" s="1"/>
  <c r="L88" i="48"/>
  <c r="M88" i="48" s="1"/>
  <c r="L87" i="48"/>
  <c r="M87" i="48" s="1"/>
  <c r="L86" i="48"/>
  <c r="M86" i="48" s="1"/>
  <c r="L85" i="48"/>
  <c r="M85" i="48" s="1"/>
  <c r="L60" i="48"/>
  <c r="I59" i="48"/>
  <c r="I58" i="48"/>
  <c r="L53" i="48"/>
  <c r="I52" i="48"/>
  <c r="M52" i="48" s="1"/>
  <c r="I51" i="48"/>
  <c r="M51" i="48" s="1"/>
  <c r="M50" i="48"/>
  <c r="I49" i="48"/>
  <c r="L45" i="48"/>
  <c r="M45" i="48" s="1"/>
  <c r="L44" i="48"/>
  <c r="M44" i="48" s="1"/>
  <c r="L43" i="48"/>
  <c r="M42" i="48"/>
  <c r="M37" i="48"/>
  <c r="M590" i="48" l="1"/>
  <c r="M588" i="48"/>
  <c r="H532" i="48"/>
  <c r="I532" i="48" s="1"/>
  <c r="M532" i="48" s="1"/>
  <c r="H480" i="48"/>
  <c r="I480" i="48" s="1"/>
  <c r="M480" i="48" s="1"/>
  <c r="H523" i="48"/>
  <c r="I523" i="48" s="1"/>
  <c r="H191" i="48"/>
  <c r="I191" i="48" s="1"/>
  <c r="M191" i="48" s="1"/>
  <c r="H170" i="48"/>
  <c r="I170" i="48" s="1"/>
  <c r="M170" i="48" s="1"/>
  <c r="H166" i="48"/>
  <c r="I166" i="48" s="1"/>
  <c r="M166" i="48" s="1"/>
  <c r="H172" i="48"/>
  <c r="I172" i="48" s="1"/>
  <c r="M172" i="48" s="1"/>
  <c r="H190" i="48"/>
  <c r="I190" i="48" s="1"/>
  <c r="M190" i="48" s="1"/>
  <c r="M36" i="48"/>
  <c r="M53" i="48"/>
  <c r="M60" i="48"/>
  <c r="M147" i="48"/>
  <c r="M165" i="48"/>
  <c r="M297" i="48"/>
  <c r="M358" i="48"/>
  <c r="M375" i="48"/>
  <c r="M105" i="48"/>
  <c r="M366" i="48"/>
  <c r="M90" i="48"/>
  <c r="I39" i="48"/>
  <c r="I9" i="48" s="1"/>
  <c r="M235" i="48"/>
  <c r="M562" i="48"/>
  <c r="M143" i="48"/>
  <c r="M262" i="48"/>
  <c r="M266" i="48"/>
  <c r="M279" i="48"/>
  <c r="M283" i="48"/>
  <c r="M295" i="48"/>
  <c r="M369" i="48"/>
  <c r="M378" i="48"/>
  <c r="M382" i="48"/>
  <c r="M139" i="48"/>
  <c r="M289" i="48"/>
  <c r="M309" i="48"/>
  <c r="M407" i="48"/>
  <c r="M411" i="48"/>
  <c r="M38" i="48"/>
  <c r="M97" i="48"/>
  <c r="M104" i="48"/>
  <c r="M167" i="48"/>
  <c r="M261" i="48"/>
  <c r="M269" i="48"/>
  <c r="M273" i="48"/>
  <c r="M278" i="48"/>
  <c r="M298" i="48"/>
  <c r="M310" i="48"/>
  <c r="M316" i="48"/>
  <c r="M320" i="48"/>
  <c r="M324" i="48"/>
  <c r="M340" i="48"/>
  <c r="M347" i="48"/>
  <c r="M355" i="48"/>
  <c r="M359" i="48"/>
  <c r="M364" i="48"/>
  <c r="M436" i="48"/>
  <c r="M441" i="48"/>
  <c r="M445" i="48"/>
  <c r="M452" i="48"/>
  <c r="M461" i="48"/>
  <c r="M465" i="48"/>
  <c r="M500" i="48"/>
  <c r="M504" i="48"/>
  <c r="M561" i="48"/>
  <c r="M567" i="48"/>
  <c r="M577" i="48"/>
  <c r="M582" i="48"/>
  <c r="M151" i="48"/>
  <c r="M258" i="48"/>
  <c r="M222" i="48"/>
  <c r="L54" i="48"/>
  <c r="L11" i="48" s="1"/>
  <c r="M337" i="48"/>
  <c r="M106" i="48"/>
  <c r="M263" i="48"/>
  <c r="M267" i="48"/>
  <c r="M280" i="48"/>
  <c r="M284" i="48"/>
  <c r="M288" i="48"/>
  <c r="M308" i="48"/>
  <c r="M322" i="48"/>
  <c r="M326" i="48"/>
  <c r="M330" i="48"/>
  <c r="M357" i="48"/>
  <c r="M362" i="48"/>
  <c r="M405" i="48"/>
  <c r="M410" i="48"/>
  <c r="M415" i="48"/>
  <c r="M432" i="48"/>
  <c r="M443" i="48"/>
  <c r="M490" i="48"/>
  <c r="M494" i="48"/>
  <c r="M498" i="48"/>
  <c r="M538" i="48"/>
  <c r="M99" i="48"/>
  <c r="M254" i="48"/>
  <c r="M507" i="48"/>
  <c r="M157" i="48"/>
  <c r="M305" i="48"/>
  <c r="L371" i="48"/>
  <c r="L18" i="48" s="1"/>
  <c r="M389" i="48"/>
  <c r="M400" i="48"/>
  <c r="M508" i="48"/>
  <c r="M514" i="48"/>
  <c r="M527" i="48"/>
  <c r="M535" i="48"/>
  <c r="M576" i="48"/>
  <c r="M381" i="48"/>
  <c r="M274" i="48"/>
  <c r="M327" i="48"/>
  <c r="M331" i="48"/>
  <c r="M335" i="48"/>
  <c r="M339" i="48"/>
  <c r="M354" i="48"/>
  <c r="M589" i="48"/>
  <c r="M377" i="48"/>
  <c r="M472" i="48"/>
  <c r="M123" i="48"/>
  <c r="M328" i="48"/>
  <c r="L390" i="48"/>
  <c r="L19" i="48" s="1"/>
  <c r="M379" i="48"/>
  <c r="M383" i="48"/>
  <c r="M545" i="48"/>
  <c r="M552" i="48"/>
  <c r="M557" i="48"/>
  <c r="I61" i="48"/>
  <c r="I12" i="48" s="1"/>
  <c r="M497" i="48"/>
  <c r="M586" i="48"/>
  <c r="M232" i="48"/>
  <c r="M265" i="48"/>
  <c r="M98" i="48"/>
  <c r="M169" i="48"/>
  <c r="M177" i="48"/>
  <c r="M182" i="48"/>
  <c r="M193" i="48"/>
  <c r="M239" i="48"/>
  <c r="M245" i="48"/>
  <c r="M253" i="48"/>
  <c r="M285" i="48"/>
  <c r="M292" i="48"/>
  <c r="M299" i="48"/>
  <c r="M303" i="48"/>
  <c r="M307" i="48"/>
  <c r="M321" i="48"/>
  <c r="M325" i="48"/>
  <c r="M329" i="48"/>
  <c r="M553" i="48"/>
  <c r="M224" i="48"/>
  <c r="M296" i="48"/>
  <c r="M341" i="48"/>
  <c r="M348" i="48"/>
  <c r="M403" i="48"/>
  <c r="M408" i="48"/>
  <c r="M450" i="48"/>
  <c r="M460" i="48"/>
  <c r="M464" i="48"/>
  <c r="M511" i="48"/>
  <c r="M563" i="48"/>
  <c r="M569" i="48"/>
  <c r="M574" i="48"/>
  <c r="L39" i="48"/>
  <c r="L9" i="48" s="1"/>
  <c r="M58" i="48"/>
  <c r="M96" i="48"/>
  <c r="M100" i="48"/>
  <c r="M135" i="48"/>
  <c r="I349" i="48"/>
  <c r="I17" i="48" s="1"/>
  <c r="L456" i="48"/>
  <c r="L21" i="48" s="1"/>
  <c r="M412" i="48"/>
  <c r="M426" i="48"/>
  <c r="M434" i="48"/>
  <c r="M440" i="48"/>
  <c r="M455" i="48"/>
  <c r="M463" i="48"/>
  <c r="M493" i="48"/>
  <c r="M34" i="48"/>
  <c r="M59" i="48"/>
  <c r="M76" i="48"/>
  <c r="M107" i="48"/>
  <c r="M173" i="48"/>
  <c r="M199" i="48"/>
  <c r="M205" i="48"/>
  <c r="M231" i="48"/>
  <c r="M242" i="48"/>
  <c r="M259" i="48"/>
  <c r="M270" i="48"/>
  <c r="M282" i="48"/>
  <c r="M286" i="48"/>
  <c r="M300" i="48"/>
  <c r="M304" i="48"/>
  <c r="M311" i="48"/>
  <c r="M332" i="48"/>
  <c r="M336" i="48"/>
  <c r="M373" i="48"/>
  <c r="M404" i="48"/>
  <c r="M422" i="48"/>
  <c r="M427" i="48"/>
  <c r="M444" i="48"/>
  <c r="M471" i="48"/>
  <c r="M476" i="48"/>
  <c r="M481" i="48"/>
  <c r="M501" i="48"/>
  <c r="M505" i="48"/>
  <c r="M510" i="48"/>
  <c r="M522" i="48"/>
  <c r="M548" i="48"/>
  <c r="M571" i="48"/>
  <c r="M35" i="48"/>
  <c r="I46" i="48"/>
  <c r="I10" i="48" s="1"/>
  <c r="M83" i="48"/>
  <c r="M110" i="48"/>
  <c r="M131" i="48"/>
  <c r="M175" i="48"/>
  <c r="L206" i="48"/>
  <c r="L15" i="48" s="1"/>
  <c r="M201" i="48"/>
  <c r="M215" i="48"/>
  <c r="M219" i="48"/>
  <c r="M228" i="48"/>
  <c r="M260" i="48"/>
  <c r="M271" i="48"/>
  <c r="M275" i="48"/>
  <c r="M287" i="48"/>
  <c r="M290" i="48"/>
  <c r="M294" i="48"/>
  <c r="M301" i="48"/>
  <c r="M312" i="48"/>
  <c r="M318" i="48"/>
  <c r="M333" i="48"/>
  <c r="M363" i="48"/>
  <c r="M367" i="48"/>
  <c r="M414" i="48"/>
  <c r="M419" i="48"/>
  <c r="M424" i="48"/>
  <c r="M430" i="48"/>
  <c r="M468" i="48"/>
  <c r="M477" i="48"/>
  <c r="M483" i="48"/>
  <c r="M502" i="48"/>
  <c r="M506" i="48"/>
  <c r="M558" i="48"/>
  <c r="L61" i="48"/>
  <c r="L12" i="48" s="1"/>
  <c r="M118" i="48"/>
  <c r="M171" i="48"/>
  <c r="M203" i="48"/>
  <c r="M213" i="48"/>
  <c r="M229" i="48"/>
  <c r="M233" i="48"/>
  <c r="M236" i="48"/>
  <c r="M246" i="48"/>
  <c r="M264" i="48"/>
  <c r="M268" i="48"/>
  <c r="M272" i="48"/>
  <c r="M277" i="48"/>
  <c r="M291" i="48"/>
  <c r="M302" i="48"/>
  <c r="M319" i="48"/>
  <c r="M334" i="48"/>
  <c r="M338" i="48"/>
  <c r="M368" i="48"/>
  <c r="M380" i="48"/>
  <c r="M386" i="48"/>
  <c r="M425" i="48"/>
  <c r="M442" i="48"/>
  <c r="M469" i="48"/>
  <c r="M473" i="48"/>
  <c r="M478" i="48"/>
  <c r="L515" i="48"/>
  <c r="L23" i="48" s="1"/>
  <c r="M503" i="48"/>
  <c r="M520" i="48"/>
  <c r="M555" i="48"/>
  <c r="M580" i="48"/>
  <c r="M587" i="48"/>
  <c r="L46" i="48"/>
  <c r="L10" i="48" s="1"/>
  <c r="M127" i="48"/>
  <c r="M154" i="48"/>
  <c r="M168" i="48"/>
  <c r="M181" i="48"/>
  <c r="M192" i="48"/>
  <c r="M217" i="48"/>
  <c r="M237" i="48"/>
  <c r="M241" i="48"/>
  <c r="M250" i="48"/>
  <c r="M281" i="48"/>
  <c r="M306" i="48"/>
  <c r="M323" i="48"/>
  <c r="M342" i="48"/>
  <c r="M353" i="48"/>
  <c r="M361" i="48"/>
  <c r="M365" i="48"/>
  <c r="M398" i="48"/>
  <c r="M416" i="48"/>
  <c r="M439" i="48"/>
  <c r="M446" i="48"/>
  <c r="M454" i="48"/>
  <c r="M492" i="48"/>
  <c r="M496" i="48"/>
  <c r="M513" i="48"/>
  <c r="M524" i="48"/>
  <c r="M536" i="48"/>
  <c r="M551" i="48"/>
  <c r="M556" i="48"/>
  <c r="M565" i="48"/>
  <c r="M570" i="48"/>
  <c r="M581" i="48"/>
  <c r="L185" i="48"/>
  <c r="L14" i="48" s="1"/>
  <c r="M188" i="48"/>
  <c r="M33" i="48"/>
  <c r="I456" i="48"/>
  <c r="I21" i="48" s="1"/>
  <c r="M462" i="48"/>
  <c r="L485" i="48"/>
  <c r="L22" i="48" s="1"/>
  <c r="M57" i="48"/>
  <c r="M519" i="48"/>
  <c r="I343" i="48"/>
  <c r="I16" i="48" s="1"/>
  <c r="M212" i="48"/>
  <c r="L349" i="48"/>
  <c r="L17" i="48" s="1"/>
  <c r="M43" i="48"/>
  <c r="M46" i="48" s="1"/>
  <c r="L343" i="48"/>
  <c r="L16" i="48" s="1"/>
  <c r="M346" i="48"/>
  <c r="I371" i="48"/>
  <c r="I18" i="48" s="1"/>
  <c r="M467" i="48"/>
  <c r="I390" i="48"/>
  <c r="I19" i="48" s="1"/>
  <c r="L583" i="48"/>
  <c r="L25" i="48" s="1"/>
  <c r="I591" i="48"/>
  <c r="I26" i="48" s="1"/>
  <c r="M49" i="48"/>
  <c r="I54" i="48"/>
  <c r="I11" i="48" s="1"/>
  <c r="M249" i="48"/>
  <c r="M313" i="48"/>
  <c r="I394" i="48"/>
  <c r="I20" i="48" s="1"/>
  <c r="M20" i="48" s="1"/>
  <c r="Q20" i="48" s="1"/>
  <c r="M393" i="48"/>
  <c r="M394" i="48" s="1"/>
  <c r="M448" i="48"/>
  <c r="M539" i="48"/>
  <c r="L591" i="48"/>
  <c r="L26" i="48" s="1"/>
  <c r="L540" i="48"/>
  <c r="L24" i="48" s="1"/>
  <c r="I583" i="48"/>
  <c r="I25" i="48" s="1"/>
  <c r="I160" i="48"/>
  <c r="I13" i="48" s="1"/>
  <c r="M65" i="48"/>
  <c r="L160" i="48"/>
  <c r="L13" i="48" s="1"/>
  <c r="M227" i="48"/>
  <c r="M293" i="48"/>
  <c r="M420" i="48"/>
  <c r="I515" i="48"/>
  <c r="I23" i="48" s="1"/>
  <c r="M54" i="48" l="1"/>
  <c r="I485" i="48"/>
  <c r="I22" i="48" s="1"/>
  <c r="M22" i="48" s="1"/>
  <c r="Q22" i="48" s="1"/>
  <c r="I540" i="48"/>
  <c r="I24" i="48" s="1"/>
  <c r="M24" i="48" s="1"/>
  <c r="Q24" i="48" s="1"/>
  <c r="M11" i="48"/>
  <c r="Q11" i="48" s="1"/>
  <c r="I206" i="48"/>
  <c r="I15" i="48" s="1"/>
  <c r="M15" i="48" s="1"/>
  <c r="Q15" i="48" s="1"/>
  <c r="M9" i="48"/>
  <c r="Q9" i="48" s="1"/>
  <c r="M349" i="48"/>
  <c r="I185" i="48"/>
  <c r="I14" i="48" s="1"/>
  <c r="M14" i="48" s="1"/>
  <c r="Q14" i="48" s="1"/>
  <c r="M523" i="48"/>
  <c r="M540" i="48" s="1"/>
  <c r="M18" i="48"/>
  <c r="Q18" i="48" s="1"/>
  <c r="M10" i="48"/>
  <c r="Q10" i="48" s="1"/>
  <c r="M61" i="48"/>
  <c r="M371" i="48"/>
  <c r="M456" i="48"/>
  <c r="M185" i="48"/>
  <c r="M19" i="48"/>
  <c r="Q19" i="48" s="1"/>
  <c r="M160" i="48"/>
  <c r="M39" i="48"/>
  <c r="M390" i="48"/>
  <c r="M583" i="48"/>
  <c r="M12" i="48"/>
  <c r="Q12" i="48" s="1"/>
  <c r="M26" i="48"/>
  <c r="Q26" i="48" s="1"/>
  <c r="M591" i="48"/>
  <c r="M23" i="48"/>
  <c r="Q23" i="48" s="1"/>
  <c r="M515" i="48"/>
  <c r="L28" i="48"/>
  <c r="M206" i="48"/>
  <c r="M485" i="48"/>
  <c r="M21" i="48"/>
  <c r="Q21" i="48" s="1"/>
  <c r="M17" i="48"/>
  <c r="Q17" i="48" s="1"/>
  <c r="M13" i="48"/>
  <c r="Q13" i="48" s="1"/>
  <c r="M25" i="48"/>
  <c r="Q25" i="48" s="1"/>
  <c r="M343" i="48"/>
  <c r="M16" i="48"/>
  <c r="Q16" i="48" s="1"/>
  <c r="I28" i="48" l="1"/>
  <c r="M28" i="48"/>
  <c r="Q28" i="48" s="1"/>
  <c r="M253" i="47"/>
  <c r="M248" i="47"/>
  <c r="L246" i="47"/>
  <c r="I246" i="47"/>
  <c r="M245" i="47"/>
  <c r="M242" i="47"/>
  <c r="M241" i="47"/>
  <c r="M238" i="47"/>
  <c r="M237" i="47"/>
  <c r="M232" i="47"/>
  <c r="M231" i="47"/>
  <c r="M227" i="47"/>
  <c r="L215" i="47"/>
  <c r="I215" i="47"/>
  <c r="L214" i="47"/>
  <c r="I214" i="47"/>
  <c r="L213" i="47"/>
  <c r="I213" i="47"/>
  <c r="L212" i="47"/>
  <c r="M211" i="47"/>
  <c r="L209" i="47"/>
  <c r="I209" i="47"/>
  <c r="L207" i="47"/>
  <c r="L204" i="47"/>
  <c r="I204" i="47"/>
  <c r="L203" i="47"/>
  <c r="M198" i="47"/>
  <c r="I194" i="47"/>
  <c r="M194" i="47" s="1"/>
  <c r="I193" i="47"/>
  <c r="I192" i="47"/>
  <c r="I191" i="47"/>
  <c r="M189" i="47"/>
  <c r="I188" i="47"/>
  <c r="I186" i="47"/>
  <c r="M186" i="47" s="1"/>
  <c r="I185" i="47"/>
  <c r="I184" i="47"/>
  <c r="I183" i="47"/>
  <c r="L180" i="47"/>
  <c r="I180" i="47"/>
  <c r="I173" i="47"/>
  <c r="I172" i="47"/>
  <c r="I171" i="47"/>
  <c r="I170" i="47"/>
  <c r="I169" i="47"/>
  <c r="M168" i="47"/>
  <c r="M165" i="47"/>
  <c r="M164" i="47"/>
  <c r="I162" i="47"/>
  <c r="M160" i="47"/>
  <c r="M159" i="47"/>
  <c r="I157" i="47"/>
  <c r="M155" i="47"/>
  <c r="M154" i="47"/>
  <c r="M150" i="47"/>
  <c r="L147" i="47"/>
  <c r="I147" i="47"/>
  <c r="M142" i="47"/>
  <c r="L140" i="47"/>
  <c r="I140" i="47"/>
  <c r="M139" i="47"/>
  <c r="M138" i="47"/>
  <c r="L136" i="47"/>
  <c r="I136" i="47"/>
  <c r="L135" i="47"/>
  <c r="I135" i="47"/>
  <c r="M135" i="47" s="1"/>
  <c r="L133" i="47"/>
  <c r="I133" i="47"/>
  <c r="L132" i="47"/>
  <c r="I132" i="47"/>
  <c r="M130" i="47"/>
  <c r="L128" i="47"/>
  <c r="I128" i="47"/>
  <c r="L127" i="47"/>
  <c r="I127" i="47"/>
  <c r="L125" i="47"/>
  <c r="I125" i="47"/>
  <c r="M125" i="47" s="1"/>
  <c r="L122" i="47"/>
  <c r="I122" i="47"/>
  <c r="L120" i="47"/>
  <c r="I120" i="47"/>
  <c r="L119" i="47"/>
  <c r="I119" i="47"/>
  <c r="L116" i="47"/>
  <c r="I116" i="47"/>
  <c r="M115" i="47"/>
  <c r="L114" i="47"/>
  <c r="I114" i="47"/>
  <c r="M101" i="47"/>
  <c r="L98" i="47"/>
  <c r="I98" i="47"/>
  <c r="L97" i="47"/>
  <c r="I97" i="47"/>
  <c r="M95" i="47"/>
  <c r="L89" i="47"/>
  <c r="I89" i="47"/>
  <c r="L86" i="47"/>
  <c r="I86" i="47"/>
  <c r="L85" i="47"/>
  <c r="I85" i="47"/>
  <c r="L83" i="47"/>
  <c r="I83" i="47"/>
  <c r="M83" i="47" s="1"/>
  <c r="L82" i="47"/>
  <c r="I82" i="47"/>
  <c r="L81" i="47"/>
  <c r="I81" i="47"/>
  <c r="L80" i="47"/>
  <c r="I80" i="47"/>
  <c r="L79" i="47"/>
  <c r="I79" i="47"/>
  <c r="I77" i="47"/>
  <c r="I70" i="47"/>
  <c r="M70" i="47" s="1"/>
  <c r="I69" i="47"/>
  <c r="I62" i="47"/>
  <c r="M51" i="47"/>
  <c r="M50" i="47"/>
  <c r="I48" i="47"/>
  <c r="L46" i="47"/>
  <c r="I46" i="47"/>
  <c r="L45" i="47"/>
  <c r="I45" i="47"/>
  <c r="L44" i="47"/>
  <c r="I44" i="47"/>
  <c r="M41" i="47"/>
  <c r="M34" i="47"/>
  <c r="I31" i="47"/>
  <c r="M31" i="47" s="1"/>
  <c r="L10" i="47"/>
  <c r="I10" i="47"/>
  <c r="M10" i="47" l="1"/>
  <c r="M190" i="47"/>
  <c r="M64" i="47"/>
  <c r="M74" i="47"/>
  <c r="M202" i="47"/>
  <c r="M85" i="47"/>
  <c r="M161" i="47"/>
  <c r="M29" i="47"/>
  <c r="M35" i="47"/>
  <c r="M39" i="47"/>
  <c r="M44" i="47"/>
  <c r="M48" i="47"/>
  <c r="M55" i="47"/>
  <c r="M61" i="47"/>
  <c r="M65" i="47"/>
  <c r="M71" i="47"/>
  <c r="M76" i="47"/>
  <c r="M172" i="47"/>
  <c r="M124" i="47"/>
  <c r="M197" i="47"/>
  <c r="M63" i="47"/>
  <c r="M80" i="47"/>
  <c r="M89" i="47"/>
  <c r="M97" i="47"/>
  <c r="M103" i="47"/>
  <c r="M116" i="47"/>
  <c r="M122" i="47"/>
  <c r="M127" i="47"/>
  <c r="M131" i="47"/>
  <c r="M136" i="47"/>
  <c r="M140" i="47"/>
  <c r="M146" i="47"/>
  <c r="M151" i="47"/>
  <c r="M156" i="47"/>
  <c r="M207" i="47"/>
  <c r="M81" i="47"/>
  <c r="M86" i="47"/>
  <c r="M91" i="47"/>
  <c r="M98" i="47"/>
  <c r="M119" i="47"/>
  <c r="M123" i="47"/>
  <c r="M128" i="47"/>
  <c r="M132" i="47"/>
  <c r="M188" i="47"/>
  <c r="M192" i="47"/>
  <c r="M196" i="47"/>
  <c r="M212" i="47"/>
  <c r="M30" i="47"/>
  <c r="M36" i="47"/>
  <c r="M40" i="47"/>
  <c r="M45" i="47"/>
  <c r="M49" i="47"/>
  <c r="M56" i="47"/>
  <c r="M62" i="47"/>
  <c r="M67" i="47"/>
  <c r="M72" i="47"/>
  <c r="M162" i="47"/>
  <c r="M167" i="47"/>
  <c r="M171" i="47"/>
  <c r="M184" i="47"/>
  <c r="M203" i="47"/>
  <c r="M209" i="47"/>
  <c r="M213" i="47"/>
  <c r="M228" i="47"/>
  <c r="M233" i="47"/>
  <c r="M215" i="47"/>
  <c r="M79" i="47"/>
  <c r="M120" i="47"/>
  <c r="M129" i="47"/>
  <c r="M133" i="47"/>
  <c r="M141" i="47"/>
  <c r="M147" i="47"/>
  <c r="M152" i="47"/>
  <c r="M157" i="47"/>
  <c r="M166" i="47"/>
  <c r="M170" i="47"/>
  <c r="M174" i="47"/>
  <c r="M183" i="47"/>
  <c r="M191" i="47"/>
  <c r="M195" i="47"/>
  <c r="M206" i="47"/>
  <c r="M240" i="47"/>
  <c r="M121" i="47"/>
  <c r="M149" i="47"/>
  <c r="L216" i="47"/>
  <c r="L12" i="47" s="1"/>
  <c r="L104" i="47"/>
  <c r="L9" i="47" s="1"/>
  <c r="M251" i="47"/>
  <c r="M181" i="47"/>
  <c r="M185" i="47"/>
  <c r="M193" i="47"/>
  <c r="L256" i="47"/>
  <c r="L13" i="47" s="1"/>
  <c r="M246" i="47"/>
  <c r="M60" i="47"/>
  <c r="M46" i="47"/>
  <c r="I175" i="47"/>
  <c r="I11" i="47" s="1"/>
  <c r="M143" i="47"/>
  <c r="M37" i="47"/>
  <c r="M77" i="47"/>
  <c r="L175" i="47"/>
  <c r="L11" i="47" s="1"/>
  <c r="M173" i="47"/>
  <c r="M182" i="47"/>
  <c r="M204" i="47"/>
  <c r="M239" i="47"/>
  <c r="M88" i="47"/>
  <c r="I216" i="47"/>
  <c r="I12" i="47" s="1"/>
  <c r="M38" i="47"/>
  <c r="M42" i="47"/>
  <c r="M47" i="47"/>
  <c r="M58" i="47"/>
  <c r="M69" i="47"/>
  <c r="M73" i="47"/>
  <c r="M82" i="47"/>
  <c r="M87" i="47"/>
  <c r="M93" i="47"/>
  <c r="M99" i="47"/>
  <c r="M114" i="47"/>
  <c r="M137" i="47"/>
  <c r="M169" i="47"/>
  <c r="M201" i="47"/>
  <c r="M210" i="47"/>
  <c r="M214" i="47"/>
  <c r="M229" i="47"/>
  <c r="M234" i="47"/>
  <c r="M244" i="47"/>
  <c r="M249" i="47"/>
  <c r="M180" i="47"/>
  <c r="M113" i="47"/>
  <c r="I256" i="47"/>
  <c r="I13" i="47" s="1"/>
  <c r="I104" i="47"/>
  <c r="I9" i="47" s="1"/>
  <c r="M12" i="47" l="1"/>
  <c r="M216" i="47"/>
  <c r="M175" i="47"/>
  <c r="L15" i="47"/>
  <c r="M256" i="47"/>
  <c r="M104" i="47"/>
  <c r="M11" i="47"/>
  <c r="M13" i="47"/>
  <c r="M9" i="47"/>
  <c r="I15" i="47"/>
  <c r="M15" i="47" l="1"/>
  <c r="L363" i="45"/>
  <c r="L16" i="45" s="1"/>
  <c r="I363" i="45"/>
  <c r="M357" i="45"/>
  <c r="M356" i="45"/>
  <c r="M354" i="45"/>
  <c r="M352" i="45"/>
  <c r="M351" i="45"/>
  <c r="M350" i="45"/>
  <c r="M342" i="45"/>
  <c r="M341" i="45"/>
  <c r="M340" i="45"/>
  <c r="M338" i="45"/>
  <c r="M331" i="45"/>
  <c r="M330" i="45"/>
  <c r="M326" i="45"/>
  <c r="M325" i="45"/>
  <c r="M324" i="45"/>
  <c r="M322" i="45"/>
  <c r="M320" i="45"/>
  <c r="M319" i="45"/>
  <c r="M317" i="45"/>
  <c r="M316" i="45"/>
  <c r="M313" i="45"/>
  <c r="M310" i="45"/>
  <c r="M309" i="45"/>
  <c r="M302" i="45"/>
  <c r="M299" i="45"/>
  <c r="M298" i="45"/>
  <c r="M292" i="45"/>
  <c r="M291" i="45"/>
  <c r="M289" i="45"/>
  <c r="M287" i="45"/>
  <c r="M286" i="45"/>
  <c r="M285" i="45"/>
  <c r="M284" i="45"/>
  <c r="M283" i="45"/>
  <c r="M281" i="45"/>
  <c r="M280" i="45"/>
  <c r="M279" i="45"/>
  <c r="M271" i="45"/>
  <c r="M268" i="45"/>
  <c r="M267" i="45"/>
  <c r="M266" i="45"/>
  <c r="M257" i="45"/>
  <c r="M253" i="45"/>
  <c r="M248" i="45"/>
  <c r="M247" i="45"/>
  <c r="M246" i="45"/>
  <c r="M244" i="45"/>
  <c r="M242" i="45"/>
  <c r="M239" i="45"/>
  <c r="M238" i="45"/>
  <c r="M233" i="45"/>
  <c r="M219" i="45"/>
  <c r="M218" i="45"/>
  <c r="M217" i="45"/>
  <c r="M214" i="45"/>
  <c r="M213" i="45"/>
  <c r="M210" i="45"/>
  <c r="M209" i="45"/>
  <c r="M208" i="45"/>
  <c r="M205" i="45"/>
  <c r="M204" i="45"/>
  <c r="M199" i="45"/>
  <c r="M196" i="45"/>
  <c r="M193" i="45"/>
  <c r="M192" i="45"/>
  <c r="M191" i="45"/>
  <c r="M188" i="45"/>
  <c r="M187" i="45"/>
  <c r="M186" i="45"/>
  <c r="M183" i="45"/>
  <c r="M181" i="45"/>
  <c r="M179" i="45"/>
  <c r="M178" i="45"/>
  <c r="M177" i="45"/>
  <c r="M175" i="45"/>
  <c r="M174" i="45"/>
  <c r="M173" i="45"/>
  <c r="M171" i="45"/>
  <c r="M170" i="45"/>
  <c r="M169" i="45"/>
  <c r="I159" i="45"/>
  <c r="I158" i="45"/>
  <c r="I157" i="45"/>
  <c r="M157" i="45" s="1"/>
  <c r="I156" i="45"/>
  <c r="M156" i="45" s="1"/>
  <c r="I155" i="45"/>
  <c r="I154" i="45"/>
  <c r="I153" i="45"/>
  <c r="I152" i="45"/>
  <c r="M152" i="45" s="1"/>
  <c r="I151" i="45"/>
  <c r="I150" i="45"/>
  <c r="I149" i="45"/>
  <c r="I148" i="45"/>
  <c r="I146" i="45"/>
  <c r="I145" i="45"/>
  <c r="I144" i="45"/>
  <c r="I143" i="45"/>
  <c r="I142" i="45"/>
  <c r="I141" i="45"/>
  <c r="I140" i="45"/>
  <c r="I139" i="45"/>
  <c r="M139" i="45" s="1"/>
  <c r="I138" i="45"/>
  <c r="I137" i="45"/>
  <c r="I136" i="45"/>
  <c r="I135" i="45"/>
  <c r="M135" i="45" s="1"/>
  <c r="I133" i="45"/>
  <c r="I132" i="45"/>
  <c r="I131" i="45"/>
  <c r="M131" i="45" s="1"/>
  <c r="I130" i="45"/>
  <c r="M130" i="45" s="1"/>
  <c r="I129" i="45"/>
  <c r="I128" i="45"/>
  <c r="I127" i="45"/>
  <c r="I126" i="45"/>
  <c r="M126" i="45" s="1"/>
  <c r="I125" i="45"/>
  <c r="I124" i="45"/>
  <c r="I123" i="45"/>
  <c r="I122" i="45"/>
  <c r="M122" i="45" s="1"/>
  <c r="I121" i="45"/>
  <c r="I120" i="45"/>
  <c r="I119" i="45"/>
  <c r="M119" i="45" s="1"/>
  <c r="I118" i="45"/>
  <c r="M118" i="45" s="1"/>
  <c r="I117" i="45"/>
  <c r="I116" i="45"/>
  <c r="I115" i="45"/>
  <c r="I114" i="45"/>
  <c r="M114" i="45" s="1"/>
  <c r="I113" i="45"/>
  <c r="I112" i="45"/>
  <c r="I111" i="45"/>
  <c r="I110" i="45"/>
  <c r="M110" i="45" s="1"/>
  <c r="I109" i="45"/>
  <c r="I108" i="45"/>
  <c r="I107" i="45"/>
  <c r="M107" i="45" s="1"/>
  <c r="I106" i="45"/>
  <c r="I105" i="45"/>
  <c r="I104" i="45"/>
  <c r="I103" i="45"/>
  <c r="I102" i="45"/>
  <c r="M102" i="45" s="1"/>
  <c r="I101" i="45"/>
  <c r="I100" i="45"/>
  <c r="I99" i="45"/>
  <c r="I98" i="45"/>
  <c r="M98" i="45" s="1"/>
  <c r="I97" i="45"/>
  <c r="I96" i="45"/>
  <c r="I94" i="45"/>
  <c r="I93" i="45"/>
  <c r="M93" i="45" s="1"/>
  <c r="I92" i="45"/>
  <c r="I91" i="45"/>
  <c r="I90" i="45"/>
  <c r="M90" i="45" s="1"/>
  <c r="I89" i="45"/>
  <c r="I88" i="45"/>
  <c r="I87" i="45"/>
  <c r="I86" i="45"/>
  <c r="I85" i="45"/>
  <c r="M85" i="45" s="1"/>
  <c r="I84" i="45"/>
  <c r="I83" i="45"/>
  <c r="I82" i="45"/>
  <c r="M82" i="45" s="1"/>
  <c r="I81" i="45"/>
  <c r="M81" i="45" s="1"/>
  <c r="I80" i="45"/>
  <c r="I79" i="45"/>
  <c r="I78" i="45"/>
  <c r="I77" i="45"/>
  <c r="M77" i="45" s="1"/>
  <c r="I76" i="45"/>
  <c r="I75" i="45"/>
  <c r="I74" i="45"/>
  <c r="M74" i="45" s="1"/>
  <c r="I73" i="45"/>
  <c r="M73" i="45" s="1"/>
  <c r="I72" i="45"/>
  <c r="I71" i="45"/>
  <c r="I70" i="45"/>
  <c r="I69" i="45"/>
  <c r="M69" i="45" s="1"/>
  <c r="I68" i="45"/>
  <c r="I67" i="45"/>
  <c r="I66" i="45"/>
  <c r="M66" i="45" s="1"/>
  <c r="I65" i="45"/>
  <c r="M65" i="45" s="1"/>
  <c r="I64" i="45"/>
  <c r="I63" i="45"/>
  <c r="I62" i="45"/>
  <c r="M62" i="45" s="1"/>
  <c r="I61" i="45"/>
  <c r="I60" i="45"/>
  <c r="I59" i="45"/>
  <c r="I58" i="45"/>
  <c r="I57" i="45"/>
  <c r="M57" i="45" s="1"/>
  <c r="I55" i="45"/>
  <c r="I54" i="45"/>
  <c r="I53" i="45"/>
  <c r="I52" i="45"/>
  <c r="M52" i="45" s="1"/>
  <c r="I51" i="45"/>
  <c r="I50" i="45"/>
  <c r="I49" i="45"/>
  <c r="I48" i="45"/>
  <c r="M48" i="45" s="1"/>
  <c r="I47" i="45"/>
  <c r="I46" i="45"/>
  <c r="I45" i="45"/>
  <c r="I44" i="45"/>
  <c r="I43" i="45"/>
  <c r="I41" i="45"/>
  <c r="I40" i="45"/>
  <c r="I39" i="45"/>
  <c r="M39" i="45" s="1"/>
  <c r="I38" i="45"/>
  <c r="I37" i="45"/>
  <c r="I36" i="45"/>
  <c r="I35" i="45"/>
  <c r="M35" i="45" s="1"/>
  <c r="I34" i="45"/>
  <c r="I9" i="45"/>
  <c r="L359" i="45" l="1"/>
  <c r="L15" i="45" s="1"/>
  <c r="M40" i="45"/>
  <c r="M45" i="45"/>
  <c r="M86" i="45"/>
  <c r="M115" i="45"/>
  <c r="M127" i="45"/>
  <c r="M149" i="45"/>
  <c r="M41" i="45"/>
  <c r="M46" i="45"/>
  <c r="M50" i="45"/>
  <c r="M71" i="45"/>
  <c r="M83" i="45"/>
  <c r="M87" i="45"/>
  <c r="M104" i="45"/>
  <c r="M252" i="45"/>
  <c r="M49" i="45"/>
  <c r="M53" i="45"/>
  <c r="M111" i="45"/>
  <c r="M144" i="45"/>
  <c r="M274" i="45"/>
  <c r="M358" i="45"/>
  <c r="M258" i="45"/>
  <c r="M34" i="45"/>
  <c r="M43" i="45"/>
  <c r="M47" i="45"/>
  <c r="M51" i="45"/>
  <c r="M55" i="45"/>
  <c r="M60" i="45"/>
  <c r="M64" i="45"/>
  <c r="M76" i="45"/>
  <c r="M80" i="45"/>
  <c r="M84" i="45"/>
  <c r="M88" i="45"/>
  <c r="M92" i="45"/>
  <c r="M97" i="45"/>
  <c r="M109" i="45"/>
  <c r="M113" i="45"/>
  <c r="M117" i="45"/>
  <c r="M121" i="45"/>
  <c r="M125" i="45"/>
  <c r="M138" i="45"/>
  <c r="M142" i="45"/>
  <c r="M146" i="45"/>
  <c r="M151" i="45"/>
  <c r="M155" i="45"/>
  <c r="M159" i="45"/>
  <c r="M172" i="45"/>
  <c r="M176" i="45"/>
  <c r="M180" i="45"/>
  <c r="M190" i="45"/>
  <c r="M194" i="45"/>
  <c r="M198" i="45"/>
  <c r="M215" i="45"/>
  <c r="M228" i="45"/>
  <c r="M232" i="45"/>
  <c r="M236" i="45"/>
  <c r="M243" i="45"/>
  <c r="M91" i="45"/>
  <c r="M68" i="45"/>
  <c r="M72" i="45"/>
  <c r="M129" i="45"/>
  <c r="M133" i="45"/>
  <c r="M207" i="45"/>
  <c r="M301" i="45"/>
  <c r="M328" i="45"/>
  <c r="M265" i="45"/>
  <c r="M195" i="45"/>
  <c r="L261" i="45"/>
  <c r="L11" i="45" s="1"/>
  <c r="M249" i="45"/>
  <c r="L275" i="45"/>
  <c r="L12" i="45" s="1"/>
  <c r="M108" i="45"/>
  <c r="M112" i="45"/>
  <c r="M116" i="45"/>
  <c r="M128" i="45"/>
  <c r="M132" i="45"/>
  <c r="M145" i="45"/>
  <c r="M158" i="45"/>
  <c r="M184" i="45"/>
  <c r="M235" i="45"/>
  <c r="M250" i="45"/>
  <c r="M37" i="45"/>
  <c r="M79" i="45"/>
  <c r="M96" i="45"/>
  <c r="I359" i="45"/>
  <c r="I15" i="45" s="1"/>
  <c r="M141" i="45"/>
  <c r="M296" i="45"/>
  <c r="M99" i="45"/>
  <c r="M100" i="45"/>
  <c r="M148" i="45"/>
  <c r="M206" i="45"/>
  <c r="M234" i="45"/>
  <c r="M300" i="45"/>
  <c r="M348" i="45"/>
  <c r="M137" i="45"/>
  <c r="M185" i="45"/>
  <c r="M273" i="45"/>
  <c r="M44" i="45"/>
  <c r="M63" i="45"/>
  <c r="M101" i="45"/>
  <c r="M197" i="45"/>
  <c r="M290" i="45"/>
  <c r="M67" i="45"/>
  <c r="M75" i="45"/>
  <c r="M94" i="45"/>
  <c r="M105" i="45"/>
  <c r="M123" i="45"/>
  <c r="M153" i="45"/>
  <c r="M200" i="45"/>
  <c r="M211" i="45"/>
  <c r="M229" i="45"/>
  <c r="M294" i="45"/>
  <c r="M311" i="45"/>
  <c r="M36" i="45"/>
  <c r="M38" i="45"/>
  <c r="M58" i="45"/>
  <c r="M106" i="45"/>
  <c r="M124" i="45"/>
  <c r="M154" i="45"/>
  <c r="M201" i="45"/>
  <c r="M212" i="45"/>
  <c r="M230" i="45"/>
  <c r="M295" i="45"/>
  <c r="M312" i="45"/>
  <c r="M353" i="45"/>
  <c r="M150" i="45"/>
  <c r="M120" i="45"/>
  <c r="M54" i="45"/>
  <c r="M140" i="45"/>
  <c r="M103" i="45"/>
  <c r="M59" i="45"/>
  <c r="M203" i="45"/>
  <c r="M231" i="45"/>
  <c r="M78" i="45"/>
  <c r="M61" i="45"/>
  <c r="M70" i="45"/>
  <c r="M136" i="45"/>
  <c r="M245" i="45"/>
  <c r="M272" i="45"/>
  <c r="M343" i="45"/>
  <c r="M355" i="45"/>
  <c r="I344" i="45"/>
  <c r="M339" i="45"/>
  <c r="M315" i="45"/>
  <c r="L164" i="45"/>
  <c r="M270" i="45"/>
  <c r="M259" i="45"/>
  <c r="M349" i="45"/>
  <c r="L333" i="45"/>
  <c r="L13" i="45" s="1"/>
  <c r="L344" i="45"/>
  <c r="L14" i="45" s="1"/>
  <c r="M363" i="45"/>
  <c r="I16" i="45"/>
  <c r="M16" i="45" s="1"/>
  <c r="L223" i="45"/>
  <c r="L10" i="45" s="1"/>
  <c r="M89" i="45"/>
  <c r="I261" i="45"/>
  <c r="I223" i="45"/>
  <c r="I333" i="45"/>
  <c r="I275" i="45"/>
  <c r="M336" i="45"/>
  <c r="M362" i="45"/>
  <c r="M15" i="45" l="1"/>
  <c r="M359" i="45"/>
  <c r="M333" i="45"/>
  <c r="I13" i="45"/>
  <c r="M13" i="45" s="1"/>
  <c r="I10" i="45"/>
  <c r="M223" i="45"/>
  <c r="L9" i="45"/>
  <c r="M164" i="45"/>
  <c r="M275" i="45"/>
  <c r="I12" i="45"/>
  <c r="M12" i="45" s="1"/>
  <c r="M261" i="45"/>
  <c r="I11" i="45"/>
  <c r="M11" i="45" s="1"/>
  <c r="M344" i="45"/>
  <c r="I14" i="45"/>
  <c r="M14" i="45" s="1"/>
  <c r="L18" i="45" l="1"/>
  <c r="M9" i="45"/>
  <c r="M10" i="45"/>
  <c r="I18" i="45"/>
  <c r="M18" i="45" l="1"/>
  <c r="M207" i="9" l="1"/>
  <c r="M204" i="9"/>
  <c r="M203" i="9"/>
  <c r="M202" i="9"/>
  <c r="M201" i="9"/>
  <c r="M200" i="9"/>
  <c r="I192" i="9"/>
  <c r="M191" i="9"/>
  <c r="M190" i="9"/>
  <c r="I185" i="9"/>
  <c r="M184" i="9"/>
  <c r="M183" i="9"/>
  <c r="M182" i="9"/>
  <c r="I180" i="9"/>
  <c r="M180" i="9" s="1"/>
  <c r="M179" i="9"/>
  <c r="M178" i="9"/>
  <c r="M177" i="9"/>
  <c r="M176" i="9"/>
  <c r="M175" i="9"/>
  <c r="M174" i="9"/>
  <c r="M173" i="9"/>
  <c r="M172" i="9"/>
  <c r="M168" i="9"/>
  <c r="M167" i="9"/>
  <c r="M166" i="9"/>
  <c r="M165" i="9"/>
  <c r="M164" i="9"/>
  <c r="M163" i="9"/>
  <c r="M162" i="9"/>
  <c r="M161" i="9"/>
  <c r="M160" i="9"/>
  <c r="M159" i="9"/>
  <c r="M158" i="9"/>
  <c r="I153" i="9"/>
  <c r="M152" i="9"/>
  <c r="M151" i="9"/>
  <c r="I146" i="9"/>
  <c r="M145" i="9"/>
  <c r="M144" i="9"/>
  <c r="I140" i="9"/>
  <c r="M139" i="9"/>
  <c r="M138" i="9"/>
  <c r="M137" i="9"/>
  <c r="I132" i="9"/>
  <c r="M131" i="9"/>
  <c r="M130" i="9"/>
  <c r="I125" i="9"/>
  <c r="M124" i="9"/>
  <c r="M123" i="9"/>
  <c r="I118" i="9"/>
  <c r="M117" i="9"/>
  <c r="M116" i="9"/>
  <c r="M115" i="9"/>
  <c r="M114" i="9"/>
  <c r="M113" i="9"/>
  <c r="M112" i="9"/>
  <c r="M110" i="9"/>
  <c r="M109" i="9"/>
  <c r="M108" i="9"/>
  <c r="M107" i="9"/>
  <c r="M106" i="9"/>
  <c r="M105" i="9"/>
  <c r="M104" i="9"/>
  <c r="M103" i="9"/>
  <c r="M102" i="9"/>
  <c r="M101" i="9"/>
  <c r="M100" i="9"/>
  <c r="I95" i="9"/>
  <c r="M94" i="9"/>
  <c r="M93" i="9"/>
  <c r="M92" i="9"/>
  <c r="M91" i="9"/>
  <c r="M90" i="9"/>
  <c r="M89" i="9"/>
  <c r="M85" i="9"/>
  <c r="M84" i="9"/>
  <c r="M83" i="9"/>
  <c r="M82" i="9"/>
  <c r="M81" i="9"/>
  <c r="M80" i="9"/>
  <c r="M79" i="9"/>
  <c r="M78" i="9"/>
  <c r="M77" i="9"/>
  <c r="M76" i="9"/>
  <c r="M75" i="9"/>
  <c r="I70" i="9"/>
  <c r="M69" i="9"/>
  <c r="M68" i="9"/>
  <c r="M66" i="9"/>
  <c r="M65" i="9"/>
  <c r="M64" i="9"/>
  <c r="M63" i="9"/>
  <c r="M62" i="9"/>
  <c r="M61" i="9"/>
  <c r="I55" i="9"/>
  <c r="M54" i="9"/>
  <c r="M53" i="9"/>
  <c r="M51" i="9"/>
  <c r="M50" i="9"/>
  <c r="M49" i="9"/>
  <c r="M48" i="9"/>
  <c r="M47" i="9"/>
  <c r="M46" i="9"/>
  <c r="M40" i="9"/>
  <c r="M38" i="9"/>
  <c r="M37" i="9"/>
  <c r="M36" i="9"/>
  <c r="M35" i="9"/>
  <c r="M34" i="9"/>
  <c r="M33" i="9"/>
  <c r="K166" i="35"/>
  <c r="L166" i="35"/>
  <c r="K165" i="35"/>
  <c r="K164" i="35"/>
  <c r="K163" i="35"/>
  <c r="K162" i="35"/>
  <c r="L162" i="35" s="1"/>
  <c r="K161" i="35"/>
  <c r="K160" i="35"/>
  <c r="K159" i="35"/>
  <c r="K158" i="35"/>
  <c r="K157" i="35"/>
  <c r="K156" i="35"/>
  <c r="K155" i="35"/>
  <c r="K153" i="35"/>
  <c r="L153" i="35" s="1"/>
  <c r="K152" i="35"/>
  <c r="K151" i="35"/>
  <c r="K150" i="35"/>
  <c r="K149" i="35"/>
  <c r="L149" i="35" s="1"/>
  <c r="K148" i="35"/>
  <c r="K147" i="35"/>
  <c r="K146" i="35"/>
  <c r="K145" i="35"/>
  <c r="L145" i="35" s="1"/>
  <c r="K144" i="35"/>
  <c r="K143" i="35"/>
  <c r="K142" i="35"/>
  <c r="K140" i="35"/>
  <c r="L140" i="35" s="1"/>
  <c r="K139" i="35"/>
  <c r="K138" i="35"/>
  <c r="K137" i="35"/>
  <c r="K136" i="35"/>
  <c r="L136" i="35" s="1"/>
  <c r="K135" i="35"/>
  <c r="K134" i="35"/>
  <c r="K133" i="35"/>
  <c r="K132" i="35"/>
  <c r="L132" i="35" s="1"/>
  <c r="K131" i="35"/>
  <c r="K130" i="35"/>
  <c r="K129" i="35"/>
  <c r="K128" i="35"/>
  <c r="L128" i="35" s="1"/>
  <c r="K127" i="35"/>
  <c r="K126" i="35"/>
  <c r="K125" i="35"/>
  <c r="K124" i="35"/>
  <c r="L124" i="35" s="1"/>
  <c r="K123" i="35"/>
  <c r="K122" i="35"/>
  <c r="K121" i="35"/>
  <c r="K120" i="35"/>
  <c r="L120" i="35" s="1"/>
  <c r="K119" i="35"/>
  <c r="K118" i="35"/>
  <c r="K117" i="35"/>
  <c r="K116" i="35"/>
  <c r="L116" i="35" s="1"/>
  <c r="K115" i="35"/>
  <c r="K114" i="35"/>
  <c r="K113" i="35"/>
  <c r="K112" i="35"/>
  <c r="L112" i="35" s="1"/>
  <c r="K111" i="35"/>
  <c r="K110" i="35"/>
  <c r="K109" i="35"/>
  <c r="K108" i="35"/>
  <c r="K107" i="35"/>
  <c r="K106" i="35"/>
  <c r="K105" i="35"/>
  <c r="K104" i="35"/>
  <c r="L104" i="35" s="1"/>
  <c r="K103" i="35"/>
  <c r="K101" i="35"/>
  <c r="K100" i="35"/>
  <c r="K99" i="35"/>
  <c r="L99" i="35" s="1"/>
  <c r="K98" i="35"/>
  <c r="K97" i="35"/>
  <c r="K96" i="35"/>
  <c r="K95" i="35"/>
  <c r="L95" i="35" s="1"/>
  <c r="K94" i="35"/>
  <c r="K93" i="35"/>
  <c r="K92" i="35"/>
  <c r="K91" i="35"/>
  <c r="K90" i="35"/>
  <c r="K89" i="35"/>
  <c r="K88" i="35"/>
  <c r="K87" i="35"/>
  <c r="L87" i="35" s="1"/>
  <c r="K86" i="35"/>
  <c r="K85" i="35"/>
  <c r="K84" i="35"/>
  <c r="K83" i="35"/>
  <c r="L83" i="35" s="1"/>
  <c r="K82" i="35"/>
  <c r="K81" i="35"/>
  <c r="L81" i="35" s="1"/>
  <c r="K80" i="35"/>
  <c r="K79" i="35"/>
  <c r="K78" i="35"/>
  <c r="K77" i="35"/>
  <c r="K76" i="35"/>
  <c r="K75" i="35"/>
  <c r="K74" i="35"/>
  <c r="K73" i="35"/>
  <c r="K72" i="35"/>
  <c r="K71" i="35"/>
  <c r="K70" i="35"/>
  <c r="K69" i="35"/>
  <c r="K68" i="35"/>
  <c r="K67" i="35"/>
  <c r="L67" i="35" s="1"/>
  <c r="K66" i="35"/>
  <c r="L66" i="35" s="1"/>
  <c r="K65" i="35"/>
  <c r="K64" i="35"/>
  <c r="K62" i="35"/>
  <c r="L62" i="35" s="1"/>
  <c r="K61" i="35"/>
  <c r="K60" i="35"/>
  <c r="K59" i="35"/>
  <c r="K58" i="35"/>
  <c r="L58" i="35" s="1"/>
  <c r="K57" i="35"/>
  <c r="L57" i="35" s="1"/>
  <c r="K56" i="35"/>
  <c r="K55" i="35"/>
  <c r="K54" i="35"/>
  <c r="L54" i="35" s="1"/>
  <c r="K53" i="35"/>
  <c r="K52" i="35"/>
  <c r="K51" i="35"/>
  <c r="K50" i="35"/>
  <c r="L50" i="35" s="1"/>
  <c r="K48" i="35"/>
  <c r="K47" i="35"/>
  <c r="K46" i="35"/>
  <c r="K45" i="35"/>
  <c r="L45" i="35" s="1"/>
  <c r="K44" i="35"/>
  <c r="L44" i="35" s="1"/>
  <c r="K43" i="35"/>
  <c r="L43" i="35" s="1"/>
  <c r="K42" i="35"/>
  <c r="K41" i="35"/>
  <c r="K36" i="35"/>
  <c r="L36" i="35" s="1"/>
  <c r="L37" i="35" s="1"/>
  <c r="L11" i="35" s="1"/>
  <c r="L32" i="35"/>
  <c r="L33" i="35" s="1"/>
  <c r="L10" i="35" s="1"/>
  <c r="M140" i="9" l="1"/>
  <c r="M185" i="9"/>
  <c r="M186" i="9" s="1"/>
  <c r="M20" i="9" s="1"/>
  <c r="Q20" i="9" s="1"/>
  <c r="L92" i="35"/>
  <c r="L96" i="35"/>
  <c r="L100" i="35"/>
  <c r="L113" i="35"/>
  <c r="L117" i="35"/>
  <c r="L121" i="35"/>
  <c r="L133" i="35"/>
  <c r="L142" i="35"/>
  <c r="L155" i="35"/>
  <c r="L47" i="35"/>
  <c r="L164" i="35"/>
  <c r="L78" i="35"/>
  <c r="L160" i="35"/>
  <c r="L82" i="35"/>
  <c r="L86" i="35"/>
  <c r="L90" i="35"/>
  <c r="L98" i="35"/>
  <c r="L103" i="35"/>
  <c r="L107" i="35"/>
  <c r="L119" i="35"/>
  <c r="L123" i="35"/>
  <c r="L131" i="35"/>
  <c r="L144" i="35"/>
  <c r="L152" i="35"/>
  <c r="L51" i="35"/>
  <c r="L55" i="35"/>
  <c r="L59" i="35"/>
  <c r="L76" i="35"/>
  <c r="L85" i="35"/>
  <c r="L89" i="35"/>
  <c r="L93" i="35"/>
  <c r="L97" i="35"/>
  <c r="L101" i="35"/>
  <c r="L106" i="35"/>
  <c r="L114" i="35"/>
  <c r="L118" i="35"/>
  <c r="L122" i="35"/>
  <c r="L126" i="35"/>
  <c r="L134" i="35"/>
  <c r="L138" i="35"/>
  <c r="L143" i="35"/>
  <c r="L151" i="35"/>
  <c r="L156" i="35"/>
  <c r="L71" i="35"/>
  <c r="L75" i="35"/>
  <c r="L79" i="35"/>
  <c r="L161" i="35"/>
  <c r="L165" i="35"/>
  <c r="M141" i="9"/>
  <c r="M17" i="9" s="1"/>
  <c r="Q17" i="9" s="1"/>
  <c r="L80" i="35"/>
  <c r="L56" i="35"/>
  <c r="L60" i="35"/>
  <c r="L65" i="35"/>
  <c r="L73" i="35"/>
  <c r="L77" i="35"/>
  <c r="L88" i="35"/>
  <c r="L109" i="35"/>
  <c r="L150" i="35"/>
  <c r="L163" i="35"/>
  <c r="M70" i="9"/>
  <c r="M71" i="9" s="1"/>
  <c r="M12" i="9" s="1"/>
  <c r="Q12" i="9" s="1"/>
  <c r="M132" i="9"/>
  <c r="M133" i="9" s="1"/>
  <c r="M16" i="9" s="1"/>
  <c r="Q16" i="9" s="1"/>
  <c r="L42" i="35"/>
  <c r="M41" i="9"/>
  <c r="M42" i="9" s="1"/>
  <c r="M10" i="9" s="1"/>
  <c r="Q10" i="9" s="1"/>
  <c r="L115" i="35"/>
  <c r="L125" i="35"/>
  <c r="M192" i="9"/>
  <c r="M193" i="9" s="1"/>
  <c r="M21" i="9" s="1"/>
  <c r="Q21" i="9" s="1"/>
  <c r="L48" i="35"/>
  <c r="L69" i="35"/>
  <c r="L108" i="35"/>
  <c r="L127" i="35"/>
  <c r="L137" i="35"/>
  <c r="L147" i="35"/>
  <c r="L158" i="35"/>
  <c r="M95" i="9"/>
  <c r="M96" i="9" s="1"/>
  <c r="M13" i="9" s="1"/>
  <c r="Q13" i="9" s="1"/>
  <c r="L105" i="35"/>
  <c r="L146" i="35"/>
  <c r="L70" i="35"/>
  <c r="L148" i="35"/>
  <c r="L159" i="35"/>
  <c r="M55" i="9"/>
  <c r="M56" i="9" s="1"/>
  <c r="M11" i="9" s="1"/>
  <c r="Q11" i="9" s="1"/>
  <c r="L53" i="35"/>
  <c r="L64" i="35"/>
  <c r="L74" i="35"/>
  <c r="L68" i="35"/>
  <c r="M125" i="9"/>
  <c r="M126" i="9" s="1"/>
  <c r="M15" i="9" s="1"/>
  <c r="Q15" i="9" s="1"/>
  <c r="M146" i="9"/>
  <c r="M147" i="9" s="1"/>
  <c r="M18" i="9" s="1"/>
  <c r="Q18" i="9" s="1"/>
  <c r="L110" i="35"/>
  <c r="M153" i="9"/>
  <c r="M154" i="9" s="1"/>
  <c r="M19" i="9" s="1"/>
  <c r="Q19" i="9" s="1"/>
  <c r="L84" i="35"/>
  <c r="L94" i="35"/>
  <c r="L135" i="35"/>
  <c r="L129" i="35"/>
  <c r="L139" i="35"/>
  <c r="M205" i="9"/>
  <c r="M208" i="9" s="1"/>
  <c r="M22" i="9" s="1"/>
  <c r="Q22" i="9" s="1"/>
  <c r="L46" i="35"/>
  <c r="L157" i="35"/>
  <c r="M118" i="9"/>
  <c r="L41" i="35"/>
  <c r="L52" i="35"/>
  <c r="L61" i="35"/>
  <c r="L72" i="35"/>
  <c r="L91" i="35"/>
  <c r="L111" i="35"/>
  <c r="L130" i="35"/>
  <c r="M119" i="9"/>
  <c r="M14" i="9" s="1"/>
  <c r="Q14" i="9" s="1"/>
  <c r="L167" i="35" l="1"/>
  <c r="L12" i="35" s="1"/>
  <c r="L14" i="35" s="1"/>
  <c r="M24" i="9"/>
  <c r="Q24" i="9" s="1"/>
  <c r="L81" i="38" l="1"/>
  <c r="L80" i="38"/>
  <c r="M80" i="38"/>
  <c r="L79" i="38"/>
  <c r="L78" i="38"/>
  <c r="L77" i="38"/>
  <c r="M77" i="38"/>
  <c r="L75" i="38"/>
  <c r="L73" i="38"/>
  <c r="M66" i="38"/>
  <c r="M65" i="38"/>
  <c r="M62" i="38"/>
  <c r="L44" i="38"/>
  <c r="M44" i="38"/>
  <c r="M43" i="38"/>
  <c r="M41" i="38"/>
  <c r="M37" i="38"/>
  <c r="M55" i="37"/>
  <c r="M13" i="37" s="1"/>
  <c r="M50" i="37"/>
  <c r="M47" i="37"/>
  <c r="M37" i="37"/>
  <c r="M33" i="37"/>
  <c r="M78" i="38" l="1"/>
  <c r="M38" i="38"/>
  <c r="M61" i="38"/>
  <c r="M67" i="38"/>
  <c r="M73" i="38"/>
  <c r="M81" i="38"/>
  <c r="M43" i="37"/>
  <c r="M44" i="37" s="1"/>
  <c r="M11" i="37" s="1"/>
  <c r="M68" i="38"/>
  <c r="M38" i="37"/>
  <c r="M40" i="37" s="1"/>
  <c r="M10" i="37" s="1"/>
  <c r="M49" i="37"/>
  <c r="M69" i="38"/>
  <c r="M35" i="38"/>
  <c r="M71" i="38"/>
  <c r="M75" i="38"/>
  <c r="M79" i="38"/>
  <c r="M48" i="37"/>
  <c r="M46" i="38" l="1"/>
  <c r="M10" i="38" s="1"/>
  <c r="M82" i="38"/>
  <c r="M11" i="38" s="1"/>
  <c r="M51" i="37"/>
  <c r="M12" i="37" s="1"/>
  <c r="M15" i="37" s="1"/>
  <c r="M13" i="38" l="1"/>
  <c r="D1" i="37"/>
  <c r="C5" i="18" l="1"/>
  <c r="C4" i="18"/>
  <c r="D2" i="35"/>
  <c r="D2" i="37"/>
  <c r="D2" i="45"/>
  <c r="D1" i="45"/>
  <c r="D2" i="47"/>
  <c r="D1" i="47"/>
  <c r="D2" i="48"/>
  <c r="D1" i="48"/>
  <c r="D1" i="35" l="1"/>
  <c r="D1" i="38"/>
  <c r="D1" i="5"/>
  <c r="D1" i="9"/>
  <c r="D2" i="5"/>
  <c r="D2" i="9"/>
  <c r="D2" i="38"/>
  <c r="L348" i="5" l="1"/>
  <c r="K347" i="5"/>
  <c r="K345" i="5"/>
  <c r="K344" i="5"/>
  <c r="L344" i="5"/>
  <c r="K343" i="5"/>
  <c r="K342" i="5"/>
  <c r="L342" i="5"/>
  <c r="K341" i="5"/>
  <c r="L341" i="5"/>
  <c r="K340" i="5"/>
  <c r="L340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L299" i="5"/>
  <c r="L297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76" i="5"/>
  <c r="L275" i="5"/>
  <c r="L274" i="5"/>
  <c r="L272" i="5"/>
  <c r="L271" i="5"/>
  <c r="L270" i="5"/>
  <c r="L269" i="5"/>
  <c r="L268" i="5"/>
  <c r="L266" i="5"/>
  <c r="L265" i="5"/>
  <c r="L264" i="5"/>
  <c r="L263" i="5"/>
  <c r="L262" i="5"/>
  <c r="L260" i="5"/>
  <c r="L259" i="5"/>
  <c r="L258" i="5"/>
  <c r="L257" i="5"/>
  <c r="L255" i="5"/>
  <c r="L254" i="5"/>
  <c r="L253" i="5"/>
  <c r="L252" i="5"/>
  <c r="L251" i="5"/>
  <c r="L250" i="5"/>
  <c r="L248" i="5"/>
  <c r="L247" i="5"/>
  <c r="L246" i="5"/>
  <c r="L244" i="5"/>
  <c r="L243" i="5"/>
  <c r="L242" i="5"/>
  <c r="L241" i="5"/>
  <c r="L239" i="5"/>
  <c r="L238" i="5"/>
  <c r="L237" i="5"/>
  <c r="L235" i="5"/>
  <c r="L234" i="5"/>
  <c r="L233" i="5"/>
  <c r="L232" i="5"/>
  <c r="L230" i="5"/>
  <c r="L229" i="5"/>
  <c r="L225" i="5"/>
  <c r="L224" i="5"/>
  <c r="L222" i="5"/>
  <c r="L220" i="5"/>
  <c r="L219" i="5"/>
  <c r="L218" i="5"/>
  <c r="L217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181" i="5"/>
  <c r="L180" i="5"/>
  <c r="L179" i="5"/>
  <c r="L177" i="5"/>
  <c r="L176" i="5"/>
  <c r="L175" i="5"/>
  <c r="L174" i="5"/>
  <c r="L173" i="5"/>
  <c r="L172" i="5"/>
  <c r="L169" i="5"/>
  <c r="L167" i="5"/>
  <c r="L166" i="5"/>
  <c r="L165" i="5"/>
  <c r="L164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1" i="5"/>
  <c r="L140" i="5"/>
  <c r="L139" i="5"/>
  <c r="L137" i="5"/>
  <c r="L136" i="5"/>
  <c r="L135" i="5"/>
  <c r="L133" i="5"/>
  <c r="L132" i="5"/>
  <c r="L131" i="5"/>
  <c r="L129" i="5"/>
  <c r="L128" i="5"/>
  <c r="L127" i="5"/>
  <c r="L126" i="5"/>
  <c r="L125" i="5"/>
  <c r="L123" i="5"/>
  <c r="L121" i="5"/>
  <c r="L120" i="5"/>
  <c r="L119" i="5"/>
  <c r="L118" i="5"/>
  <c r="L116" i="5"/>
  <c r="L113" i="5"/>
  <c r="L112" i="5"/>
  <c r="L110" i="5"/>
  <c r="L109" i="5"/>
  <c r="L108" i="5"/>
  <c r="L107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3" i="5"/>
  <c r="L82" i="5"/>
  <c r="L81" i="5"/>
  <c r="L80" i="5"/>
  <c r="L78" i="5"/>
  <c r="L77" i="5"/>
  <c r="L76" i="5"/>
  <c r="L75" i="5"/>
  <c r="L73" i="5"/>
  <c r="L67" i="5"/>
  <c r="L65" i="5"/>
  <c r="L64" i="5"/>
  <c r="L62" i="5"/>
  <c r="L61" i="5"/>
  <c r="L60" i="5"/>
  <c r="L57" i="5"/>
  <c r="L56" i="5"/>
  <c r="L54" i="5"/>
  <c r="L53" i="5"/>
  <c r="L52" i="5"/>
  <c r="L51" i="5"/>
  <c r="L49" i="5"/>
  <c r="L48" i="5"/>
  <c r="L47" i="5"/>
  <c r="L45" i="5"/>
  <c r="L44" i="5"/>
  <c r="L43" i="5"/>
  <c r="L42" i="5"/>
  <c r="L40" i="5"/>
  <c r="L39" i="5"/>
  <c r="L38" i="5"/>
  <c r="L37" i="5"/>
  <c r="L36" i="5"/>
  <c r="L35" i="5"/>
  <c r="L34" i="5"/>
  <c r="L33" i="5"/>
  <c r="H310" i="5" l="1"/>
  <c r="I310" i="5" s="1"/>
  <c r="L310" i="5" s="1"/>
  <c r="H311" i="5"/>
  <c r="I311" i="5" s="1"/>
  <c r="L311" i="5" s="1"/>
  <c r="H312" i="5"/>
  <c r="I312" i="5" s="1"/>
  <c r="L312" i="5" s="1"/>
  <c r="H313" i="5"/>
  <c r="I313" i="5" s="1"/>
  <c r="L313" i="5" s="1"/>
  <c r="H314" i="5"/>
  <c r="I314" i="5" s="1"/>
  <c r="L314" i="5" s="1"/>
  <c r="H315" i="5"/>
  <c r="I315" i="5" s="1"/>
  <c r="L315" i="5" s="1"/>
  <c r="H316" i="5"/>
  <c r="I316" i="5" s="1"/>
  <c r="L316" i="5" s="1"/>
  <c r="H317" i="5"/>
  <c r="I317" i="5" s="1"/>
  <c r="L317" i="5" s="1"/>
  <c r="H318" i="5"/>
  <c r="I318" i="5" s="1"/>
  <c r="L318" i="5" s="1"/>
  <c r="H319" i="5"/>
  <c r="I319" i="5" s="1"/>
  <c r="L319" i="5" s="1"/>
  <c r="H320" i="5"/>
  <c r="I320" i="5" s="1"/>
  <c r="L320" i="5" s="1"/>
  <c r="H321" i="5"/>
  <c r="I321" i="5" s="1"/>
  <c r="L321" i="5" s="1"/>
  <c r="H322" i="5"/>
  <c r="I322" i="5" s="1"/>
  <c r="L322" i="5" s="1"/>
  <c r="H323" i="5"/>
  <c r="I323" i="5" s="1"/>
  <c r="L323" i="5" s="1"/>
  <c r="H324" i="5"/>
  <c r="I324" i="5" s="1"/>
  <c r="L324" i="5" s="1"/>
  <c r="H325" i="5"/>
  <c r="I325" i="5" s="1"/>
  <c r="L325" i="5" s="1"/>
  <c r="H326" i="5"/>
  <c r="I326" i="5" s="1"/>
  <c r="L326" i="5" s="1"/>
  <c r="H327" i="5"/>
  <c r="I327" i="5" s="1"/>
  <c r="L327" i="5" s="1"/>
  <c r="H328" i="5"/>
  <c r="I328" i="5" s="1"/>
  <c r="L328" i="5" s="1"/>
  <c r="H329" i="5"/>
  <c r="I329" i="5" s="1"/>
  <c r="L329" i="5" s="1"/>
  <c r="H330" i="5"/>
  <c r="I330" i="5" s="1"/>
  <c r="L330" i="5" s="1"/>
  <c r="L345" i="5"/>
  <c r="L343" i="5"/>
  <c r="L347" i="5"/>
  <c r="L332" i="5"/>
  <c r="L15" i="5" s="1"/>
  <c r="L278" i="5"/>
  <c r="L13" i="5" s="1"/>
  <c r="L183" i="5"/>
  <c r="L12" i="5" s="1"/>
  <c r="L69" i="5"/>
  <c r="L10" i="5" s="1"/>
  <c r="L85" i="5"/>
  <c r="L11" i="5" s="1"/>
  <c r="L301" i="5"/>
  <c r="L14" i="5" s="1"/>
  <c r="L350" i="5" l="1"/>
  <c r="L16" i="5" s="1"/>
  <c r="L18" i="5"/>
  <c r="I16" i="50" l="1"/>
  <c r="I15" i="50"/>
  <c r="J14" i="50"/>
  <c r="K14" i="50" s="1"/>
  <c r="E14" i="50"/>
  <c r="I14" i="50" s="1"/>
  <c r="G13" i="50"/>
  <c r="H13" i="50" s="1"/>
  <c r="I13" i="50" s="1"/>
  <c r="M12" i="50"/>
  <c r="M11" i="50"/>
  <c r="I11" i="50"/>
  <c r="M10" i="50"/>
  <c r="I10" i="50"/>
  <c r="M9" i="50"/>
  <c r="I9" i="50"/>
  <c r="M8" i="50"/>
  <c r="I8" i="50"/>
  <c r="M7" i="50"/>
  <c r="I7" i="50"/>
  <c r="M6" i="50"/>
  <c r="I6" i="50"/>
  <c r="L14" i="50" l="1"/>
  <c r="M15" i="50"/>
  <c r="M16" i="50"/>
  <c r="M13" i="50"/>
  <c r="M14" i="50"/>
  <c r="M21" i="50" l="1"/>
  <c r="C9" i="18"/>
  <c r="C24" i="18"/>
  <c r="H10" i="21" l="1"/>
  <c r="H9" i="21"/>
  <c r="H8" i="21"/>
  <c r="H7" i="21"/>
  <c r="H6" i="21"/>
  <c r="H5" i="21"/>
  <c r="M283" i="4" l="1"/>
  <c r="M282" i="4"/>
  <c r="M281" i="4"/>
  <c r="M280" i="4"/>
  <c r="M279" i="4"/>
  <c r="M278" i="4"/>
  <c r="M277" i="4"/>
  <c r="M269" i="4"/>
  <c r="M268" i="4"/>
  <c r="M267" i="4"/>
  <c r="M266" i="4"/>
  <c r="M262" i="4"/>
  <c r="M261" i="4"/>
  <c r="M260" i="4"/>
  <c r="M259" i="4"/>
  <c r="M258" i="4"/>
  <c r="M253" i="4"/>
  <c r="M252" i="4"/>
  <c r="M247" i="4"/>
  <c r="M246" i="4"/>
  <c r="M245" i="4"/>
  <c r="M240" i="4"/>
  <c r="M239" i="4"/>
  <c r="M238" i="4"/>
  <c r="M231" i="4"/>
  <c r="M230" i="4"/>
  <c r="M225" i="4"/>
  <c r="M224" i="4"/>
  <c r="M223" i="4"/>
  <c r="M218" i="4"/>
  <c r="M217" i="4"/>
  <c r="M212" i="4"/>
  <c r="M211" i="4"/>
  <c r="M210" i="4"/>
  <c r="M209" i="4"/>
  <c r="M208" i="4"/>
  <c r="M203" i="4"/>
  <c r="M204" i="4" s="1"/>
  <c r="M21" i="4" s="1"/>
  <c r="Q21" i="4" s="1"/>
  <c r="M199" i="4"/>
  <c r="M198" i="4"/>
  <c r="M193" i="4"/>
  <c r="M194" i="4" s="1"/>
  <c r="M19" i="4" s="1"/>
  <c r="Q19" i="4" s="1"/>
  <c r="M188" i="4"/>
  <c r="M187" i="4"/>
  <c r="M157" i="4"/>
  <c r="M145" i="4"/>
  <c r="M144" i="4"/>
  <c r="M138" i="4"/>
  <c r="M139" i="4" s="1"/>
  <c r="M12" i="4" s="1"/>
  <c r="Q12" i="4" s="1"/>
  <c r="M133" i="4"/>
  <c r="M132" i="4"/>
  <c r="M127" i="4"/>
  <c r="M126" i="4"/>
  <c r="M128" i="4" s="1"/>
  <c r="M10" i="4" s="1"/>
  <c r="Q10" i="4" s="1"/>
  <c r="M121" i="4"/>
  <c r="M118" i="4"/>
  <c r="M109" i="4"/>
  <c r="M108" i="4"/>
  <c r="M107" i="4"/>
  <c r="M106" i="4"/>
  <c r="M101" i="4"/>
  <c r="M100" i="4"/>
  <c r="M95" i="4"/>
  <c r="M96" i="4" s="1"/>
  <c r="M6" i="4" s="1"/>
  <c r="Q6" i="4" s="1"/>
  <c r="M77" i="4"/>
  <c r="M69" i="4"/>
  <c r="M68" i="4"/>
  <c r="M67" i="4"/>
  <c r="M60" i="4"/>
  <c r="M226" i="4" l="1"/>
  <c r="M24" i="4" s="1"/>
  <c r="Q24" i="4" s="1"/>
  <c r="M189" i="4"/>
  <c r="M18" i="4" s="1"/>
  <c r="Q18" i="4" s="1"/>
  <c r="M134" i="4"/>
  <c r="M11" i="4" s="1"/>
  <c r="Q11" i="4" s="1"/>
  <c r="M62" i="4"/>
  <c r="M146" i="4"/>
  <c r="M13" i="4" s="1"/>
  <c r="Q13" i="4" s="1"/>
  <c r="M200" i="4"/>
  <c r="M20" i="4" s="1"/>
  <c r="Q20" i="4" s="1"/>
  <c r="M232" i="4"/>
  <c r="M27" i="4" s="1"/>
  <c r="Q27" i="4" s="1"/>
  <c r="M64" i="4"/>
  <c r="M254" i="4"/>
  <c r="M30" i="4" s="1"/>
  <c r="Q30" i="4" s="1"/>
  <c r="M213" i="4"/>
  <c r="M22" i="4" s="1"/>
  <c r="Q22" i="4" s="1"/>
  <c r="M248" i="4"/>
  <c r="M29" i="4" s="1"/>
  <c r="Q29" i="4" s="1"/>
  <c r="M270" i="4"/>
  <c r="M32" i="4" s="1"/>
  <c r="Q32" i="4" s="1"/>
  <c r="M178" i="4"/>
  <c r="M117" i="4"/>
  <c r="M102" i="4"/>
  <c r="M7" i="4" s="1"/>
  <c r="Q7" i="4" s="1"/>
  <c r="M150" i="4"/>
  <c r="M116" i="4"/>
  <c r="M180" i="4"/>
  <c r="M75" i="4"/>
  <c r="M153" i="4"/>
  <c r="M181" i="4"/>
  <c r="M154" i="4"/>
  <c r="M236" i="4"/>
  <c r="M241" i="4" s="1"/>
  <c r="M28" i="4" s="1"/>
  <c r="Q28" i="4" s="1"/>
  <c r="M273" i="4"/>
  <c r="M179" i="4"/>
  <c r="M79" i="4"/>
  <c r="M162" i="4"/>
  <c r="M163" i="4" s="1"/>
  <c r="M15" i="4" s="1"/>
  <c r="Q15" i="4" s="1"/>
  <c r="M119" i="4"/>
  <c r="M168" i="4"/>
  <c r="M169" i="4"/>
  <c r="M110" i="4"/>
  <c r="M8" i="4" s="1"/>
  <c r="Q8" i="4" s="1"/>
  <c r="M170" i="4"/>
  <c r="M152" i="4"/>
  <c r="M114" i="4"/>
  <c r="M74" i="4"/>
  <c r="M274" i="4"/>
  <c r="M83" i="4"/>
  <c r="M275" i="4"/>
  <c r="M171" i="4"/>
  <c r="M219" i="4"/>
  <c r="M23" i="4" s="1"/>
  <c r="Q23" i="4" s="1"/>
  <c r="M263" i="4"/>
  <c r="M31" i="4" s="1"/>
  <c r="Q31" i="4" s="1"/>
  <c r="M70" i="4" l="1"/>
  <c r="M4" i="4" s="1"/>
  <c r="M183" i="4"/>
  <c r="M17" i="4" s="1"/>
  <c r="Q17" i="4" s="1"/>
  <c r="M173" i="4"/>
  <c r="M16" i="4" s="1"/>
  <c r="Q16" i="4" s="1"/>
  <c r="M284" i="4"/>
  <c r="M33" i="4" s="1"/>
  <c r="Q33" i="4" s="1"/>
  <c r="M91" i="4"/>
  <c r="M158" i="4"/>
  <c r="M14" i="4" s="1"/>
  <c r="Q14" i="4" s="1"/>
  <c r="M122" i="4"/>
  <c r="M9" i="4" s="1"/>
  <c r="Q9" i="4" s="1"/>
  <c r="Q4" i="4" l="1"/>
  <c r="M5" i="4"/>
  <c r="Q5" i="4" s="1"/>
  <c r="G16" i="49"/>
  <c r="G17" i="49"/>
  <c r="M35" i="4" l="1"/>
  <c r="Q35" i="4" s="1"/>
  <c r="G7" i="21"/>
  <c r="B17" i="49" l="1"/>
  <c r="B16" i="49"/>
  <c r="D3" i="38" l="1"/>
  <c r="L2" i="38"/>
  <c r="D3" i="9"/>
  <c r="L2" i="9"/>
  <c r="D3" i="5"/>
  <c r="K2" i="5"/>
  <c r="D3" i="35"/>
  <c r="K2" i="35"/>
  <c r="C10" i="18"/>
  <c r="D3" i="37"/>
  <c r="L2" i="37"/>
  <c r="D3" i="45"/>
  <c r="L2" i="45"/>
  <c r="D3" i="47"/>
  <c r="L2" i="47"/>
  <c r="D3" i="48"/>
  <c r="L2" i="48"/>
  <c r="G8" i="21" l="1"/>
  <c r="G9" i="21" l="1"/>
  <c r="G10" i="21" l="1"/>
  <c r="I10" i="21" s="1"/>
  <c r="I8" i="21"/>
  <c r="C19" i="18" l="1"/>
  <c r="D19" i="18" s="1"/>
  <c r="E19" i="18" s="1"/>
  <c r="I7" i="21"/>
  <c r="C16" i="18" l="1"/>
  <c r="D16" i="18" s="1"/>
  <c r="E16" i="18" s="1"/>
  <c r="C17" i="18"/>
  <c r="D17" i="18" s="1"/>
  <c r="E17" i="18" s="1"/>
  <c r="G6" i="21"/>
  <c r="G11" i="21" s="1"/>
  <c r="G25" i="21" s="1"/>
  <c r="C18" i="18"/>
  <c r="I6" i="21" l="1"/>
  <c r="G5" i="21"/>
  <c r="I5" i="21" s="1"/>
  <c r="G4" i="21"/>
  <c r="D18" i="18"/>
  <c r="E18" i="18" s="1"/>
  <c r="E22" i="18" s="1"/>
  <c r="I4" i="21" l="1"/>
  <c r="C25" i="18" l="1"/>
  <c r="E17" i="49"/>
  <c r="H17" i="49" s="1"/>
  <c r="B23" i="18"/>
  <c r="I9" i="21"/>
  <c r="I18" i="21" s="1"/>
  <c r="E16" i="49" l="1"/>
  <c r="G21" i="21" l="1"/>
  <c r="G22" i="21" s="1"/>
  <c r="B19" i="21"/>
  <c r="H16" i="49"/>
  <c r="E19" i="49"/>
  <c r="H19" i="49" l="1"/>
  <c r="B20" i="49"/>
</calcChain>
</file>

<file path=xl/sharedStrings.xml><?xml version="1.0" encoding="utf-8"?>
<sst xmlns="http://schemas.openxmlformats.org/spreadsheetml/2006/main" count="11858" uniqueCount="2675">
  <si>
    <t>แบบ ปร.6</t>
  </si>
  <si>
    <t>แบบสรุปราคาค่าก่อสร้างงานอาคาร</t>
  </si>
  <si>
    <t>โครงการ</t>
  </si>
  <si>
    <t>Ratchadamnoen Knowledge &amp; Culture Avenue</t>
  </si>
  <si>
    <t>สถานที่ก่อสร้าง</t>
  </si>
  <si>
    <t>ถนนราชดำเนิน กรุงเทพ</t>
  </si>
  <si>
    <t>เจ้าของอาคาร</t>
  </si>
  <si>
    <t>สำนักงานบริหารและพัฒนาองค์ความรู้ (องค์การมหาชน)</t>
  </si>
  <si>
    <t>หน่วยงานออกแบบแปลนและรายการ</t>
  </si>
  <si>
    <t>บริษัท จีโอเดสิค ดีไซน์ จำกัด ,บริษัท เอ็มสเปซ จำกัด และบริษัท จั่นอาร์คิเทค จำกัด</t>
  </si>
  <si>
    <t>แบบ ปร.4 และ ปร.5 ที่แนบ</t>
  </si>
  <si>
    <t>141 แผ่น</t>
  </si>
  <si>
    <t>คำนวนราคาโดย</t>
  </si>
  <si>
    <t>บริษัท ฟิวเจอร์เอ็นจิเนียริ่งคอนซัลแตนท์ จำกัด</t>
  </si>
  <si>
    <t xml:space="preserve">เมื่อวันที่   </t>
  </si>
  <si>
    <t>มิถุนายน 2567</t>
  </si>
  <si>
    <t>ลำดับที่</t>
  </si>
  <si>
    <t>รายการ</t>
  </si>
  <si>
    <t xml:space="preserve">ค่าก่อสร้าง </t>
  </si>
  <si>
    <t>หมายเหตุ</t>
  </si>
  <si>
    <t>(บาท)</t>
  </si>
  <si>
    <t>กลุ่มงานอาคาร</t>
  </si>
  <si>
    <t>อาคาร Ratchadamnoen Center 2</t>
  </si>
  <si>
    <t>ราคาผู้ออกแบบ</t>
  </si>
  <si>
    <t>ส่วนต่าง</t>
  </si>
  <si>
    <t>สรุป</t>
  </si>
  <si>
    <t>รวมค่าก่อสร้างเป็นเงินทั้งสิ้น</t>
  </si>
  <si>
    <t>เฉลี่ยราคาประมาณ</t>
  </si>
  <si>
    <t>บาท/ตารางเมตร</t>
  </si>
  <si>
    <t>WBS-1</t>
  </si>
  <si>
    <t>WBS-2</t>
  </si>
  <si>
    <t>WBS-3</t>
  </si>
  <si>
    <t>WBS-4</t>
  </si>
  <si>
    <t>Description</t>
  </si>
  <si>
    <t>Unit</t>
  </si>
  <si>
    <t>Qty</t>
  </si>
  <si>
    <t>Material</t>
  </si>
  <si>
    <t>Labor</t>
  </si>
  <si>
    <t>Amount</t>
  </si>
  <si>
    <t>Structure</t>
  </si>
  <si>
    <t>Tiolet-Pantry</t>
  </si>
  <si>
    <t>Sub-structure</t>
  </si>
  <si>
    <t>Pilling</t>
  </si>
  <si>
    <t>Foundation</t>
  </si>
  <si>
    <t>เสาต่อม่อ</t>
  </si>
  <si>
    <t>Ground Floor</t>
  </si>
  <si>
    <t>Beam</t>
  </si>
  <si>
    <t>Slab</t>
  </si>
  <si>
    <t>Column</t>
  </si>
  <si>
    <t>Mezzanine</t>
  </si>
  <si>
    <t>2nd-Floor</t>
  </si>
  <si>
    <t>3rd-Floor</t>
  </si>
  <si>
    <t>Roof Floor</t>
  </si>
  <si>
    <t>Lift</t>
  </si>
  <si>
    <t>ปล่องลิฟท์ และตอม่อ</t>
  </si>
  <si>
    <t xml:space="preserve">Stair </t>
  </si>
  <si>
    <t>ST-6</t>
  </si>
  <si>
    <t>Steel str.</t>
  </si>
  <si>
    <t>Entrance</t>
  </si>
  <si>
    <t>Entrance-1</t>
  </si>
  <si>
    <t>Slab &amp; Beam</t>
  </si>
  <si>
    <t>Entrance-2</t>
  </si>
  <si>
    <t>Entrance-3</t>
  </si>
  <si>
    <t>Entrance-4</t>
  </si>
  <si>
    <t>Entrance-5</t>
  </si>
  <si>
    <t>Entrance-6</t>
  </si>
  <si>
    <t>Entrance-7</t>
  </si>
  <si>
    <t>Workshop</t>
  </si>
  <si>
    <t>ห้องผู้อำนวยการตรวสอบภายใน</t>
  </si>
  <si>
    <t>ห้อง DIGITAL LAB</t>
  </si>
  <si>
    <t>ห้องสนามหลวง/ห้องศาสนา</t>
  </si>
  <si>
    <t>ห้องสนามหลวง</t>
  </si>
  <si>
    <t>Painting</t>
  </si>
  <si>
    <t>ห้องศาสนา</t>
  </si>
  <si>
    <t>Roof</t>
  </si>
  <si>
    <t>Roof Structure</t>
  </si>
  <si>
    <t>Catwalk</t>
  </si>
  <si>
    <t>Support</t>
  </si>
  <si>
    <t>RC Corbel</t>
  </si>
  <si>
    <t>MEP Foundation</t>
  </si>
  <si>
    <t>Underground Tank</t>
  </si>
  <si>
    <t>Grease trap</t>
  </si>
  <si>
    <t>Water Tank</t>
  </si>
  <si>
    <t>WWWT</t>
  </si>
  <si>
    <t>Other work</t>
  </si>
  <si>
    <t>งานซ่อมแซมโครงสร้างอาคารเดิม</t>
  </si>
  <si>
    <t>Architecture</t>
  </si>
  <si>
    <t>Floor Fn.</t>
  </si>
  <si>
    <t>Concrete fn.</t>
  </si>
  <si>
    <t>ขัดเรียบ</t>
  </si>
  <si>
    <t>ขัดมันทำกันซึม</t>
  </si>
  <si>
    <t>ขัดมัน</t>
  </si>
  <si>
    <t>Polished Stone fn.</t>
  </si>
  <si>
    <t>Terrazzo</t>
  </si>
  <si>
    <t>Wash gravel</t>
  </si>
  <si>
    <t>Tile fn.</t>
  </si>
  <si>
    <t>Ceramic</t>
  </si>
  <si>
    <t>Porcelain</t>
  </si>
  <si>
    <t>Stone fn.</t>
  </si>
  <si>
    <t>Granit Stone</t>
  </si>
  <si>
    <t>Marble Stone</t>
  </si>
  <si>
    <t>Polished Cement</t>
  </si>
  <si>
    <t>Epoxy fn.</t>
  </si>
  <si>
    <t>Epoxy Self Leveling</t>
  </si>
  <si>
    <t>Epoxy Coating</t>
  </si>
  <si>
    <t>Vinyl fn.</t>
  </si>
  <si>
    <t>Vinyl</t>
  </si>
  <si>
    <t>Other fn.</t>
  </si>
  <si>
    <t>Other</t>
  </si>
  <si>
    <t>Joint fn.</t>
  </si>
  <si>
    <t>Joint</t>
  </si>
  <si>
    <t>Wall Fn.</t>
  </si>
  <si>
    <t>Brick</t>
  </si>
  <si>
    <t>Q-con block</t>
  </si>
  <si>
    <t>Lintel-Stud</t>
  </si>
  <si>
    <t>Plastering</t>
  </si>
  <si>
    <t>Existing wall</t>
  </si>
  <si>
    <t>Skim coate</t>
  </si>
  <si>
    <t>Mosaige</t>
  </si>
  <si>
    <t>Glass fn.</t>
  </si>
  <si>
    <t>U-Glass</t>
  </si>
  <si>
    <t>Decorate wall</t>
  </si>
  <si>
    <t xml:space="preserve">Other </t>
  </si>
  <si>
    <t>Wall P4, P5</t>
  </si>
  <si>
    <t>Skirt</t>
  </si>
  <si>
    <t>Frame</t>
  </si>
  <si>
    <t>Ceiling</t>
  </si>
  <si>
    <t>Existing slab &amp; beam</t>
  </si>
  <si>
    <t>Steel str. fn.</t>
  </si>
  <si>
    <t>Existing stair</t>
  </si>
  <si>
    <t>Gypsum board</t>
  </si>
  <si>
    <t>Sound proove</t>
  </si>
  <si>
    <t>Decorate ceiling</t>
  </si>
  <si>
    <t>Doors &amp; Windows</t>
  </si>
  <si>
    <t>Doors</t>
  </si>
  <si>
    <t>Aluminium door</t>
  </si>
  <si>
    <t>Wood door</t>
  </si>
  <si>
    <t>Steel door</t>
  </si>
  <si>
    <t>Door Hardware</t>
  </si>
  <si>
    <t>Windows</t>
  </si>
  <si>
    <t>Aluminium window</t>
  </si>
  <si>
    <t>Wood</t>
  </si>
  <si>
    <t>Existing window</t>
  </si>
  <si>
    <t>Toilet &amp; Sanitaries</t>
  </si>
  <si>
    <t>Partition</t>
  </si>
  <si>
    <t>Sanitaries</t>
  </si>
  <si>
    <t>Fixtures</t>
  </si>
  <si>
    <t>Mirror</t>
  </si>
  <si>
    <t>Counter</t>
  </si>
  <si>
    <t>Stair Fn.</t>
  </si>
  <si>
    <t>ST-1</t>
  </si>
  <si>
    <t>Finishing</t>
  </si>
  <si>
    <t>Railing</t>
  </si>
  <si>
    <t>ST-2</t>
  </si>
  <si>
    <t>ST-3</t>
  </si>
  <si>
    <t>ST-4</t>
  </si>
  <si>
    <t>ST-5</t>
  </si>
  <si>
    <t>Str.</t>
  </si>
  <si>
    <t>Service Stair</t>
  </si>
  <si>
    <t>Roof Fn.</t>
  </si>
  <si>
    <t>Main Roof</t>
  </si>
  <si>
    <t>Roof Sheet</t>
  </si>
  <si>
    <t>Accessories</t>
  </si>
  <si>
    <t>Steel str</t>
  </si>
  <si>
    <t>Glass</t>
  </si>
  <si>
    <t>Toilet</t>
  </si>
  <si>
    <t>Roof material</t>
  </si>
  <si>
    <t>งานระบบกันซึม</t>
  </si>
  <si>
    <t>Built-in</t>
  </si>
  <si>
    <t>EE</t>
  </si>
  <si>
    <t>SAN/FP</t>
  </si>
  <si>
    <t>AC</t>
  </si>
  <si>
    <t>Landscape</t>
  </si>
  <si>
    <t>คุรุภัณฑ์</t>
  </si>
  <si>
    <t>ครุภัณฑ์ประจำอาคาร</t>
  </si>
  <si>
    <t>ครุภัณฑ์ลอยตัว</t>
  </si>
  <si>
    <t>ครุภัณฑ์ภาพและเสียง</t>
  </si>
  <si>
    <t>ครุภัณฑ์ Soft Scape</t>
  </si>
  <si>
    <t>Scpecial_expense</t>
  </si>
  <si>
    <t>Demolition</t>
  </si>
  <si>
    <t>Temp. fence</t>
  </si>
  <si>
    <t>Dust Protection</t>
  </si>
  <si>
    <t>ค่าเจาะสำรวจคุณสมบัติทางวิศวกรรมของดิน</t>
  </si>
  <si>
    <t xml:space="preserve">ค่าขนย้ายดิน </t>
  </si>
  <si>
    <t>Soil protection system</t>
  </si>
  <si>
    <t>Factor</t>
  </si>
  <si>
    <t>Amount x Factor</t>
  </si>
  <si>
    <t>ส่วนที่ 1 ค่าวัสดุและแรงงานหมวดงานก่อสร้าง</t>
  </si>
  <si>
    <t>งานสถาปัตยกรรม</t>
  </si>
  <si>
    <t>งานสถาปัตยกรรมภายใน (BUILT-IN)</t>
  </si>
  <si>
    <t>งานวิศวกรรมโครงสร้าง</t>
  </si>
  <si>
    <t>งานระบบไฟฟ้าและสื่อสาร</t>
  </si>
  <si>
    <t>งานระบบสุขาภิบาลและดับเพลิง</t>
  </si>
  <si>
    <t>งานระบบปรับอากาศและระบายอากาศ</t>
  </si>
  <si>
    <t>งานภูมิสถาปัตยกรรม</t>
  </si>
  <si>
    <t>เงื่อนไข</t>
  </si>
  <si>
    <t>เงินล่วงหน้าจ่าย 0%</t>
  </si>
  <si>
    <t>เงินประกันผลงานหัก 10%</t>
  </si>
  <si>
    <t>ดอกเบี้ยเงินกู้ 7%</t>
  </si>
  <si>
    <t>ค่าภาษีมูลค่าเพิ่ม 7%</t>
  </si>
  <si>
    <t>รวมค่าก่อสร้าง ส่วนที่ 1 ค่าวัสดุและแรงงานหมวดงานก่อสร้าง</t>
  </si>
  <si>
    <t>พื้นที่อาคาร</t>
  </si>
  <si>
    <t>ตารางเมตร</t>
  </si>
  <si>
    <t>ราคา/หน่วย</t>
  </si>
  <si>
    <t>สรุปราคาค่าก่อสร้างงานสถาปัตยกรรม</t>
  </si>
  <si>
    <t>งานผิวพื้น</t>
  </si>
  <si>
    <t>งานผนัง</t>
  </si>
  <si>
    <t>งานฝ้าเพดาน</t>
  </si>
  <si>
    <t>งานประตูและอุปกรณ์</t>
  </si>
  <si>
    <t>งานหน้าต่าง</t>
  </si>
  <si>
    <t>งานห้องน้ำและสุขภัณฑ์</t>
  </si>
  <si>
    <t>งานบันได ราวบันได ราวกันตก และส่วนประกอบ</t>
  </si>
  <si>
    <t>งานหลังคา งานฉนวนกันความร้อน งานกันซึมและส่วนประกอบ</t>
  </si>
  <si>
    <t>รวมราคาค่าก่อสร้างงานสถาปัตยกรรม</t>
  </si>
  <si>
    <t>Allow for any items not described above but deemed necessary</t>
  </si>
  <si>
    <t xml:space="preserve"> to complete the works :-</t>
  </si>
  <si>
    <t xml:space="preserve">F0 </t>
  </si>
  <si>
    <t>พื้น ค.ส.ล. เทปูนทรายปรับระดับ ปรับผิวเรียบ ( ดูรายละเอียดงาน ตกแต่งภายใน )</t>
  </si>
  <si>
    <t>ตร.ม.</t>
  </si>
  <si>
    <t xml:space="preserve">F1.1 </t>
  </si>
  <si>
    <t>พื้น ค.ส.ล. เทปูนทรายปรับระดับ ผิวขัดมัน 30-50 มม.</t>
  </si>
  <si>
    <t xml:space="preserve">F1.2 </t>
  </si>
  <si>
    <t xml:space="preserve">พื้น ค.ส.ล. เทปูนทรายปรับระดับ ผิวขัดมัน 30-50 มม. พร้อมงานระบบกันซึม </t>
  </si>
  <si>
    <t xml:space="preserve"> (งานกันซึมดูรายละเอียดงานระบบกันซึม)</t>
  </si>
  <si>
    <t>F1.3</t>
  </si>
  <si>
    <t>พื้น ค.ส.ล. ผิวของ Topping หรือผิวโครงสร้าง ทางวิศวกรรม แต่งเรียบ</t>
  </si>
  <si>
    <t xml:space="preserve">F2.1 </t>
  </si>
  <si>
    <t>พื้น ค.ส.ล. เทปูนทรายปรับระดับ ผิวหินขัดเบอร์ 4 1/2 - 5 ชนิดคัดเม็ดหิน</t>
  </si>
  <si>
    <t>หรือขนาดอื่นๆ ตามแบบระบุภายหลัง</t>
  </si>
  <si>
    <t xml:space="preserve">F2.2 </t>
  </si>
  <si>
    <t>พื้น ค.ส.ล. เทปูนทรายปรับระดับ ผิวหินล้างเบอร์ 4 1/2 - 5 ชนิดคัดเม็ดหิน</t>
  </si>
  <si>
    <t>ราคามีแก้ไขตามกระทรวงพาณิชย์ กทม. ธ.ค. 67</t>
  </si>
  <si>
    <t>F3.1</t>
  </si>
  <si>
    <t>พื้น ค.ส.ล. เทปูนทรายปรับระดับ ผิวปูกระเบื้องเซรามิค ขนาด 400x400 มม.</t>
  </si>
  <si>
    <t>F3.2</t>
  </si>
  <si>
    <t>พื้น ค.ส.ล. พร้อมปูนทรายปรับระดับ ผิวปูกระเบื้อง Porcelain  สีเทา</t>
  </si>
  <si>
    <t xml:space="preserve">ขนาด 600x600 มม. </t>
  </si>
  <si>
    <t>F3.3</t>
  </si>
  <si>
    <t xml:space="preserve">พื้น ค.ส.ล. พร้อมปูนทรายปรับระดับ ผิวปูกระเบื้องลายหินขัด ขนาด 600x600 มม. </t>
  </si>
  <si>
    <t>F3.4</t>
  </si>
  <si>
    <t xml:space="preserve">พื้น ค.ส.ล. พร้อมปูนทรายปรับระดับ  ผิวปูหินแกรนิตดำอินเดีย (Indian Black)  </t>
  </si>
  <si>
    <t>ขนาด 300 x ( ตามแบบระบุ ) x 20 มม.</t>
  </si>
  <si>
    <t>F3.5</t>
  </si>
  <si>
    <t>พื้น ค.ส.ล. พร้อมปูนทรายปรับระดับ ผิวกรุหินอ่อน สีตามระบุในแบบ</t>
  </si>
  <si>
    <t xml:space="preserve"> ขนาด 300 x ( ตามแบบระบุ ) x 20 มม. ผิวกึ่งมัน </t>
  </si>
  <si>
    <t>-</t>
  </si>
  <si>
    <t>ผิวกรุหินอ่อนสลับลายตามแบบขยายบันได</t>
  </si>
  <si>
    <t>ผิวกรุหินอ่อน สีขาว</t>
  </si>
  <si>
    <t>F3.6</t>
  </si>
  <si>
    <t>พื้น ค.ส.ล. ผิวคอนกรีตขัดเงา ( Polished Cement ) หนา 50 มม.</t>
  </si>
  <si>
    <t>F4.1</t>
  </si>
  <si>
    <t>พื้น ค.ส.ล. พร้อมปูนทรายปรับระดับ ผิวขัดมันหนา 30-50 มม.</t>
  </si>
  <si>
    <t>ทำผิว Epoxy Self Leveling Flake หนา 2 มม. ( ผิวมันระบุสีภายหลัง )</t>
  </si>
  <si>
    <t>F4.2</t>
  </si>
  <si>
    <t xml:space="preserve">พื้น ค.ส.ล. พร้อมปูนทรายปรับระดับ ผิวขัดมันหนา 30-50 มม. </t>
  </si>
  <si>
    <t>ทาสี Epoxy Coating หนา 500 ไมครอน</t>
  </si>
  <si>
    <t>F5.1</t>
  </si>
  <si>
    <t>พื้น ค.ส.ล. พร้อมปูนทรายปรับระดับ  หรือพื้นโครงสร้างเหล็ก</t>
  </si>
  <si>
    <t xml:space="preserve">ปรับระดับด้วยปูนปรับระดับชนิดไหลตัวได้ (Self Leveling Motar) หนา 10-15 มม. </t>
  </si>
  <si>
    <t xml:space="preserve">ปูทับด้วยกระเบื้องไวนิลชนิดม้วนขนาดกว้าง 2 เมตร  ยาว 20 เมตร หนา 2 มม. </t>
  </si>
  <si>
    <t xml:space="preserve"> (ระบุสีภายหลัง) </t>
  </si>
  <si>
    <t>F5.2</t>
  </si>
  <si>
    <t>พื้น ค.ส.ล. พร้อมปูนทรายปรับระดับ หรือพื้นโครงสร้างเหล็ก</t>
  </si>
  <si>
    <t xml:space="preserve">(ระบุสีภายหลัง) </t>
  </si>
  <si>
    <t>F5.3</t>
  </si>
  <si>
    <t>พื้น ค.ส.ล. พร้อมปูนทรายปรับระดับ ปรับระดับด้วยปูนปรับระดับชนิดไหลตัวได้</t>
  </si>
  <si>
    <t>( Self Leveling Motar ) หนา 10-15 มม. ปูทับด้วยกระเบื้องไวนิลชนิดม้วน</t>
  </si>
  <si>
    <t>ขนาดกว้าง 2 เมตร  ยาว 20 เมตร หนา 2 มม.(ระบุสีภายหลัง)</t>
  </si>
  <si>
    <t>F5.4</t>
  </si>
  <si>
    <t>พื้นโครงสร้างเหล็ก ปูทับด้วยแผ่นยางปูพื้นกันลื่นลายเหรียญสีเทา</t>
  </si>
  <si>
    <t>Round Dot — Anti Slip หนา 5 มม.</t>
  </si>
  <si>
    <t>F6</t>
  </si>
  <si>
    <t xml:space="preserve">พื้น ค.ส.ล. ขัดมัน พร้อมติดตั้ง Access Floor System ขนาด 600x600x35 mm. </t>
  </si>
  <si>
    <t>ชนิด Light Weight Cement Infilled Steel</t>
  </si>
  <si>
    <t>งานรอยต่อพื้น</t>
  </si>
  <si>
    <t>งานรอยต่อพื้น J1  (เส้นแบ่งแนว)</t>
  </si>
  <si>
    <t>เมตร</t>
  </si>
  <si>
    <t>งานรอยต่อพื้น J2  (เส้นแบ่งแนว)</t>
  </si>
  <si>
    <t>Expansion Joint ตึกเดิมและตึกใหม่</t>
  </si>
  <si>
    <t>งานผนังและผิวผนัง</t>
  </si>
  <si>
    <t>ผนังก่อคอนกรีตมวลเบา ขนาด 20 x 60 x 10 ซม.</t>
  </si>
  <si>
    <t>ผนังก่อคอนกรีตมวลเบา ขนาด 20 x 60 x 15 ซม.</t>
  </si>
  <si>
    <t>ผนังก่อคอนกรีตมวลเบา ขนาด 20 x 60 x 20 ซม.</t>
  </si>
  <si>
    <t>งานเสาเอ็นและทับหลัง ผนังก่อคอนกรีตมวลเบา หนา 10 ซม.</t>
  </si>
  <si>
    <t>งานเสาเอ็นและทับหลัง ผนังก่อคอนกรีตมวลเบา หนา 15 ซม.</t>
  </si>
  <si>
    <t>งานเสาเอ็นและทับหลัง ผนังก่อคอนกรีตมวลเบา หนา 20 ซม.</t>
  </si>
  <si>
    <t>งานฉาบเรียบผนังคอนกรีตมวลเบา</t>
  </si>
  <si>
    <t>P0</t>
  </si>
  <si>
    <t>ผนังก่อฉาบหรือผนังโครงสร้างอื่นๆ ดูรายละเอียดงานตกแต่งภายใน</t>
  </si>
  <si>
    <t>* ดูรายละเอียดงานตกแต่งภายใน</t>
  </si>
  <si>
    <t>P1.1</t>
  </si>
  <si>
    <t>ผนังอาคารเดิมแต่งเรียบ (คิดเฉพาะงานทำความสะอาดและแต่งผิว)</t>
  </si>
  <si>
    <t>P1.2</t>
  </si>
  <si>
    <t>P1.3</t>
  </si>
  <si>
    <t>ผนังอาคารเดิม ทาน้ำยารักษาสภาพสีเดิมของอาคาร</t>
  </si>
  <si>
    <t>P1.4</t>
  </si>
  <si>
    <t>ผนังทาสีอะครีลิค</t>
  </si>
  <si>
    <t>* ดูรายละเอียดงานทาสีผนัง</t>
  </si>
  <si>
    <t>P2.1</t>
  </si>
  <si>
    <t>ผนังกรุกระเบื้องโมเสค รูป 6 เหลี่ยม ขนาดแผ่น 30x30 ซม. จำนวน 36 ชิ้นต่อแผ่น</t>
  </si>
  <si>
    <t>P2.2</t>
  </si>
  <si>
    <t>ผนังกรุกระเบื้องโมเสค  ขนาด 12"x12"  จำนวน 36 ชิ้นต่อแผ่น</t>
  </si>
  <si>
    <t>P2.3</t>
  </si>
  <si>
    <t>ผนังกรุกระเบื้องโมเสค  ขนาด 12"x12"  จำนวน 9 ชิ้นต่อแผ่น</t>
  </si>
  <si>
    <t>P3.1</t>
  </si>
  <si>
    <t>ผนังกระจก U GLASS ขนาด 262 x 60 x 7 มม.</t>
  </si>
  <si>
    <t>P3.2</t>
  </si>
  <si>
    <t xml:space="preserve">ผนังกระจก U GLASS ขนาด 262 x 60 x 7 มม. </t>
  </si>
  <si>
    <t>P3.3</t>
  </si>
  <si>
    <t>P4</t>
  </si>
  <si>
    <t>ผนังฉาบปูนเรียบ</t>
  </si>
  <si>
    <t>* ดูรายละเอียดงานผนังก่อและงานฉาบ</t>
  </si>
  <si>
    <t>งานตกแต่งกรุผิวผนัง</t>
  </si>
  <si>
    <t>P4.1</t>
  </si>
  <si>
    <t>ผนังกรุผิวไม้อัดยางหนา 4 มม. และแผ่นลามิเนทลายไม้ ( ดูแบบขยายผนัง )</t>
  </si>
  <si>
    <t>* ดูรายละเอียดงานสถาปัตยกรรมภายใน</t>
  </si>
  <si>
    <t>P4.2</t>
  </si>
  <si>
    <t>งานกรุผิวไม้อัดยางหนา 4 มม. และแผ่นลามิเนทลายโลหะ ( ดูแบบขยายผนัง )</t>
  </si>
  <si>
    <t>P4.3</t>
  </si>
  <si>
    <t>ผนังกรุผิวไม้อัดยางหนา 4 มม. และแผ่นไม้วีเนียร์ ( ดูแบบขยายผนัง )</t>
  </si>
  <si>
    <t>P4.4</t>
  </si>
  <si>
    <t xml:space="preserve">ผนังกรุผิวไม้อัดยางหนา 4 มม. ทับหน้าด้วยไม้วีเนียร์และไม้สัก ขนาด 20 x 20 มม. </t>
  </si>
  <si>
    <t>ทำสีธรรมชาติ ( ดูแบบขยายผนัง )</t>
  </si>
  <si>
    <t>P5</t>
  </si>
  <si>
    <t>ผนังยิปซั่มบอร์ด Multi Wall หนา 15 มม. โครงเคร่า Hot Dip Galvanized Steel</t>
  </si>
  <si>
    <t>หนา 0.52 มม.  (กรุยิปซั่ม 2 ด้าน)</t>
  </si>
  <si>
    <t>งานตกแต่งกรุผิวผนังยิปซั่มบอร์ด</t>
  </si>
  <si>
    <t>P5.1</t>
  </si>
  <si>
    <t>ผนังกรุผิวไม้อัดสักหนา 4 มม. และแผ่นไม้วีเนียร์ ( ดูแบบขยายผนัง )</t>
  </si>
  <si>
    <t>P5.2</t>
  </si>
  <si>
    <t>P5.3</t>
  </si>
  <si>
    <t>ค่าแรงตัวคูณผิด  13720</t>
  </si>
  <si>
    <t>P5.4</t>
  </si>
  <si>
    <t>ผนังกรุผิวไม้อัดยางหนา 4 มม. ทับหน้าด้วยไม้วีเนียร์และไม้สัก ขนาด 20 x 20 มม.</t>
  </si>
  <si>
    <t>P5.5</t>
  </si>
  <si>
    <t>งานผนังทาสีอะครีลิค</t>
  </si>
  <si>
    <t>* ดูรายละเอียดงานทาสี</t>
  </si>
  <si>
    <t>P5.6</t>
  </si>
  <si>
    <t>งานกรุผิวไม้อัดยางหนา 4 มม. และแผ่นลามิเนทสีเรียบ ( ดูแบบขยายผนัง )</t>
  </si>
  <si>
    <t xml:space="preserve">* P5.1 , P5.2, P5.3 , P5.4 และ P5.6  ภายในห้อง workshop และห้องประชุมทั้งหมด </t>
  </si>
  <si>
    <t>อยู่ในงานสถาปัตยกรรมภายใน</t>
  </si>
  <si>
    <t>รายละเอียดประกอบผนัง P4 และ P5</t>
  </si>
  <si>
    <t>WJ1   กระจกโฟลทใส หนา 6 มม.</t>
  </si>
  <si>
    <t>WJ2   โครงคร่าวตัวยู ขนาด 94 x 30 x 0.52 มม.</t>
  </si>
  <si>
    <t xml:space="preserve">* คิดรวมในงานผนังยิปซั่มบอร์ด </t>
  </si>
  <si>
    <t>WJ3    โครงคร่าวแนวตั้งตัวซี ขนาด 90 x 36 x 0.52 มม.</t>
  </si>
  <si>
    <t xml:space="preserve">WJ4    ฉนวนกันเสียง หนา 50 มม. </t>
  </si>
  <si>
    <t>WJ5    Steel Plate ขนาด 150 x 6 มม.</t>
  </si>
  <si>
    <t>กก.</t>
  </si>
  <si>
    <t>WJ6    Steel Square Bar ขนาด 10 x 10 มม.</t>
  </si>
  <si>
    <t>งานทาสีน้ำมันอัลคิดกึ่งเงาโครงสร้างเหล็กทั้งหมด</t>
  </si>
  <si>
    <t>งาน</t>
  </si>
  <si>
    <t>P6</t>
  </si>
  <si>
    <t>ผนังห้องน้ำสำเร็จรูป</t>
  </si>
  <si>
    <t>*ดูรายละเอียดงานห้องน้ำและสุขภัณฑ์</t>
  </si>
  <si>
    <t>งานบัวเชิงผนัง</t>
  </si>
  <si>
    <t>บัวเชิงผนัง 1 บัวอลูมิเนียม</t>
  </si>
  <si>
    <t>งานโครงเคร่าเหล็กประกอบงานผนัง</t>
  </si>
  <si>
    <t>งานผนังทาสีอะครีลิค ชนิดภายใน</t>
  </si>
  <si>
    <t>งานผนังทาสีอะครีลิค ชนิดภายนอก</t>
  </si>
  <si>
    <t>C0</t>
  </si>
  <si>
    <t>ฝ้าเพดาน ดูรายละเอียดงานตกแต่งภายใน</t>
  </si>
  <si>
    <t>C1.1</t>
  </si>
  <si>
    <t xml:space="preserve">ฝ้าเพดานเปลือยโครงสร้างคานและพื้น แต่งผิวเรียบ </t>
  </si>
  <si>
    <t>C1.2</t>
  </si>
  <si>
    <t>ฝ้าเพดานโครงสร้างเหล็ก แต่งผิวทำสีน้ำมันอัลคิด (สีพ่น) ดูแบบขยาย</t>
  </si>
  <si>
    <t>C1.3</t>
  </si>
  <si>
    <t>ฝ้าเพดานเปลือยผิวโครงสร้าง ลอกผิวสีเดิมออก ให้เห็นผิวคอนกรีต (ท้องบันได)</t>
  </si>
  <si>
    <t>C2.1</t>
  </si>
  <si>
    <t>ฝ้าเพดานยิปซั่มบอร์ด หนา 12 มม.</t>
  </si>
  <si>
    <t>C2.2</t>
  </si>
  <si>
    <t>ฝ้าเพดานยิปซั่มบอร์ดชนิดกันชื้น หนา 12 มม.</t>
  </si>
  <si>
    <t>C2.3</t>
  </si>
  <si>
    <t xml:space="preserve">ฝ้าเพดานยิปซั่มฟอยล์ หนา 12 มม. </t>
  </si>
  <si>
    <t>C2.4</t>
  </si>
  <si>
    <t xml:space="preserve">ฝ้าเพดานกรุแผ่นฉนวนซับเสียง ความหนา 25 มม. </t>
  </si>
  <si>
    <t>ติดตั้งบนพื้นผิวโครงสร้างท้องพื้นอาคาร  (ระบุสีภายหลัง)</t>
  </si>
  <si>
    <t>C3.1</t>
  </si>
  <si>
    <t xml:space="preserve">ฝ้าเพดานยิปซั่มฟอยล์ หนา 12 มม. และฝ้าเพดานไม้อัดสัก 10 + 6 มม. </t>
  </si>
  <si>
    <t>ทำสีธรรมชาติ ดูแบบขยาย</t>
  </si>
  <si>
    <t>C3.2</t>
  </si>
  <si>
    <t xml:space="preserve">ฝ้าเพดานกรุไม้อัดสัก หนา 4 มม. โครงคร่าวไม้ 1''x 2'' # 300 x 300 มม. ทำสีธรรมชาติ </t>
  </si>
  <si>
    <t>C3.3</t>
  </si>
  <si>
    <t xml:space="preserve">ฝ้าอะลูมีเนียมฉีก แผ่นฝ้าแบบไร้ขอบ (L-Type) สีธรรมชาติวัสดุ โครงคร่าว T-Bar </t>
  </si>
  <si>
    <t>ติดตั้งตามมาตรฐานผู้ผลิต (บางส่วนเคลือบสีโพลีเอสเตอร์สีดำ ดูแบบผังผ้าเพดาน)</t>
  </si>
  <si>
    <t>C3.4</t>
  </si>
  <si>
    <t xml:space="preserve"> ฝ้าเพดานอลูมีเนียมไส้กลางอลูมิเนียมรังผึ้งระบบคลิปล็อคชนชิด </t>
  </si>
  <si>
    <t xml:space="preserve">โครงเคร่าเหล็กชุบสังกะสี ติดตั้งตามมาตราฐานผู้ผลิต </t>
  </si>
  <si>
    <t>C3.5</t>
  </si>
  <si>
    <t>ฝ้าแนวตั้งกรุไม้เก่าที่นำมาจากการรื้อถอนผนังไม้อาคารเดิม ( ดูแบบขยาย )</t>
  </si>
  <si>
    <t>C3.6</t>
  </si>
  <si>
    <t>ฝ้าเพดานไม้อัดสัก 10 + 4 มม. ทำสีธรรมชาติ ( ดูแบบขยาย )</t>
  </si>
  <si>
    <t>C3.7</t>
  </si>
  <si>
    <t>ฝ้าเพดานไม้อัดสัก 10 + 4 มม. พร้อมกรุ Aluminium Sheet ( ดูแบบขยาย )</t>
  </si>
  <si>
    <t>C3.8</t>
  </si>
  <si>
    <t>ฝ้าเพดานไม้ HMR หนา 9 มม. แต่งผิว ทำสีพ่นอุตสาหกรรม (คิดเฉพาะงานสีพ่น)</t>
  </si>
  <si>
    <t>งานฝ้าเพดานทาสี</t>
  </si>
  <si>
    <t>งานฝ้าเพดานทาสีอะครีลิค ชนิดภายใน</t>
  </si>
  <si>
    <t>งานฝ้าเพดานทาสีอะครีลิค ชนิดภายนอก</t>
  </si>
  <si>
    <t>งานทาสีน้ำมันอัลคิดกึ่งเงาโครงสร้างเหล็กประกอบงานฝ้าเพดานทั้งหมด</t>
  </si>
  <si>
    <t>1AL</t>
  </si>
  <si>
    <t xml:space="preserve">บานเปิดเดี่ยว/บานติดตาย วงกบอะลูมิเนียมสี Grey Sahara </t>
  </si>
  <si>
    <t>ชุด</t>
  </si>
  <si>
    <t>ลูกฟัก Laminate Glass Clear - LOW E  และ Temper Laminate Clear - LOW E</t>
  </si>
  <si>
    <t>ขนาด 2.600 x 2.54 ม.</t>
  </si>
  <si>
    <t>2AL</t>
  </si>
  <si>
    <t>ลูกฟักกระจกโฟลทใสและกระจกเทมเปอร์ ขนาด 3.25 x 2.47 ม.หรือระดับใต้ท้องคาน</t>
  </si>
  <si>
    <t>3AL</t>
  </si>
  <si>
    <t>ลูกฟักกระจกเทมเปอร์ ขนาด 1.45 x 2.40 ม.</t>
  </si>
  <si>
    <t xml:space="preserve">กระจก U-Glass  262 x 60 x 7 mm </t>
  </si>
  <si>
    <t>*คิดรวมในผนัง P3.1</t>
  </si>
  <si>
    <t>ช่องแสงกระจกโฟลทใส หนา 8 มม. ขนาด 0.535 + 5.04 + 2.91 x 0.93 เมตร</t>
  </si>
  <si>
    <t>4AL</t>
  </si>
  <si>
    <t xml:space="preserve">บานเปิดเดี่ยว วงกบอะลูมิเนียมสี Grey Sahara ลูกฟักกระจกเทมเปอร์ </t>
  </si>
  <si>
    <t>ขนาด 1.015 x 2.40 ม.</t>
  </si>
  <si>
    <t>5AL</t>
  </si>
  <si>
    <t>บานเลื่อน วงกบอะลูมิเนียมสี Grey Sahara ลูกฟัก Laminate Glass Clear - LOW E</t>
  </si>
  <si>
    <t>ขนาด 2.75 x 2.80 ม.</t>
  </si>
  <si>
    <t>6AL</t>
  </si>
  <si>
    <t>บานเปิดเดี่ยว วงกบอะลูมิเนียมสี Grey Sahara ลูกฟักกระจก Laminated</t>
  </si>
  <si>
    <t>ขนาด 1.00 x 2.25 ม.</t>
  </si>
  <si>
    <t>7AL</t>
  </si>
  <si>
    <t>ลูกฟักกระจกโฟลทใสและกระจกเทมเปอร์ ขนาด 6.49 x 2.47 ม.</t>
  </si>
  <si>
    <t>8AL</t>
  </si>
  <si>
    <t>บานเปิดคู่ วงกบอะลูมิเนียมสี Grey Sahara ลูกฟักกระจกโฟลทใส</t>
  </si>
  <si>
    <t>ขนาด 1.60 x 2.45 ม.</t>
  </si>
  <si>
    <t>9AL</t>
  </si>
  <si>
    <t>ขนาด 1.00 x 2.465 ม.</t>
  </si>
  <si>
    <t>10A AL</t>
  </si>
  <si>
    <t>บานเปิดเดี่ยว/บานติดตาย วงกบอะลูมิเนียมสี Grey Sahara ลูกฟักกระจกโฟลทใส</t>
  </si>
  <si>
    <t>และกระจกเทมเปอร์ ขนาด 3.05 x 3.025 ม.</t>
  </si>
  <si>
    <t>10B AL</t>
  </si>
  <si>
    <t>และกระจกเทมเปอร์ ขนาด 3.15 x 3.025 ม.</t>
  </si>
  <si>
    <t>10C AL</t>
  </si>
  <si>
    <t>11AL</t>
  </si>
  <si>
    <t xml:space="preserve">บานเปิดคู่/บานติดตาย วงกบอะลูมิเนียมสี Grey Sahara </t>
  </si>
  <si>
    <t>ขนาด 3.77 x 2.40 ม.</t>
  </si>
  <si>
    <t>12AL</t>
  </si>
  <si>
    <t>13AL</t>
  </si>
  <si>
    <t>ลูกฟักกระจกโฟลทใสและกระจกเทมเปอร์ ขนาด 2.60 x 2.54 ม.</t>
  </si>
  <si>
    <t>14AL</t>
  </si>
  <si>
    <t>ลูกฟักกระจกโฟลทใสและกระจกเทมเปอร์ ขนาด 2.235 x 2.65 ม.</t>
  </si>
  <si>
    <t>15AL</t>
  </si>
  <si>
    <t>ลูกฟักกระจกโฟลทใสและกระจกเทมเปอร์ ขนาด 1.90 x 2.85 ม.</t>
  </si>
  <si>
    <t>16AL</t>
  </si>
  <si>
    <t>ลูกฟักกระจกโฟลทใสและกระจกเทมเปอร์ ขนาด 6.45 x 2.65 ม.</t>
  </si>
  <si>
    <t>17AL</t>
  </si>
  <si>
    <t>ลูกฟักกระจกโฟลทใสและกระจกเทมเปอร์ ขนาด 1.45 x 3.45 ม.</t>
  </si>
  <si>
    <t>18AL</t>
  </si>
  <si>
    <t>ลูกฟักกระจกโฟลทใสและกระจกเทมเปอร์ ขนาด 3.85 x 3.80 ม.</t>
  </si>
  <si>
    <t>19AL</t>
  </si>
  <si>
    <t>ลูกฟักกระจกโฟลทใสและกระจกเทมเปอร์ ขนาด 10.025 x 3.85 ม.</t>
  </si>
  <si>
    <t>20AL</t>
  </si>
  <si>
    <t>ลูกฟักกระจกโฟลทใสและกระจกเทมเปอร์ ขนาด 3.22 x 3.175 ม.</t>
  </si>
  <si>
    <t>21AL</t>
  </si>
  <si>
    <t>ลูกฟักกระจกโฟลทใสและกระจกเทมเปอร์ ขนาด 1.275 x 3.45 ม.</t>
  </si>
  <si>
    <t>22AL</t>
  </si>
  <si>
    <t>23AL</t>
  </si>
  <si>
    <t>ลูกฟักกระจกโฟลทใสและกระจกเทมเปอร์ ขนาด 8.475 x 3.45 ม.</t>
  </si>
  <si>
    <t>24AL</t>
  </si>
  <si>
    <t>ลูกฟักกระจกโฟลทใสและกระจกเทมเปอร์ ขนาด 5.95 x 3.45 ม.</t>
  </si>
  <si>
    <t>25AL</t>
  </si>
  <si>
    <t>ลูกฟักกระจกโฟลทใสและกระจกเทมเปอร์ ขนาด 2.95 x 3.175 ม.</t>
  </si>
  <si>
    <t>26AL</t>
  </si>
  <si>
    <t>ลูกฟักกระจกโฟลทใสและกระจกเทมเปอร์ ขนาด 3.05 x 3.65 ม.</t>
  </si>
  <si>
    <t>27AL</t>
  </si>
  <si>
    <t>ลูกฟักกระจกโฟลทใสและกระจกเทมเปอร์ ขนาด 16.625 x 3.85 ม.</t>
  </si>
  <si>
    <t>28AL</t>
  </si>
  <si>
    <t>ลูกฟักกระจกโฟลทใสและกระจกเทมเปอร์ ขนาด 3.35 x 3.07 ม.</t>
  </si>
  <si>
    <t>29AL</t>
  </si>
  <si>
    <t>ลูกฟักกระจกโฟลทใสและกระจกเทมเปอร์ ขนาด 3.35 + 2.85 x 3.10 ม.</t>
  </si>
  <si>
    <t>30AL</t>
  </si>
  <si>
    <t>ลูกฟักกระจกโฟลทใสและกระจกเทมเปอร์ ขนาด 2.85 x 2.95 ม.</t>
  </si>
  <si>
    <t>31AL</t>
  </si>
  <si>
    <t>ลูกฟักกระจกโฟลทใสและกระจกเทมเปอร์ ขนาด 13.20 x 4.25 ม.</t>
  </si>
  <si>
    <t>32AL</t>
  </si>
  <si>
    <t>ลูกฟักกระจกโฟลทใสและกระจกเทมเปอร์ ขนาด 3.22 x 3.85 ม.</t>
  </si>
  <si>
    <t>33AAL</t>
  </si>
  <si>
    <t xml:space="preserve">บานจุดหมุน/บานติดตาย วงกบอะลูมิเนียมสี Grey Sahara </t>
  </si>
  <si>
    <t>33BAL</t>
  </si>
  <si>
    <t>ช่องแสงกระจกโฟลทใส หนา 8 มม. ขนาด 1.675 x 0.70 และ 6.21 x 1.35 เมตร</t>
  </si>
  <si>
    <t>34AL</t>
  </si>
  <si>
    <t xml:space="preserve">บานติดตาย วงกบอะลูมิเนียมสี Grey Sahara </t>
  </si>
  <si>
    <t>ช่องแสงกระจกโฟลทใส หนา 8 มม. ขนาด 4.05 x 1.00 เมตร</t>
  </si>
  <si>
    <t>35AAL</t>
  </si>
  <si>
    <t xml:space="preserve">บานจุดหมุน/บานเปิดเดี่ยว/บานติดตาย วงกบอะลูมิเนียมสี Grey Sahara </t>
  </si>
  <si>
    <t>ลูกฟักกระจกเทมเปอร์ ขนาด 2.00 x 1.00 x 2.95 ม.+ 1.675 x 3.65 ม.</t>
  </si>
  <si>
    <t>35BAL</t>
  </si>
  <si>
    <t>ช่องแสงกระจกโฟลทใส หนา 8 มม. ขนาด 13.445 x 1.35 เมตร</t>
  </si>
  <si>
    <t>35CAL</t>
  </si>
  <si>
    <t>ลูกฟักกระจกโฟลทใส  ขนาด 1.675 x 3.65 ม.</t>
  </si>
  <si>
    <t>36AL</t>
  </si>
  <si>
    <t>ลูกฟักกระจกโฟลทใสและกระจกเทมเปอร์ ขนาด 2.95 x 2.95 ม.</t>
  </si>
  <si>
    <t>37AAL</t>
  </si>
  <si>
    <t>ลูกฟักกระจกโฟลทใสและกระจกเทมเปอร์ ขนาด 5.95 x 4.30 ม.</t>
  </si>
  <si>
    <t>37BAL</t>
  </si>
  <si>
    <t>บานติดตาย วงกบอะลูมิเนียมสี Grey Sahara ลูกฟักกระจกโฟลทใส</t>
  </si>
  <si>
    <t>ขนาด 3.138 x 4.30 ม.</t>
  </si>
  <si>
    <t>38A</t>
  </si>
  <si>
    <t>ลูกฟักกระจกโฟลทใสและกระจกเทมเปอร์ ขนาด 11.375 x 4.30 ม.</t>
  </si>
  <si>
    <t>38B</t>
  </si>
  <si>
    <t>ลูกฟักกระจกโฟลทใสและกระจกเทมเปอร์ ขนาด 25.82 x 4.30 ม.</t>
  </si>
  <si>
    <t>39AL</t>
  </si>
  <si>
    <t>ลูกฟักกระจกโฟลทใสและกระจกเทมเปอร์ ขนาด 5.95 + 3.138 x 4.30 ม.</t>
  </si>
  <si>
    <t>40AL</t>
  </si>
  <si>
    <t>ลูกฟักกระจกโฟลทใสและกระจกเทมเปอร์ ขนาด 3.25 x 2.95 ม.</t>
  </si>
  <si>
    <t>41AL</t>
  </si>
  <si>
    <t>ยกเลิกรายการ</t>
  </si>
  <si>
    <t>ขนาด 1.00 x 2.65 ม.</t>
  </si>
  <si>
    <t>42AL</t>
  </si>
  <si>
    <t>ลูกฟักกระจกโฟลทใสและกระจกเทมเปอร์ ขนาด 2.05 x 2.65 ม.</t>
  </si>
  <si>
    <t>43AL</t>
  </si>
  <si>
    <t>ลูกฟักกระจกโฟลทใสและกระจกเทมเปอร์ ขนาด 6.136 x 4.00 ม.</t>
  </si>
  <si>
    <t>44AL</t>
  </si>
  <si>
    <t>ขนาด 1.75 x 2.95 ม.</t>
  </si>
  <si>
    <t>1W</t>
  </si>
  <si>
    <t xml:space="preserve">บานเปิดเดี่ยว วงกบไม้สัก บานไม้สัก พร้อมลูกฟักไม้สัก ทำสีธรรมชาติ </t>
  </si>
  <si>
    <t>ขนาด 0.90 x 2.35 ม.</t>
  </si>
  <si>
    <t>2W</t>
  </si>
  <si>
    <t>บานเปิดเดี่ยว วงกบไม้สัก บานไม้สัก ทำสีธรรมชาติ ขนาด 0.90 x 2.00 ม.</t>
  </si>
  <si>
    <t>1S</t>
  </si>
  <si>
    <t>บานเปิดเดี่ยว บานประตูเหล็กทนไฟ ลูกฟักกระจกกันไฟ วงกบเหล็ก</t>
  </si>
  <si>
    <t>พร้อมยางกันควัน ขนาด 0.90 x 2.20 ม.</t>
  </si>
  <si>
    <t>2S</t>
  </si>
  <si>
    <t>บานเปิดเดี่ยว บานประตูเหล็ก วงกบเหล็ก ขนาด 0.70 x 1.80 ม.</t>
  </si>
  <si>
    <t>3S</t>
  </si>
  <si>
    <t>บานเปิดคู่ บานประตูเหล็ก วงกบเหล็ก ขนาด 1.20 x 1.80 ม.</t>
  </si>
  <si>
    <t>4S</t>
  </si>
  <si>
    <t>บานเปิดเดี่ยว บานประตูเหล็ก ลูกฟักเกล็ดเหล็ก วงกบเหล็ก ขนาด 0.70 x 2.20 ม.</t>
  </si>
  <si>
    <t>5S</t>
  </si>
  <si>
    <t>บานเปิดเดี่ยว บานประตูเหล็ก ลูกฟักเกล็ดเหล็กและช่องแสงกระจกใส วงกบเหล็ก</t>
  </si>
  <si>
    <t>ขนาด 0.70 x 2.20 ม.</t>
  </si>
  <si>
    <t>6S</t>
  </si>
  <si>
    <t>บานม้วน Stainless Steel ขนาด 3.00 x 2.75 ม.</t>
  </si>
  <si>
    <t>7S</t>
  </si>
  <si>
    <t>บานเปิดเดี่ยว บานประตูเหล็ก วงกบเหล็ก ขนาด 0.90 x 2.20 ม.</t>
  </si>
  <si>
    <t>8S</t>
  </si>
  <si>
    <t>บานเปิดคู่ บานประตูเหล็ก วงกบเหล็ก ขนาด 1.40 x 2.20 ม.</t>
  </si>
  <si>
    <t>9S</t>
  </si>
  <si>
    <t>บานเปิดคู่ บานประตูเหล็ก ลูกฟักเกล็ดเหล็ก วงกบเหล็ก ขนาด 1.40 x 2.10 ม.</t>
  </si>
  <si>
    <t>10S</t>
  </si>
  <si>
    <t>บานเปิดเดี่ยว บานประตูเหล็ก กรุผิวแผ่นลามิเนทลายโลหะ (ทั้ง 2 ด้าน)</t>
  </si>
  <si>
    <t>ขนาด 0.90 x 2.10 ม.</t>
  </si>
  <si>
    <t>11S</t>
  </si>
  <si>
    <t xml:space="preserve">บานเปิดเดี่ยว บานประตูเหล็ก กรุผิวแผ่นลามิเนทลายโลหะ (ทั้ง 2 ด้าน) </t>
  </si>
  <si>
    <t>ขนาด 1.00 x 2.10 ม.</t>
  </si>
  <si>
    <t>12S</t>
  </si>
  <si>
    <t>บานเลื่อน บานประตูเหล็ก กรุผิวแผ่นลามิเนทลายโลหะ (ทั้ง 2 ด้าน)</t>
  </si>
  <si>
    <t>13S</t>
  </si>
  <si>
    <t xml:space="preserve">บานเลื่อน บานประตูเหล็ก กรุผิวแผ่นลามิเนทลายโลหะ (ทั้ง 2 ด้าน) </t>
  </si>
  <si>
    <t>ขนาด 1.00 x 2.35 ม.</t>
  </si>
  <si>
    <t>14S</t>
  </si>
  <si>
    <t>งานอุปกรณ์ประตู</t>
  </si>
  <si>
    <t>HW1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</si>
  <si>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</si>
  <si>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</si>
  <si>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</si>
  <si>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</si>
  <si>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</si>
  <si>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</si>
  <si>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</si>
  <si>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</si>
  <si>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</si>
  <si>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HW11</t>
  </si>
  <si>
    <t>HW12</t>
  </si>
  <si>
    <t>HW13</t>
  </si>
  <si>
    <t>HW14</t>
  </si>
  <si>
    <t>HW15</t>
  </si>
  <si>
    <t>HW16</t>
  </si>
  <si>
    <t>HW17</t>
  </si>
  <si>
    <t>HW18</t>
  </si>
  <si>
    <t>HW19</t>
  </si>
  <si>
    <t>HW20</t>
  </si>
  <si>
    <t>HW21</t>
  </si>
  <si>
    <t>HW22</t>
  </si>
  <si>
    <t>HW23</t>
  </si>
  <si>
    <t>HW24</t>
  </si>
  <si>
    <t>AW1A</t>
  </si>
  <si>
    <t>บานติดตาย วงกบอะลูมิเนียมสี Grey Sahara ลูกฟักกระจก Heatstrengthen</t>
  </si>
  <si>
    <t>Laminated Glass + LOW - E  ขนาด 6.055 x 2.80 ม.</t>
  </si>
  <si>
    <t>AW1B</t>
  </si>
  <si>
    <t>Laminated Glass + LOW - E  ขนาด 5.55 x 2.80 ม.</t>
  </si>
  <si>
    <t>AW1C</t>
  </si>
  <si>
    <t>Laminated Glass + LOW - E  ขนาด 5.611 x 2.80 ม.</t>
  </si>
  <si>
    <t>AW2</t>
  </si>
  <si>
    <t>บานติดตาย วงกบอะลูมิเนียมสี Grey Sahara ลูกฟักกระจกโฟลท</t>
  </si>
  <si>
    <t>ขนาด 0.70 x 2.470 ม.</t>
  </si>
  <si>
    <t>AW3</t>
  </si>
  <si>
    <t>Laminated Glass + LOW - E ขนาด 8.20 x 2.80 ม.</t>
  </si>
  <si>
    <t>AW4A</t>
  </si>
  <si>
    <t>Laminated Glass + LOW - E  ขนาด 5.65 x 2.80 ม.</t>
  </si>
  <si>
    <t>AW4B</t>
  </si>
  <si>
    <t>AW4C</t>
  </si>
  <si>
    <t>Laminated Glass + LOW - E  ขนาด 5.945 x 2.80 ม.</t>
  </si>
  <si>
    <t>AW5</t>
  </si>
  <si>
    <r>
      <t xml:space="preserve">บานติดตาย วงกบอะลูมิเนียมสี Grey Sahara ลูกฟักกระจก </t>
    </r>
    <r>
      <rPr>
        <b/>
        <sz val="16"/>
        <color theme="1"/>
        <rFont val="Angsana New"/>
        <family val="1"/>
      </rPr>
      <t xml:space="preserve">Laminated LOW - E </t>
    </r>
  </si>
  <si>
    <t>ขนาด 1.05 x 4.58 ม.</t>
  </si>
  <si>
    <t>AW6</t>
  </si>
  <si>
    <t>ขนาด 2.965 + 2.980 + 1.680 + 0.865 x 2.10 ม.</t>
  </si>
  <si>
    <t>AW7A</t>
  </si>
  <si>
    <t>บานติดตาย วงกบอะลูมิเนียมสี Grey Sahara ลูกฟักกระจกโฟลท ขนาด 2.96x2.10 ม.</t>
  </si>
  <si>
    <t>AW7B</t>
  </si>
  <si>
    <t>บานติดตาย วงกบอะลูมิเนียมสี Grey Sahara ลูกฟักกระจกโฟลท ขนาด 2.98x2.10 ม.</t>
  </si>
  <si>
    <t>AW7C</t>
  </si>
  <si>
    <t>บานติดตาย วงกบอะลูมิเนียมสี Grey Sahara ลูกฟักกระจกโฟลท ขนาด 1.68x2.10 ม.</t>
  </si>
  <si>
    <t>AW7D</t>
  </si>
  <si>
    <t>บานติดตาย วงกบอะลูมิเนียมสี Grey Sahara ลูกฟักกระจกโฟลท ขนาด 0.865x2.10 ม.</t>
  </si>
  <si>
    <t>AW8</t>
  </si>
  <si>
    <t>Laminated Glass + LOW - E ขนาด 3.35 x 2.40 ม.</t>
  </si>
  <si>
    <t>AW9</t>
  </si>
  <si>
    <t>Laminated Glass + LOW - E ขนาด 2.95 x 2.40 ม.</t>
  </si>
  <si>
    <t xml:space="preserve"> </t>
  </si>
  <si>
    <t>AW10A</t>
  </si>
  <si>
    <t>Laminated Glass + LOW - E ขนาด 2.85 x 2.00 ม.</t>
  </si>
  <si>
    <t>AW10B</t>
  </si>
  <si>
    <t>AW10C</t>
  </si>
  <si>
    <t>Laminated Glass + LOW - E ขนาด 2.95 x 2.00 ม.</t>
  </si>
  <si>
    <t>AW10D</t>
  </si>
  <si>
    <t>Laminated Glass + LOW - E ขนาด  3.35 x 2.00 ม.</t>
  </si>
  <si>
    <t>AW11</t>
  </si>
  <si>
    <t>Laminated Glass + LOW - E ขนาด 3.35 x 3.70 ม.</t>
  </si>
  <si>
    <t>AW12</t>
  </si>
  <si>
    <t>Laminated Glass + LOW - E ขนาด 2.95 x 3.70 ม.</t>
  </si>
  <si>
    <t>AW13</t>
  </si>
  <si>
    <t>Laminated Glass + LOW - E ขนาด 3.35 x 3.40 ม.</t>
  </si>
  <si>
    <t>AW14</t>
  </si>
  <si>
    <t>Laminated Glass + LOW - E ขนาด 2.95 x 3.40 ม.</t>
  </si>
  <si>
    <t>AW15</t>
  </si>
  <si>
    <t>ยกเลิก</t>
  </si>
  <si>
    <t>AW16A</t>
  </si>
  <si>
    <t>Laminated Glass + LOW - E ขนาด 3.155 x 2.525 ม.</t>
  </si>
  <si>
    <t>AW16B</t>
  </si>
  <si>
    <t>Laminated Glass + LOW - E ขนาด 3.05 x 2.525 ม.</t>
  </si>
  <si>
    <t>AW17A</t>
  </si>
  <si>
    <t>บานติดตาย วงกบอะลูมิเนียมสี Grey Sahara</t>
  </si>
  <si>
    <t>ลูกฟักกระจก Heatstrengthen Laminated Glass  ขนาดตามระบุในแบบ</t>
  </si>
  <si>
    <t>AW17B</t>
  </si>
  <si>
    <t>AW17C</t>
  </si>
  <si>
    <t>AW18A</t>
  </si>
  <si>
    <t>AW18B</t>
  </si>
  <si>
    <t>AW19A</t>
  </si>
  <si>
    <t>AW19B</t>
  </si>
  <si>
    <t>AW19C</t>
  </si>
  <si>
    <t>AW20</t>
  </si>
  <si>
    <t>บานกระทุ้ง  /บานติดตาย วงกบอะลูมิเนียมสี Grey Sahara</t>
  </si>
  <si>
    <t xml:space="preserve"> ลูกฟักกระจก Laminated LOW - E ขนาด 22.40 x 1.475 ม.</t>
  </si>
  <si>
    <t>AW21A</t>
  </si>
  <si>
    <t>ขนาด 2.715 x 2.470 ม. หรือระดับใต้ท้องคาน</t>
  </si>
  <si>
    <t>AW21B</t>
  </si>
  <si>
    <t>AW22</t>
  </si>
  <si>
    <t>Laminated Glass + LOW - E ขนาด3.25 x 2.73 ม. หรือระดับใต้ท้องคาน</t>
  </si>
  <si>
    <t>AW23</t>
  </si>
  <si>
    <t xml:space="preserve">บานติดตาย วงกบอะลูมิเนียมสี Grey Sahara ลูกฟักกระจก Laminated Glass </t>
  </si>
  <si>
    <t>ขนาด 0.90 x 2.25 ม.</t>
  </si>
  <si>
    <t>งานประตู - หน้าต่างไม้ จัดทำใหม่ (18 ชุด)</t>
  </si>
  <si>
    <t>งานประตู - หน้าต่างไม้ จัดทำบางส่วน (16 ชุด)</t>
  </si>
  <si>
    <t>งานประตู - หน้าต่างไม้ ซ่อมแซมให้อยู่ในสภาพเดิม ( 184 ชุด)</t>
  </si>
  <si>
    <t>อ่างล้างหน้าฝังชนิดใต้เคาน์เตอร์ พร้อมก๊อกและอุปกรณ์ครบชุด</t>
  </si>
  <si>
    <t>อ่างล้างหน้าชนิดแขวน พร้อมก๊อกและอุปกรณ์ครบชุด (ห้องน้ำผู้พิการ -1T03 , 2T03 ,3T03)</t>
  </si>
  <si>
    <t>อ่างล้างหน้าชนิดฝังครึ่งเคาน์เตอร์ พร้อมก๊อกและอุปกรณ์ครบชุด (ห้องน้ำ 2T04 ,3T04)</t>
  </si>
  <si>
    <t>อ่างล้างหน้าชนิดแขวน พร้อมก๊อกและอุปกรณ์ครบชุด (ห้องศาสนา)</t>
  </si>
  <si>
    <t xml:space="preserve">โถสุขภัณฑ์แบบฟลัชวาล์ว พร้อมฟลัชวาล์วอุปกรณ์ครบชุด </t>
  </si>
  <si>
    <t>โถสุขภัณฑ์แบบแทงก์ พร้อมอุปกรณ์ครบชุด (ห้องน้ำผู้พิการ -1T03 , 2T03 ,3T03)</t>
  </si>
  <si>
    <t>โถสุขภัณฑ์แบบแทงก์ พร้อมอุปกรณ์ครบชุด (ห้องน้ำ -3T04)</t>
  </si>
  <si>
    <t xml:space="preserve">โถปัสสาวะชาย พร้อมฟลัชวาล์วและอุปกรณ์ครบชุด </t>
  </si>
  <si>
    <t xml:space="preserve">สายชำระ </t>
  </si>
  <si>
    <t xml:space="preserve">ที่กั้นโถปัสสาวะ </t>
  </si>
  <si>
    <t xml:space="preserve">ก๊อกฝักบัว </t>
  </si>
  <si>
    <t>ฝักบัวก้านแข็ง</t>
  </si>
  <si>
    <t xml:space="preserve">ที่ใส่สบู่ </t>
  </si>
  <si>
    <t xml:space="preserve">ราวแขวนผ้า </t>
  </si>
  <si>
    <t>GRABBAR</t>
  </si>
  <si>
    <t xml:space="preserve">ก๊อกติดผนังก้านปัด </t>
  </si>
  <si>
    <t xml:space="preserve">ก๊อกติดผนัง </t>
  </si>
  <si>
    <t xml:space="preserve">ที่ใส่กระดาษชำระ </t>
  </si>
  <si>
    <t>กระจกเงา ขนาด 600 x 1100 มม. (ตามแบบ IN510)</t>
  </si>
  <si>
    <t>กระจกเงา ขนาด 600 x 2000 มม. (ตามแบบ IN510)</t>
  </si>
  <si>
    <t>กระจกเงา ขนาด 600 x 1400 มม. (ตามแบบ IN510)</t>
  </si>
  <si>
    <t>กระจกเงา ขนาด 600 x 1500 มม. (ตามแบบ IN510)</t>
  </si>
  <si>
    <t>เคาน์เตอร์อ่างล้างหน้ากรุหินสังเคราะห์ ขนาดกว้าง 600 มม. (ตามแบบ IN510)</t>
  </si>
  <si>
    <t>เคาน์เตอร์หลังโถปัสสาวะกรุหินสังเคราะห์  ขนาดกว้าง 205 มม. (ตามแบบ IN510)</t>
  </si>
  <si>
    <t>เคาน์เตอร์อ่างล้างหน้ากรุหินสังเคราะห์ ห้องน้ำ 6</t>
  </si>
  <si>
    <t>เคาน์เตอร์อ่างล้างหน้ากรุหินสังเคราะห์ ห้องน้ำ 7</t>
  </si>
  <si>
    <t>งานยาแนวซิลิโคนสุขภัณฑ์</t>
  </si>
  <si>
    <t>บันได 1</t>
  </si>
  <si>
    <t>งานขั้นบันได ผิวกรุหินอ่อน</t>
  </si>
  <si>
    <t>งานชานพักบันได ผิวกรุหินอ่อน</t>
  </si>
  <si>
    <t>งานราวบันได 1</t>
  </si>
  <si>
    <r>
      <t>งาน</t>
    </r>
    <r>
      <rPr>
        <b/>
        <sz val="16"/>
        <color theme="1"/>
        <rFont val="Angsana New"/>
        <family val="1"/>
      </rPr>
      <t xml:space="preserve">ท้องบันได ค.ส.ล. สภาพสีเดิม </t>
    </r>
    <r>
      <rPr>
        <sz val="16"/>
        <color theme="1"/>
        <rFont val="Angsana New"/>
        <family val="1"/>
      </rPr>
      <t>ลงน้ำยาปกป้องผิว</t>
    </r>
  </si>
  <si>
    <t>บันได 2</t>
  </si>
  <si>
    <t>งานขั้นบันได ผิวหินขัด</t>
  </si>
  <si>
    <t>งานชานพักบันได ผิวหินขัด</t>
  </si>
  <si>
    <t>งานราวบันไดเดิม ทำความสะอาดและทาสีอะครีลิค ชนิดภายใน</t>
  </si>
  <si>
    <t xml:space="preserve">งานท้องพื้นบันไดและข้างบันได ทาสีอะครีลิคชนิดภายใน </t>
  </si>
  <si>
    <t>บันได 3</t>
  </si>
  <si>
    <t>บันได 4</t>
  </si>
  <si>
    <t>บันได 5</t>
  </si>
  <si>
    <t>บันได 6</t>
  </si>
  <si>
    <t xml:space="preserve">Steel Plat Thk. 20 mm. </t>
  </si>
  <si>
    <t>* ดูรายละเอียดวิศวกรรมโครงสร้าง</t>
  </si>
  <si>
    <t>คส ข้อ3</t>
  </si>
  <si>
    <t xml:space="preserve">Steel Plat Thk.12 mm. </t>
  </si>
  <si>
    <t>Steel Plat Thk. 9 mm.</t>
  </si>
  <si>
    <t>Steel Plat Thk. 4 mm.</t>
  </si>
  <si>
    <t xml:space="preserve">งานราวกันตก Laminate Tempered Glass 6+6 mm. </t>
  </si>
  <si>
    <t>พร้อมหมุดยึดและอุปกรณ์ประกอบ</t>
  </si>
  <si>
    <t>พื้นปูทับด้วยแผ่นยางปูพื้นกันลื่นลายเหรียญสีเทา Round Dot - Anti Slip หนา 5 มม.</t>
  </si>
  <si>
    <t>Checkered Plate Thk. 4 mm.</t>
  </si>
  <si>
    <t>งานทำสีพ่นสีดำ โครงสร้างเหล็กทั้งหมด</t>
  </si>
  <si>
    <t>บันไดบริการ</t>
  </si>
  <si>
    <t>บันไดบริการ ตามแบบ IN410</t>
  </si>
  <si>
    <t>ฝาถังเก็บน้ำ - ประตูทางลงบริการ ตามแบบ IN410</t>
  </si>
  <si>
    <t>งานตกแต่งโถงลิฟต์</t>
  </si>
  <si>
    <t>Steel H - Beam 200 x 200 x 8 x 12 mm.</t>
  </si>
  <si>
    <t xml:space="preserve"> ( ดูแบบวิศวกรรมโครงสร้าง )</t>
  </si>
  <si>
    <t>คส. ข้อ2</t>
  </si>
  <si>
    <t xml:space="preserve">ผนังกระจก Laminated Glass Clear  + LOW - E  </t>
  </si>
  <si>
    <t>วงกบ Aluminium  Black Sahara</t>
  </si>
  <si>
    <t>หลังคากระจก Laminated LOW - E  6 mm. + Air Space</t>
  </si>
  <si>
    <t xml:space="preserve"> + Insulated Glass 5 + 5 mm.</t>
  </si>
  <si>
    <t>Aluminium Flashing Sheet Thk.1 mm. ( พับตามรูปแบบ )</t>
  </si>
  <si>
    <t>Steel Flat Bar 50 x 6 mm.</t>
  </si>
  <si>
    <t>Aluminium เคลือบสี ขนาด 100 x 0.6 มม. @ 100 มม.</t>
  </si>
  <si>
    <t>หลังคา Metal Sheet , Skylight และ หลังคา Fiberglass (ตามแบบขยาย IN107)</t>
  </si>
  <si>
    <t xml:space="preserve">Metal Sheet รุ่น Klip - Lock 700 Hi - Strength  </t>
  </si>
  <si>
    <t>แผ่นหลังคาไฟเบอร์กลาสโปร่งแสง ผลิตจากเรซินเกรดสูง เสริมกำลังด้วยใยแก้ว</t>
  </si>
  <si>
    <t>รุ่น Klip - Lock 700 หรือรูปลอนแบบเดียวกับหลังคา Metal Sheet (Coollite)</t>
  </si>
  <si>
    <t>SKYLIGHT กระจก LOW - E  6 mm. + Air Space + Clear Glass 5 + 5 mm.</t>
  </si>
  <si>
    <t>Flashing หลังคาครอบบน</t>
  </si>
  <si>
    <t>Flashing หลังคาครอบชายคาล่าง</t>
  </si>
  <si>
    <t>Flashing หลังคาครอบชนผนัง</t>
  </si>
  <si>
    <t>โครงสร้างเหล็กทั้งหมด ดูรายละเอียดงานวิศวกรรมโครงสร้าง</t>
  </si>
  <si>
    <t>*ดูรายละเอียดงานวิศวกรรมโครงสร้าง</t>
  </si>
  <si>
    <t>คส. ข้อ 8-9</t>
  </si>
  <si>
    <t>งานทาสีน้ำมันอัลคิด โครงสร้างเหล็กทั้งหมด</t>
  </si>
  <si>
    <t>ฝ้าเพดานไม้แนวตั้ง</t>
  </si>
  <si>
    <t>*ดูรายละเอียดงานฝ้าเพดาน C3.5</t>
  </si>
  <si>
    <t>ผนังกรุไม้อัดสัก</t>
  </si>
  <si>
    <t>*ดูรายละเอียดงานผนัง P3.2</t>
  </si>
  <si>
    <t>ทางเดินบริการ ตะแกรงเหล็กฉีก รุ่น XS-22</t>
  </si>
  <si>
    <t xml:space="preserve">งานหลังคา BUILT-UP ROOF </t>
  </si>
  <si>
    <t>Steel Rectangular Tube 150 x 50 x 2.3 mm.</t>
  </si>
  <si>
    <t>Steel Rectangular Tube 100 x 50 x 2.3 mm.</t>
  </si>
  <si>
    <t>Steel Square Tube 12 x 12 x 1 mm.</t>
  </si>
  <si>
    <t>Steel Rectangular Tube 200 x 100 x 2.3 mm.</t>
  </si>
  <si>
    <t>Steel Plate 200 x 6 mm.</t>
  </si>
  <si>
    <t>เเผ่นโพลีเเอททีลีน สำหรับงานกันซึมหนา 2 มม.</t>
  </si>
  <si>
    <t>ฉนวนกันความร้อนหนา 50 มม.</t>
  </si>
  <si>
    <t>แผ่นไฟเบอร์ซีเมนต์หนา 12 มม.</t>
  </si>
  <si>
    <t>ไม้อัด HMR หนา 9 มม. ทาสีอะครีลิค</t>
  </si>
  <si>
    <t>Steel Plate 75 x 6 mm.</t>
  </si>
  <si>
    <t>Steel Plate 147 x 6 mm.</t>
  </si>
  <si>
    <t>งานทำสีพ่น สีน้ำมันอัลคิด โครงสร้างเหล็กทั้งหมด</t>
  </si>
  <si>
    <t>งานหลังคาบันได 2</t>
  </si>
  <si>
    <t>Steel Plate Thk. 9 mm. ( ประกอบตามรูปแบบ )</t>
  </si>
  <si>
    <t>กก</t>
  </si>
  <si>
    <t>Steel Square Tube 50 x 50 x 3.2 mm.</t>
  </si>
  <si>
    <t>กระจก Laminated Low - E 5 + 5 mm. + 0.76 PVB</t>
  </si>
  <si>
    <t>( ยึดกับโครงสร้างเหล็กด้วย Structrue Silicone )</t>
  </si>
  <si>
    <t>Steel Plate Thk. 2 mm. ทำสีพ่น</t>
  </si>
  <si>
    <t>Steel Plate Thk. 2 mm. ทำสีพ่น ปรับมุมตามแบบ</t>
  </si>
  <si>
    <t>งานหลังคาบันได 3</t>
  </si>
  <si>
    <t>งานหลังคาบันได 4</t>
  </si>
  <si>
    <t>งานหลังคาห้องน้ำ</t>
  </si>
  <si>
    <t>Steel Rectangular Tube 125 x 75 x 3.2 mm.</t>
  </si>
  <si>
    <t>Steel Square Tube 125 x 125 x 3.2 mm.</t>
  </si>
  <si>
    <t>Steel Plate Thk. 2 mm. ทำสีพ่น ปรับมุมตามแบบ การติดตั้งเสนออนุุมัติ</t>
  </si>
  <si>
    <t xml:space="preserve">งานทาสีน้ำมันอัลคิด โครงสร้างเหล็กทั้งหมดยกเว้น Steel Plate Thk. 2 mm. </t>
  </si>
  <si>
    <t>งานทำสีพ่น Steel Plate Thk. 2 mm. ทั้งหมด</t>
  </si>
  <si>
    <t>งานฉนวนกันความร้อน</t>
  </si>
  <si>
    <t xml:space="preserve">ฉนวนใยแก้ว หนา 75 mm. พร้อมแผ่นอลูมินั่มฟรอยด์ ความหนาแน่น 32 kg./m³ </t>
  </si>
  <si>
    <t>ปูให้ติดกับหลังคา</t>
  </si>
  <si>
    <t>ตะแกรงลวดสำหรับรองรับฉนวนใยแก้ว ( เสนอผู้ควบคุมงานอนุมัติ )</t>
  </si>
  <si>
    <t>ฉนวนกันความร้อน Extruded Polystyrene Foamความหนาแน่นไม่น้อยกว่า 32 kg/m</t>
  </si>
  <si>
    <t xml:space="preserve">*ดูรายละเอียดงานหลังคา BUILT-UP ROOF </t>
  </si>
  <si>
    <t>Polythyrene Foam หนา 25 มม.</t>
  </si>
  <si>
    <t>งานกันซึม</t>
  </si>
  <si>
    <t>แผ่น Polyvinylcoride หนาไม่น้อยกว่า 1.5 มม.  ติดตั้งตามมาตรฐานของผู้ผลิต</t>
  </si>
  <si>
    <t xml:space="preserve">*ไม่รวมบริเวณงานหลังคา BUILT-UP ROOF </t>
  </si>
  <si>
    <t xml:space="preserve">งานกันซึม ประเภท Arcylic Modified Urethane Coating   </t>
  </si>
  <si>
    <t xml:space="preserve">เสริมความแข็งแรงเชิงกลด้วยเส้นใยโพลีเอสเตอร์ ทารองพื้น 1 เที่ยว  </t>
  </si>
  <si>
    <t xml:space="preserve">และทาทับหน้า 2 เที่ยว รวมความหนาระบบกันซึม ไม่น้อยกว่า 1 มม. </t>
  </si>
  <si>
    <t>งานระบบกันซึมระบบ Crystalize ก่อนที่จะทำผิว Finishing ตามแบบระบุ</t>
  </si>
  <si>
    <t>งานกันซึมพื้นและผนังภายนอกชั้นใต้ดิน LIQUID SHEET MEMBRANE (LIFT PIT)</t>
  </si>
  <si>
    <t xml:space="preserve">สรุปราคาค่าก่อสร้างงานสถาปัตยกรรมภายใน </t>
  </si>
  <si>
    <t xml:space="preserve">งาน LOBBY  (ชั้นล่าง) </t>
  </si>
  <si>
    <t>งานห้อง Workshop (ชั้นล่าง)</t>
  </si>
  <si>
    <t xml:space="preserve">งานสำนักงาน 1 (ชั้นล่าง) </t>
  </si>
  <si>
    <t xml:space="preserve">งาน Print &amp; Copy 1 (ชั้นล่าง) </t>
  </si>
  <si>
    <t xml:space="preserve">งานห้องเตรียมอาหาร 1 (ชั้นล่าง) </t>
  </si>
  <si>
    <t xml:space="preserve">งานห้องประชุม 1 (ชั้นลอย) </t>
  </si>
  <si>
    <t xml:space="preserve">งาน Print &amp; Copy 2 (ชั้นลอย) </t>
  </si>
  <si>
    <t xml:space="preserve">งานสำนักงาน 3 (ชั้น 2) </t>
  </si>
  <si>
    <t xml:space="preserve">งานห้องเก็บเอกสาร 1 (ชั้น 2) </t>
  </si>
  <si>
    <t xml:space="preserve">งาน Print &amp; Copy 3 (ชั้น 2) </t>
  </si>
  <si>
    <t xml:space="preserve">งานห้องประชุม 2 (ชั้น 2) </t>
  </si>
  <si>
    <t xml:space="preserve">งานห้องประชุม 3 (ชั้น 2) </t>
  </si>
  <si>
    <t xml:space="preserve">งานห้องประชุม 4 (ชั้น 2) </t>
  </si>
  <si>
    <t xml:space="preserve">งานห้องประชุม 5 (ชั้น 2) </t>
  </si>
  <si>
    <t xml:space="preserve">งานสำนักงาน 4 (ชั้น 2) </t>
  </si>
  <si>
    <t xml:space="preserve">งานห้องเก็บเอกสาร 2 (ชั้น 2) </t>
  </si>
  <si>
    <t xml:space="preserve">งาน Print &amp; Copy 4 (ชั้น 2) </t>
  </si>
  <si>
    <t xml:space="preserve">งานห้องดิจิตอลแลป (ชั้น 2) </t>
  </si>
  <si>
    <t xml:space="preserve">งานห้องเตรียมอาหาร 3 (ชั้น 2) </t>
  </si>
  <si>
    <t xml:space="preserve">งานสำนักงาน 5 (ชั้น 3) </t>
  </si>
  <si>
    <t xml:space="preserve">งานห้องเก็บเอกสาร 3 (ชั้น 3) </t>
  </si>
  <si>
    <t xml:space="preserve">งาน Print &amp; Copy 5 (ชั้น 3) </t>
  </si>
  <si>
    <t xml:space="preserve">งานห้องประชุม 6 (ชั้น 3) </t>
  </si>
  <si>
    <t xml:space="preserve">งานสำนักงาน 6 (ชั้น 3) </t>
  </si>
  <si>
    <t xml:space="preserve">งาน Print &amp; Copy 6 (ชั้น 3) </t>
  </si>
  <si>
    <t xml:space="preserve">งานห้องเตรียมอาหาร 3 (ชั้น 3) </t>
  </si>
  <si>
    <t xml:space="preserve">งานห้องเตรียมอาหาร 4 (ชั้น 3) </t>
  </si>
  <si>
    <t xml:space="preserve">งานห้องสมุดและพักผ่อน (ชั้นดาดฟ้า) </t>
  </si>
  <si>
    <t>รวมราคางานสถาปัตยกรรมภายใน อาคาร Ratchadamnoen Center 2</t>
  </si>
  <si>
    <t>งาน LOBBY  (ชั้นล่าง)</t>
  </si>
  <si>
    <t>ผนังกระจก U GLASS ขนาด 262 x 60 x 7 มม. รุ่น Clarissimo + รุ่น Clarissimo</t>
  </si>
  <si>
    <t>* ดูรายละเอียดงานผนังและผิวผนัง</t>
  </si>
  <si>
    <t xml:space="preserve">งานกระจก </t>
  </si>
  <si>
    <t>งานโครงเคร่าเหล็กประกอบงานผนัง พร้อมงานทาสี</t>
  </si>
  <si>
    <t xml:space="preserve">ผนังโครงไม้จ๊อยท์ตะแบก ขนาด 25 x 45 มม. @500 มม. </t>
  </si>
  <si>
    <t xml:space="preserve">กรุไม้อัด HMR หนา 4 มม. กรุลามิเนต สีดำด้าน(เสนออนุมัติ)  </t>
  </si>
  <si>
    <t xml:space="preserve">กรุไม้อัด HMR หนา 4 มม. กรุลามิเนต สีขาว (เสนออนุมัติ)  </t>
  </si>
  <si>
    <t xml:space="preserve">โครงสร้างเหล็ก Steel Square Tube  50x50x2.3 @500 mm. </t>
  </si>
  <si>
    <t xml:space="preserve">สำหรับติดตั้ง จอ LED VIDEO WALL </t>
  </si>
  <si>
    <t>งานครุภัณฑ์</t>
  </si>
  <si>
    <t>BF.T 06</t>
  </si>
  <si>
    <t>โต๊ะ  (ตามแบบ IN1008) ขนาด กว้าง 1.00xยาว 4.90xสูง 1.00 ม.</t>
  </si>
  <si>
    <t>BF.SC00</t>
  </si>
  <si>
    <t xml:space="preserve">ตู้เก็บของ (ตามแบบ IN1008) </t>
  </si>
  <si>
    <t>BF.C 01</t>
  </si>
  <si>
    <t>เก้าอี้พักรอ LOBBY</t>
  </si>
  <si>
    <t>รวมราคางาน LOBBY  (ชั้นล่าง)</t>
  </si>
  <si>
    <t>ผนังกรุผิวไม้อัดยางหนา 4 มม. และแผ่นลามิเนทลายโลหะ ( ดูแบบขยายผนัง )</t>
  </si>
  <si>
    <t>ค่าแรงตัวคูณผิด</t>
  </si>
  <si>
    <t>ผนังเลื่อนกั้นห้อง (Operable Wall)  กว้าง 5.95 เมตร สูง 3.00 เมตร ผิวกรุลามิเนท</t>
  </si>
  <si>
    <t>ส่วน Connecting void.</t>
  </si>
  <si>
    <t>* ดูรายละเอียดงานฝ้าเพดาน</t>
  </si>
  <si>
    <t>ฝ้าเพดานกรุไม้อัดสัก หนา 4 มม. โครงคร่าวไม้ 1''x 2'' # 300 x 300 มม.</t>
  </si>
  <si>
    <t>งานโครงสร้างเหล็กรับผนังและฝ้าเพดาน</t>
  </si>
  <si>
    <t>โครง Steel Tube 50x50 mm. (ดูแบบขยายวิศวกรรม)</t>
  </si>
  <si>
    <t>*ดูรายละเอียดวิศวกรรม</t>
  </si>
  <si>
    <t>H-BEAM 250 x 250</t>
  </si>
  <si>
    <t xml:space="preserve">Steel Plat THK 5 mm. </t>
  </si>
  <si>
    <t>รวมราคางานห้อง Workshop (ชั้นล่าง)</t>
  </si>
  <si>
    <t>งานสำนักงาน 1 (ชั้นล่าง)</t>
  </si>
  <si>
    <t>BF.T 01</t>
  </si>
  <si>
    <t>เคาน์เตอร์สำนักงาน 1 กรุหินสังเคราะห์  ขนาด กว้าง 1.20xยาว 3.65 x 1.00 เมตร</t>
  </si>
  <si>
    <t>รวมราคางานสำนักงาน 1 (ชั้นล่าง)</t>
  </si>
  <si>
    <t>งาน Print &amp; Copy 1 (ชั้นล่าง)</t>
  </si>
  <si>
    <t>BF.R 05</t>
  </si>
  <si>
    <t>ตู้เอกสาร (ตามแบบ IN1032)</t>
  </si>
  <si>
    <t>กว้าง 0.40xยาว 3.10xสูง 2.20 เมตร</t>
  </si>
  <si>
    <t>กว้าง 0.60xยาว 1.562xสูง 1.00 เมตร</t>
  </si>
  <si>
    <t>รวมราคางาน Print &amp; Copy 1 (ชั้นล่าง)</t>
  </si>
  <si>
    <t>งานห้องเตรียมอาหาร 1 (ชั้นล่าง)</t>
  </si>
  <si>
    <t>BF.P 01</t>
  </si>
  <si>
    <t>เคาน์เตอร์เตรียมอาหารพร้อมตู้แขวน</t>
  </si>
  <si>
    <t>ขนาด 0.60 x 2.20 x 0.85 ม.</t>
  </si>
  <si>
    <t>พร้อมตู้ลอยเหนือเคาน์เตอร์</t>
  </si>
  <si>
    <t>ขนาด 0.35 x 2.20 x 0.75 ม.</t>
  </si>
  <si>
    <t>Pantry Sink</t>
  </si>
  <si>
    <t>ก๊อกอ่างซิงค์ พร้อมอุปกรณ์ประกอบครบชุด</t>
  </si>
  <si>
    <t>รวมราคางานห้องเตรียมอาหาร 1 (ชั้นล่าง)</t>
  </si>
  <si>
    <t>งานห้องประชุม 1 (ชั้นลอย)</t>
  </si>
  <si>
    <t>ผนังกรุผิวไม้อัดยางหนา 4 มม. ทับหน้าด้วยไม้สัก ขนาด 20 x 20 มม. ทำสีธรรมชาติ</t>
  </si>
  <si>
    <t>ผนังกรุผิวไม้อัดยางหนา 4 มม. ทับหน้าด้วยไม้วีเนียร์</t>
  </si>
  <si>
    <t>Top ไม้สักหนา 25 มม. ทำสีธรรมชาติ</t>
  </si>
  <si>
    <t>ผนังกรุผิวไม้อัดยางหนา 4 มม.และแผ่นลามิเนทสีเรียบโครงคร่าวประกอบขึ้นจากไม้จ๊อย</t>
  </si>
  <si>
    <t>BF.T 02</t>
  </si>
  <si>
    <t xml:space="preserve">โต๊ะประชุม </t>
  </si>
  <si>
    <t>ขนาดกว้าง 0.80 /1.00 ยาว 15.6 ม.</t>
  </si>
  <si>
    <t>รวมราคางานห้องประชุม 1 (ชั้นลอย)</t>
  </si>
  <si>
    <t>งาน Print &amp; Copy 2 (ชั้นลอย)</t>
  </si>
  <si>
    <t>BF.R 06</t>
  </si>
  <si>
    <t>ตู้เอกสารสูง (ตามแบบ IN1033)</t>
  </si>
  <si>
    <t>กว้าง 0.45xยาว 1.725xสูง 2.20 เมตร</t>
  </si>
  <si>
    <t>ตู้เอกสารเตี้ย (ตามแบบ IN1033)</t>
  </si>
  <si>
    <t>กว้าง 0.50xยาว 3.10xสูง 1.00 เมตร</t>
  </si>
  <si>
    <t>รวมราคางาน Print &amp; Copy 2 (ชั้นลอย)</t>
  </si>
  <si>
    <t>งานสำนักงาน 3 (ชั้น 2)</t>
  </si>
  <si>
    <t>BF.R 11</t>
  </si>
  <si>
    <t>ชุดตู้เก็บเอกสาร (ตามแบบ IN1042)</t>
  </si>
  <si>
    <t>ขนาดกว้าง 0.45xยาว 5.375 xสูง 1.85 ม.</t>
  </si>
  <si>
    <t>พร้อมที่นั่ง (ด้านหลัง) (ตามแบบ IN1042)</t>
  </si>
  <si>
    <t>ขนาดกว้าง 0.50xยาว 5.375 xสูง 0.45 ม.</t>
  </si>
  <si>
    <t>รวมราคางานสำนักงาน 3 (ชั้น 2)</t>
  </si>
  <si>
    <t>งานห้องเก็บเอกสาร 1 (ชั้น 2)</t>
  </si>
  <si>
    <t>BF.R.13</t>
  </si>
  <si>
    <t>ตู้เอกสาร (ตามแบบ IN1038)</t>
  </si>
  <si>
    <t>กว้าง 0.40xยาว 6.00xสูง 2.70 เมตร</t>
  </si>
  <si>
    <t>รวมราคางานห้องเก็บเอกสาร 1 (ชั้น 2)</t>
  </si>
  <si>
    <t>งาน Print &amp; Copy 3 (ชั้น 2)</t>
  </si>
  <si>
    <t>BF.R 07</t>
  </si>
  <si>
    <t>ตู้เอกสารสูง (ตามแบบ IN1034)</t>
  </si>
  <si>
    <t>กว้าง 0.40xยาว3.44xสูง 2.70 เมตร</t>
  </si>
  <si>
    <t>ตู้เอกสารเตี้ย (ตามแบบ IN1034)</t>
  </si>
  <si>
    <t>กว้าง 0.55xยาว 3.70xสูง 1.00 เมตร</t>
  </si>
  <si>
    <t>รวมราคางาน Print &amp; Copy 3 (ชั้น 2)</t>
  </si>
  <si>
    <t>งานห้องประชุม 2 (ชั้น 2)</t>
  </si>
  <si>
    <t>BF.T 03</t>
  </si>
  <si>
    <t>ขนาดกว้าง 0.80 /1.00 xยาว 15.6 ม.xสูง 0.75 ม.</t>
  </si>
  <si>
    <t>รวมราคางานห้องประชุม 2 (ชั้น 2)</t>
  </si>
  <si>
    <t>งานห้องประชุม 3 (ชั้น 2)</t>
  </si>
  <si>
    <t>รวมราคางานห้องประชุม 3 (ชั้น 2)</t>
  </si>
  <si>
    <t>งานห้องประชุม 4 (ชั้น 2)</t>
  </si>
  <si>
    <t>งานช่องแสงกระจกเหนือผนัง</t>
  </si>
  <si>
    <t>* ดูรายละเอียดงานสถาปัตยกรรม หมวดงานผนัง</t>
  </si>
  <si>
    <t>รวมราคางานห้องประชุม 4 (ชั้น 2)</t>
  </si>
  <si>
    <t>งานห้องประชุม 5 (ชั้น 2)</t>
  </si>
  <si>
    <t>รวมราคางานห้องประชุม 5 (ชั้น 2)</t>
  </si>
  <si>
    <t>งานสำนักงาน 4 (ชั้น 2)</t>
  </si>
  <si>
    <t>ตู้ชั้นวางของด้านหน้า (ตามแบบ IN1042)</t>
  </si>
  <si>
    <t>ขนาดกว้าง 0.40xยาว 5.375 xสูง 1.85 ม.</t>
  </si>
  <si>
    <t>พร้อมที่นั่งด้านหลัง (ตามแบบ IN1042)</t>
  </si>
  <si>
    <t>งานห้องเก็บเอกสาร 2 (ชั้น 2)</t>
  </si>
  <si>
    <t>BF.R 14</t>
  </si>
  <si>
    <t>ตู้เอกสาร (ตามแบบ IN1039)</t>
  </si>
  <si>
    <t>กว้าง 0.40-0.60xยาว 8.20xสูง 2.70ม.</t>
  </si>
  <si>
    <t>รวมราคางานห้องเก็บเอกสาร 2 (ชั้น 2)</t>
  </si>
  <si>
    <t>งาน Print &amp; Copy 4 (ชั้น 2)</t>
  </si>
  <si>
    <t>BF.R 08</t>
  </si>
  <si>
    <t>ตู้เอกสารสูง (ตามแบบ IN1035)</t>
  </si>
  <si>
    <t>กว้าง 0.40xยาว3.50xสูง 2.70 เมตร</t>
  </si>
  <si>
    <t>ตู้เอกสารเตี้ย (ตามแบบ IN1035)</t>
  </si>
  <si>
    <t>กว้าง 0.55xยาว 1.475xสูง 1.00 เมตร</t>
  </si>
  <si>
    <t>รวมราคางาน Print &amp; Copy 4 (ชั้น 2)</t>
  </si>
  <si>
    <t>งานห้องดิจิตอลแลป (ชั้น 2)</t>
  </si>
  <si>
    <t>งานผนังกรุด้วยผ้าเขียว กรีนสกรีน</t>
  </si>
  <si>
    <t>รวมราคางานห้องดิจิตอลแลป (ชั้น 2)</t>
  </si>
  <si>
    <t>งานห้องเตรียมอาหาร 3 (ชั้น 2)</t>
  </si>
  <si>
    <t>BF.P 02</t>
  </si>
  <si>
    <t xml:space="preserve">ชุดเตรียมอาหารพร้อมตู้แขวน </t>
  </si>
  <si>
    <t>ขนาดกว้าง 0.60xยาว 5.550xสูง 0.85 ม.</t>
  </si>
  <si>
    <t xml:space="preserve">พร้อมตู้แขวน </t>
  </si>
  <si>
    <t>ขนาดกว้าง 0.35xยาว 3.925xสูง 0.80 ม.</t>
  </si>
  <si>
    <t>BF.P 03</t>
  </si>
  <si>
    <t>ชุดเตรียมอาหาร (ตามแบบ IN1030)</t>
  </si>
  <si>
    <t>ขนาดกว้าง 0.60xยาว 2.00xสูง 0.85 ม.</t>
  </si>
  <si>
    <t>รวมราคางานห้องเตรียมอาหาร 3 (ชั้น 2)</t>
  </si>
  <si>
    <t>งานสำนักงาน 5 (ชั้น 3)</t>
  </si>
  <si>
    <t>BF.R 12</t>
  </si>
  <si>
    <t>ชุดตู้พร้อมชั้นวางของ (ตามแบบ IN1043)</t>
  </si>
  <si>
    <t>ขนาดกว้าง 0.45 xยาว 4.50 xสูง 2.00 เมตร</t>
  </si>
  <si>
    <t>ตู้พร้อมชั้นวางของ (ตามแบบ IN1043)</t>
  </si>
  <si>
    <t>งานห้องเก็บเอกสาร 3 (ชั้น 3)</t>
  </si>
  <si>
    <t>BF.R15-1</t>
  </si>
  <si>
    <t>ตู้เอกสาร (ตามแบบ IN1040)</t>
  </si>
  <si>
    <t>ขนาดกว้าง 0.40xยาว 3.65xสูง 2.90 ม.</t>
  </si>
  <si>
    <t>BF.R15-2</t>
  </si>
  <si>
    <t>BF.R15-3</t>
  </si>
  <si>
    <t>ขนาดกว้าง 0.35xยาว 5.00xสูง 2.90 ม.</t>
  </si>
  <si>
    <t>รวมราคาานห้องเก็บเอกสาร 3 (ชั้น 3)</t>
  </si>
  <si>
    <t>งาน Print &amp; Copy 5 (ชั้น 3)</t>
  </si>
  <si>
    <t>BF.R 09</t>
  </si>
  <si>
    <t>ตู้เอกสารสูง (ตามแบบ IN1036)</t>
  </si>
  <si>
    <t>กว้าง 0.40xยาว 2.45xสูง 2.50 เมตร</t>
  </si>
  <si>
    <t>ตู้เอกสารเตี้ย (ตามแบบ IN1036)</t>
  </si>
  <si>
    <t>กว้าง 0.40xยาว 1.025xสูง 1.00 เมตร</t>
  </si>
  <si>
    <t>รวมราคางาน Print &amp; Copy 5 (ชั้น 2)</t>
  </si>
  <si>
    <t>งานห้องประชุม 6 (ชั้น 3)</t>
  </si>
  <si>
    <t xml:space="preserve">ผนังกระจก U GLASS ขนาด 262 x 60 x 7 มม. รุ่น Clarissimo+รุ่น Cord </t>
  </si>
  <si>
    <t>BF.T 04</t>
  </si>
  <si>
    <t>โต๊ะประชุม (ตามแบบ IN909-910)</t>
  </si>
  <si>
    <t>ขนาดกว้าง 0.90 /1.30 ยาว 24.5 ม.</t>
  </si>
  <si>
    <t>BF.T 05</t>
  </si>
  <si>
    <t>ขนาดกว้าง 0.50 ยาว 7.40 ม.</t>
  </si>
  <si>
    <t>ตู้เก็บเอกสาร</t>
  </si>
  <si>
    <t>รวมราคางานห้องประชุม 6 (ชั้น 3)</t>
  </si>
  <si>
    <t>งานสำนักงาน 6 (ชั้น 3)</t>
  </si>
  <si>
    <t>BF.R 01</t>
  </si>
  <si>
    <t>ตู้เอกสาร ห้องประธาน (ตามแบบ IN914-915)</t>
  </si>
  <si>
    <t>ขนาดกว้าง 0.55xยาว 3.90xสูง 2.17 ม.</t>
  </si>
  <si>
    <t>BF.R 02</t>
  </si>
  <si>
    <t>ตู้เอกสาร ผู้อำนวยการ (ตามแบบ IN918-919)</t>
  </si>
  <si>
    <t>ขนาดกว้าง 0.55xยาว 4.255xสูง 2.17 ม.</t>
  </si>
  <si>
    <t>BF.T 07</t>
  </si>
  <si>
    <t>โต๊ะทำงาน สำนักงาน 6 (ตามแบบ IN1047)</t>
  </si>
  <si>
    <t>รวมราคางานสำนักงาน 6 (ชั้น 3)</t>
  </si>
  <si>
    <t>งาน Print &amp; Copy 6 (ชั้น 3)</t>
  </si>
  <si>
    <t>BF.R 10</t>
  </si>
  <si>
    <t>ตู้เอกสารสูง (ตามแบบ IN1037)</t>
  </si>
  <si>
    <t>กว้าง 0.40xยาว 1.55xสูง 2.20 เมตร</t>
  </si>
  <si>
    <t>ตู้เอกสารเตี้ย (ตามแบบ IN1037)</t>
  </si>
  <si>
    <t>กว้าง 0.40xยาว 1.55xสูง1.00 เมตร</t>
  </si>
  <si>
    <t>รวมราคางาน Print &amp; Copy 6 (ชั้น 2)</t>
  </si>
  <si>
    <t>งานห้องเตรียมอาหาร 3 (ชั้น 3)</t>
  </si>
  <si>
    <t>เคาน์เตอร์เตรียมอาหาร</t>
  </si>
  <si>
    <t>รวมราคางานห้องเตรียมอาหาร 3 (ชั้น 3)</t>
  </si>
  <si>
    <t>งานห้องเตรียมอาหาร 4 (ชั้น 3)</t>
  </si>
  <si>
    <t>BF.P 04</t>
  </si>
  <si>
    <t>ขนาด กว้าง 0.60xยาว 3.80xสูง 0.85 ม.</t>
  </si>
  <si>
    <t>ขนาด กว้าง 0.35xยาว 1.90xสูง 0.50 ม.</t>
  </si>
  <si>
    <t>งานห้องสมุดและพักผ่อน (ชั้นดาดฟ้า)</t>
  </si>
  <si>
    <t>ผนังกระจกเงาหนา 5 มม. กรุบนแผ่นไม้อัดยางหนา 9 มม. โครงคร่าวไม้เนื้อแข็ง</t>
  </si>
  <si>
    <t>ผนังกรุผิวไม้อัดยางหนา 4 มม. ทำสีเดียวกับผนังฉาบปูนเรียบทาสี</t>
  </si>
  <si>
    <t>BF.R 04</t>
  </si>
  <si>
    <t>ชั้นหนังสือ ก 0.40xย 9.60x ส 2.875-3.65 ม.(ตามแบบ IN1023-1024)</t>
  </si>
  <si>
    <t xml:space="preserve"> +ที่นั่งยก STEP ก 0.40xย 13.0xส 0.80 ม. (ตามแบบ IN1023-1024)</t>
  </si>
  <si>
    <t>BF.P 06</t>
  </si>
  <si>
    <t xml:space="preserve">ชุดโต๊ะเตรียมอาหาร  </t>
  </si>
  <si>
    <t>ขนาด 4.00x0.90x1.00 ม.</t>
  </si>
  <si>
    <t>BF.P 07</t>
  </si>
  <si>
    <t>ชุดเคาน์เตอร์เตรียมอาหาร</t>
  </si>
  <si>
    <t>ขนาด 0.60x4.40 x 0.85 ม.</t>
  </si>
  <si>
    <t>ชุดตู้ลอยเหนือเคาน์เตอร์</t>
  </si>
  <si>
    <t>ขนาด 0.35x4.40 x 0.80 ม.</t>
  </si>
  <si>
    <t>รวมราคางานห้องสมุดและพักผ่อน (ชั้นดาดฟ้า)</t>
  </si>
  <si>
    <t>ลำดับ</t>
  </si>
  <si>
    <t>ราคาวัสดุสิ่งของ</t>
  </si>
  <si>
    <t>Rate</t>
  </si>
  <si>
    <t>ค่าแรงงาน</t>
  </si>
  <si>
    <t>RAte</t>
  </si>
  <si>
    <t>สรุปราคาค่าก่อสร้างงานโครงสร้าง</t>
  </si>
  <si>
    <t xml:space="preserve">อาคารห้องน้ำและห้องเตรียมอาหาร </t>
  </si>
  <si>
    <t xml:space="preserve">อาคารโถงลิฟท์ </t>
  </si>
  <si>
    <t xml:space="preserve">บันได ST6 </t>
  </si>
  <si>
    <t>โครงสร้างทางเข้าอาคาร</t>
  </si>
  <si>
    <t xml:space="preserve">โครงสร้างชั้นลอย </t>
  </si>
  <si>
    <t xml:space="preserve">โครงสร้างเพดานห้อง WORKSHOP </t>
  </si>
  <si>
    <t xml:space="preserve">โครงสร้างพื้นชั้น 2 </t>
  </si>
  <si>
    <t xml:space="preserve">โครงสร้างโครงหลังคาดาดฟ้า ห้องสนามหลวง/ห้องศาสนา </t>
  </si>
  <si>
    <t xml:space="preserve">โครงสร้างหลังคาอาคารหลัก </t>
  </si>
  <si>
    <t>โครงสร้างบ่อและแท่นคสล.สำหรับงานระบบ</t>
  </si>
  <si>
    <t xml:space="preserve">งานซ่อมแซมโครงสร้างอาคารเดิม </t>
  </si>
  <si>
    <t>รวมราคาค่าก่อสร้างงานวิศวกรรมโครงสร้าง</t>
  </si>
  <si>
    <t>อาคารห้องน้ำและห้องเตรียมอาหาร</t>
  </si>
  <si>
    <t>งานเสาเข็ม</t>
  </si>
  <si>
    <t>เสาเข็มเจาะระบบแห้งขนาด Dia. 0.35 x 21 ม.</t>
  </si>
  <si>
    <t>ต้น</t>
  </si>
  <si>
    <t>งานตัดหัวเข็ม</t>
  </si>
  <si>
    <t>งานโครงสร้างฐานราก</t>
  </si>
  <si>
    <t>งานปรับระดับขุดดินทำฐานราก/ถมกลับ</t>
  </si>
  <si>
    <t>ลบ.ม.</t>
  </si>
  <si>
    <t>งานถมทรายบดอัดรองฐานราก</t>
  </si>
  <si>
    <t>งานคอนกรีตหยาบรองฐานราก</t>
  </si>
  <si>
    <t xml:space="preserve"> งานคอนกรีตโครงสร้าง (fc' 240 ksc, Cyl.) ผสมน้ำยากันซึม</t>
  </si>
  <si>
    <t>เหล็กเสริม</t>
  </si>
  <si>
    <t>งานเหล็กเสริมคอนกรีต RB 9  (SR-24)</t>
  </si>
  <si>
    <t>ราคามีแก้ไขตามกระทรวงพาณิชย์ กทม. ธ.ค.67</t>
  </si>
  <si>
    <t>งานเหล็กเสริมคอนกรีต DB 12  (SD-40)</t>
  </si>
  <si>
    <t>งานเหล็กเสริมคอนกรีต DB 16  (SD-40)</t>
  </si>
  <si>
    <t>ลวดผูกเหล็ก</t>
  </si>
  <si>
    <t>ปริมาณลวด</t>
  </si>
  <si>
    <t xml:space="preserve">ไม้แบบ ค้ำยัน นั่งร้าน </t>
  </si>
  <si>
    <t>ไม้แบบ ค้ำยัน นั่งร้าน (อาคาร 3 ชั้น ใช้ 60%)</t>
  </si>
  <si>
    <t>ค่าแรงประกอบและติดตั้งไม้แบบหล่อคอนกรีต (ใช้ 100%)</t>
  </si>
  <si>
    <t>ไม้เคร่า (ใช้ 30% ของไม้แบบ 1 ตร.ม.)</t>
  </si>
  <si>
    <t>ลบ.ฟ.</t>
  </si>
  <si>
    <t>ตะปู (ใช้ 25% ของไม้แบบ 1 ตร.ม.)</t>
  </si>
  <si>
    <t>งานเสาชั้นตอม่อ</t>
  </si>
  <si>
    <t xml:space="preserve"> งานคอนกรีตโครงสร้าง (fc' 240 ksc, Cyl.)  ผสมน้ำยากันซึม</t>
  </si>
  <si>
    <t>งานโครงสร้าง เสา คาน พื้นชั้น 1</t>
  </si>
  <si>
    <t>คาน</t>
  </si>
  <si>
    <t xml:space="preserve"> งานคอนกรีตหยาบรองท้องคาน (fc' 150 ksc, Cyl.)</t>
  </si>
  <si>
    <t>พื้น</t>
  </si>
  <si>
    <t>ทรายถมปรับระดับ</t>
  </si>
  <si>
    <t>งานแผ่นพลาสติกปูรองหนา 0.2 มม.</t>
  </si>
  <si>
    <t>เสา</t>
  </si>
  <si>
    <t>WF300x200x8x12 mm.-56.8 kg/m</t>
  </si>
  <si>
    <t>Steel Plate 15 mm.Thk.</t>
  </si>
  <si>
    <t>M20 Anchor J-Bolt</t>
  </si>
  <si>
    <t>งานสีกันสนิม</t>
  </si>
  <si>
    <t>งานสีกันสนิม   เหล็ก 1 ตัน ต่อ ทาสี 25 ตร.ม.</t>
  </si>
  <si>
    <t>งานสีน้ำมัน  เหล็ก 1 ตัน ต่อ ทาสี 25 ตร.ม.</t>
  </si>
  <si>
    <t>งานโครงสร้าง เสา คาน พื้นชั้นลอย</t>
  </si>
  <si>
    <t>Steel Plate 12 mm.Thk.</t>
  </si>
  <si>
    <t xml:space="preserve"> งานคอนกรีตโครงสร้าง (fc' 240 ksc, Cyl.)</t>
  </si>
  <si>
    <t>งานโครงสร้าง เสา คาน พื้นชั้น 2</t>
  </si>
  <si>
    <t>งานโครงสร้าง เสา คาน พื้นชั้น 3</t>
  </si>
  <si>
    <t>งานโครงสร้าง คาน พื้นชั้นดาดฟ้า</t>
  </si>
  <si>
    <t>รวมโครงสร้างอาคารห้องน้ำและห้องเตรียมอาหาร</t>
  </si>
  <si>
    <t>อาคารโถงลิฟท์</t>
  </si>
  <si>
    <t>งานปล่องลิฟท์ และตอม่อ</t>
  </si>
  <si>
    <t xml:space="preserve">WF200x200x8x12 mm.-49.9 kg/m. </t>
  </si>
  <si>
    <t>Steel Plate 12 mm.</t>
  </si>
  <si>
    <t>Steel Plate 15 mm.</t>
  </si>
  <si>
    <t>Anchor J Bollt M16</t>
  </si>
  <si>
    <t xml:space="preserve">Anchor J Bollt M20 </t>
  </si>
  <si>
    <t>PVC Water Stop 8 นิ้ว</t>
  </si>
  <si>
    <t>ม.</t>
  </si>
  <si>
    <t xml:space="preserve">WF200x2008x12 mm.-49.9 kg/m. </t>
  </si>
  <si>
    <t>งานคอนกรีตโครงสร้าง (fc' 240 ksc, Cyl.)</t>
  </si>
  <si>
    <t>รวมโครงสร้างอาคารโถงลิฟท์</t>
  </si>
  <si>
    <t>บันได ST6</t>
  </si>
  <si>
    <t>Steel Plate 6 mm. Thk.</t>
  </si>
  <si>
    <t>Steel Plate 16 mm. Thk.</t>
  </si>
  <si>
    <t>Steel Plate 22 mm. Thk.</t>
  </si>
  <si>
    <t xml:space="preserve">Support </t>
  </si>
  <si>
    <t>Chemical Bolt  (A325)</t>
  </si>
  <si>
    <t>M16</t>
  </si>
  <si>
    <t>รวมโครงสร้าง บันได ST6</t>
  </si>
  <si>
    <t>ทางเข้าอาคาร 1</t>
  </si>
  <si>
    <t>งานคอนกรีตโครงสร้าง (fc' 240 ksc, Cyl.)  ผสมน้ำยากันซึม</t>
  </si>
  <si>
    <t>งานคอนกรีตหยาบรองท้องคาน (fc' 150 ksc, Cyl.)</t>
  </si>
  <si>
    <t>รวมโครงสร้างทางเข้าอาคาร 1</t>
  </si>
  <si>
    <t>ทางเข้าอาคาร 2</t>
  </si>
  <si>
    <t>รวมโครงสร้างทางเข้าอาคาร 2</t>
  </si>
  <si>
    <t>ทางเข้าอาคาร 3</t>
  </si>
  <si>
    <t>งานถมทรายบดอัดรองฐานราก/คาน/พื้น</t>
  </si>
  <si>
    <t>งานเสาเข็มรูปตัวไอขนาด 0.15x0.15x6.00 ม. ติดตั้ง Dowel 1-DB12</t>
  </si>
  <si>
    <t>รวมโครงสร้างทางเข้าอาคาร 3</t>
  </si>
  <si>
    <t>ทางเข้าอาคาร 4</t>
  </si>
  <si>
    <t>รวมโครงสร้างทางเข้าอาคาร 4</t>
  </si>
  <si>
    <t>ทางเข้าอาคาร 5</t>
  </si>
  <si>
    <t>งานถมทรายบดอัดรองคาน/พื้น</t>
  </si>
  <si>
    <t>รวมโครงสร้างทางเข้าอาคาร 5</t>
  </si>
  <si>
    <t>ทางเข้าอาคาร 6</t>
  </si>
  <si>
    <t>รวมโครงสร้างทางเข้าอาคาร 6</t>
  </si>
  <si>
    <t>ทางเข้าอาคาร 7</t>
  </si>
  <si>
    <t>รวมโครงสร้างทางเข้าอาคาร 7</t>
  </si>
  <si>
    <t>รวมโครงสร้างทางเข้าอาคาร 1-7</t>
  </si>
  <si>
    <t>โครงสร้างชั้นลอย</t>
  </si>
  <si>
    <t>CS1 : WF125x125x6.5x9 mm.-23.8 kg/m.</t>
  </si>
  <si>
    <t>CS2 : T-SECTION</t>
  </si>
  <si>
    <t>CS3 : WF250x250x9x14mm.-72.4 kg./m.</t>
  </si>
  <si>
    <t>Steel Plate 10 mm.</t>
  </si>
  <si>
    <t>Steel Plate150x16 mm. Thk.</t>
  </si>
  <si>
    <t>Steel Plate 250x22 mm. Thk.</t>
  </si>
  <si>
    <t>Steel Plate 350x22 mm. Thk.</t>
  </si>
  <si>
    <t>Beam Support</t>
  </si>
  <si>
    <t>Steel Plate 9 mm. Thk.</t>
  </si>
  <si>
    <t>Steel Plate 10 mm. Thk.</t>
  </si>
  <si>
    <t xml:space="preserve">Chemical Bolt  (A325) </t>
  </si>
  <si>
    <t>รวมโครงสร้างชั้นลอย</t>
  </si>
  <si>
    <t>โครงสร้างเพดานห้อง Workshop</t>
  </si>
  <si>
    <t>LLC100x50x20x3.2 mm.</t>
  </si>
  <si>
    <t>WF250x250x9x14 mm.-72.4 kg/m</t>
  </si>
  <si>
    <t>Steel Plate 15 mm. Thk.</t>
  </si>
  <si>
    <t>Fiber Cement Board 24 mm. thk.</t>
  </si>
  <si>
    <t>รวมโครงสร้างเพดานห้อง Workshop</t>
  </si>
  <si>
    <t>โครงสร้างพื้นชั้น2</t>
  </si>
  <si>
    <t>Steel Plate 300x22 mm. Thk.</t>
  </si>
  <si>
    <t>รวมโครงสร้างพื้นชั้น2</t>
  </si>
  <si>
    <t>โครงสร้างโครงหลังคาดาดฟ้า ห้องสนามหลวง/ห้องศาสนา</t>
  </si>
  <si>
    <t>โครงสร้างหลังคาห้องสนามหลวง</t>
  </si>
  <si>
    <t>เหล็กกล่อง 150x50x3.0 mm.-8.96 kg/m</t>
  </si>
  <si>
    <t>Steel Plate 6 mm.</t>
  </si>
  <si>
    <t>M12</t>
  </si>
  <si>
    <t>เหล็กกล่อง 50x50x2.3 mm.-3.34 kg/m</t>
  </si>
  <si>
    <t>เหล็กกล่อง 100x50x3.0 mm.-6.6 kg/m</t>
  </si>
  <si>
    <t>เหล็กกล่อง 150x100x3.2 mm.-12.03 kg/m</t>
  </si>
  <si>
    <t>เหล็กกล่อง 150x150x3.2 mm.-14.54 kg/m</t>
  </si>
  <si>
    <t>โครงสร้างหลังคาห้องศาสนา</t>
  </si>
  <si>
    <t>รวมโครงสร้างโครงหลังคาดาดฟ้า ห้องศาสนา</t>
  </si>
  <si>
    <t>โครงสร้างหลังคาอาคารหลัก</t>
  </si>
  <si>
    <t>งานโครงเหล็กหลังคา</t>
  </si>
  <si>
    <t>Built-Up T-Beam Steel Plate 6 mm.</t>
  </si>
  <si>
    <t>เหล็กกล่อง 150x50x2.5 mm.-7.53 kg/m</t>
  </si>
  <si>
    <t>เหล็กกล่อง 200x100x2.8 mm.-12.78 kg/m</t>
  </si>
  <si>
    <t>C200x80 mm.-24.6 kg/m</t>
  </si>
  <si>
    <t>แป</t>
  </si>
  <si>
    <t>ตะแกรงเหล็กฉีก</t>
  </si>
  <si>
    <t>บ่าคอนกรีต</t>
  </si>
  <si>
    <t>รวมโครงสร้างโครงหลังคาอาคารหลัก</t>
  </si>
  <si>
    <t>โครงสร้างแท่น คสล.รับงานระบบ</t>
  </si>
  <si>
    <t>รวมแท่น คสล.รับงานระบบ</t>
  </si>
  <si>
    <t>โครงสร้างบ่อดักไขมัน</t>
  </si>
  <si>
    <t>รวมโครงสร้างบ่อดักไขมัน</t>
  </si>
  <si>
    <t>โครงสร้างฐานถังน้ำดี</t>
  </si>
  <si>
    <t>รวมโครงสร้างฐานถังน้ำดี</t>
  </si>
  <si>
    <t>โครงสร้างฐานถังบำบัดน้ำเสีย</t>
  </si>
  <si>
    <t>รวมโครงสร้างฐานถังบำบัดน้ำเสีย</t>
  </si>
  <si>
    <t>รวม โครงสร้างบ่อและแท่นคสล.สำหรับงานระบบ</t>
  </si>
  <si>
    <t>งานซ่อมแซมโครงสร้าง เสา คาน พื้น ชั้น 1</t>
  </si>
  <si>
    <t>งานซ่อมแซมโครงสร้าง เสา คาน พื้น ชั้น 2</t>
  </si>
  <si>
    <t>งานซ่อมแซมโครงสร้าง เสา คาน พื้น ชั้น 3</t>
  </si>
  <si>
    <t>งานซ่อมแซมโครงสร้าง เสา คาน พื้น ชั้นดาดฟ้า และหลังคาคสล.</t>
  </si>
  <si>
    <t>รวมงานซ่อมแซมโครงสร้างอาคารเดิม</t>
  </si>
  <si>
    <t xml:space="preserve">ชื่อโครงการ </t>
  </si>
  <si>
    <t>หมวดงาน</t>
  </si>
  <si>
    <t xml:space="preserve">งานระบบไฟฟ้าและสื่อสาร  (RKCA 2)     </t>
  </si>
  <si>
    <t>เมื่อวันที่</t>
  </si>
  <si>
    <t>คำนวณราคากลางโดย</t>
  </si>
  <si>
    <t>จำนวน</t>
  </si>
  <si>
    <t>หน่วย</t>
  </si>
  <si>
    <t>รวมค่าวัสดุ</t>
  </si>
  <si>
    <t>จำนวนเงิน</t>
  </si>
  <si>
    <t>และแรงงาน</t>
  </si>
  <si>
    <t>สรุปราคาค่าก่อสร้างงานระบบไฟฟ้าและสื่อสาร</t>
  </si>
  <si>
    <t>ระบบไฟฟ้าแรงสูง</t>
  </si>
  <si>
    <t>Unit Substation</t>
  </si>
  <si>
    <t>งานอุปกรณ์ติดตั้งเครื่องกำเนิดไฟฟ้าสำรอง</t>
  </si>
  <si>
    <t>งานอุปกรณ์ติดตั้งเครื่องจ่ายไฟแบบต่อเนื่อง UPS</t>
  </si>
  <si>
    <t xml:space="preserve">ตู้ไฟฟ้า </t>
  </si>
  <si>
    <t xml:space="preserve">สายไฟฟ้า </t>
  </si>
  <si>
    <t>ท่อและรางเดินสายไฟฟ้า</t>
  </si>
  <si>
    <t>ดวงโคมไฟฟ้า</t>
  </si>
  <si>
    <t>แสงสว่างฉุกเฉิน และป้ายทางออกฉุกเฉิน</t>
  </si>
  <si>
    <t xml:space="preserve">สวิตช์ เต้ารับไฟฟ้า </t>
  </si>
  <si>
    <t>ระบบการต่อลงดิน และการป้องกันฟ้าผ่า</t>
  </si>
  <si>
    <t>ระบบป้องกันไฟลาม</t>
  </si>
  <si>
    <t>ระบบควบคุมไฟฟ้าแสงสว่าง</t>
  </si>
  <si>
    <t>ระบบแจ้งเหตุเพลิงไหม้</t>
  </si>
  <si>
    <t>ระบบควบคุมการเข้า-ออก</t>
  </si>
  <si>
    <t>ระบบกล้องวงจรปิด</t>
  </si>
  <si>
    <t>ระบบคอมพิวเตอร์</t>
  </si>
  <si>
    <t>ค่าขยายเขตการไฟฟ้า</t>
  </si>
  <si>
    <t>รวมราคาค่าก่อสร้างงานระบบไฟฟ้าและสื่อสาร</t>
  </si>
  <si>
    <t>สายไฟฟ้าแรงสูง (HV Cable)</t>
  </si>
  <si>
    <t>สายไฟแรงสูงชนิด CU XLPE Cable 1C 12/20kV (24kV)</t>
  </si>
  <si>
    <r>
      <t>-   70 มม</t>
    </r>
    <r>
      <rPr>
        <vertAlign val="superscript"/>
        <sz val="16"/>
        <rFont val="Angsana New"/>
        <family val="1"/>
      </rPr>
      <t>2</t>
    </r>
  </si>
  <si>
    <r>
      <t>-   240 มม</t>
    </r>
    <r>
      <rPr>
        <vertAlign val="superscript"/>
        <sz val="16"/>
        <rFont val="Angsana New"/>
        <family val="1"/>
      </rPr>
      <t>2</t>
    </r>
  </si>
  <si>
    <t>2x2 DUCT BANK ∅127mm.(ID)RTRC. EMBERDED</t>
  </si>
  <si>
    <t>MANHOLE HV.  TYPE A-1/2M</t>
  </si>
  <si>
    <t>Outdoor Enclosure for Ring Main Unit With Meetering MEA. 24 kV</t>
  </si>
  <si>
    <t xml:space="preserve">Concrete Foundation </t>
  </si>
  <si>
    <t>รวมรายการที่ 1</t>
  </si>
  <si>
    <t>Outdoor Enclosure for Unit Substation</t>
  </si>
  <si>
    <t>RMU. : 2 IN - 1 OUT</t>
  </si>
  <si>
    <t>INC.</t>
  </si>
  <si>
    <t>Oil Type Hermetically Transformer 630 kVA 24 kV</t>
  </si>
  <si>
    <t>รวมรายการที่ 2</t>
  </si>
  <si>
    <t>Generator Set 100  kVA 0.8PF Canopy Type</t>
  </si>
  <si>
    <t>Generator Control Panel ประกอบด้วย</t>
  </si>
  <si>
    <t xml:space="preserve"> -   CB, 3P  200AT/250AF, 3P, IC ≥ 35 kA</t>
  </si>
  <si>
    <t xml:space="preserve"> -   Cubicle w/ Busbar &amp; Accessories</t>
  </si>
  <si>
    <t>รวมรายการที่ 3</t>
  </si>
  <si>
    <t>Uninterruptible Power Supply 30  kVA Modular Type</t>
  </si>
  <si>
    <t>Battery Backup Time 60 min.</t>
  </si>
  <si>
    <t>Communacation Module</t>
  </si>
  <si>
    <t>รวมรายการที่ 4</t>
  </si>
  <si>
    <t>Main Distribution Board</t>
  </si>
  <si>
    <t>5.1.1</t>
  </si>
  <si>
    <t>MDB01</t>
  </si>
  <si>
    <t xml:space="preserve">CB, IC ≥ 35  kA ประกอบด้วย </t>
  </si>
  <si>
    <t>-    3P  30A</t>
  </si>
  <si>
    <t>-    3P  100A</t>
  </si>
  <si>
    <t>-    3P  200A</t>
  </si>
  <si>
    <t>-    3P  350A</t>
  </si>
  <si>
    <t>-    3P  500A</t>
  </si>
  <si>
    <t>-    3P  1,000A</t>
  </si>
  <si>
    <t>Digital Meter</t>
  </si>
  <si>
    <t>ตู้ไฟฟ้า,อุปกรณ์เครื่องวัด และอุปกรณ์ประกอบ (Metering)</t>
  </si>
  <si>
    <t>(Cubicle w/ Busbar , Metering &amp; Acc.)</t>
  </si>
  <si>
    <t>5.1.2</t>
  </si>
  <si>
    <t>CAP01</t>
  </si>
  <si>
    <t>-    Fuse 63 A. w/Base</t>
  </si>
  <si>
    <t>-    Magnetic Contector 63 A.</t>
  </si>
  <si>
    <t>-    Capacitor Bank 25 KVA. (400 V.)</t>
  </si>
  <si>
    <t>-    Cubicle w/ Busbar , Metering &amp; Acc.</t>
  </si>
  <si>
    <t>5.1.3</t>
  </si>
  <si>
    <t>EMDB01</t>
  </si>
  <si>
    <t>-    3P  50A</t>
  </si>
  <si>
    <t>-    3P  80A</t>
  </si>
  <si>
    <t xml:space="preserve">ATS, 200A, 3P With Control </t>
  </si>
  <si>
    <t>Distribution Board</t>
  </si>
  <si>
    <t>-    AMCC1</t>
  </si>
  <si>
    <t>By HVAC</t>
  </si>
  <si>
    <t>-    1DB1</t>
  </si>
  <si>
    <t>-    RDB1</t>
  </si>
  <si>
    <t>-    2DB1</t>
  </si>
  <si>
    <t>-    3DB1</t>
  </si>
  <si>
    <t>-    Digital Meter</t>
  </si>
  <si>
    <t>Essential Distribution board</t>
  </si>
  <si>
    <t>-   MEESP1</t>
  </si>
  <si>
    <t>By SN</t>
  </si>
  <si>
    <t>-    SP1</t>
  </si>
  <si>
    <t>-    Lift</t>
  </si>
  <si>
    <t>-    ELP1</t>
  </si>
  <si>
    <t>-    ELP2</t>
  </si>
  <si>
    <t>-    ELP3</t>
  </si>
  <si>
    <t>Panel Board</t>
  </si>
  <si>
    <t>5.4.1</t>
  </si>
  <si>
    <t>LPLC</t>
  </si>
  <si>
    <t>LP WITH MAIN CB 100AT/100AF 3P IC &gt; 25KA CCT 42</t>
  </si>
  <si>
    <t>RCBO 16A1P IC = 6KA</t>
  </si>
  <si>
    <t>5.4.2</t>
  </si>
  <si>
    <t>LP11</t>
  </si>
  <si>
    <t>CB 16A1P IC = 6KA</t>
  </si>
  <si>
    <t>CB 20A1P IC = 6KA</t>
  </si>
  <si>
    <t>RCBO 20A 1P IC = 6KA</t>
  </si>
  <si>
    <t>5.4.3</t>
  </si>
  <si>
    <t>LP12</t>
  </si>
  <si>
    <t>5.4.4</t>
  </si>
  <si>
    <t>LPM1</t>
  </si>
  <si>
    <t>5.4.5</t>
  </si>
  <si>
    <t>LP21</t>
  </si>
  <si>
    <t>5.4.6</t>
  </si>
  <si>
    <t>LP22</t>
  </si>
  <si>
    <t>5.4.7</t>
  </si>
  <si>
    <t>LP23</t>
  </si>
  <si>
    <t>5.4.8</t>
  </si>
  <si>
    <t>LP31</t>
  </si>
  <si>
    <t>5.4.9</t>
  </si>
  <si>
    <t>LP32</t>
  </si>
  <si>
    <t>5.4.10</t>
  </si>
  <si>
    <t>LP33</t>
  </si>
  <si>
    <t>5.4.11</t>
  </si>
  <si>
    <t>ELP1</t>
  </si>
  <si>
    <t>5.4.12</t>
  </si>
  <si>
    <t>ELP2</t>
  </si>
  <si>
    <t>5.4.13</t>
  </si>
  <si>
    <t>ELP3</t>
  </si>
  <si>
    <t>"</t>
  </si>
  <si>
    <t>CB 63A3P IC = 6KA</t>
  </si>
  <si>
    <t>รวมรายการที่ 5</t>
  </si>
  <si>
    <t>สายไฟฟ้า (Cable &amp; Wire)</t>
  </si>
  <si>
    <t>6.1.1</t>
  </si>
  <si>
    <t>สายไฟฟ้าชนิด IEC01,750V 70 °C</t>
  </si>
  <si>
    <r>
      <t>-   2.5 มม</t>
    </r>
    <r>
      <rPr>
        <vertAlign val="superscript"/>
        <sz val="16"/>
        <rFont val="Angsana New"/>
        <family val="1"/>
      </rPr>
      <t>2</t>
    </r>
  </si>
  <si>
    <t>ราคามีแก้ไขตามกระทรวงพาณิชย์ กทม. พ.ย.67</t>
  </si>
  <si>
    <r>
      <t>-   4 มม</t>
    </r>
    <r>
      <rPr>
        <vertAlign val="superscript"/>
        <sz val="16"/>
        <rFont val="Angsana New"/>
        <family val="1"/>
      </rPr>
      <t>2</t>
    </r>
  </si>
  <si>
    <r>
      <t>-   6 มม</t>
    </r>
    <r>
      <rPr>
        <vertAlign val="superscript"/>
        <sz val="16"/>
        <rFont val="Angsana New"/>
        <family val="1"/>
      </rPr>
      <t>2</t>
    </r>
  </si>
  <si>
    <r>
      <t>-   10 มม</t>
    </r>
    <r>
      <rPr>
        <vertAlign val="superscript"/>
        <sz val="16"/>
        <rFont val="Angsana New"/>
        <family val="1"/>
      </rPr>
      <t>2</t>
    </r>
  </si>
  <si>
    <r>
      <t>-   16 มม</t>
    </r>
    <r>
      <rPr>
        <vertAlign val="superscript"/>
        <sz val="16"/>
        <rFont val="Angsana New"/>
        <family val="1"/>
      </rPr>
      <t>2</t>
    </r>
  </si>
  <si>
    <r>
      <t>-   25 มม</t>
    </r>
    <r>
      <rPr>
        <vertAlign val="superscript"/>
        <sz val="16"/>
        <rFont val="Angsana New"/>
        <family val="1"/>
      </rPr>
      <t>2</t>
    </r>
  </si>
  <si>
    <r>
      <t>-   35 มม</t>
    </r>
    <r>
      <rPr>
        <vertAlign val="superscript"/>
        <sz val="16"/>
        <rFont val="Angsana New"/>
        <family val="1"/>
      </rPr>
      <t>2</t>
    </r>
  </si>
  <si>
    <r>
      <t>-   50 มม</t>
    </r>
    <r>
      <rPr>
        <vertAlign val="superscript"/>
        <sz val="16"/>
        <rFont val="Angsana New"/>
        <family val="1"/>
      </rPr>
      <t>2</t>
    </r>
  </si>
  <si>
    <r>
      <t>-   95 มม</t>
    </r>
    <r>
      <rPr>
        <vertAlign val="superscript"/>
        <sz val="16"/>
        <rFont val="Angsana New"/>
        <family val="1"/>
      </rPr>
      <t>2</t>
    </r>
  </si>
  <si>
    <t>6.1.2</t>
  </si>
  <si>
    <t>สายไฟฟ้าขนิด 1C-CV 0.6/1 kV</t>
  </si>
  <si>
    <r>
      <t>-   1C-CV 0.6/1 kV 10 มม</t>
    </r>
    <r>
      <rPr>
        <vertAlign val="superscript"/>
        <sz val="16"/>
        <rFont val="Angsana New"/>
        <family val="1"/>
      </rPr>
      <t>2</t>
    </r>
  </si>
  <si>
    <r>
      <t>-   1C-CV 0.6/1 kV 25 มม</t>
    </r>
    <r>
      <rPr>
        <vertAlign val="superscript"/>
        <sz val="16"/>
        <rFont val="Angsana New"/>
        <family val="1"/>
      </rPr>
      <t>2</t>
    </r>
  </si>
  <si>
    <r>
      <t>-   1C-CV 0.6/1 kV 35 มม</t>
    </r>
    <r>
      <rPr>
        <vertAlign val="superscript"/>
        <sz val="16"/>
        <rFont val="Angsana New"/>
        <family val="1"/>
      </rPr>
      <t>2</t>
    </r>
  </si>
  <si>
    <r>
      <t>-   1C-CV 0.6/1 kV 120 มม</t>
    </r>
    <r>
      <rPr>
        <vertAlign val="superscript"/>
        <sz val="16"/>
        <rFont val="Angsana New"/>
        <family val="1"/>
      </rPr>
      <t>2</t>
    </r>
  </si>
  <si>
    <r>
      <t>-   1C-CV 0.6/1 kV 185 มม</t>
    </r>
    <r>
      <rPr>
        <vertAlign val="superscript"/>
        <sz val="16"/>
        <rFont val="Angsana New"/>
        <family val="1"/>
      </rPr>
      <t>2</t>
    </r>
  </si>
  <si>
    <t>6.1.3</t>
  </si>
  <si>
    <t>สายไฟฟ้าชนิดทนไฟ (Fire Resistant Cable : FRC)</t>
  </si>
  <si>
    <r>
      <t>-   1 Core, 2.5 มม</t>
    </r>
    <r>
      <rPr>
        <vertAlign val="superscript"/>
        <sz val="16"/>
        <rFont val="Angsana New"/>
        <family val="1"/>
      </rPr>
      <t>2</t>
    </r>
  </si>
  <si>
    <r>
      <t>-   1 Core, 4 มม</t>
    </r>
    <r>
      <rPr>
        <vertAlign val="superscript"/>
        <sz val="16"/>
        <rFont val="Angsana New"/>
        <family val="1"/>
      </rPr>
      <t>2</t>
    </r>
  </si>
  <si>
    <r>
      <t>-   1 Core, 10 มม</t>
    </r>
    <r>
      <rPr>
        <vertAlign val="superscript"/>
        <sz val="16"/>
        <rFont val="Angsana New"/>
        <family val="1"/>
      </rPr>
      <t>2</t>
    </r>
  </si>
  <si>
    <t>เหมา</t>
  </si>
  <si>
    <t>รวมรายการที่ 6</t>
  </si>
  <si>
    <t>ท่อร้อยสายไฟฟ้าชนิด EMT (EMT Conduit) รวม Accessories</t>
  </si>
  <si>
    <t>-   15  มม.  Ø</t>
  </si>
  <si>
    <t>ท่อร้อยสายไฟฟ้าชนิด IMC (IMC Conduit) รวม Accessories</t>
  </si>
  <si>
    <t>-   20  มม.  Ø</t>
  </si>
  <si>
    <t>-   25  มม.  Ø</t>
  </si>
  <si>
    <t>-   40  มม.  Ø</t>
  </si>
  <si>
    <t>-   50  มม.  Ø</t>
  </si>
  <si>
    <t>-   65 มม.  Ø</t>
  </si>
  <si>
    <t>-   90  มม.  Ø</t>
  </si>
  <si>
    <t>ท่อร้อยสายไฟฟ้าชนิด HDPE PN6</t>
  </si>
  <si>
    <t>ท่ออ่อนกันน้ำ (Flexible Conduit)</t>
  </si>
  <si>
    <t>-   80  มม.  Ø</t>
  </si>
  <si>
    <t>ท่ออ่อน (Flexible Conduit)</t>
  </si>
  <si>
    <t>รางเดินสาย (Wireway, HDG)</t>
  </si>
  <si>
    <t>2x3 DUCTBANK DIA 5"HDPE PN6.3</t>
  </si>
  <si>
    <t>MANHOLE LV.</t>
  </si>
  <si>
    <t>Hangers , Supports &amp; Accessories</t>
  </si>
  <si>
    <t>รวมรายการที่ 7</t>
  </si>
  <si>
    <t>ดวงโคมไฟฟ้าส่วนงาน LANDSCAPE</t>
  </si>
  <si>
    <t>AX5</t>
  </si>
  <si>
    <t>AREA LIGHT STREETLIGHTING (SIDE THROW) , IP66 , GREY ALUMINIUM (RAL9007) , LED , 48W , 220V , STREETLIGHTING DISTRIBUTION [S65] , 4000K / CRI80 , INTEGRAL EC ELECTRONIC CONVERTER , LUMINAIRE LUMEN ~5903</t>
  </si>
  <si>
    <t>AX6</t>
  </si>
  <si>
    <t>AREA LIGHT STREETLIGHTING (FORWARD THROW) , IP66 , GREY ALUMINIUM (RAL9007) , LED , 48W , 220V , ASYMMETRIC, 'FORWARD THROW' [A60] , 4000K / CRI80 , INTEGRAL EC ELECTRONIC CONVERTER , LUMINAIRE LUMEN ~5903</t>
  </si>
  <si>
    <t>BX3</t>
  </si>
  <si>
    <t>BOLLARD , IP66 , RAL9007 GREY ALUMINIUM , LED , 10W , 300mA , SYMMETRIC (C70) , 4000K / CRI80 , INTEGRAL EC ELECTRONIC CONVERTER , LUMINAIRE LUMEN ~1150</t>
  </si>
  <si>
    <t>PX5</t>
  </si>
  <si>
    <t>MOUNTING POLE FOR AREALIGHT 1xAX3 ,  GREY ALUMINIUM (RAL9007) , H:5000mm DIA1:140mm DIA2:114mm</t>
  </si>
  <si>
    <t>PX5A</t>
  </si>
  <si>
    <t>MOUNTING POLE FOR AREALIGHT 1xAX3 , SPOTLIGHT 1xSX6 ,  GREY ALUMINIUM (RAL9007) , H:5000mm DIA1:140mm DIA2:114mm</t>
  </si>
  <si>
    <t>PX6A</t>
  </si>
  <si>
    <t>MOUNTING POLE FOR AREALIGHT 1xAX4 , SPOTLIGHT 1xSX6 ,  GREY ALUMINIUM (RAL9007) , H:5000mm DIA1:140mm DIA2:114mm</t>
  </si>
  <si>
    <t>SX5</t>
  </si>
  <si>
    <t>SPOTLIGHT MOUNT ON SHORT POLE , IP65 , DARK GREY , LED , 20W , 220V , 38° , 3000K CRI80 , INTEGRAL LED DRIVER , LUMINAIRE LUMEN ~1160</t>
  </si>
  <si>
    <t>SX6</t>
  </si>
  <si>
    <t>SPOTLIGHT MOUNT ON POLE , IP66 , RAL9007 GREY ALUMINIUM , LED , 48W , 220V , 8.4°/8.4° (EE) + SPREAD LENS , 4000K CRI80 , 1-10V DIMMABLE INTEGRAL ELECTRONIC CONVERTER , LUMINAIRE LUMEN ~5903</t>
  </si>
  <si>
    <t>ดวงโคมไฟฟ้าส่วนชั้น 1 และชั้นลอย</t>
  </si>
  <si>
    <t>DG1</t>
  </si>
  <si>
    <t>SURFACE FIXED DOWNLIGHT , IP20 , WHITE , LED , 25W , 220V , 36° , 4000K CRI90 , BUILT-IN LED DRIVER , CRI ≥ 90 / 2390 LUMEN</t>
  </si>
  <si>
    <t>DG2</t>
  </si>
  <si>
    <t>SURFACE ADJUSTABLE DOWNLIGHT , IP20 , WHITE , LED  MR16 (GU5.3) , 7W , 12V , 60° , 4000K CRI90 , REMOTED COMPATIBLE ELECTRONIC LED DRIVER , CRI ≥ 90 / 530 LUMEN</t>
  </si>
  <si>
    <t>DG3</t>
  </si>
  <si>
    <t>SURFACE FIXED DOWNLIGHT , IP20 , WHITE , LED  MR16 (GU10) , 5W , 220V , 36° , 4000K CRI90 , - , CRI ≥ 90 / 410 LUMEN</t>
  </si>
  <si>
    <t>DG5</t>
  </si>
  <si>
    <t>RECESSED ADJUSTABLE DOWNLIGHT , IP54 , BLACK TRIM , LED , 14W , 12V , 55° , 4000K CRI90 , REMOTED COMPATIBLE ELECTRONIC LED DRIVER , CRI ≥ 90 / 1562 LUMEN</t>
  </si>
  <si>
    <t>DG6</t>
  </si>
  <si>
    <t>SURFACE FIXED DOWNLIGHT MODIFIED TO HANGING SYSTEM , IP20 , WHITE , LED , 20W , 220V , 36° , 4000K CRI90 , BUILT-IN LED DRIVER , CRI ≥ 90 / 2080 LUMEN</t>
  </si>
  <si>
    <t>LG1</t>
  </si>
  <si>
    <t>LED LINEAR STRIPLIGHT 9.4W IN DOTLESS PROFILE (BEAM) , IP20 , WHITE , LED , 9.4W , 24VDC , 120 DEGREE , 4000K , REMOTED POWER SUPPLY (NUMBER OF DRIVER TO BE SPECIFIED BY SUPPLIER) , CRI ≥ 90 / 912 LUMEN/M</t>
  </si>
  <si>
    <t>LG2</t>
  </si>
  <si>
    <t>LED LINEAR STRIPLIGHT 9.4W IN DOTLESS PROFILE (FURNITURE) , IP20 , WHITE , LED , 9.4W , 24VDC , 120 DEGREE , 4000K , REMOTED POWER SUPPLY (NUMBER OF DRIVER TO BE SPECIFIED BY SUPPLIER) , CRI ≥ 90 / 912 LUMEN/M</t>
  </si>
  <si>
    <t>LG3</t>
  </si>
  <si>
    <t>LED LINEAR STRIPLIGHT 13.8W IN DOTLESS PROFILE (UPLIGHT) , IP65 , WHITE , LED , 13.8W , 24VDC , 120 DEGREE , 4000K , REMOTED POWER SUPPLY (NUMBER OF DRIVER TO BE SPECIFIED BY SUPPLIER) , CRI ≥ 90 / 1813 LUMEN/M</t>
  </si>
  <si>
    <t>LG4</t>
  </si>
  <si>
    <t>LED LINEAR NEON FLEX UP-DOWN BEND , IP20 , WHITE , LED NEON FLEX , 14W , 24VDC , 120° , 4000K , REMOTED POWER SUPPLY (NUMBER OF DRIVER TO BE SPECIFIED BY SUPPLIER) , CRI ≥ 90 / 1060 LUMEN/M</t>
  </si>
  <si>
    <t>LG5</t>
  </si>
  <si>
    <t>LED LINEAR RECESSED DOWNLIGHT (4620mm) , IP20 , BLACK TRIM , LED  , 88W , 220V , WIDE BEAM , 4000K , BUILT-IN LED DRIVER , CRI ≥ 90 / 2300 LUMEN/1.2M</t>
  </si>
  <si>
    <t>PG1</t>
  </si>
  <si>
    <t>LED PENDANT WITH LOUVRE / L - 1140mm , IP20 , WHITE PROFILE WITH MIRROR ANODIZED ALUMINIUM  , LED  , 18W , 220V , WIDE , 4000K , BUILT-IN LED DRIVER , CRI ≥ 90 / 1700 LUMEN/1.2M</t>
  </si>
  <si>
    <t>PG2</t>
  </si>
  <si>
    <t>LED PENDANT WITH LOUVRE / L -2280mm , IP20 , WHITE PROFILE WITH MIRROR ANODIZED ALUMINIUM  , LED  , 36W , 220V , WIDE , 4000K , BUILT-IN LED DRIVER , CRI ≥ 90 / 1700 LUMEN/1.2M</t>
  </si>
  <si>
    <t>PG3</t>
  </si>
  <si>
    <t>LED PENDANT WITH LOUVRE / L -2860mm , IP20 , WHITE PROFILE WITH MIRROR ANODIZED ALUMINIUM  , LED  , 45W , 220V , WIDE , 4000K , BUILT-IN LED DRIVER , CRI ≥ 90 / 1700 LUMEN/1.2M</t>
  </si>
  <si>
    <t>PG4</t>
  </si>
  <si>
    <t>LED PENDANT WITH LOUVRE / L -4560m , IP20 , WHITE PROFILE WITH MIRROR ANODIZED ALUMINIUM  , LED  , 72W , 220V , WIDE , 4000K , BUILT-IN LED DRIVER , CRI ≥ 90 / 1700 LUMEN/1.2M</t>
  </si>
  <si>
    <t>PG5</t>
  </si>
  <si>
    <t>LED PENDANT WITH ACRYLIC DIFFUSER / L -7200m , IP20 , WHITE , LED STRIP MODULE , 132W , 220V , - , 4000K CRI80 , BUILT-IN LED DRIVER , CRI ≥ 90 / 2300 LUMEN/1.2M</t>
  </si>
  <si>
    <t>PG6</t>
  </si>
  <si>
    <t>LED LINEAR STRIPLIGHT 9.4W MODIFIED TO HANGING SYSTEM , IP20 , WHITE , LED , 9.4W , 24VDC , 120 DEGREE , 4000K , REMOTED POWER SUPPLY (NUMBER OF DRIVER TO BE SPECIFIED BY SUPPLIER) , CRI ≥ 90 / 912 LUMEN/M</t>
  </si>
  <si>
    <t>SG1</t>
  </si>
  <si>
    <t>SPOTLIGHT ON TRACK , IP20 , WHITE , LED , 14W , 220V , 50° , 4000K , INTEGRAL LED DRIVER , CRI ≥ 90 / 1660 LUMEN</t>
  </si>
  <si>
    <t>SG2</t>
  </si>
  <si>
    <t>WALL MOUNTED SPOTLIGHT , IP66 , WHITE , LED 6W (840lm) , 6W , 220-240V , MEDIUM , 4000K , INTEGRAL ELECTRONIC CONVERTER , CRI ≥ 80 / 780 LUMEN</t>
  </si>
  <si>
    <t>TG1</t>
  </si>
  <si>
    <t>SURFACE MOUNTED 1-CIRCUITS TRACK , IP20 , WHITE , 220V</t>
  </si>
  <si>
    <t>WG1</t>
  </si>
  <si>
    <t>UP-DOWN WALL LAMP , IP54 , WHITE , LED  MR16 (GU10) , 10W , 220V , 36° , 4000K CRI90 , BUILT-IN DRIVER , CRI ≥ 90 / 410 LUMEN x 2</t>
  </si>
  <si>
    <t>WG2</t>
  </si>
  <si>
    <t>DECORATIVE WALL LAMP , IP22 , GOLD , LED BULB E27 , 4W , 220V , - , 3000K , - , CRI ≥ 80 / 250 LUMEN</t>
  </si>
  <si>
    <t>WG3</t>
  </si>
  <si>
    <t>WALL MOUNTED SPOTLIGHT , IP66 , WHITE , LED 6W (780lm) , 6W , 220-240V , WIDE , 3000K , INTEGRAL ELECTRONIC CONVERTER , CRI ≥ 80 / 780 LUMEN</t>
  </si>
  <si>
    <t>ดวงโคมไฟฟ้าส่วนชั้น 2</t>
  </si>
  <si>
    <t>DS1</t>
  </si>
  <si>
    <t>ROUND FIXED SURFACE DOWNLIGHT (AMBIENT)  / WHITE TRIM , COB LED , 14W , 12V , 65° , 4000K CRI ≥ 90 , REMOTED LED DRIVER</t>
  </si>
  <si>
    <t>DS2</t>
  </si>
  <si>
    <t>SQUARE ADJUSTABLE SURFACE DOWNLIGHT (NARROW BEAM)  / WHITE TRIM , LED MR16, 7W , 12V , 36° , 4000K CRI ≥ 97 , REMOTED LED DRIVER</t>
  </si>
  <si>
    <t>DS3</t>
  </si>
  <si>
    <t>SQUARE ADJUSTABLE SURFACE DOWNLIGHT (MEDIUM BEAM)  / WHITE TRIM , LED MR16, 7W , 12V , 36° , 4000K CRI ≥ 97 , REMOTED LED DRIVER</t>
  </si>
  <si>
    <t>DS4</t>
  </si>
  <si>
    <t>ROUND FIXED RECESSED DOWNLIGHT (AMBIENT)  / WHITE TRIM , LED MR16, 7W , 12V , 36° , 4000K CRI ≥ 97 , REMOTED LED DRIVER</t>
  </si>
  <si>
    <t>DS5</t>
  </si>
  <si>
    <t>LED PANEL 60 X 60 , LED , 40W , 220V , DIFFUSE , 4000K CRI ≥ 80 , REMOTED LED DRIVER</t>
  </si>
  <si>
    <t>PS1</t>
  </si>
  <si>
    <t>PENDANT IN MEETING ROOM , LED , 40W , 220V , DIFFUSE , 4000K CRI ≥ 80 , REMOTED LED DRIVER /W 1.5M SLING</t>
  </si>
  <si>
    <t>SPS1</t>
  </si>
  <si>
    <t>SPOTLIGHT MOUNTED ON 1 CIRCUIT TRACK  /  ACCENT , COB LED , 14W , 220V , 15° , 4000K CRI ≥ 90 , INTEGRAL LED DRIVER</t>
  </si>
  <si>
    <t>SPS2</t>
  </si>
  <si>
    <t>SPOTLIGHT MOUNTED ON 1 CIRCUIT TRACK  / AMBIENT , COB LED , 14W , 220V , 36° , 4000K CRI ≥ 90 , INTEGRAL LED DRIVER</t>
  </si>
  <si>
    <t>SPS3</t>
  </si>
  <si>
    <t>SPOTLIGHT MOUNTED ON 1 CIRCUIT TRACK  /  ACCENT ,  COB LED , 8W , 220V , 38° , 4000K CRI ≥ 90 , INTEGRAL LED DRIVER</t>
  </si>
  <si>
    <t>SPS4</t>
  </si>
  <si>
    <t>SPOTLIGHT MOUNTED ON 1 CIRCUIT TRACK  / AMBIENT , COB LED , 8W , 220V , 15° , 4000K CRI ≥ 90 , INTEGRAL LED DRIVER</t>
  </si>
  <si>
    <t>TRS1_1M</t>
  </si>
  <si>
    <t>TRACK LIGHT RECESSED - 1 CIRCUIT 1M LENGTH / WHITE</t>
  </si>
  <si>
    <t>TRS1_1.3M</t>
  </si>
  <si>
    <t>TRACK LIGHT RECESSED - 1 CIRCUIT 1.3M LENGTH / WHITE</t>
  </si>
  <si>
    <t>TRS1_1.375M</t>
  </si>
  <si>
    <t>TRACK LIGHT RECESSED - 1 CIRCUIT 1.375M LENGTH / WHITE</t>
  </si>
  <si>
    <t>TRS1_1.4M</t>
  </si>
  <si>
    <t>TRACK LIGHT RECESSED - 1 CIRCUIT 1.4M LENGTH / WHITE</t>
  </si>
  <si>
    <t>TRS1_1.825M</t>
  </si>
  <si>
    <t>TRACK LIGHT RECESSED - 1 CIRCUIT 1.825M LENGTH / WHITE</t>
  </si>
  <si>
    <t>TRS1_2M</t>
  </si>
  <si>
    <t>TRACK LIGHT RECESSED - 1 CIRCUIT 2M LENGTH / WHITE</t>
  </si>
  <si>
    <t>TRS1_2.5M</t>
  </si>
  <si>
    <t>TRACK LIGHT RECESSED - 1 CIRCUIT 2.5M LENGTH / WHITE</t>
  </si>
  <si>
    <t>TRS1_3M</t>
  </si>
  <si>
    <t>TRACK LIGHT RECESSED - 1 CIRCUIT 3M LENGTH / WHITE</t>
  </si>
  <si>
    <t>TRS1_4M</t>
  </si>
  <si>
    <t>TRACK LIGHT RECESSED - 1 CIRCUIT 4M LENGTH / WHITE</t>
  </si>
  <si>
    <t>LSF_1.2M</t>
  </si>
  <si>
    <t>SUSPENDED UP/DOWN LINEAR LED WITH LOUVRE ( IN OFFICE ) / WHITE , LED ,  28W DOWN 22W UP , 4000K CRI ≥ 90 , INTEGRAL LED DRIVER</t>
  </si>
  <si>
    <t>LSF_2.4M</t>
  </si>
  <si>
    <t>LSF_4.2M</t>
  </si>
  <si>
    <t>LSF_6.0M</t>
  </si>
  <si>
    <t>SUSPENDED UP/DOWN LINEAR LED  WITH LOUVRE ( IN OFFICE ) / WHITE 28W DOWN 22W UP , 4000K CRI ≥ 90 , INTEGRAL LED DRIVER</t>
  </si>
  <si>
    <t>LS1</t>
  </si>
  <si>
    <t>LINEAR STRIPLIGHT 13.8W 4000K (NON-DIM) , IP20 , SILVER , LED , 13.8W , 24VDC , 120° , 4000K , REMOTED POWER SUPPLY (NUMBER OF DRIVER TO BE SPECIFIED BY SUPPLIER) , CRI ≥ 80</t>
  </si>
  <si>
    <t>LS2</t>
  </si>
  <si>
    <t>LINEAR STRIPLIGHT 9.4W (NON-DIM) , IP20 , SILVER , LED , 9.4W , 24VDC , 120° , 4000K , REMOTED POWER SUPPLY (NUMBER OF DRIVER TO BE SPECIFIED BY SUPPLIER) , CRI ≥ 80</t>
  </si>
  <si>
    <t>LS3</t>
  </si>
  <si>
    <t>LINEAR STRIPLIGHT 13.8W (NON-DIM) , IP20 , SILVER , LED , 13.8W , 24VDC , 120° , 4000K , REMOTED POWER SUPPLY (NUMBER OF DRIVER TO BE SPECIFIED BY SUPPLIER) , CRI ≥ 80</t>
  </si>
  <si>
    <t>LS4</t>
  </si>
  <si>
    <t>LINEAR STRIPLIGHT 9.6W (FIXED DIM) , IP20 , SILVER , LED , 9.6W , 24VDC , 120° , 4000K , REMOTED POWER SUPPLY (NUMBER OF DRIVER TO BE SPECIFIED BY SUPPLIER) , CRI ≥ 80</t>
  </si>
  <si>
    <t>LS5</t>
  </si>
  <si>
    <t>LS6</t>
  </si>
  <si>
    <t>LINEAR STRIPLIGHT 13.8W (FIXED DIM) , IP20 , SILVER , LED , 13.8W , 24VDC , 120° , 4000K , REMOTED POWER SUPPLY (NUMBER OF DRIVER TO BE SPECIFIED BY SUPPLIER) , CRI ≥ 80</t>
  </si>
  <si>
    <t>LS7</t>
  </si>
  <si>
    <t>DECORATIVE SUSPENDED LINEAR DOWNLIGHT WITH SLING  LAMP AS IN SPEC SHEET</t>
  </si>
  <si>
    <t>WS1</t>
  </si>
  <si>
    <t>DECORATIVE WALL LAMP AS IN SPEC SHEET</t>
  </si>
  <si>
    <t>ดวงโคมไฟฟ้าส่วนชั้น 3</t>
  </si>
  <si>
    <t>DT1</t>
  </si>
  <si>
    <t>DOUBLE RECTANGLE ADJUSTABLE SURFACED DOWNLIGHT (ACCENT) MODIFILED TO HANGING SYSTEM , IP20 , BLACK , LED  , 14W , 12V , 10 DEGREE , 4000K , REMOTED  COMPATIBLE  ELECTRONIC LED DRIVER  (ET-S 60) , -</t>
  </si>
  <si>
    <t>DT2</t>
  </si>
  <si>
    <t>DOUBLE RECTANGLE ADJUSTABLE SURFACED DOWNLIGHT (AMBIENT) MODIFILED TO HANGING SYSTEM , IP20 , BLACK , LED  , 14W , 12V , 60 DEGREE , 4000K , REMOTED  COMPATIBLE  ELECTRONIC LED DRIVER  (ET-S 60) , -</t>
  </si>
  <si>
    <t>DT2D</t>
  </si>
  <si>
    <t>DOUBLE RECTANGLE ADJUSTABLE SURFACED DOWNLIGHT(DIM) (AMBIENT)  MODIFILED TO HANGING SYSTEM , IP20 , BLACK , LED  , 14W , 12V , 60 DEGREE , 4000K , REMOTED  COMPATIBLE  ELECTRONIC LED DRIVER  (ET-S 60) , -</t>
  </si>
  <si>
    <t>DT2S</t>
  </si>
  <si>
    <t>DOUBLE RECTANGLE ADJUSTABLE SURFACED DOWNLIGHT (AMBIENT)  , IP20 , BLACK , LED  , 14W , 12V , 60 DEGREE , 4000K , REMOTED  COMPATIBLE  ELECTRONIC LED DRIVER  (ET-S 60) , -</t>
  </si>
  <si>
    <t>DT3</t>
  </si>
  <si>
    <t>RECTANGLE SURFACED DOWNLIGHT (ACCENT) MODIFILED TO HANGING SYSTEM , IP20 , BLACK , LED  , 7W , 12V , 10 DEGREE , 4000K , REMOTED  COMPATIBLE  ELECTRONIC LED DRIVER  (ET-S 60) , -</t>
  </si>
  <si>
    <t>DT3S</t>
  </si>
  <si>
    <t>RECTANGLE SURFACED DOWNLIGHT (ACCENT) , IP20 , BLACK , LED  , 7W , 12V , 10 DEGREE , 4000K , REMOTED  COMPATIBLE  ELECTRONIC LED DRIVER  (ET-S 60) , -</t>
  </si>
  <si>
    <t>DT4</t>
  </si>
  <si>
    <t>RECTANGLE SURFACED DOWNLIGHT (AMBIENT) MODIFILED TO HANGING SYSTEM , IP20 , BLACK , LED  , 7W , 12V , 60 DEGREE , 4000K , REMOTED  COMPATIBLE  ELECTRONIC LED DRIVER  (ET-S 60) , -</t>
  </si>
  <si>
    <t>DT4S</t>
  </si>
  <si>
    <t>RECTANGLE SURFACED DOWNLIGHT (AMBIENT) , IP20 , BLACK , LED  , 7W , 12V , 60 DEGREE , 4000K , REMOTED  COMPATIBLE  ELECTRONIC LED DRIVER  (ET-S 60) , -</t>
  </si>
  <si>
    <t>DT5</t>
  </si>
  <si>
    <t>RECTANGLE ADJUSTABLE SURFACED DOWNLIGHT (ACCENT)  / BLACK /HIGH CEILING  , IP20 , BLACK , LED  , 7W , 12V , 10 DEGREE , 4000K , REMOTED  COMPATIBLE  ELECTRONIC LED DRIVER  (ET-S 60) , -</t>
  </si>
  <si>
    <t>DT5D</t>
  </si>
  <si>
    <t>DIMMABLE-RECTANGLE ADJUSTABLE SURFACED DOWNLIGHT (ACCENT)  / BLACK /HIGH CEILING  , IP20 , BLACK , LED  , 7W , 12V , 10 DEGREE , 4000K , REMOTED  COMPATIBLE  ELECTRONIC LED DRIVER  (ET-S 60) , -</t>
  </si>
  <si>
    <t>DT6</t>
  </si>
  <si>
    <t>RECTANGLE ADJUSTABLE SURFACED DOWNLIGHT (AMBIENT) / BLACK /HIGH CEILING  , IP20 , BLACK , LED  , 7W , 12V , 36 DEGREE , 4000K , REMOTED  COMPATIBLE  ELECTRONIC LED DRIVER  (ET-S 60) , -</t>
  </si>
  <si>
    <t>DT6D</t>
  </si>
  <si>
    <t>DIMMABLE-RECTANGLE ADJUSTABLE SURFACED DOWNLIGHT (AMBIENT) / BLACK /HIGH CEILING  , IP20 , BLACK , LED  , 7W , 12V , 36 DEGREE , 4000K , REMOTED  COMPATIBLE  ELECTRONIC LED DRIVER  (ET-S 60) , -</t>
  </si>
  <si>
    <t>DT6F</t>
  </si>
  <si>
    <t>RECTANGLE FIXED SURFACED DOWNLIGHT (AMBIENT)  / BLACK /HIGH CEILING  , IP20 , BLACK , LED  , 7W , 12V , 36 DEGREE , 4000K , REMOTED  COMPATIBLE  ELECTRONIC LED DRIVER  (ET-S 60) , -</t>
  </si>
  <si>
    <t>DT7</t>
  </si>
  <si>
    <t>RECTANGLE SURFACED DOWNLIGHT (ACCENT) LIGHT GREY HOUSING , IP20 , LIGHT GREY , LED  , 7W , 12V , 10 DEGREE , 4000K , REMOTED  COMPATIBLE  ELECTRONIC LED DRIVER  (ET-S 60) , -</t>
  </si>
  <si>
    <t>DT8</t>
  </si>
  <si>
    <t>RECTANGLE SURFACED DOWNLIGHT (AMBIENT) DARK GREY HOUSING , IP20 , DARK GREY , LED  , 7W , 12V , 60 DEGREE , 4000K , REMOTED  COMPATIBLE  ELECTRONIC LED DRIVER  (ET-S 60) , -</t>
  </si>
  <si>
    <t>DT9</t>
  </si>
  <si>
    <t>ROUND ADJUSTABLE RECESSED DOWNLIGHT (MEDIUM BEAM)  / WHITE TRIM , IP20 , WHITE TRIM  , LED  MR16 (GU5.3) , 7W , 12V , 24 DEGREE , 4000K - CRI97 , REMOTED  COMPATIBLE  ELECTRONIC LED DRIVER  (ET-S 60) , -</t>
  </si>
  <si>
    <t>DT10</t>
  </si>
  <si>
    <t>ROUND ADJUSTABLE RECESSED DOWNLIGHT (WIDE BEAM)  / WHITE TRIM , IP20 , WHITE TRIM  , LED  MR16 (GU5.3) , 7W , 12V , 36 DEGREE , 4000K - CRI97 , REMOTED  COMPATIBLE  ELECTRONIC LED DRIVER  (ET-S 60) , -</t>
  </si>
  <si>
    <t>FT1</t>
  </si>
  <si>
    <t>SURFACES FLUORESCENT LED WITH ACRYLIC COVER (SERVICE ZONE) , IP20 , WHITE , LED  , 18W , 220V , WIDE , 4000K , - , -</t>
  </si>
  <si>
    <t>LT1</t>
  </si>
  <si>
    <t>LED LINEAR STRIPLIGHT 13.8W 4000KIN DOTLESS PROFILE  / FIXED DIM , IP20 , STARNDARD PROFILE (BLACK) , LED , 13.8W , 24VDC , 120 DEGREE , 4000K CRI90 , REMOTED POWER SUPPLY (NUMBER OF DRIVER TO BE SPECIFIED BY SUPPLIER) , 1813 Lm/m</t>
  </si>
  <si>
    <t>LT2</t>
  </si>
  <si>
    <t>LT3</t>
  </si>
  <si>
    <t>LINEAR STRIPLIGHT 13.8W 4000K  / FIXED DIM , IP20 , - , LED , 13.8 , 24VDC , 120 DEGREE , 4000K CRI90 , REMOTED POWER SUPPLY (NUMBER OF DRIVER TO BE SPECIFIED BY SUPPLIER) , 1813 Lm/m</t>
  </si>
  <si>
    <t>LT4</t>
  </si>
  <si>
    <t>LED LINEAR STRIPLIGHT 13.8W 4000KIN DOTLESS PROFILE  / FIXED DIM , IP20 , STARNDARD PROFILE (WHITE) , LED , 13.8W , 24VDC , 120 DEGREE , 4000K CRI90 , REMOTED POWER SUPPLY (NUMBER OF DRIVER TO BE SPECIFIED BY SUPPLIER) , 1813 Lm/m</t>
  </si>
  <si>
    <t>LT5</t>
  </si>
  <si>
    <t>LED LINEAR STRIPLIGHT 8.0W 4000KIN DOTLESS PROFILE  / FIXED DIM , IP20 , STARNDARD PROFILE (BLACK) , LED , 8.0W , 24VDC , 120 DEGREE , 4000K CRI90 , REMOTED POWER SUPPLY (NUMBER OF DRIVER TO BE SPECIFIED BY SUPPLIER) , 760 Lm/m</t>
  </si>
  <si>
    <t>LT7</t>
  </si>
  <si>
    <t>LED LINEAR STRIPLIGHT 8.0W 4000KIN DOTLESS PROFILE (UNDER COUNTER)  / FIXED DIM , IP20 , STARNDARD PROFILE (BLACK) , LED , 8.0W , 24VDC , 120 DEGREE , 4000K CRI90 , REMOTED POWER SUPPLY (NUMBER OF DRIVER TO BE SPECIFIED BY SUPPLIER) , 760 Lm/m</t>
  </si>
  <si>
    <t>LT8</t>
  </si>
  <si>
    <t>LED LINEAR STRIPLIGHT 8.0W 4000KIN DOTLESS PROFILE ((VERTICAL LIGHT)  / FIXED DIM , IP20 , STARNDARD PROFILE (WHITE) , LED , 8.0W , 24VDC , 120 DEGREE , 4000K CRI90 , REMOTED POWER SUPPLY (NUMBER OF DRIVER TO BE SPECIFIED BY SUPPLIER) , 760 Lm/m</t>
  </si>
  <si>
    <t>LT9</t>
  </si>
  <si>
    <t>LT10</t>
  </si>
  <si>
    <t>LED LINEAR STRIPLIGHT 8.0W 4000KIN DOTLESS PROFILE  / FIXED DIM , IP20 , STARNDARD PROFILE (WHITE) , LED , 8.0W , 24VDC , 120 DEGREE , 4000K CRI90 , REMOTED POWER SUPPLY (NUMBER OF DRIVER TO BE SPECIFIED BY SUPPLIER) , 760 Lm/m</t>
  </si>
  <si>
    <t>LTF_1.2m</t>
  </si>
  <si>
    <t>FLUORESCENT LED WITH LOUVRE AND SLING (MODIFILED : HANGING) / L - 1.2m , IP20 , WHITE PROFILE WITH MIRROR ANODIZED ALUMINIUM  , LED  , 22W , 220V , WIDE , 4000K , - , -</t>
  </si>
  <si>
    <t>LTF_2.4m</t>
  </si>
  <si>
    <t>FLUORESCENT LED WITH LOUVRE AND SLING (MODIFILED : HANGING) / L -2.4m , IP20 , WHITE PROFILE WITH MIRROR ANODIZED ALUMINIUM  , LED  , 44W , 220V , WIDE , 4000K , - , -</t>
  </si>
  <si>
    <t>LTF_4.2m</t>
  </si>
  <si>
    <t>FLUORESCENT LED WITH LOUVRE AND SLING (MODIFILED : HANGING) / L - 4.2m , IP20 , WHITE PROFILE WITH MIRROR ANODIZED ALUMINIUM  , LED  , 77W , 220V , WIDE , 4000K , - , -</t>
  </si>
  <si>
    <t>LTM_7.4m</t>
  </si>
  <si>
    <t>FLUORESCENT LED WITH LOUVRE AND SLING (MODIFILED : HANGING) ) / L -7.4m , IP20 , WHITE PROFILE WITH MIRROR ANODIZED ALUMINIUM  , LED  , 1437W , 220V , WIDE , 4000K , - , -</t>
  </si>
  <si>
    <t>LTMA_9.0m</t>
  </si>
  <si>
    <t>UP-DOWN FLUORESCENT LED WITH LOUVRE AND SLING (MODIFILED : HANGING) ) / L -9.0m , IP20 , WHITE PROFILE WITH MIRROR ANODIZED ALUMINIUM  , LED  , 352W , 220V , WIDE , 4000K , - , -</t>
  </si>
  <si>
    <t>ST1B</t>
  </si>
  <si>
    <t>SPOTLIGHT MOUNTED ON TRACK (DARK GREY) , IP20 , DARK GREY , LED  MR16 (GU10) , 7.5W , 220V , 60 DEGREE , 4000K , - , -</t>
  </si>
  <si>
    <t>ST1W</t>
  </si>
  <si>
    <t>SPOTLIGHT MOUNTED ON TRACK (LIGHT GREY) , IP20 , LIGHT GREY , LED  MR16 (GU10) , 7.5W , 220V , 60 DEGREE , 4000K , - , -</t>
  </si>
  <si>
    <t>TTB_1.5M</t>
  </si>
  <si>
    <t>TRACK DARK GREY L:1.5M  DARK GREY WITH LIVE END AND END CAP , IP20 , DARK GREY , LED , 0W , 220V , - , - , - , -</t>
  </si>
  <si>
    <t>TTW_1.5M</t>
  </si>
  <si>
    <t>TRACK LIGHT GREY  L:1.5M  LIGHT GREY WITH LIVE END AND END CAP , IP20 , LIGHT GREY , LED , 0W , 220V , - , - , - , -</t>
  </si>
  <si>
    <t>WT1</t>
  </si>
  <si>
    <t xml:space="preserve">DECORATIVE WALL LAMP , IP20 , BLACK BASE , LED , 2.6W , 220V , WIDE , 2700K ,  , </t>
  </si>
  <si>
    <t>ดวงโคมไฟฟ้าส่วนห้องน้ำและชั้นดาดฟ้า</t>
  </si>
  <si>
    <t>D1</t>
  </si>
  <si>
    <t>ROUND FIXED RECESSED DOWNLIGHT AMBIENT  / WHITE TRIM</t>
  </si>
  <si>
    <t xml:space="preserve">ชุด </t>
  </si>
  <si>
    <t>D2</t>
  </si>
  <si>
    <t>D3</t>
  </si>
  <si>
    <t>DR1</t>
  </si>
  <si>
    <t>ROUND ADJUSTABLE RECESSED DOWNLIGHT AMBIENT  / WHITE TRIM</t>
  </si>
  <si>
    <t>DR2</t>
  </si>
  <si>
    <t>DR3</t>
  </si>
  <si>
    <t>SURFACE MOUNTED DOWNLIGHT-MR16</t>
  </si>
  <si>
    <t>DR4</t>
  </si>
  <si>
    <t>MINI RECESSED DOWNLIGHT</t>
  </si>
  <si>
    <t>LWF1</t>
  </si>
  <si>
    <t>LED SURFACE FLUORESCENT / WHITE LINE S-1140MM</t>
  </si>
  <si>
    <t>LWF2</t>
  </si>
  <si>
    <t>LED SURFACE FLUORESCENT / WHITE LINE S-580MM</t>
  </si>
  <si>
    <t>LWF3</t>
  </si>
  <si>
    <t>LED SURFACE FLUORESCENT / WHITE LINE LSLIR/CT</t>
  </si>
  <si>
    <t>SPR-1</t>
  </si>
  <si>
    <t xml:space="preserve">SPOTLIGHT ON TRACK </t>
  </si>
  <si>
    <t>SPR-2</t>
  </si>
  <si>
    <t>SPR-3</t>
  </si>
  <si>
    <t>TRACK-2M</t>
  </si>
  <si>
    <t xml:space="preserve">HANGING TRACK </t>
  </si>
  <si>
    <t>TRACK-3M</t>
  </si>
  <si>
    <t>LR1</t>
  </si>
  <si>
    <t>LED LINEAR STRIPLIGHT 9.6W IN DOTLESS PROFILE / DALI DIM , IP20 , SAME AS FURNITURE , LED , 9.6W , 24VDC , 120 DEGREE , 4000K , REMOTED POWER SUPPLY (NUMBER OF DRIVER TO BE SPECIFIED BY SUPPLIER) , -</t>
  </si>
  <si>
    <t>LR2</t>
  </si>
  <si>
    <t xml:space="preserve">LED LINEAR STRIPLIGHT 9.6W IN DOTLESS PROFILE / DALI DIM , IP20 , SAME AS FURNITURE , LED , 9.6W , 24VDC , 120 DEGREE , 4000K , REMOTED POWER SUPPLY (NUMBER OF DRIVER TO BE SPECIFIED BY SUPPLIER) , - </t>
  </si>
  <si>
    <t xml:space="preserve">ม. </t>
  </si>
  <si>
    <t>LR3</t>
  </si>
  <si>
    <t>LR4</t>
  </si>
  <si>
    <t>LR5</t>
  </si>
  <si>
    <t>LH1</t>
  </si>
  <si>
    <t>LH2</t>
  </si>
  <si>
    <t>WH1</t>
  </si>
  <si>
    <t xml:space="preserve">WALL LUMINAIRE </t>
  </si>
  <si>
    <t>WH2</t>
  </si>
  <si>
    <t>X-W1</t>
  </si>
  <si>
    <t>SPH1</t>
  </si>
  <si>
    <t>รวมรายการที่ 8</t>
  </si>
  <si>
    <t>Emergency Light 2x12 W. LED Backup Time 2Hr.</t>
  </si>
  <si>
    <t>Exit &amp; Fire Exit Sign</t>
  </si>
  <si>
    <t xml:space="preserve"> Accessories</t>
  </si>
  <si>
    <t>รวมรายการที่ 9</t>
  </si>
  <si>
    <t>สวิตซ์และเต้ารับ (Switch &amp; Outlet)</t>
  </si>
  <si>
    <t>-    16A 250V,Single Pole Switch</t>
  </si>
  <si>
    <t>-    16A 250V,Single Pole Switch 2 Gang</t>
  </si>
  <si>
    <t>-    16A 250V,Single Pole Switch 3 Gang</t>
  </si>
  <si>
    <t>-    16A 250V,Single Pole 2-way Switch</t>
  </si>
  <si>
    <t>-    16A 250V,Single Pole Switch w/Lamp</t>
  </si>
  <si>
    <t>-    16A 250V,Duplex Outlet</t>
  </si>
  <si>
    <t>-    16A 250V,Duplex Outlet (WP)</t>
  </si>
  <si>
    <t>Floor Outlet</t>
  </si>
  <si>
    <t>-    1xDuplex Socket 15A., W/Ground</t>
  </si>
  <si>
    <t>Power Plug</t>
  </si>
  <si>
    <t>-    Surface Socket IP44, 2P+E, 230V, 32A (สีฟ้า)</t>
  </si>
  <si>
    <t>-    Wander Plug IP44, 2P+E, 230V, 32A (สีฟ้า)</t>
  </si>
  <si>
    <t>Disconnecting Swiuch (WP)</t>
  </si>
  <si>
    <t xml:space="preserve"> -   2P 20A. (WP)</t>
  </si>
  <si>
    <t xml:space="preserve"> -   2P 30A. (WP)</t>
  </si>
  <si>
    <t xml:space="preserve"> -   3P 30A. (WP)</t>
  </si>
  <si>
    <t>Cover Plate &amp; Box and Accessories</t>
  </si>
  <si>
    <t>รวมรายการที่ 10</t>
  </si>
  <si>
    <t>Ground Rod</t>
  </si>
  <si>
    <t>สายไฟฟ้าชนิด IEC01 ,750V  70 °C</t>
  </si>
  <si>
    <t>-    120 มม²</t>
  </si>
  <si>
    <t>สายทองแดงเปลือย (Bare Copper Wire)</t>
  </si>
  <si>
    <t>-    70 มม²</t>
  </si>
  <si>
    <t>CU. Copper Tap 25x3 mm.</t>
  </si>
  <si>
    <t>Ground Test Box</t>
  </si>
  <si>
    <t>Ground Bar</t>
  </si>
  <si>
    <t>Ground Pit Box</t>
  </si>
  <si>
    <t>Cu Air Terminal</t>
  </si>
  <si>
    <t>รางเดินสายไฟฟ้า (Raceway)</t>
  </si>
  <si>
    <t>11.9.1</t>
  </si>
  <si>
    <t>-    25  มม.  Ø</t>
  </si>
  <si>
    <t>11.9.2</t>
  </si>
  <si>
    <t xml:space="preserve">ท่อร้อยสายไฟฟ้าชนิด PVC (PVC Conduit) </t>
  </si>
  <si>
    <t>-    32  มม.  Ø</t>
  </si>
  <si>
    <t>Exotherminal Weld</t>
  </si>
  <si>
    <t>รวมรายการที่ 11</t>
  </si>
  <si>
    <t>ระบบ้องกันไฟและควันลาม (Fire Barrier System)</t>
  </si>
  <si>
    <t>ตร.ม</t>
  </si>
  <si>
    <t>รวมรายการที่ 12</t>
  </si>
  <si>
    <t>Relay Panel : Landscape</t>
  </si>
  <si>
    <t>12 Channel Relay Unit (10A./Ch)</t>
  </si>
  <si>
    <t>4 Channel Analogue Output 0-10 V.</t>
  </si>
  <si>
    <t>Power Supply Unit</t>
  </si>
  <si>
    <t>Panel</t>
  </si>
  <si>
    <t>Relay Panel : Ground</t>
  </si>
  <si>
    <t xml:space="preserve">Panel </t>
  </si>
  <si>
    <t>Relay Panel : MEZ</t>
  </si>
  <si>
    <t xml:space="preserve">8 CH.  Dimmer (1A./Ch.)      </t>
  </si>
  <si>
    <t xml:space="preserve">4 CH.  Dimmer (2A./Ch.)      </t>
  </si>
  <si>
    <t>Relay Panel : Stair</t>
  </si>
  <si>
    <t>Relay Panel : Second</t>
  </si>
  <si>
    <t>8 Channel Relay Unit (10A./Ch)</t>
  </si>
  <si>
    <t>Relay Panel : Third</t>
  </si>
  <si>
    <t>KEYPAD</t>
  </si>
  <si>
    <t xml:space="preserve"> ชั้น G</t>
  </si>
  <si>
    <t xml:space="preserve">8 Key Input (Neo) </t>
  </si>
  <si>
    <t xml:space="preserve">      ชั้น M</t>
  </si>
  <si>
    <t xml:space="preserve">      ชั้น 2</t>
  </si>
  <si>
    <t xml:space="preserve">      ชั้น 3</t>
  </si>
  <si>
    <t xml:space="preserve">Central Control </t>
  </si>
  <si>
    <t>Touch Screen Unit</t>
  </si>
  <si>
    <t xml:space="preserve">C-Bus Ethernet Network Interface </t>
  </si>
  <si>
    <t>HUB 8 Port</t>
  </si>
  <si>
    <t>Network Bridge Unit</t>
  </si>
  <si>
    <t>Desktop Computer Set (with Windows Licence)</t>
  </si>
  <si>
    <t xml:space="preserve">C-Bus Operation Software </t>
  </si>
  <si>
    <t>UPS 1000VA (สำหรับ Backup Computer เท่านั้น)</t>
  </si>
  <si>
    <t>ค่าเขียนโปรแกรม และค่า Setup ระบบ C-Bus</t>
  </si>
  <si>
    <t>Sensor Divice</t>
  </si>
  <si>
    <t>Motion Sersor</t>
  </si>
  <si>
    <t>สายสื่อสาร (Cable &amp; Wire)</t>
  </si>
  <si>
    <t>-    UTP CAT6</t>
  </si>
  <si>
    <t>Fitting, support and accessories</t>
  </si>
  <si>
    <t>รวมรายการที่ 13</t>
  </si>
  <si>
    <t>Main Equipment</t>
  </si>
  <si>
    <t>-    FCP Control Panel</t>
  </si>
  <si>
    <t>-    Mixmic Annuacitor Garphic</t>
  </si>
  <si>
    <t>-    Speaker with Flashing Strobe</t>
  </si>
  <si>
    <t>-    Speaker Appliance Only Ceiling + White Cover</t>
  </si>
  <si>
    <t>-    Addressable Manual Pull Station</t>
  </si>
  <si>
    <t>-    Monitor Module (ZAM Detector)</t>
  </si>
  <si>
    <t>-    Monitor Module (IAM Module)</t>
  </si>
  <si>
    <t xml:space="preserve">-    Control Module </t>
  </si>
  <si>
    <t>-    Isolator Module</t>
  </si>
  <si>
    <t>-    Telephone jack</t>
  </si>
  <si>
    <t xml:space="preserve">-    FATB Box </t>
  </si>
  <si>
    <t xml:space="preserve">-    Smoke Conventional </t>
  </si>
  <si>
    <t xml:space="preserve">-    Heat Conventional </t>
  </si>
  <si>
    <t>-    Smoke Conventional with Sounder Base</t>
  </si>
  <si>
    <t>-    Softwave and Commissioning</t>
  </si>
  <si>
    <r>
      <t>-    IEC01, 2.5 มม</t>
    </r>
    <r>
      <rPr>
        <vertAlign val="superscript"/>
        <sz val="16"/>
        <rFont val="Angsana New"/>
        <family val="1"/>
      </rPr>
      <t>2</t>
    </r>
  </si>
  <si>
    <r>
      <t>-    FRC, 2.5 มม</t>
    </r>
    <r>
      <rPr>
        <vertAlign val="superscript"/>
        <sz val="16"/>
        <rFont val="Angsana New"/>
        <family val="1"/>
      </rPr>
      <t>2</t>
    </r>
  </si>
  <si>
    <t>-    16 AWG. Twisted Pair Shielded FRC for Riser Loop and Manual Station</t>
  </si>
  <si>
    <t>-   100x100 mm.</t>
  </si>
  <si>
    <t>รวมรายการที่ 14</t>
  </si>
  <si>
    <t>-    Access control file Server</t>
  </si>
  <si>
    <t>-    Access control Computer Workstation</t>
  </si>
  <si>
    <t>-    Ink-Jet  Printer</t>
  </si>
  <si>
    <t>-    Dot - Matrix Printer</t>
  </si>
  <si>
    <t>-    Access control Software 24 reader</t>
  </si>
  <si>
    <t>-    Network Control Module</t>
  </si>
  <si>
    <t>-    Reader Controller</t>
  </si>
  <si>
    <t>-    Input / Output  Module</t>
  </si>
  <si>
    <t>-    Control Panel for Reader Controller &amp; Acc.</t>
  </si>
  <si>
    <t>-    Battery   12 VDC</t>
  </si>
  <si>
    <t>-    APS-PBC-60 Power Supply</t>
  </si>
  <si>
    <t>-    AEC-AMC2-UL2 Enclosure 2 DIN Rail</t>
  </si>
  <si>
    <t>-    APC-AMC2-4WCF Access Controller for Reader, LAN</t>
  </si>
  <si>
    <t>-    Card Reader</t>
  </si>
  <si>
    <t>-    Emergency Break Glass</t>
  </si>
  <si>
    <t>-    Stanless Stell Exit Switch</t>
  </si>
  <si>
    <t>-    Buzzer Alarm</t>
  </si>
  <si>
    <t>-    Magnetic Door Lock</t>
  </si>
  <si>
    <t>-    Magnetic Door Sensor</t>
  </si>
  <si>
    <t>-    Syatem Setup</t>
  </si>
  <si>
    <t>-    IEC01  2.5  มม²</t>
  </si>
  <si>
    <t>-    TIEV 4 Core</t>
  </si>
  <si>
    <t>รวมรายการที่ 15</t>
  </si>
  <si>
    <t>-    IP Camera Dome Type 2MP</t>
  </si>
  <si>
    <t>-    IP Camera Fixed Type (WP) 2MP</t>
  </si>
  <si>
    <t>-    CCTV Server</t>
  </si>
  <si>
    <t xml:space="preserve">-    CCTV Workstation 24" </t>
  </si>
  <si>
    <t xml:space="preserve">-    Monitor LCD 50" </t>
  </si>
  <si>
    <t>-    CCTV Software License</t>
  </si>
  <si>
    <t>-    Base License</t>
  </si>
  <si>
    <t>CCTV Rack</t>
  </si>
  <si>
    <t>-    42 U, + Ventilating Fan Set 3x4" + AC Power,  PDU 12 Outlet</t>
  </si>
  <si>
    <t>-    Fiber Distribution Unit 12 Core Single Mode</t>
  </si>
  <si>
    <t>-    UTP Patch Panel 24 Port</t>
  </si>
  <si>
    <t>-    NVR 64 CH Storage 30 days</t>
  </si>
  <si>
    <t>-    UPS 6kVA Back Up 10 MIN.</t>
  </si>
  <si>
    <t>-    Core Switch</t>
  </si>
  <si>
    <t>-    Network Switch</t>
  </si>
  <si>
    <t>-    6C MMF-OM3 Cable</t>
  </si>
  <si>
    <t>รวมรายการที่ 16</t>
  </si>
  <si>
    <t>ระบบสื่อสารเข้าอาคาร</t>
  </si>
  <si>
    <t>-     HDPE w/ Concrete Encased (Ductbank 2x2)</t>
  </si>
  <si>
    <t>-     Handhole</t>
  </si>
  <si>
    <t>Switching</t>
  </si>
  <si>
    <t>POE Access Point (Wireless)</t>
  </si>
  <si>
    <t>เต้ารับข้อมูล (RJ45 Cat. 6a  Modular Kack)</t>
  </si>
  <si>
    <t>RACK_1</t>
  </si>
  <si>
    <t>-    UTP CAT6A Patch Panel 24 Port</t>
  </si>
  <si>
    <t>-    UPS 1kVA Back Up 10 MIN.</t>
  </si>
  <si>
    <t>RACK_2</t>
  </si>
  <si>
    <t>RACK_3</t>
  </si>
  <si>
    <t>DATA NETWORK RACK</t>
  </si>
  <si>
    <t>IP PHONE RACK</t>
  </si>
  <si>
    <t>Cat. 6a Patch Cords 10 Ft</t>
  </si>
  <si>
    <t>Fiber Optic Patch Cord 5 m.</t>
  </si>
  <si>
    <t>Cable Management Panel</t>
  </si>
  <si>
    <t>Surge Protection Device</t>
  </si>
  <si>
    <t>สายส่งข้อมูล (Cable &amp; Wire)</t>
  </si>
  <si>
    <t>-    12 Core Single mode Indoor/ Outdoor</t>
  </si>
  <si>
    <t>-    UTP CAT6a</t>
  </si>
  <si>
    <t>-   200x100 mm.</t>
  </si>
  <si>
    <t>รวมรายการที่ 17</t>
  </si>
  <si>
    <t>ค่าธรรมเนียมการขอใช้ไฟฟ้า ประกอบด้วย</t>
  </si>
  <si>
    <t>ค่าธรรมเนียมต่อไฟ</t>
  </si>
  <si>
    <t>ค่าตรวจสอบการติดตั้งอุปกรณ์ไฟฟ้าภายใน</t>
  </si>
  <si>
    <t>ค่าส่วนเฉลี่ยการใช้พลังไฟฟ้า</t>
  </si>
  <si>
    <t>เงินประกันการใช้ไฟฟ้า</t>
  </si>
  <si>
    <t>รวมรายการที่ 18</t>
  </si>
  <si>
    <t xml:space="preserve">งานระบบสุขาภิบาลและดับเพลิง  (RKCA 2)     </t>
  </si>
  <si>
    <t xml:space="preserve">สรุปราคาค่าก่อสร้างงานระบบสุขาภิบาลและดับเพลิง  </t>
  </si>
  <si>
    <t>งานระบบประปา</t>
  </si>
  <si>
    <t>งานระบบนำน้ำผ่านการบำบัดกลับมาใช้</t>
  </si>
  <si>
    <t>ไม่มี</t>
  </si>
  <si>
    <t>งานระบบน้ำเสีย</t>
  </si>
  <si>
    <t>งานระบบระบายน้ำฝน</t>
  </si>
  <si>
    <t>งานระบบดับเพลิง</t>
  </si>
  <si>
    <t>รวมราคาค่าก่อสร้างงานระบบสุขาภิบาลและดับเพลิง</t>
  </si>
  <si>
    <t>เครื่องสูบน้ำเพิ่มแรงดัน และอุปกรณ์ประกอบ</t>
  </si>
  <si>
    <t xml:space="preserve"> - PBS-01</t>
  </si>
  <si>
    <t xml:space="preserve"> - WT-01</t>
  </si>
  <si>
    <t xml:space="preserve"> - งานฐานราก WT-01</t>
  </si>
  <si>
    <t>ราคาอยู่ในงานโครงสร้าง</t>
  </si>
  <si>
    <t>งานท่อ (Piping Work)</t>
  </si>
  <si>
    <t>ท่อ PP-R  PN 10</t>
  </si>
  <si>
    <t xml:space="preserve">     - Ø 20  มม. (15 มม. )</t>
  </si>
  <si>
    <t xml:space="preserve">     - Ø 25  มม. (20 มม. )</t>
  </si>
  <si>
    <t>กระทรวงพาณิชย์</t>
  </si>
  <si>
    <t xml:space="preserve">     - Ø 32  มม. (25 มม.)</t>
  </si>
  <si>
    <t xml:space="preserve">     - Ø 40  มม. (32 มม.)</t>
  </si>
  <si>
    <t xml:space="preserve">     - Ø 50  มม. (40 มม.)</t>
  </si>
  <si>
    <t xml:space="preserve">     - Ø 63  มม. (50 มม.)</t>
  </si>
  <si>
    <t xml:space="preserve">     - Ø 75  มม. (65 มม.)</t>
  </si>
  <si>
    <t xml:space="preserve">     - Ø 90  มม. (80 มม.)</t>
  </si>
  <si>
    <t xml:space="preserve">     - Ø 110  มม. (100 มม.)</t>
  </si>
  <si>
    <t>ท่อ HDPE  PN 10</t>
  </si>
  <si>
    <t>TAP</t>
  </si>
  <si>
    <t>ข้อต่ออุปกรณ์ท่อ</t>
  </si>
  <si>
    <t>เหล็กยึดท่อ</t>
  </si>
  <si>
    <t>ทดสอบ ทำความสะอาด ทาสีทำสัญลักษณ์</t>
  </si>
  <si>
    <t>งานวาล์วและอุปกรณ์</t>
  </si>
  <si>
    <t>Butterfly Valve</t>
  </si>
  <si>
    <t xml:space="preserve">     - Ø 80  มม.</t>
  </si>
  <si>
    <t xml:space="preserve">     - Ø 100  มม.</t>
  </si>
  <si>
    <t>Check Valve</t>
  </si>
  <si>
    <t>Gate Valve</t>
  </si>
  <si>
    <t xml:space="preserve">     - Ø 20  มม</t>
  </si>
  <si>
    <t xml:space="preserve">     - Ø 25  มม</t>
  </si>
  <si>
    <t xml:space="preserve">     - Ø 32  มม</t>
  </si>
  <si>
    <t xml:space="preserve">     - Ø 40  มม</t>
  </si>
  <si>
    <t xml:space="preserve">     - Ø 50  มม.</t>
  </si>
  <si>
    <t xml:space="preserve">     - Ø 65  มม.</t>
  </si>
  <si>
    <t>Modulating Floating Valve</t>
  </si>
  <si>
    <t>Strainer</t>
  </si>
  <si>
    <t xml:space="preserve">     - Ø 40  มม.</t>
  </si>
  <si>
    <t>Flexible Connection</t>
  </si>
  <si>
    <t>Digital Water Meter</t>
  </si>
  <si>
    <t>1.16</t>
  </si>
  <si>
    <t>Water Meter (Turbine Type)</t>
  </si>
  <si>
    <t xml:space="preserve"> Automatic Air Vent</t>
  </si>
  <si>
    <t>Stop Valve สำหรับ โถสุขภัณฑ์</t>
  </si>
  <si>
    <t xml:space="preserve">     -Ø 15  มม</t>
  </si>
  <si>
    <t>ก๊อกสนาม</t>
  </si>
  <si>
    <t xml:space="preserve">     - Ø 15  มม</t>
  </si>
  <si>
    <t xml:space="preserve"> Water Hammer Arrestor</t>
  </si>
  <si>
    <t xml:space="preserve">     - 1-11 FU</t>
  </si>
  <si>
    <t xml:space="preserve">     - 12-32 FU</t>
  </si>
  <si>
    <t xml:space="preserve">     - 33-60 FU</t>
  </si>
  <si>
    <t>Accessed Panel</t>
  </si>
  <si>
    <t xml:space="preserve"> - 0.45 x 0.45  ม.</t>
  </si>
  <si>
    <t xml:space="preserve"> Foot Valve</t>
  </si>
  <si>
    <t xml:space="preserve">     - Ø 100  มม</t>
  </si>
  <si>
    <t>ระบบบำบัดน้ำเสียชนิด Activated Sludge พร้อมอุปกรณ์ประกอบครบชุด</t>
  </si>
  <si>
    <t>WWTP-1 @  30 ลบ.ม. ต่อวัน</t>
  </si>
  <si>
    <t xml:space="preserve"> - งานฐานราก WT-1</t>
  </si>
  <si>
    <t>GT-1 @  6.0 ลบ.ม. ต่อวัน</t>
  </si>
  <si>
    <t xml:space="preserve"> - งานฐานราก GT-1</t>
  </si>
  <si>
    <t>ท่อน้ำทิ้ง น้ำโสโครก และท่อน้ำทิ้งครัว ท่อพีวีซีชั้น 13.5 (PVC Pipe Class 13.5)</t>
  </si>
  <si>
    <t>ท่อน้ำไทย</t>
  </si>
  <si>
    <t xml:space="preserve">     - Ø 150  มม.</t>
  </si>
  <si>
    <t>ท่ออากาศ ท่อพีวีซีชั้น 8.5 (PVC Pipe Class 8.5)</t>
  </si>
  <si>
    <t>3.4</t>
  </si>
  <si>
    <t>ท่อน้ำทิ้ง น้ำโสโครก และท่ออากาศ ท่อ HDPE (PN 6)</t>
  </si>
  <si>
    <t xml:space="preserve">     - Ø 63  มม.( 50 มม.)</t>
  </si>
  <si>
    <t xml:space="preserve">     - Ø 75  มม.( 65 มม.)</t>
  </si>
  <si>
    <t xml:space="preserve">     - Ø 160  มม. (150 มม.)</t>
  </si>
  <si>
    <t xml:space="preserve">     - Ø 280  มม (250 มม.)</t>
  </si>
  <si>
    <t>3.5</t>
  </si>
  <si>
    <t>ใช้ 40%</t>
  </si>
  <si>
    <t>3.6</t>
  </si>
  <si>
    <t>ใช้ 20%</t>
  </si>
  <si>
    <t>3.7</t>
  </si>
  <si>
    <t>ช่องระบายน้ำจากพื้น (Floor Drain)</t>
  </si>
  <si>
    <t>ช่องสำหรับทำความสะอาดท่อจากพื้น (Floor Cleanout)</t>
  </si>
  <si>
    <t>ช่องสำหรับทำความสะอาดท่อ (Cleanout)</t>
  </si>
  <si>
    <t>Vent Through Roof</t>
  </si>
  <si>
    <t xml:space="preserve">     - Ø 200  มม.</t>
  </si>
  <si>
    <t xml:space="preserve">     - Ø 250  มม.</t>
  </si>
  <si>
    <t>บ่อดักขยะ</t>
  </si>
  <si>
    <t>MANHOLE COVER Heavy Duty W/Double Seals</t>
  </si>
  <si>
    <t xml:space="preserve">     - Ø 800  มม.</t>
  </si>
  <si>
    <t xml:space="preserve">     - Ø 600  มม.</t>
  </si>
  <si>
    <t>ท่อ GSP ( GSP Class M)</t>
  </si>
  <si>
    <t xml:space="preserve">     - Ø 200  มม. </t>
  </si>
  <si>
    <t xml:space="preserve">     - Ø 250  มม. </t>
  </si>
  <si>
    <t xml:space="preserve">     - Ø 300  มม. </t>
  </si>
  <si>
    <t>ท่อ HDPE (PN 6)</t>
  </si>
  <si>
    <t xml:space="preserve">     - Ø 225  มม (200 มม.)</t>
  </si>
  <si>
    <t xml:space="preserve">     - Ø 270  มม (250 มม.)</t>
  </si>
  <si>
    <t xml:space="preserve">     - Ø 330  มม (300 มม.)</t>
  </si>
  <si>
    <t>4.3</t>
  </si>
  <si>
    <t>4.4</t>
  </si>
  <si>
    <t>4.5</t>
  </si>
  <si>
    <t>ช่องระบายน้ำฝน (Roof Drain)</t>
  </si>
  <si>
    <t>ช่องระบายน้ำฝนบริเวณปลูกต้นไม้ (Plant Drain)</t>
  </si>
  <si>
    <t>Flexible Pipe Connector, Non-Pressure</t>
  </si>
  <si>
    <t>ท่อเหล็กดำ Sch.40 A53, GR.A มีตะเข็บ</t>
  </si>
  <si>
    <t>(Black Steel Pipe Sch.40, A53 GR.A, Seam)</t>
  </si>
  <si>
    <t>ท่อ HDPE (PN 16)</t>
  </si>
  <si>
    <t xml:space="preserve">     - Ø 160  มม.</t>
  </si>
  <si>
    <t>Fire Hose Cabinet</t>
  </si>
  <si>
    <t xml:space="preserve">     - Recess Type Cabinet</t>
  </si>
  <si>
    <t xml:space="preserve">     - Dry Chemical Portable Fire Extinguisher  @ 4.5 kg</t>
  </si>
  <si>
    <t xml:space="preserve">     - 25 mm Ø x 30 m  Automatic Hose &amp; Reel</t>
  </si>
  <si>
    <t xml:space="preserve">     - 65 mm Ø Angle Hose Valve</t>
  </si>
  <si>
    <t xml:space="preserve">     - 65 mm Ø  Coupling Adaptor w/Cap &amp; Chain</t>
  </si>
  <si>
    <t xml:space="preserve">     - 25 mm Ø  Ball Valve</t>
  </si>
  <si>
    <t>Fire Extinguisher Cabinet</t>
  </si>
  <si>
    <t xml:space="preserve">     - CO2 Portable Fire Extinguisher  @ 4.5 kg.</t>
  </si>
  <si>
    <t xml:space="preserve">     - Wet Chemical Portable Fire Extinguisher (Type K)</t>
  </si>
  <si>
    <t xml:space="preserve">     - Ø 20 มม</t>
  </si>
  <si>
    <t xml:space="preserve">     - Ø 50 มม</t>
  </si>
  <si>
    <t xml:space="preserve">Automatic Air Vent </t>
  </si>
  <si>
    <t>Fire Department Connection 2 - 65 mm x 100 mm</t>
  </si>
  <si>
    <t xml:space="preserve">งานระบบปรับอากาศและระบายอากาศ   </t>
  </si>
  <si>
    <t>สรุปราคาค่าก่อสร้างงานระบบปรับอากาศและระบายอากาศ</t>
  </si>
  <si>
    <t>เครื่องปรับอากาศแบบปรับปริมาณน้ำยาอัตโนมัติ(VRF)</t>
  </si>
  <si>
    <t>พัดลมระบายอากาศ</t>
  </si>
  <si>
    <t>ท่อน้ำยาและท่อน้ำทิ้ง</t>
  </si>
  <si>
    <t>งานท่อลม</t>
  </si>
  <si>
    <t>หัวจ่ายลมและหน้ากากกลม</t>
  </si>
  <si>
    <t>อุปกรณ์ควบคุมอัตโนมัติ (Automatic Control Equipment)</t>
  </si>
  <si>
    <t>ระบบไฟฟ้าและควบคุม (Electrical &amp; Control System)</t>
  </si>
  <si>
    <t>ค่าดำเนินการอื่นๆ</t>
  </si>
  <si>
    <t>รวมราคาค่าก่อสร้างงานระบบปรับอากาศและระบายอากาศ</t>
  </si>
  <si>
    <t>ชั้น 1</t>
  </si>
  <si>
    <t>FCU-101</t>
  </si>
  <si>
    <t>72,000 BTU ; CD</t>
  </si>
  <si>
    <t>FCU-102</t>
  </si>
  <si>
    <t>18,000 BTU ; CC4</t>
  </si>
  <si>
    <t>FCU-103</t>
  </si>
  <si>
    <t>FCU-104</t>
  </si>
  <si>
    <t>FCU-105</t>
  </si>
  <si>
    <t>FCU-106</t>
  </si>
  <si>
    <t>12,000 BTU ; CC4</t>
  </si>
  <si>
    <t>FCU-107</t>
  </si>
  <si>
    <t>FCU-108</t>
  </si>
  <si>
    <t>ชั้น M</t>
  </si>
  <si>
    <t>OAU-M01</t>
  </si>
  <si>
    <t>150200 BTU</t>
  </si>
  <si>
    <t>FCU-M01</t>
  </si>
  <si>
    <t>48,000 BTU ; CD</t>
  </si>
  <si>
    <t>FCU-M02</t>
  </si>
  <si>
    <t>30,000 BTU ; CD</t>
  </si>
  <si>
    <t>FCU-M03</t>
  </si>
  <si>
    <t>FCU-M04</t>
  </si>
  <si>
    <t>FCU-M05</t>
  </si>
  <si>
    <t>FCU-M06</t>
  </si>
  <si>
    <t>30,000 BTU ; CC4</t>
  </si>
  <si>
    <t>FCU-M07</t>
  </si>
  <si>
    <t>FCU-M08</t>
  </si>
  <si>
    <t>FCU-M09</t>
  </si>
  <si>
    <t>FCU-M10</t>
  </si>
  <si>
    <t>24,000 BTU ; CC4</t>
  </si>
  <si>
    <t>FCU-M11</t>
  </si>
  <si>
    <t>FCU-M12</t>
  </si>
  <si>
    <t>ชั้น 2</t>
  </si>
  <si>
    <t>OAU-201</t>
  </si>
  <si>
    <t>72,000 BTU</t>
  </si>
  <si>
    <t>OAU-202</t>
  </si>
  <si>
    <t>109,000 BTU</t>
  </si>
  <si>
    <t>FCU-201</t>
  </si>
  <si>
    <t>18,000 BTU ; WM</t>
  </si>
  <si>
    <t>FCU-202</t>
  </si>
  <si>
    <t>FCU-203</t>
  </si>
  <si>
    <t>FCU-204</t>
  </si>
  <si>
    <t>FCU-205</t>
  </si>
  <si>
    <t>FCU-206</t>
  </si>
  <si>
    <t>FCU-207</t>
  </si>
  <si>
    <t>FCU-208</t>
  </si>
  <si>
    <t>FCU-209</t>
  </si>
  <si>
    <t>FCU-210</t>
  </si>
  <si>
    <t>FCU-211</t>
  </si>
  <si>
    <t>FCU-212</t>
  </si>
  <si>
    <t>FCU-213</t>
  </si>
  <si>
    <t>FCU-214</t>
  </si>
  <si>
    <t>FCU-215</t>
  </si>
  <si>
    <t>FCU-216</t>
  </si>
  <si>
    <t>FCU-217</t>
  </si>
  <si>
    <t>FCU-218</t>
  </si>
  <si>
    <t>FCU-219</t>
  </si>
  <si>
    <t>FCU-220</t>
  </si>
  <si>
    <t>FCU-221</t>
  </si>
  <si>
    <t>FCU-222</t>
  </si>
  <si>
    <t>FCU-223</t>
  </si>
  <si>
    <t>FCU-224</t>
  </si>
  <si>
    <t>FCU-225</t>
  </si>
  <si>
    <t>FCU-226</t>
  </si>
  <si>
    <t>FCU-227</t>
  </si>
  <si>
    <t>FCU-228</t>
  </si>
  <si>
    <t>FCU-229</t>
  </si>
  <si>
    <t>FCU-230</t>
  </si>
  <si>
    <t>FCU-231</t>
  </si>
  <si>
    <t>FCU-232</t>
  </si>
  <si>
    <t>FCU-233</t>
  </si>
  <si>
    <t>FCU-234</t>
  </si>
  <si>
    <t>FCU-235</t>
  </si>
  <si>
    <t>FCU-236</t>
  </si>
  <si>
    <t>ชั้น 3</t>
  </si>
  <si>
    <t>FCU-301</t>
  </si>
  <si>
    <t>18,000 BTU ; WN</t>
  </si>
  <si>
    <t>FCU-302</t>
  </si>
  <si>
    <t>FCU-303</t>
  </si>
  <si>
    <t>FCU-304</t>
  </si>
  <si>
    <t>FCU-305</t>
  </si>
  <si>
    <t>FCU-306</t>
  </si>
  <si>
    <t>FCU-307</t>
  </si>
  <si>
    <t>FCU-308</t>
  </si>
  <si>
    <t>FCU-309</t>
  </si>
  <si>
    <t>FCU-310</t>
  </si>
  <si>
    <t>FCU-311</t>
  </si>
  <si>
    <t xml:space="preserve"> 12,000 BTU ; CD</t>
  </si>
  <si>
    <t>FCU-312</t>
  </si>
  <si>
    <t>FCU-313</t>
  </si>
  <si>
    <t>FCU-314</t>
  </si>
  <si>
    <t>FCU-315</t>
  </si>
  <si>
    <t>FCU-316</t>
  </si>
  <si>
    <t>FCU-317</t>
  </si>
  <si>
    <t>FCU-318</t>
  </si>
  <si>
    <t>FCU-319</t>
  </si>
  <si>
    <t>FCU-320</t>
  </si>
  <si>
    <t>FCU-321</t>
  </si>
  <si>
    <t>FCU-322</t>
  </si>
  <si>
    <t>12,000 BTU ; CD</t>
  </si>
  <si>
    <t>FCU-323</t>
  </si>
  <si>
    <t>FCU-324</t>
  </si>
  <si>
    <t>FCU-325</t>
  </si>
  <si>
    <t>FCU-326</t>
  </si>
  <si>
    <t>FCU-327</t>
  </si>
  <si>
    <t>FCU-328</t>
  </si>
  <si>
    <t>FCU-329</t>
  </si>
  <si>
    <t>FCU-330</t>
  </si>
  <si>
    <t>FCU-331</t>
  </si>
  <si>
    <t>FCU-332</t>
  </si>
  <si>
    <t>FCU-333</t>
  </si>
  <si>
    <t>FCU-334</t>
  </si>
  <si>
    <t>12,000 BTU ; WM</t>
  </si>
  <si>
    <t>FCU-335</t>
  </si>
  <si>
    <t>FCU-336</t>
  </si>
  <si>
    <t>FCU-337</t>
  </si>
  <si>
    <t>FCU-338</t>
  </si>
  <si>
    <t>30,000 BTU ; CC6</t>
  </si>
  <si>
    <t>ชั้นลอย (3M)</t>
  </si>
  <si>
    <t>FCU-401</t>
  </si>
  <si>
    <t>72,000 BTU ; FLOORTYPE</t>
  </si>
  <si>
    <t>FCU-402</t>
  </si>
  <si>
    <t>FCU-403</t>
  </si>
  <si>
    <t>FCU-404</t>
  </si>
  <si>
    <t>FCU-405</t>
  </si>
  <si>
    <t>FCU-406</t>
  </si>
  <si>
    <t>FCU-407</t>
  </si>
  <si>
    <t>30,000 BTU ; CS</t>
  </si>
  <si>
    <t>FCU-408</t>
  </si>
  <si>
    <t>OAU-401</t>
  </si>
  <si>
    <t>95,500  BTU</t>
  </si>
  <si>
    <t>OAU-402</t>
  </si>
  <si>
    <t>30,000 BTU</t>
  </si>
  <si>
    <t>OAU-403</t>
  </si>
  <si>
    <t>95,800 BTU</t>
  </si>
  <si>
    <t>OAU-404</t>
  </si>
  <si>
    <t>57,500 BTU</t>
  </si>
  <si>
    <t>CDU</t>
  </si>
  <si>
    <t>CDU-1-01</t>
  </si>
  <si>
    <t xml:space="preserve">204,000 BTU </t>
  </si>
  <si>
    <t>CDU-1-02</t>
  </si>
  <si>
    <t>378,000 BTU</t>
  </si>
  <si>
    <t>CDU-1-03</t>
  </si>
  <si>
    <t>222,000 BtU</t>
  </si>
  <si>
    <t>CDU-1-04</t>
  </si>
  <si>
    <t>126,000 BTU</t>
  </si>
  <si>
    <t>CDU-1-05</t>
  </si>
  <si>
    <t>270,000 BTU</t>
  </si>
  <si>
    <t>CDU-1-06</t>
  </si>
  <si>
    <t>390,000 BTU</t>
  </si>
  <si>
    <t>CDU-1-07</t>
  </si>
  <si>
    <t>90,000 BTU</t>
  </si>
  <si>
    <t>CDU-1-08</t>
  </si>
  <si>
    <t>198,000 BTU</t>
  </si>
  <si>
    <t>CDU-1-09</t>
  </si>
  <si>
    <t>181,000 BTU</t>
  </si>
  <si>
    <t>CDU-1-10</t>
  </si>
  <si>
    <t>125,500 BTU</t>
  </si>
  <si>
    <t>CDU-1-11</t>
  </si>
  <si>
    <t>153,300 BTU</t>
  </si>
  <si>
    <t>FDX-301/CDU-301 (AIR SPLIT TYPE รวมอุปกรณ์การติดตั้งพร้อมใช้งาน)</t>
  </si>
  <si>
    <t>(ดูรายละเอียดข้อ 3.4)</t>
  </si>
  <si>
    <t>(ดูรายละเอียดข้อ 3.5)</t>
  </si>
  <si>
    <t>(ดูรายละเอียดข้อ 3.6)</t>
  </si>
  <si>
    <t>EF-C2-101</t>
  </si>
  <si>
    <t>LNC</t>
  </si>
  <si>
    <t>EF-C2-102</t>
  </si>
  <si>
    <t>EF-C2-103</t>
  </si>
  <si>
    <t>MINI</t>
  </si>
  <si>
    <t>EF-C2-104</t>
  </si>
  <si>
    <t>CLF</t>
  </si>
  <si>
    <t>EF-C2-105</t>
  </si>
  <si>
    <t>EF-C2-106</t>
  </si>
  <si>
    <t>EF-C2-107</t>
  </si>
  <si>
    <t>EF-C2-108</t>
  </si>
  <si>
    <t>EF-C2-109</t>
  </si>
  <si>
    <t>EF-C2-110</t>
  </si>
  <si>
    <t>EF-C2-111</t>
  </si>
  <si>
    <t>EF-C2-112</t>
  </si>
  <si>
    <t>PFWA</t>
  </si>
  <si>
    <t>EF-C2-113</t>
  </si>
  <si>
    <t>ชั้นลอย (BM)</t>
  </si>
  <si>
    <t>EF-C2-M01</t>
  </si>
  <si>
    <t>EF-C2-M02</t>
  </si>
  <si>
    <t>EF-C2-M03</t>
  </si>
  <si>
    <t>EF-C2-M04</t>
  </si>
  <si>
    <t>EF-C2-M05</t>
  </si>
  <si>
    <t>EF-C2-M06</t>
  </si>
  <si>
    <t>EF-C2-201</t>
  </si>
  <si>
    <t>EF-C2-202</t>
  </si>
  <si>
    <t>EF-C2-203</t>
  </si>
  <si>
    <t>EF-C2-204</t>
  </si>
  <si>
    <t>EF-C2-205</t>
  </si>
  <si>
    <t>EF-C2-206</t>
  </si>
  <si>
    <t>EF-C2-207</t>
  </si>
  <si>
    <t>EF-C2-208</t>
  </si>
  <si>
    <t>EF-C2-209</t>
  </si>
  <si>
    <t>EF-C2-210</t>
  </si>
  <si>
    <t>EF-C2-211</t>
  </si>
  <si>
    <t>EF-C2-212</t>
  </si>
  <si>
    <t>EF-C2-301</t>
  </si>
  <si>
    <t>EF-C2-302</t>
  </si>
  <si>
    <t>EF-C2-303</t>
  </si>
  <si>
    <t>EF-C2-304</t>
  </si>
  <si>
    <t>EF-C2-305</t>
  </si>
  <si>
    <t>EF-C2-306</t>
  </si>
  <si>
    <t>EF-C2-307</t>
  </si>
  <si>
    <t>EF-C2-308</t>
  </si>
  <si>
    <t>EF-C2-309</t>
  </si>
  <si>
    <t>EF-C2-310</t>
  </si>
  <si>
    <t>EF-C2-311</t>
  </si>
  <si>
    <t>EF-C2-312</t>
  </si>
  <si>
    <t>EF-C2-313</t>
  </si>
  <si>
    <t>ROOF</t>
  </si>
  <si>
    <t>EF-C2-R01</t>
  </si>
  <si>
    <t>EF-C2-R02</t>
  </si>
  <si>
    <t>EF-C2-R03</t>
  </si>
  <si>
    <t>ท่อทองแดง Class  L (Copper Pipe Class L)</t>
  </si>
  <si>
    <t xml:space="preserve">   -  1/4" Ø</t>
  </si>
  <si>
    <t>ม</t>
  </si>
  <si>
    <t xml:space="preserve">   -  1/2" Ø</t>
  </si>
  <si>
    <t xml:space="preserve">   -   3/8" Ø</t>
  </si>
  <si>
    <t xml:space="preserve">   -   5/8" Ø</t>
  </si>
  <si>
    <t xml:space="preserve">   -   3/4" Ø</t>
  </si>
  <si>
    <t xml:space="preserve">   -   7/8" Ø</t>
  </si>
  <si>
    <t xml:space="preserve">   -   1 1/8" Ø</t>
  </si>
  <si>
    <t xml:space="preserve">   -   1 3/8" Ø</t>
  </si>
  <si>
    <t xml:space="preserve">   -   1 5/8" Ø</t>
  </si>
  <si>
    <t>ท่อพีวีซีชั้น 8.5 (PVC Pipe Class 8.5)</t>
  </si>
  <si>
    <t xml:space="preserve">   -   1" Ø</t>
  </si>
  <si>
    <t>ฉนวนหุ้มท่อ (Pipe Insulation)</t>
  </si>
  <si>
    <t>20-mm Closed Cell Foam</t>
  </si>
  <si>
    <t>15-mm Closed Cell Foam (หุ้มท่อน้ำทิ้งจากเครื่องปรับอากาศ)</t>
  </si>
  <si>
    <t>สังกะสีแผ่นเรียบ (Galvanized Steel Sheet)</t>
  </si>
  <si>
    <t>สังกะสีเบอร์ 22 GA</t>
  </si>
  <si>
    <t>ฟุต²</t>
  </si>
  <si>
    <t>สังกะสีเบอร์ 24 GA</t>
  </si>
  <si>
    <t>สังกะสีเบอร์ 26 GA</t>
  </si>
  <si>
    <t>SPIRAL DUCT</t>
  </si>
  <si>
    <t xml:space="preserve">ฉนวนหุ้มท่อลม </t>
  </si>
  <si>
    <t>'Filber glass 1"</t>
  </si>
  <si>
    <t>RETURN AIR CHAMBER AND PLENUM</t>
  </si>
  <si>
    <t>Exhaust Air Grille w/VD</t>
  </si>
  <si>
    <t>EAG 8"x8"</t>
  </si>
  <si>
    <t>EAG 12"x12"</t>
  </si>
  <si>
    <t>EAG 24"x12"</t>
  </si>
  <si>
    <t>Exhuast Air Grille w/ Insect Screen</t>
  </si>
  <si>
    <t>EAG 32"x12"</t>
  </si>
  <si>
    <t>EAG 20"x12"</t>
  </si>
  <si>
    <t>EAG 18"x12"</t>
  </si>
  <si>
    <t>Return Air Grilled</t>
  </si>
  <si>
    <t>RAG 100"x12"</t>
  </si>
  <si>
    <t>RAG 60"x12"</t>
  </si>
  <si>
    <t>RAG 40"12"</t>
  </si>
  <si>
    <t>RAG 48"x24"</t>
  </si>
  <si>
    <t>Supply Air Grilled</t>
  </si>
  <si>
    <t>SAG 100"x12"</t>
  </si>
  <si>
    <t>SAG 75"x8"</t>
  </si>
  <si>
    <t>SAG 20"x12"</t>
  </si>
  <si>
    <t>Fresh Air Grilled</t>
  </si>
  <si>
    <t>FAG 54"x12"</t>
  </si>
  <si>
    <t>FAG 44"x12"</t>
  </si>
  <si>
    <t>FAG 34"x24"</t>
  </si>
  <si>
    <t>FAG 28"x12"</t>
  </si>
  <si>
    <t>FAG 24"x18"</t>
  </si>
  <si>
    <t>FAG 24"x12"</t>
  </si>
  <si>
    <t>FAG 16"x8"</t>
  </si>
  <si>
    <t>FAG 12"x12"</t>
  </si>
  <si>
    <t>FAG 10"x10"</t>
  </si>
  <si>
    <t>FAG 8"x8"</t>
  </si>
  <si>
    <t>Liener Slot Diffuser</t>
  </si>
  <si>
    <t>3 LSD 2 m</t>
  </si>
  <si>
    <t>3 LSD 1 m</t>
  </si>
  <si>
    <t>2 LSD 1 m</t>
  </si>
  <si>
    <t>Ceiling Diffuser Diffuser</t>
  </si>
  <si>
    <t>DAI 14in</t>
  </si>
  <si>
    <t>DAI 12in</t>
  </si>
  <si>
    <t>jet Diffuser</t>
  </si>
  <si>
    <t>Volume Damper</t>
  </si>
  <si>
    <t>22"x12"</t>
  </si>
  <si>
    <t>12"x12"</t>
  </si>
  <si>
    <t>8"x8"</t>
  </si>
  <si>
    <t>Tranfer Air Grilled</t>
  </si>
  <si>
    <t>TAG 22"x12"</t>
  </si>
  <si>
    <t>Service Planel</t>
  </si>
  <si>
    <t>1800mmx1200mm</t>
  </si>
  <si>
    <t>VRV System Interface Gateway &amp; accessories</t>
  </si>
  <si>
    <t>THERMOROOM</t>
  </si>
  <si>
    <t>SMOKE DETECTOR</t>
  </si>
  <si>
    <t>Intelligent Touch Manager</t>
  </si>
  <si>
    <t>DIII Plus adaptor(option)</t>
  </si>
  <si>
    <t>Electical Control Panel</t>
  </si>
  <si>
    <t xml:space="preserve">AMCC-CDU-1(OUT DOOR TYPE) </t>
  </si>
  <si>
    <t>SEFTY SWITCH</t>
  </si>
  <si>
    <t>CP-OAU-M01</t>
  </si>
  <si>
    <t>CP-OAU-201</t>
  </si>
  <si>
    <t>CP-OAU-401</t>
  </si>
  <si>
    <t>CP-AC/EF-1</t>
  </si>
  <si>
    <t>CP-AC/EF-2</t>
  </si>
  <si>
    <t>CP-AC/EF-3</t>
  </si>
  <si>
    <t>CP-AC/EF-4</t>
  </si>
  <si>
    <t>Cable  and Conduit</t>
  </si>
  <si>
    <t>8,1</t>
  </si>
  <si>
    <t>Test &amp; Commissioning</t>
  </si>
  <si>
    <t xml:space="preserve">งานภูมิสถาปัตยกรรมส่วน HARDSCAPE  (RC 2) </t>
  </si>
  <si>
    <t>สรุปราคาค่าก่อสร้างงานภูมิสถาปัตยกรรมส่วน HARDSCAPE</t>
  </si>
  <si>
    <t>งานพื้น</t>
  </si>
  <si>
    <t>งานขอบพื้น</t>
  </si>
  <si>
    <t>งานระบบรดน้ำ</t>
  </si>
  <si>
    <t>รวมราคาค่าก่อสร้างงานภูมิสถาปัตยกรรม Hardscape</t>
  </si>
  <si>
    <t>หมวดงาน HARDSCAPE</t>
  </si>
  <si>
    <t>พื้นทรายปรับระดับบนดิน วางปูบล็อคซึมน้ำ หนา 60 มม.</t>
  </si>
  <si>
    <t>พ1</t>
  </si>
  <si>
    <t>สีเบจอ่อน</t>
  </si>
  <si>
    <t>พ2</t>
  </si>
  <si>
    <t>สีเบจกลาง</t>
  </si>
  <si>
    <t>พ3</t>
  </si>
  <si>
    <t>สีเบจเข้ม</t>
  </si>
  <si>
    <t>ทรายหยาบปรับระดับ 50 มม.</t>
  </si>
  <si>
    <t>หินกรวดบดอัดหนา 150 มม.</t>
  </si>
  <si>
    <t>แผ่นใยสังเคราะห์</t>
  </si>
  <si>
    <t>ดูรายละเอียดตามแบบวิศวกร</t>
  </si>
  <si>
    <t>รวมราคางานพื้น</t>
  </si>
  <si>
    <t>ผ1</t>
  </si>
  <si>
    <t>ที่นั่งค.ส.ล. ทำผิวหินขัดหนา 10 มม.</t>
  </si>
  <si>
    <t>รวมราคางานผนัง</t>
  </si>
  <si>
    <t>ข1</t>
  </si>
  <si>
    <t>ขอบค.ส.ล.ทำผิวหินขัด หนา 10 มม.</t>
  </si>
  <si>
    <t>ข2</t>
  </si>
  <si>
    <t>ขอบค.ส.ล.สำเร็จรูปมาตรฐาน ขนาด 150x300x1000 มม.</t>
  </si>
  <si>
    <t>ข3</t>
  </si>
  <si>
    <t>ขอบล้มค.ส.ล. ขนาด 150x600x1000 มม.</t>
  </si>
  <si>
    <t>ข4</t>
  </si>
  <si>
    <t>ขอบเหล็กแบนขนาด 1 นิ้ว หนา 12 มม. ทำสีดำ</t>
  </si>
  <si>
    <t>รวมราคางานขอบพื้น</t>
  </si>
  <si>
    <t>งานระบบรดน้ำหัวก๊อก</t>
  </si>
  <si>
    <t>จุด</t>
  </si>
  <si>
    <t>.</t>
  </si>
  <si>
    <t>รวมราคางานระบบรดน้ำ</t>
  </si>
  <si>
    <t xml:space="preserve">แบบ ปร.5ข    </t>
  </si>
  <si>
    <t>แบบสรุปราคาค่าก่อสร้างงานครุภัณฑ์จัดซื้อ</t>
  </si>
  <si>
    <t>ชื่อโครงการ</t>
  </si>
  <si>
    <t>กิจการร่วมค้าบริษัท จีโอเดสิค ดีไซน์ จำกัด , บริษัท เอ็มสเปซ จำกัด และ บริษัท จั่นอาร์คิเทค จำกัด</t>
  </si>
  <si>
    <t>แบบ ปร.4 (ข) ที่แนบ</t>
  </si>
  <si>
    <t>30  แผ่น</t>
  </si>
  <si>
    <t xml:space="preserve">ค่างาน </t>
  </si>
  <si>
    <t>ภาษีมูลค่าเพิ่ม</t>
  </si>
  <si>
    <t>ส่วนที่ 2 ค่าครุภัณฑ์สั่งซื้อหรือจัดซื้อ</t>
  </si>
  <si>
    <t>งานครุภัณฑ์ประจำอาคาร</t>
  </si>
  <si>
    <t>งานครุภัณฑ์ลอยตัว</t>
  </si>
  <si>
    <t>งานครุภัณฑ์ภาพและเสียง</t>
  </si>
  <si>
    <t>งานครุภัณฑ์ Soft Scape</t>
  </si>
  <si>
    <t>รวมค่าก่อสร้าง ส่วนที่ 2 ค่าครุภัณฑ์สั่งซื้อหรือจัดซื้อ</t>
  </si>
  <si>
    <t>สรุปราคาค่าก่อสร้างงานครุภัณฑ์ประจำอาคาร</t>
  </si>
  <si>
    <t>งานครุภัณฑ์ลิฟต์</t>
  </si>
  <si>
    <t>งานครุภัณฑ์ระบบวิศวกรรมไฟฟ้า</t>
  </si>
  <si>
    <t>งานครุภัณฑ์งานระบบปรับอากาศและระบายอากาศ</t>
  </si>
  <si>
    <t>รวมราคางานครุภัณฑ์ประจำอาคาร</t>
  </si>
  <si>
    <t>ลิฟต์แก้ว L1</t>
  </si>
  <si>
    <t>รวมราคางานครุภัณฑ์ลิฟต์</t>
  </si>
  <si>
    <t>เครื่องกำเนิดไฟฟ้าสำรอง</t>
  </si>
  <si>
    <t>รวมราคางานระบบวิศวกรรมไฟฟ้า</t>
  </si>
  <si>
    <t xml:space="preserve"> 18,000 BTU ; WN</t>
  </si>
  <si>
    <t>ชั้น 4</t>
  </si>
  <si>
    <t>AIR SPLIT TYPE รวมอุปกร์การติดตั้งพร้อมใช้งาน</t>
  </si>
  <si>
    <t>รวมราคางานระบบปรับอากาศและระบายอากาศ</t>
  </si>
  <si>
    <t xml:space="preserve">งานครุภัณฑ์ลอยตัว (RKCA 2)   </t>
  </si>
  <si>
    <t>สรุปราคาค่าก่อสร้างงานครุภัณฑ์ลอยตัวและงานผ้าม่าน</t>
  </si>
  <si>
    <t>งานครุภัณฑ์ชั้นล่าง</t>
  </si>
  <si>
    <t>งานครุภัณฑ์ชั้นลอย</t>
  </si>
  <si>
    <t>งานครุภัณฑ์ชั้น 2</t>
  </si>
  <si>
    <t>งานครุภัณฑ์ชั้น 3</t>
  </si>
  <si>
    <t>งานครุภัณฑ์ชั้นดาดฟ้า</t>
  </si>
  <si>
    <t>งานครุภัณฑ์ผ้าม่าน</t>
  </si>
  <si>
    <t>งานครุภัณฑ์ป้ายสัญลักษณ์</t>
  </si>
  <si>
    <t xml:space="preserve">รวมราคางานครุภัณฑ์ลอยตัวและงานผ้าม่าน </t>
  </si>
  <si>
    <t xml:space="preserve">สำนักงาน 1 </t>
  </si>
  <si>
    <t>LF.T01</t>
  </si>
  <si>
    <t>โต๊ะสำนักงาน แบบที่ 1</t>
  </si>
  <si>
    <t>160W /120W X 75DX74.5H</t>
  </si>
  <si>
    <t>LF.T07</t>
  </si>
  <si>
    <t>โต๊ะทรงสูง</t>
  </si>
  <si>
    <t>200W X 60D X 100H</t>
  </si>
  <si>
    <t>LF.T08</t>
  </si>
  <si>
    <t>โต๊ะประชุมทรงกลม 1</t>
  </si>
  <si>
    <t>75W X 74.5H</t>
  </si>
  <si>
    <t>LF.C01</t>
  </si>
  <si>
    <t>เก้าอี้สำนักงาน 1</t>
  </si>
  <si>
    <t>LF.C04</t>
  </si>
  <si>
    <t>เก้าอี้สตูลทรงสูง</t>
  </si>
  <si>
    <t>LF.C08</t>
  </si>
  <si>
    <t>เก้าอี้ประชุม 3</t>
  </si>
  <si>
    <t>LF.R01</t>
  </si>
  <si>
    <t>ชุดตู้เอกสารบานเปิด</t>
  </si>
  <si>
    <t>160WX40DX90H</t>
  </si>
  <si>
    <t>LF.SC01</t>
  </si>
  <si>
    <t>Screen ไม้หุ้มผ้าพร้อมบังตาเหล็ก</t>
  </si>
  <si>
    <t>140WX30H</t>
  </si>
  <si>
    <t>ห้องผู้อำนวยการฝ่าย 1</t>
  </si>
  <si>
    <t>LF.T02</t>
  </si>
  <si>
    <t>โต๊ะสำนักงาน แบบที่ 2</t>
  </si>
  <si>
    <t>LF.C02</t>
  </si>
  <si>
    <t>เก้าอี้สำนักงาน 2</t>
  </si>
  <si>
    <t>LF.C03</t>
  </si>
  <si>
    <t>เก้าอี้สำนักงาน 3</t>
  </si>
  <si>
    <t>LF.R05</t>
  </si>
  <si>
    <t>200WX40DX74.5H</t>
  </si>
  <si>
    <t>ห้อง CCTV &amp; รปภ.</t>
  </si>
  <si>
    <t>LF.R04</t>
  </si>
  <si>
    <t>80WX40DX150H</t>
  </si>
  <si>
    <t>LF.T06</t>
  </si>
  <si>
    <t>โต๊ะพับ WORKSHOP</t>
  </si>
  <si>
    <t xml:space="preserve">150WX50D </t>
  </si>
  <si>
    <t>LF.C05</t>
  </si>
  <si>
    <t>เก้าอี้ซ้อนเก็บ</t>
  </si>
  <si>
    <t>LF.C09.1</t>
  </si>
  <si>
    <t>ม้านั่งเหล็กพร้อมโต๊ะกลม</t>
  </si>
  <si>
    <t xml:space="preserve">42W x 122L x 45H </t>
  </si>
  <si>
    <t>LF.C09.2</t>
  </si>
  <si>
    <t>ม้านั่งเหล็ก</t>
  </si>
  <si>
    <t>ห้องแม่บ้าน</t>
  </si>
  <si>
    <t>LF.T18</t>
  </si>
  <si>
    <t>โต๊ะทานอาหาร</t>
  </si>
  <si>
    <t>120W X 80D X 74.5H</t>
  </si>
  <si>
    <t>LF.C20</t>
  </si>
  <si>
    <t>เก้าอี้ทานอาหาร</t>
  </si>
  <si>
    <t>LF.R07</t>
  </si>
  <si>
    <t>LOCKER 4 ช่อง</t>
  </si>
  <si>
    <t>62WX45DX183H</t>
  </si>
  <si>
    <t>LF.E01</t>
  </si>
  <si>
    <t xml:space="preserve">ตู้เย็น 2 ประตู </t>
  </si>
  <si>
    <t>ความจุไม่น้อยกว่า 7 คิว</t>
  </si>
  <si>
    <t>โถงบันได 1</t>
  </si>
  <si>
    <t>LF.T21</t>
  </si>
  <si>
    <t>โต๊ะข้างวงกลม</t>
  </si>
  <si>
    <t>LF.C28</t>
  </si>
  <si>
    <t>เก้าอี้ Modular</t>
  </si>
  <si>
    <t>ห้องเตรียมอาหาร 1</t>
  </si>
  <si>
    <t>รวมราคางานครุภัณฑ์ชั้นล่าง</t>
  </si>
  <si>
    <t>ห้องประชุม 1</t>
  </si>
  <si>
    <t>LF.C06</t>
  </si>
  <si>
    <t>เก้าอี้ประชุม 1</t>
  </si>
  <si>
    <t xml:space="preserve">สำนักงาน 2 </t>
  </si>
  <si>
    <t>ห้องผู้อำนวยการฝ่าย 5</t>
  </si>
  <si>
    <t>รวมราคางานครุภัณฑ์ชั้นลอย</t>
  </si>
  <si>
    <t>สำนักงาน 3</t>
  </si>
  <si>
    <t>Dia70 x H75</t>
  </si>
  <si>
    <t>LF.T09</t>
  </si>
  <si>
    <t>โต๊ะประชุมทรงกลม 2</t>
  </si>
  <si>
    <t>Dia160 x H75</t>
  </si>
  <si>
    <t>LF.C10</t>
  </si>
  <si>
    <t>เก้าอี้ประชุม 4</t>
  </si>
  <si>
    <t>LF.R02</t>
  </si>
  <si>
    <t>240WX40DX90H</t>
  </si>
  <si>
    <t>LF.R03</t>
  </si>
  <si>
    <t>120WX40DX90H</t>
  </si>
  <si>
    <t>LF.R03.1</t>
  </si>
  <si>
    <t>ชุดปิดเสา</t>
  </si>
  <si>
    <t>80WX40DX90H</t>
  </si>
  <si>
    <t>LF.SC02</t>
  </si>
  <si>
    <t>Screen ไม้หุ้มผ้า</t>
  </si>
  <si>
    <t>120WX87.5H</t>
  </si>
  <si>
    <t>LF.SC03</t>
  </si>
  <si>
    <t>40WX87.5H</t>
  </si>
  <si>
    <t>LF.SC04</t>
  </si>
  <si>
    <t>20WX87.5H</t>
  </si>
  <si>
    <t>ห้องผู้อำนวยการฝ่าย 2 ห้อง</t>
  </si>
  <si>
    <t>สำนักงานฝ่ายตรวจสอบภายใน</t>
  </si>
  <si>
    <t>160W /120W X 750DX74.5H</t>
  </si>
  <si>
    <t>ห้องผู้อำนวยการฝ่ายตรวจสอบภายใน</t>
  </si>
  <si>
    <t>ห้องประชุม 2</t>
  </si>
  <si>
    <t>LF.C07</t>
  </si>
  <si>
    <t>เก้าอี้ประชุม 2</t>
  </si>
  <si>
    <t>โถงพักรอหน้าห้องประชุมและโถงทางเดิน</t>
  </si>
  <si>
    <t>LF.T12.1</t>
  </si>
  <si>
    <t>โต๊ะกาแฟ ทรงกลม (L)</t>
  </si>
  <si>
    <t>Dia70 x H40</t>
  </si>
  <si>
    <t>LF.T12.2</t>
  </si>
  <si>
    <t>โต๊ะกาแฟ ทรงกลม (S)</t>
  </si>
  <si>
    <t>Dia45 x H60</t>
  </si>
  <si>
    <t xml:space="preserve">LF.C.11 </t>
  </si>
  <si>
    <t>โซฟาเบาะผ้ามีพนักพิง</t>
  </si>
  <si>
    <t>LF.C.12</t>
  </si>
  <si>
    <t>เก้าอี้รับรอง</t>
  </si>
  <si>
    <t>LF.C.29</t>
  </si>
  <si>
    <t>สตูลโซฟาทรงสามเหลี่ยม</t>
  </si>
  <si>
    <t>ห้องประชุม 3</t>
  </si>
  <si>
    <t>LF.T11</t>
  </si>
  <si>
    <t>โต๊ะประชุม 1</t>
  </si>
  <si>
    <t>480W X 160D X 74.5H</t>
  </si>
  <si>
    <t>ห้องประชุม 4</t>
  </si>
  <si>
    <t>LF.T10</t>
  </si>
  <si>
    <t>โต๊ะประชุมทรงกลม 3</t>
  </si>
  <si>
    <t>Dia200 X 74.5H</t>
  </si>
  <si>
    <t>ห้องประชุม 5</t>
  </si>
  <si>
    <t>สำนักงาน 4</t>
  </si>
  <si>
    <t>LF.T05</t>
  </si>
  <si>
    <t>โต๊ะสำนักงาน แบบที่ 5</t>
  </si>
  <si>
    <t>160W X 75DX74.5H</t>
  </si>
  <si>
    <t>LF.R03.2</t>
  </si>
  <si>
    <t>71.5WX40DX90H</t>
  </si>
  <si>
    <t>LF.R03.3</t>
  </si>
  <si>
    <t>8.5WX15DX90H</t>
  </si>
  <si>
    <t>ห้องผู้อำนวยการฝ่าย 4 ห้อง</t>
  </si>
  <si>
    <t>LF.T13</t>
  </si>
  <si>
    <t>โต๊ะทำงานคอมพิวเตอร์ 1</t>
  </si>
  <si>
    <t>120W X 75D X 74.5H</t>
  </si>
  <si>
    <t>ห้องเตรียมอาหาร 3</t>
  </si>
  <si>
    <t>LF.E02</t>
  </si>
  <si>
    <t>ความจุไม่น้อยกว่า 9 คิว</t>
  </si>
  <si>
    <t>รวมราคางานครุภัณฑ์ชั้น 2</t>
  </si>
  <si>
    <t>สำนักงาน 5</t>
  </si>
  <si>
    <t xml:space="preserve">                                                           </t>
  </si>
  <si>
    <t>LF.C30.1</t>
  </si>
  <si>
    <t>ที่นั่งทรงก้อนหิน (L)</t>
  </si>
  <si>
    <t>80W x 160L x 36H</t>
  </si>
  <si>
    <t>LF.C30.2</t>
  </si>
  <si>
    <t>ที่นั่งทรงก้อนหิน (M)</t>
  </si>
  <si>
    <t>75W x 85L x 36H</t>
  </si>
  <si>
    <t>ห้องผู้อำนวยการฝ่าย 5 ห้อง</t>
  </si>
  <si>
    <t>โถงทางเดิน</t>
  </si>
  <si>
    <t>ห้องประชุม 6</t>
  </si>
  <si>
    <t>LF.C.18</t>
  </si>
  <si>
    <t>เก้าอี้ประชุม 7</t>
  </si>
  <si>
    <t>LF.C.19</t>
  </si>
  <si>
    <t>เก้าอี้ประชุม 8</t>
  </si>
  <si>
    <t>ห้องเตรียมประชุม</t>
  </si>
  <si>
    <t>LF.T14</t>
  </si>
  <si>
    <t>โต๊ะทำงานคอมพิวเตอร์ 2</t>
  </si>
  <si>
    <t>160W X 75D X 74.5H</t>
  </si>
  <si>
    <t>ห้องพยาบาล</t>
  </si>
  <si>
    <t>LF.M01</t>
  </si>
  <si>
    <t>เตียงพยาบาล</t>
  </si>
  <si>
    <t>210W x 92D x 70H</t>
  </si>
  <si>
    <t>สำนักงาน 6</t>
  </si>
  <si>
    <t>ห้องผู้ช่วยผู้อำนวยการ 4 ห้อง</t>
  </si>
  <si>
    <t>ห้องรับรอง</t>
  </si>
  <si>
    <t>LF.T16</t>
  </si>
  <si>
    <t>โต๊ะประชุม 2</t>
  </si>
  <si>
    <t>LF.C14</t>
  </si>
  <si>
    <t>เก้าอี้สำนักงาน 5</t>
  </si>
  <si>
    <t>ห้องรองผู้อำนวยการ 3 ห้อง</t>
  </si>
  <si>
    <t>LF.T03</t>
  </si>
  <si>
    <t>โต๊ะสำนักงาน แบบที่ 3</t>
  </si>
  <si>
    <t>LF.T15</t>
  </si>
  <si>
    <t>โต๊ะประชุมทรงกลม 4</t>
  </si>
  <si>
    <t>LF.C13</t>
  </si>
  <si>
    <t>เก้าอี้สำนักงาน 4</t>
  </si>
  <si>
    <t>LF.C15</t>
  </si>
  <si>
    <t>เก้าอี้ประชุม 5</t>
  </si>
  <si>
    <t>LF.R06</t>
  </si>
  <si>
    <t>ห้องที่ปรึกษา</t>
  </si>
  <si>
    <t>ห้องประธาน</t>
  </si>
  <si>
    <t>LF.T04</t>
  </si>
  <si>
    <t>โต๊ะสำนักงาน แบบที่ 4</t>
  </si>
  <si>
    <t>LF.C16</t>
  </si>
  <si>
    <t>เก้าอี้สำนักงาน 6</t>
  </si>
  <si>
    <t>LF.C18</t>
  </si>
  <si>
    <t>ห้องผู้อำนวยการ</t>
  </si>
  <si>
    <t>LF.T17</t>
  </si>
  <si>
    <t>โต๊ะประชุมทรงกลม 5</t>
  </si>
  <si>
    <t>Dia150 x H75</t>
  </si>
  <si>
    <t>LF.C17</t>
  </si>
  <si>
    <t>เก้าอี้ประชุม 6</t>
  </si>
  <si>
    <t>รวมราคางานครุภัณฑ์ชั้น 3</t>
  </si>
  <si>
    <t>ห้องสมุดและห้องพักผ่อน</t>
  </si>
  <si>
    <t>LF.T19</t>
  </si>
  <si>
    <t>โต๊ะทำกิจกรรมกลุ่ม</t>
  </si>
  <si>
    <t>300W X 100D X 73H</t>
  </si>
  <si>
    <t>LF.T20</t>
  </si>
  <si>
    <t>โต๊ะข้าง</t>
  </si>
  <si>
    <t>Dia600 x H35</t>
  </si>
  <si>
    <t>LF.C21</t>
  </si>
  <si>
    <t>เก้าอี้ไม้ทำกิจกรรมกลุ่ม</t>
  </si>
  <si>
    <t>LF.C22</t>
  </si>
  <si>
    <t>ม้านั่ง 1</t>
  </si>
  <si>
    <t>LF.C23</t>
  </si>
  <si>
    <t>เก้าอี้แถว</t>
  </si>
  <si>
    <t>300W X 380D X 44H</t>
  </si>
  <si>
    <t>LF.C24</t>
  </si>
  <si>
    <t>เก้าอี้เล้านจ์ 1</t>
  </si>
  <si>
    <t>LF.C25</t>
  </si>
  <si>
    <t>เก้าอี้เล้านจ์ 2</t>
  </si>
  <si>
    <t>LF.C26</t>
  </si>
  <si>
    <t>เก้าอี้เล้านจ์ 3</t>
  </si>
  <si>
    <t>LF.C27</t>
  </si>
  <si>
    <t>ม้านั่ง 2</t>
  </si>
  <si>
    <t>LF.E03</t>
  </si>
  <si>
    <t xml:space="preserve">ตู้เย็น 2 ประตู (side by side) </t>
  </si>
  <si>
    <t>ความจุไม่น้อยกว่า 17 คิว</t>
  </si>
  <si>
    <t>ห้องเอกสารลับ</t>
  </si>
  <si>
    <t>LF.R08</t>
  </si>
  <si>
    <t>ตู้เก็บเอกสารรางเลื่อน</t>
  </si>
  <si>
    <t>ห้องเอกสารกฎหมาย</t>
  </si>
  <si>
    <t>รวมราคางานครุภัณฑ์ชั้นดาดฟ้า</t>
  </si>
  <si>
    <t>CT-01</t>
  </si>
  <si>
    <t>ม่านม้วนกรองแสง 3% ระบบออโต้</t>
  </si>
  <si>
    <t>size 1.90 x 5.85 m.</t>
  </si>
  <si>
    <t>รีโมทควบคุม 16 แชแนล</t>
  </si>
  <si>
    <t>CT-02</t>
  </si>
  <si>
    <t>ม่านม้วนกรองแสง 3% ระบบโซ่ดึง</t>
  </si>
  <si>
    <t>size 2.80 x 2.80 m</t>
  </si>
  <si>
    <t>CT-03</t>
  </si>
  <si>
    <t>size 1.80 x 2.80 m</t>
  </si>
  <si>
    <t>CT-04</t>
  </si>
  <si>
    <t>size 0.90 x 2.80 m</t>
  </si>
  <si>
    <t>CT-05</t>
  </si>
  <si>
    <t>size 1.95 x 1.60 m</t>
  </si>
  <si>
    <t>CT-06</t>
  </si>
  <si>
    <t>size 2.14 x 1.60 m</t>
  </si>
  <si>
    <t>CT-07</t>
  </si>
  <si>
    <t>size 1.90 x 1.60 m</t>
  </si>
  <si>
    <t>CT-08</t>
  </si>
  <si>
    <t>size 1.20 x 1.60 m</t>
  </si>
  <si>
    <t>CT-09</t>
  </si>
  <si>
    <t>size 2.05 x 1.60 m</t>
  </si>
  <si>
    <t>CT-10</t>
  </si>
  <si>
    <t>size 3.00 x 3.65 m</t>
  </si>
  <si>
    <t>CT-11</t>
  </si>
  <si>
    <t>size 3.10 x 3.65 m</t>
  </si>
  <si>
    <t>CT-12</t>
  </si>
  <si>
    <t>size 1.60 x 1.60 m</t>
  </si>
  <si>
    <t>CT-13</t>
  </si>
  <si>
    <t>size 1.00 x 1.60 m</t>
  </si>
  <si>
    <t>CT-14</t>
  </si>
  <si>
    <t>size 1.10 x 1.60 m</t>
  </si>
  <si>
    <t>CT-15</t>
  </si>
  <si>
    <t>size 3.00 x 3.55 m</t>
  </si>
  <si>
    <t>CT-16</t>
  </si>
  <si>
    <t>size 3.10 x 3.55 m</t>
  </si>
  <si>
    <t>CT-17</t>
  </si>
  <si>
    <t>ม่านจีบ ผ้ากันแสง</t>
  </si>
  <si>
    <t xml:space="preserve">size 5.60 x 2.45 m. </t>
  </si>
  <si>
    <t>CT-18</t>
  </si>
  <si>
    <t xml:space="preserve">size 5.10 x 2.45 m. </t>
  </si>
  <si>
    <t>CT-19</t>
  </si>
  <si>
    <t xml:space="preserve">size 1.70 x 1.60 m. </t>
  </si>
  <si>
    <t>CT-20</t>
  </si>
  <si>
    <t xml:space="preserve">size 1.05 x 1.60 m. </t>
  </si>
  <si>
    <t>รวมราคางานครุภัณฑ์ผ้าม่าน</t>
  </si>
  <si>
    <t>ป้ายประเภทติดผนัง</t>
  </si>
  <si>
    <t>OBJ x4x' ติดผนังบอกทาง Zinc</t>
  </si>
  <si>
    <t>OBJ x6x" ติดผนัง ชื่อห้อง Zinc</t>
  </si>
  <si>
    <t>OBJ x7x ห้องน้ำ (ป้ายแยก)</t>
  </si>
  <si>
    <t>OBJ x7x' ห้องน้ำ (ป้ายรวม)</t>
  </si>
  <si>
    <t xml:space="preserve">ป้ายบอกชั้น หน้าโถงลิฟท์ </t>
  </si>
  <si>
    <t>ป้ายบอกชั้นบันไดหนีไฟ</t>
  </si>
  <si>
    <t>ป้ายประเภทชื่อพิเศษ</t>
  </si>
  <si>
    <t>LG x1x ชื่อพิเศษโลหะยกขอบ ไฟออกหลัง ไฟ</t>
  </si>
  <si>
    <t>LG x5x ป้ายOKMD อักษรลอย</t>
  </si>
  <si>
    <t>รวมราคางานครุภัณฑ์ป้ายสัญลักษณ์</t>
  </si>
  <si>
    <t>งานครุภัณฑ์ระบบภาพและเสียง (RC2)</t>
  </si>
  <si>
    <t>สรุปราคาค่าก่อสร้างงานครุภัณฑ์ระบบภาพและเสียง</t>
  </si>
  <si>
    <t>งานครุภัณฑ์ระบบภาพและเสียงโถงต้อนรับ</t>
  </si>
  <si>
    <t>งานครุภัณฑ์ระบบภาพและเสียง Workshop 1</t>
  </si>
  <si>
    <t>งานครุภัณฑ์ระบบภาพและเสียง Workshop 2</t>
  </si>
  <si>
    <t>งานครุภัณฑ์ระบบภาพและเสียง ห้องประชุม 1</t>
  </si>
  <si>
    <t>งานครุภัณฑ์ระบบภาพและเสียง ห้องประชุม 2</t>
  </si>
  <si>
    <t>งานครุภัณฑ์ระบบภาพและเสียง โต๊ะประชุมสำนักงาน 3</t>
  </si>
  <si>
    <t>งานครุภัณฑ์ระบบภาพและเสียง โต๊ะประชุมสำนักงาน 4</t>
  </si>
  <si>
    <t>งานครุภัณฑ์ระบบภาพและเสียง ห้องประชุม 3</t>
  </si>
  <si>
    <t>งานครุภัณฑ์ระบบภาพและเสียง ห้องประชุม 4</t>
  </si>
  <si>
    <t>งานครุภัณฑ์ระบบภาพและเสียง ห้องประชุม 5</t>
  </si>
  <si>
    <t>งานครุภัณฑ์ระบบภาพและเสียง ห้องประชุม 6</t>
  </si>
  <si>
    <t>งานครุภัณฑ์ระบบภาพและเสียง โต๊ะประชุมสำนักงาน 5</t>
  </si>
  <si>
    <t>งานครุภัณฑ์ระบบภาพและเสียง ห้องสมุดและพักผ่อน</t>
  </si>
  <si>
    <t xml:space="preserve">รวมราคางานครุภัณฑ์งานครุภัณฑ์ระบบภาพและเสียง </t>
  </si>
  <si>
    <t xml:space="preserve">Audio system </t>
  </si>
  <si>
    <t xml:space="preserve">ลำโพงชนิดติดเพดาน ขนาด 6.5 นิ้ว </t>
  </si>
  <si>
    <t>ตัว</t>
  </si>
  <si>
    <t>เครื่องขยายสัญญาณเสียง แบบที่ 1</t>
  </si>
  <si>
    <t>เครื่อง</t>
  </si>
  <si>
    <t>เครื่องผสมสัญญาณเสียง ขนาด 8 ช่อง</t>
  </si>
  <si>
    <t>Audio Interface for Music and Streaming</t>
  </si>
  <si>
    <t>Computer All in one</t>
  </si>
  <si>
    <t>ตู้เก็บอุปกรณ์ 15</t>
  </si>
  <si>
    <t>ตู้</t>
  </si>
  <si>
    <t>Video system</t>
  </si>
  <si>
    <t>LED wall 1.25 p ขนาด  5250 x 1450 mm</t>
  </si>
  <si>
    <t>จอ</t>
  </si>
  <si>
    <t>ค่าแรงในการติดตั้งอุปกรณ์ พร้อมเข้าระบบและทดสอบระบบ</t>
  </si>
  <si>
    <t>รวมราคางานครุภัณฑ์ระบบภาพและเสียงโถงต้อนรับ</t>
  </si>
  <si>
    <t>เครื่องประมวลผลสัญญาณเสียง ขนาด 4 ช่อง</t>
  </si>
  <si>
    <t>ลำโพงคอลั่ม ขนาด 6.5 นิ้ว</t>
  </si>
  <si>
    <t>เครื่องขยายสัญญาณเสียง 2x120 วัตต์</t>
  </si>
  <si>
    <t>ไมโครโฟนไร้สายแบบมือถือ</t>
  </si>
  <si>
    <t>ตู้เก็บอุปกรณ์ 15U</t>
  </si>
  <si>
    <t>จอแสดงผลภาพ ขนาด 86 นิ้ว แบบสัมผัส</t>
  </si>
  <si>
    <t>ชุดแปลงสัญญาณภาพ HDBaseT</t>
  </si>
  <si>
    <t>รวมราคางานครุภัณฑ์ระบบภาพและเสียง Workshop 1</t>
  </si>
  <si>
    <t>เครื่องขยายสัญญาณเสียง 2 x 120 วัตต์</t>
  </si>
  <si>
    <t>ตู้เก็บอุปกรณ์</t>
  </si>
  <si>
    <t>รวมราคางานครุภัณฑ์ระบบภาพและเสียง Workshop 2</t>
  </si>
  <si>
    <t>เครื่องประมวลผลสัญญาณเสียง ขนาด 8 ช่อง</t>
  </si>
  <si>
    <t>ลำโพงสองทาง ขนาด 6.5 นิ้ว</t>
  </si>
  <si>
    <t>ไมโครโฟนชุดประชุม สำหรับประธาน</t>
  </si>
  <si>
    <t>ไมโครโฟนชุดประชุม สำหรับผู้ร่วมประชุม</t>
  </si>
  <si>
    <t>เครื่องควบคุมและจ่ายไฟชุดประชุม</t>
  </si>
  <si>
    <t>ตู้เก็บอุปกรณ์ ขนาด 15U</t>
  </si>
  <si>
    <t>เครื่องสลับสัญญาณภาพ แบบที่ 1</t>
  </si>
  <si>
    <t>จอแสดงผลภาพขนาด 75 นิ้ว</t>
  </si>
  <si>
    <t>แผงรับ-ส่งสัญญาณ HDMI + USB ผ่าน HDBaseT</t>
  </si>
  <si>
    <t>เครื่องแปลงสัญญาณภาพ HDMI ผ่าน USB สำหรับ Conference</t>
  </si>
  <si>
    <t>กล้องจับภาพผู้ประชุม</t>
  </si>
  <si>
    <t>รวมราคางานครุภัณฑ์ระบบภาพและเสียง ห้องประชุม 1</t>
  </si>
  <si>
    <t>รวมราคางานครุภัณฑ์ระบบภาพและเสียง ห้องประชุม 2</t>
  </si>
  <si>
    <t>ระบบประชุมทางไกล</t>
  </si>
  <si>
    <t>จอแสดงผลภาพขนาด 65 นิ้ว</t>
  </si>
  <si>
    <t>ชุดกล้องพร้อมลำโพงสำหรับประชุมทางไกล</t>
  </si>
  <si>
    <t>รวมราคางานครุภัณฑ์ระบบภาพและเสียง โต๊ะประชุมสำนักงาน 3</t>
  </si>
  <si>
    <t>รวมราคางานครุภัณฑ์ระบบภาพและเสียง โต๊ะประชุมสำนักงาน 4</t>
  </si>
  <si>
    <t>ไมโครโฟนสำหรับการประชุมทางไกล</t>
  </si>
  <si>
    <t>รวมราคางานครุภัณฑ์ระบบภาพและเสียง ห้องประชุม 3</t>
  </si>
  <si>
    <t>รวมราคางานครุภัณฑ์ระบบภาพและเสียง ห้องประชุม 4</t>
  </si>
  <si>
    <t>รวมราคางานครุภัณฑ์ระบบภาพและเสียง ห้องประชุม 5</t>
  </si>
  <si>
    <t>เครื่องขยายสัญญาณเสียง แบบที่ 2</t>
  </si>
  <si>
    <t>เครื่องผสมสัญญาณเสียงแบบดิจิตอล ขนาด 8 ช่อง</t>
  </si>
  <si>
    <t>ตู้เก็บอุปกรณ์ ขนาด  27U</t>
  </si>
  <si>
    <t>เครื่องสลับสัญญาณภาพ แบบที่ 2</t>
  </si>
  <si>
    <t>LED WALL P 1.56 COB ขนาด 3000 x 1650 mm</t>
  </si>
  <si>
    <t>กล้องจับภาพผู้ร่วมประชุม</t>
  </si>
  <si>
    <t>ชุดควบคุมกล้อง</t>
  </si>
  <si>
    <t>เครื่องสลับสัญญาณกล้องจับภาพผู้ร่วมประชุม</t>
  </si>
  <si>
    <t>Control system</t>
  </si>
  <si>
    <t>เครื่องควบคุมอุปกรณ์</t>
  </si>
  <si>
    <t>ชุดควบคุมแบบไร้สาย</t>
  </si>
  <si>
    <t>เครื่องกระจายสัญญาณ Network แบบไร้สาย</t>
  </si>
  <si>
    <t>ค่าแรงในการโปรแกรม พร้อมเข้าระบบและทดสอบระบบ</t>
  </si>
  <si>
    <t>รวมราคางานครุภัณฑ์ระบบภาพและเสียง ห้องประชุม 6</t>
  </si>
  <si>
    <t>รวมราคางานครุภัณฑ์ระบบภาพและเสียง โต๊ะประชุมสำนักงาน 5</t>
  </si>
  <si>
    <t>ชุดลำโพง Colume array พร้อม Sub woofer (Mobile)</t>
  </si>
  <si>
    <t>ชุดจัดเก็บลำโพงแบบเคลื่อนย้าย</t>
  </si>
  <si>
    <t>ไมโครโฟนไร้สายแบบเกี่ยวหู</t>
  </si>
  <si>
    <t>ตู้เก็บอุปกรณ์แบบเคลื่อนย้าย</t>
  </si>
  <si>
    <t>จอแสดงผลภาพขนาด 75 นิ้ว พร้อมล้อเลื่อน</t>
  </si>
  <si>
    <t>รวมราคางานครุภัณฑ์ระบบภาพและเสียง ห้องสมุดและพักผ่อน</t>
  </si>
  <si>
    <t xml:space="preserve">ครุภัณฑ์งานภูมิสถาปัตยกรรมและงานต้นไม้  (RC 2) </t>
  </si>
  <si>
    <t>สรุปราคาค่าก่อสร้างครุภัณฑ์งานภูมิสถาปัตยกรรมและงานต้นไม้</t>
  </si>
  <si>
    <t>หมวดงาน SOFTSCAPE</t>
  </si>
  <si>
    <t>หมวดครุภัณฑ์งานภูมิสถาปัตยกรรมและงานต้นไม้</t>
  </si>
  <si>
    <t>งานกระถาง</t>
  </si>
  <si>
    <t>งานกระถางต้นไม้ภายนอกอาคาร</t>
  </si>
  <si>
    <t>(ก01)ชุดกระถางพร้อมติดตั้งล้อเลื่อน ขนาด 500x1250x400 มม.</t>
  </si>
  <si>
    <t>งานเฟอร์นิเจอร์</t>
  </si>
  <si>
    <t xml:space="preserve"> (ข01)ม้านั่งโครงเหล็กพร้อมติดตั้งล้อเลื่อน ขนาด 500x1250x400 มม.</t>
  </si>
  <si>
    <t>ค้ำยันเหล็ก (รวมงานฐานราก)</t>
  </si>
  <si>
    <t>***ใช้ค้ำยัน แคนา สูง 5.00 ม. ทรงพุ่ม 3.00ม. ⌀ ลำต้น 5 นิ้ว 16 ต้น</t>
  </si>
  <si>
    <t>งานฝาตะแกรงเหล็ก</t>
  </si>
  <si>
    <t>ตะแกรงเหล็กคลุมรากต้นไม้ 2 ขนาด 1000x1000 มม.</t>
  </si>
  <si>
    <t>งานเบ็ดเตล็ด</t>
  </si>
  <si>
    <t>รั้วเหล็กล้อมงานระบบ</t>
  </si>
  <si>
    <t>(จ01)ช่องจอดรถจักรยาน</t>
  </si>
  <si>
    <t>รวมราคาหมวดงาน HARDSCAPE</t>
  </si>
  <si>
    <t>งานต้นไม้ใหญ่</t>
  </si>
  <si>
    <t>อินจัน สูง 7.00 ม. ทรงพุ่ม 4.00 ม. ⌀ ลำต้น 16 นิ้ว  (ขนาดไม่ต่ำกว่าระบุ)</t>
  </si>
  <si>
    <t>แคนา สูง 5.00 ม. ทรงพุ่ม 3.00ม. ⌀ ลำต้น 5 นิ้ว  (ขนาดไม่ต่ำกว่าระบุ)(ค้ำยันเหล็ก)</t>
  </si>
  <si>
    <t>**ราคางานต้นไม้ใหญ่นี้ ยังไม่รวมราคาค้ำยันเหล็ก</t>
  </si>
  <si>
    <t>งานไม้พุ่มและไม้คุลมดิน</t>
  </si>
  <si>
    <t>โมกลากอ สูง 3.00 ม. ทรงพุ่ม 2..00 ม.  (ขนาดไม่ต่ำกว่าระบุ)</t>
  </si>
  <si>
    <t>พวงทองต้น สูง 0.30 ม. ทรงพุ่ม 0.25 ม. ถุง 8 นิ้ว (ขนาดไม่ต่ำกว่าระบุ)</t>
  </si>
  <si>
    <t>ขาไก่ดำ สูง 0.40 ม. ทรงพุ่ม 0.30 ม. ถุง 8 นิ้ว (ขนาดไม่ต่ำกว่าระบุ)</t>
  </si>
  <si>
    <t>เฟินกนกนารี สูง 0.15 ม. ทรงพุ่ม 0.20 ม. กระถาง 4 นิ้ว (ขนาดไม่ต่ำกว่าระบุ)</t>
  </si>
  <si>
    <t>หญ้ามาเลเซีย</t>
  </si>
  <si>
    <t>งานไม้กระถางภายนอกอาคาร</t>
  </si>
  <si>
    <t>วัสดุอุปกรณ์</t>
  </si>
  <si>
    <t>ค้ำยันไม้สน หรือไม้ยูคาลิปตัส ขนาด 3 นิ้ว (ขนาดไม่ต่ำกว่าระบุ)</t>
  </si>
  <si>
    <t>***ใช้ค้ำยัน อินจัน สูง 7.00 ม. ทรงพุ่ม 4.00 ม. ⌀ ลำต้น 16 นิ้ว 1ต้น</t>
  </si>
  <si>
    <t>ไม้ค้ำยันแบบ 4 ขา</t>
  </si>
  <si>
    <t>***ใช้ค้ำยันโมกลากอ สูง 3.00ม. ทรงพุ่ม 2.00 ม.  8 ต้น</t>
  </si>
  <si>
    <t>GEOTEXTILE</t>
  </si>
  <si>
    <t>ดินผสมปลูก</t>
  </si>
  <si>
    <t>ลบ.ม</t>
  </si>
  <si>
    <t>ดินผสมปลูกสำหรับงานไม้ใหญ่บน GRATING</t>
  </si>
  <si>
    <t>ทรายสำหรับปูหญ้า หนา 100 มม.</t>
  </si>
  <si>
    <t>หินกรวดโรยกระถาง</t>
  </si>
  <si>
    <t>รวมราคาหมวดงาน SOFTSCAPE</t>
  </si>
  <si>
    <t>ส่วนที่ 3 หมวดค่าใช้จ่ายพิเศษตามข้อกำหนด</t>
  </si>
  <si>
    <t>งานรื้อถอนบางส่วนของอาคาร 7</t>
  </si>
  <si>
    <t>รื้อถอนโครงสร้าง</t>
  </si>
  <si>
    <t>รื้อขนไป</t>
  </si>
  <si>
    <t>งานรื้อถอนผิวพื้นของอาคารเดิม</t>
  </si>
  <si>
    <t>งานรื้อถอนฝ้าเพดานของอาคารเดิม</t>
  </si>
  <si>
    <t>รื้อกองเก็บ</t>
  </si>
  <si>
    <t>งานรื้อถอนผนังภายในเดิม</t>
  </si>
  <si>
    <t>งานรื้อถอนบันไดไม้</t>
  </si>
  <si>
    <t>งานรื้อถอนหลังคา</t>
  </si>
  <si>
    <t>งานรื้อถอนประตู-หน้าต่างไม้</t>
  </si>
  <si>
    <t>ค่าจัดทำรั้วชั่วคราว</t>
  </si>
  <si>
    <t>งานตาข่ายกันวัสดุตกหล่น กันไฟลาม กันฝุ่น Mesh Sheet รอบสถานที่ก่อสร้าง</t>
  </si>
  <si>
    <t xml:space="preserve">ค่าขนย้ายดิน พร้อมเกลี่ยหน้าดินให้เรียบร้อย ภายในระยะทางไม่น้อยกว่า 25 กิโลเมตร </t>
  </si>
  <si>
    <t>ในพื้นที่กรุงเทพและปริมณฑล</t>
  </si>
  <si>
    <t>ระบบค้ำยัน Platform และ King Post</t>
  </si>
  <si>
    <t>สืบราคาเพิ่ม</t>
  </si>
  <si>
    <t>รวมราคาค่าใช้จ่ายพิเศษตามข้อกำหนด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</si>
</sst>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3" formatCode="_-* #,##0.00_-;\-* #,##0.00_-;_-* &quot;-&quot;??_-;_-@_-"/>
    <numFmt numFmtId="187" formatCode="_(* #,##0_);_(* \(#,##0\);_(* &quot;-&quot;_);_(@_)"/>
    <numFmt numFmtId="188" formatCode="_(* #,##0.00_);_(* \(#,##0.00\);_(* &quot;-&quot;??_);_(@_)"/>
    <numFmt numFmtId="189" formatCode="_-* #,##0_-;\-* #,##0_-;_-* &quot;-&quot;??_-;_-@_-"/>
    <numFmt numFmtId="190" formatCode="[$-107041E]d\ mmm\ yy;@"/>
    <numFmt numFmtId="191" formatCode="_(* #,##0_);_(* \(#,##0\);_(* &quot;-&quot;??_);_(@_)"/>
    <numFmt numFmtId="192" formatCode="_-* #,##0.0000_-;\-* #,##0.0000_-;_-* &quot;-&quot;??_-;_-@_-"/>
    <numFmt numFmtId="193" formatCode="0.0"/>
    <numFmt numFmtId="194" formatCode="_-* #,##0.00_-;\-* #,##0.00_-;_-* \-??_-;_-@_-"/>
    <numFmt numFmtId="195" formatCode="_-* #,##0.000000000_-;\-* #,##0.000000000_-;_-* &quot;-&quot;??_-;_-@_-"/>
    <numFmt numFmtId="196" formatCode="0.000"/>
    <numFmt numFmtId="197" formatCode="[$-1010409]d\ mmm\ yy;@"/>
    <numFmt numFmtId="198" formatCode="B1d\-mmm\-yy"/>
    <numFmt numFmtId="199" formatCode="_-* #,##0.0_-;\-* #,##0.0_-;_-* &quot;-&quot;??_-;_-@_-"/>
    <numFmt numFmtId="200" formatCode="0.000000000"/>
  </numFmts>
  <fonts count="28">
    <font>
      <sz val="16"/>
      <name val="DilleniaUPC"/>
      <family val="1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4"/>
      <name val="Cordia New"/>
      <family val="2"/>
    </font>
    <font>
      <sz val="15"/>
      <name val="DilleniaUPC"/>
      <family val="1"/>
      <charset val="222"/>
    </font>
    <font>
      <sz val="11"/>
      <color theme="1"/>
      <name val="Tahoma"/>
      <family val="2"/>
      <charset val="222"/>
      <scheme val="minor"/>
    </font>
    <font>
      <sz val="14"/>
      <name val="AngsanaUPC"/>
      <family val="1"/>
      <charset val="222"/>
    </font>
    <font>
      <sz val="16"/>
      <name val="DilleniaUPC"/>
      <family val="1"/>
    </font>
    <font>
      <sz val="16"/>
      <name val="DilleniaUPC"/>
      <family val="1"/>
      <charset val="222"/>
    </font>
    <font>
      <sz val="14"/>
      <name val="AngsanaUPC"/>
      <family val="1"/>
    </font>
    <font>
      <sz val="8"/>
      <name val="DilleniaUPC"/>
      <family val="1"/>
    </font>
    <font>
      <sz val="14"/>
      <name val="CordiaUPC"/>
      <family val="2"/>
    </font>
    <font>
      <sz val="11"/>
      <color theme="1"/>
      <name val="Tahoma"/>
      <family val="2"/>
      <charset val="222"/>
    </font>
    <font>
      <sz val="15"/>
      <name val="DilleniaUPC"/>
      <family val="1"/>
    </font>
    <font>
      <sz val="16"/>
      <name val="DilleniaUPC"/>
      <family val="1"/>
    </font>
    <font>
      <sz val="18"/>
      <name val="Angsana New"/>
      <family val="1"/>
    </font>
    <font>
      <b/>
      <sz val="18"/>
      <name val="Angsana New"/>
      <family val="1"/>
    </font>
    <font>
      <sz val="18"/>
      <color rgb="FFFF0000"/>
      <name val="Angsana New"/>
      <family val="1"/>
    </font>
    <font>
      <sz val="18"/>
      <color theme="0"/>
      <name val="Angsana New"/>
      <family val="1"/>
    </font>
    <font>
      <b/>
      <sz val="18"/>
      <color theme="0"/>
      <name val="Angsana New"/>
      <family val="1"/>
    </font>
    <font>
      <sz val="16"/>
      <name val="AngsanaUPC"/>
      <family val="1"/>
    </font>
    <font>
      <b/>
      <sz val="16"/>
      <name val="Angsana New"/>
      <family val="1"/>
    </font>
    <font>
      <sz val="16"/>
      <name val="Angsana New"/>
      <family val="1"/>
    </font>
    <font>
      <vertAlign val="superscript"/>
      <sz val="16"/>
      <name val="Angsana New"/>
      <family val="1"/>
    </font>
    <font>
      <sz val="16"/>
      <color rgb="FF0000FF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/>
      <bottom/>
      <diagonal/>
    </border>
  </borders>
  <cellStyleXfs count="53">
    <xf numFmtId="0" fontId="0" fillId="0" borderId="0"/>
    <xf numFmtId="43" fontId="8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43" fontId="3" fillId="0" borderId="0" applyFont="0" applyFill="0" applyBorder="0" applyAlignment="0" applyProtection="0"/>
    <xf numFmtId="0" fontId="5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9" fillId="0" borderId="0"/>
    <xf numFmtId="0" fontId="6" fillId="0" borderId="0"/>
    <xf numFmtId="189" fontId="2" fillId="0" borderId="0" applyFont="0" applyFill="0" applyBorder="0" applyAlignment="0" applyProtection="0"/>
    <xf numFmtId="0" fontId="8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0" fontId="3" fillId="0" borderId="0"/>
    <xf numFmtId="43" fontId="2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194" fontId="8" fillId="0" borderId="0" applyBorder="0" applyAlignment="0" applyProtection="0"/>
    <xf numFmtId="0" fontId="1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8" fillId="0" borderId="0" applyFont="0" applyFill="0" applyBorder="0" applyAlignment="0" applyProtection="0"/>
    <xf numFmtId="4" fontId="8" fillId="0" borderId="0" applyProtection="0"/>
    <xf numFmtId="9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/>
    <xf numFmtId="0" fontId="3" fillId="0" borderId="0"/>
    <xf numFmtId="0" fontId="3" fillId="0" borderId="0"/>
    <xf numFmtId="0" fontId="5" fillId="0" borderId="0"/>
    <xf numFmtId="43" fontId="3" fillId="0" borderId="0" applyFont="0" applyFill="0" applyBorder="0" applyAlignment="0" applyProtection="0"/>
    <xf numFmtId="0" fontId="3" fillId="0" borderId="0"/>
    <xf numFmtId="187" fontId="7" fillId="0" borderId="0" applyFont="0" applyFill="0" applyBorder="0" applyAlignment="0" applyProtection="0"/>
    <xf numFmtId="0" fontId="3" fillId="0" borderId="0"/>
    <xf numFmtId="0" fontId="14" fillId="0" borderId="0"/>
    <xf numFmtId="189" fontId="6" fillId="0" borderId="0" applyFont="0" applyFill="0" applyBorder="0" applyAlignment="0" applyProtection="0"/>
    <xf numFmtId="191" fontId="20" fillId="0" borderId="0" applyFont="0" applyFill="0" applyBorder="0" applyAlignment="0" applyProtection="0"/>
  </cellStyleXfs>
  <cellXfs count="1456">
    <xf numFmtId="0" fontId="0" fillId="0" borderId="0" xfId="0"/>
    <xf numFmtId="0" fontId="15" fillId="0" borderId="0" xfId="3" applyFont="1" applyAlignment="1">
      <alignment vertical="center"/>
    </xf>
    <xf numFmtId="0" fontId="15" fillId="0" borderId="0" xfId="3" applyFont="1" applyAlignment="1">
      <alignment horizontal="right" vertical="center"/>
    </xf>
    <xf numFmtId="0" fontId="16" fillId="0" borderId="0" xfId="3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5" fillId="0" borderId="1" xfId="3" applyFont="1" applyBorder="1" applyAlignment="1">
      <alignment vertical="center"/>
    </xf>
    <xf numFmtId="0" fontId="16" fillId="0" borderId="1" xfId="3" applyFont="1" applyBorder="1" applyAlignment="1">
      <alignment vertical="center"/>
    </xf>
    <xf numFmtId="0" fontId="16" fillId="0" borderId="0" xfId="2" applyFont="1" applyAlignment="1">
      <alignment vertical="center"/>
    </xf>
    <xf numFmtId="0" fontId="15" fillId="0" borderId="2" xfId="3" applyFont="1" applyBorder="1" applyAlignment="1">
      <alignment vertical="center"/>
    </xf>
    <xf numFmtId="0" fontId="16" fillId="0" borderId="2" xfId="3" applyFont="1" applyBorder="1" applyAlignment="1">
      <alignment vertical="center"/>
    </xf>
    <xf numFmtId="0" fontId="16" fillId="0" borderId="0" xfId="3" applyFont="1" applyAlignment="1">
      <alignment vertical="center"/>
    </xf>
    <xf numFmtId="49" fontId="15" fillId="0" borderId="2" xfId="3" applyNumberFormat="1" applyFont="1" applyBorder="1" applyAlignment="1">
      <alignment horizontal="right" vertical="center"/>
    </xf>
    <xf numFmtId="49" fontId="16" fillId="0" borderId="2" xfId="3" applyNumberFormat="1" applyFont="1" applyBorder="1" applyAlignment="1">
      <alignment vertical="center"/>
    </xf>
    <xf numFmtId="49" fontId="16" fillId="0" borderId="0" xfId="3" applyNumberFormat="1" applyFont="1" applyAlignment="1">
      <alignment horizontal="left" vertical="center"/>
    </xf>
    <xf numFmtId="0" fontId="16" fillId="0" borderId="7" xfId="3" applyFont="1" applyBorder="1" applyAlignment="1">
      <alignment horizontal="center" vertical="center"/>
    </xf>
    <xf numFmtId="0" fontId="16" fillId="2" borderId="7" xfId="3" applyFont="1" applyFill="1" applyBorder="1" applyAlignment="1">
      <alignment horizontal="center" vertical="center"/>
    </xf>
    <xf numFmtId="0" fontId="16" fillId="0" borderId="13" xfId="3" applyFont="1" applyBorder="1" applyAlignment="1">
      <alignment horizontal="center" vertical="center"/>
    </xf>
    <xf numFmtId="0" fontId="16" fillId="2" borderId="13" xfId="3" applyFont="1" applyFill="1" applyBorder="1" applyAlignment="1">
      <alignment horizontal="center" vertical="center"/>
    </xf>
    <xf numFmtId="0" fontId="15" fillId="0" borderId="17" xfId="3" applyFont="1" applyBorder="1" applyAlignment="1">
      <alignment horizontal="center" vertical="center"/>
    </xf>
    <xf numFmtId="192" fontId="15" fillId="0" borderId="17" xfId="3" applyNumberFormat="1" applyFont="1" applyBorder="1" applyAlignment="1">
      <alignment vertical="center"/>
    </xf>
    <xf numFmtId="0" fontId="15" fillId="0" borderId="17" xfId="3" applyFont="1" applyBorder="1" applyAlignment="1">
      <alignment vertical="center"/>
    </xf>
    <xf numFmtId="0" fontId="15" fillId="0" borderId="25" xfId="3" applyFont="1" applyBorder="1" applyAlignment="1">
      <alignment horizontal="center" vertical="center"/>
    </xf>
    <xf numFmtId="192" fontId="15" fillId="0" borderId="25" xfId="3" applyNumberFormat="1" applyFont="1" applyBorder="1" applyAlignment="1">
      <alignment vertical="center"/>
    </xf>
    <xf numFmtId="0" fontId="15" fillId="0" borderId="25" xfId="3" applyFont="1" applyBorder="1" applyAlignment="1">
      <alignment vertical="center"/>
    </xf>
    <xf numFmtId="43" fontId="15" fillId="0" borderId="25" xfId="1" applyFont="1" applyBorder="1" applyAlignment="1">
      <alignment vertical="center"/>
    </xf>
    <xf numFmtId="0" fontId="15" fillId="0" borderId="19" xfId="3" applyFont="1" applyBorder="1" applyAlignment="1">
      <alignment horizontal="center" vertical="center"/>
    </xf>
    <xf numFmtId="0" fontId="15" fillId="0" borderId="19" xfId="3" applyFont="1" applyBorder="1" applyAlignment="1">
      <alignment vertical="center"/>
    </xf>
    <xf numFmtId="192" fontId="15" fillId="0" borderId="19" xfId="3" applyNumberFormat="1" applyFont="1" applyBorder="1" applyAlignment="1">
      <alignment vertical="center"/>
    </xf>
    <xf numFmtId="43" fontId="15" fillId="0" borderId="19" xfId="3" applyNumberFormat="1" applyFont="1" applyBorder="1" applyAlignment="1">
      <alignment vertical="center"/>
    </xf>
    <xf numFmtId="0" fontId="15" fillId="0" borderId="23" xfId="3" applyFont="1" applyBorder="1" applyAlignment="1">
      <alignment horizontal="center" vertical="center"/>
    </xf>
    <xf numFmtId="192" fontId="15" fillId="0" borderId="23" xfId="3" applyNumberFormat="1" applyFont="1" applyBorder="1" applyAlignment="1">
      <alignment vertical="center"/>
    </xf>
    <xf numFmtId="192" fontId="15" fillId="0" borderId="3" xfId="1" applyNumberFormat="1" applyFont="1" applyFill="1" applyBorder="1" applyAlignment="1">
      <alignment vertical="center"/>
    </xf>
    <xf numFmtId="192" fontId="15" fillId="0" borderId="23" xfId="3" applyNumberFormat="1" applyFont="1" applyBorder="1" applyAlignment="1">
      <alignment horizontal="center" vertical="center"/>
    </xf>
    <xf numFmtId="43" fontId="15" fillId="0" borderId="23" xfId="3" applyNumberFormat="1" applyFont="1" applyBorder="1" applyAlignment="1">
      <alignment vertical="center"/>
    </xf>
    <xf numFmtId="0" fontId="15" fillId="0" borderId="23" xfId="3" applyFont="1" applyBorder="1" applyAlignment="1">
      <alignment vertical="center"/>
    </xf>
    <xf numFmtId="189" fontId="16" fillId="0" borderId="1" xfId="3" applyNumberFormat="1" applyFont="1" applyBorder="1" applyAlignment="1">
      <alignment horizontal="center" vertical="center"/>
    </xf>
    <xf numFmtId="189" fontId="15" fillId="0" borderId="2" xfId="3" applyNumberFormat="1" applyFont="1" applyBorder="1" applyAlignment="1">
      <alignment vertical="center"/>
    </xf>
    <xf numFmtId="189" fontId="15" fillId="0" borderId="3" xfId="3" applyNumberFormat="1" applyFont="1" applyBorder="1" applyAlignment="1">
      <alignment vertical="center"/>
    </xf>
    <xf numFmtId="0" fontId="18" fillId="0" borderId="0" xfId="3" applyFont="1" applyAlignment="1">
      <alignment vertical="center"/>
    </xf>
    <xf numFmtId="0" fontId="18" fillId="0" borderId="0" xfId="17" applyFont="1" applyAlignment="1">
      <alignment horizontal="left" vertical="center"/>
    </xf>
    <xf numFmtId="3" fontId="19" fillId="0" borderId="0" xfId="3" applyNumberFormat="1" applyFont="1" applyAlignment="1">
      <alignment horizontal="center" vertical="center"/>
    </xf>
    <xf numFmtId="0" fontId="15" fillId="0" borderId="0" xfId="17" applyFont="1" applyAlignment="1">
      <alignment horizontal="left" vertical="center"/>
    </xf>
    <xf numFmtId="3" fontId="1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left" vertical="center"/>
    </xf>
    <xf numFmtId="3" fontId="15" fillId="0" borderId="0" xfId="3" applyNumberFormat="1" applyFont="1" applyAlignment="1">
      <alignment horizontal="left" vertical="center"/>
    </xf>
    <xf numFmtId="43" fontId="16" fillId="0" borderId="0" xfId="3" applyNumberFormat="1" applyFont="1" applyAlignment="1">
      <alignment vertical="center"/>
    </xf>
    <xf numFmtId="192" fontId="15" fillId="0" borderId="16" xfId="3" applyNumberFormat="1" applyFont="1" applyBorder="1" applyAlignment="1">
      <alignment vertical="center"/>
    </xf>
    <xf numFmtId="192" fontId="16" fillId="0" borderId="28" xfId="3" applyNumberFormat="1" applyFont="1" applyBorder="1" applyAlignment="1">
      <alignment vertical="center"/>
    </xf>
    <xf numFmtId="0" fontId="15" fillId="0" borderId="33" xfId="3" applyFont="1" applyBorder="1" applyAlignment="1">
      <alignment horizontal="center" vertical="center"/>
    </xf>
    <xf numFmtId="0" fontId="15" fillId="0" borderId="33" xfId="3" applyFont="1" applyBorder="1" applyAlignment="1">
      <alignment vertical="center"/>
    </xf>
    <xf numFmtId="189" fontId="15" fillId="0" borderId="0" xfId="3" applyNumberFormat="1" applyFont="1" applyAlignment="1">
      <alignment vertical="center"/>
    </xf>
    <xf numFmtId="0" fontId="16" fillId="0" borderId="19" xfId="3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/>
    </xf>
    <xf numFmtId="192" fontId="15" fillId="0" borderId="18" xfId="3" applyNumberFormat="1" applyFont="1" applyBorder="1" applyAlignment="1">
      <alignment horizontal="left" vertical="center"/>
    </xf>
    <xf numFmtId="43" fontId="16" fillId="0" borderId="2" xfId="4" applyNumberFormat="1" applyFont="1" applyBorder="1" applyAlignment="1">
      <alignment horizontal="left" vertical="center"/>
    </xf>
    <xf numFmtId="43" fontId="15" fillId="0" borderId="19" xfId="1" applyFont="1" applyFill="1" applyBorder="1" applyAlignment="1">
      <alignment vertical="center"/>
    </xf>
    <xf numFmtId="43" fontId="15" fillId="0" borderId="2" xfId="3" applyNumberFormat="1" applyFont="1" applyBorder="1" applyAlignment="1">
      <alignment vertical="center"/>
    </xf>
    <xf numFmtId="0" fontId="16" fillId="0" borderId="2" xfId="3" applyFont="1" applyBorder="1" applyAlignment="1">
      <alignment horizontal="center" vertical="center"/>
    </xf>
    <xf numFmtId="49" fontId="15" fillId="0" borderId="2" xfId="3" applyNumberFormat="1" applyFont="1" applyBorder="1" applyAlignment="1">
      <alignment vertical="center"/>
    </xf>
    <xf numFmtId="0" fontId="16" fillId="0" borderId="18" xfId="4" applyFont="1" applyBorder="1" applyAlignment="1">
      <alignment horizontal="left" vertical="center"/>
    </xf>
    <xf numFmtId="192" fontId="15" fillId="0" borderId="15" xfId="3" applyNumberFormat="1" applyFont="1" applyBorder="1" applyAlignment="1">
      <alignment vertical="center"/>
    </xf>
    <xf numFmtId="192" fontId="16" fillId="0" borderId="18" xfId="3" applyNumberFormat="1" applyFont="1" applyBorder="1" applyAlignment="1">
      <alignment vertical="center"/>
    </xf>
    <xf numFmtId="192" fontId="15" fillId="0" borderId="1" xfId="3" applyNumberFormat="1" applyFont="1" applyBorder="1" applyAlignment="1">
      <alignment vertical="center"/>
    </xf>
    <xf numFmtId="43" fontId="15" fillId="0" borderId="1" xfId="3" applyNumberFormat="1" applyFont="1" applyBorder="1" applyAlignment="1">
      <alignment vertical="center"/>
    </xf>
    <xf numFmtId="192" fontId="15" fillId="0" borderId="19" xfId="3" applyNumberFormat="1" applyFont="1" applyBorder="1" applyAlignment="1">
      <alignment horizontal="left" vertical="center"/>
    </xf>
    <xf numFmtId="43" fontId="15" fillId="0" borderId="0" xfId="1" applyFont="1" applyFill="1" applyAlignment="1">
      <alignment vertical="center"/>
    </xf>
    <xf numFmtId="43" fontId="15" fillId="0" borderId="19" xfId="3" applyNumberFormat="1" applyFont="1" applyBorder="1" applyAlignment="1">
      <alignment horizontal="center" vertical="center"/>
    </xf>
    <xf numFmtId="43" fontId="15" fillId="0" borderId="2" xfId="1" applyFont="1" applyFill="1" applyBorder="1" applyAlignment="1">
      <alignment vertical="center"/>
    </xf>
    <xf numFmtId="189" fontId="15" fillId="0" borderId="19" xfId="3" applyNumberFormat="1" applyFont="1" applyBorder="1" applyAlignment="1">
      <alignment horizontal="left" vertical="center"/>
    </xf>
    <xf numFmtId="43" fontId="15" fillId="0" borderId="18" xfId="1" applyFont="1" applyFill="1" applyBorder="1" applyAlignment="1">
      <alignment vertical="center"/>
    </xf>
    <xf numFmtId="0" fontId="15" fillId="0" borderId="7" xfId="3" applyFont="1" applyBorder="1" applyAlignment="1">
      <alignment vertical="center"/>
    </xf>
    <xf numFmtId="0" fontId="15" fillId="0" borderId="13" xfId="3" applyFont="1" applyBorder="1" applyAlignment="1">
      <alignment vertical="center"/>
    </xf>
    <xf numFmtId="0" fontId="16" fillId="0" borderId="0" xfId="3" applyFont="1" applyAlignment="1">
      <alignment horizontal="left" vertical="center"/>
    </xf>
    <xf numFmtId="0" fontId="16" fillId="2" borderId="5" xfId="3" applyFont="1" applyFill="1" applyBorder="1" applyAlignment="1">
      <alignment horizontal="center" vertical="center"/>
    </xf>
    <xf numFmtId="0" fontId="16" fillId="2" borderId="11" xfId="3" applyFont="1" applyFill="1" applyBorder="1" applyAlignment="1">
      <alignment horizontal="center" vertical="center"/>
    </xf>
    <xf numFmtId="192" fontId="15" fillId="0" borderId="28" xfId="3" applyNumberFormat="1" applyFont="1" applyBorder="1" applyAlignment="1">
      <alignment vertical="center"/>
    </xf>
    <xf numFmtId="0" fontId="16" fillId="0" borderId="14" xfId="3" applyFont="1" applyBorder="1" applyAlignment="1">
      <alignment vertical="center"/>
    </xf>
    <xf numFmtId="0" fontId="16" fillId="0" borderId="17" xfId="3" applyFont="1" applyBorder="1" applyAlignment="1">
      <alignment vertical="center"/>
    </xf>
    <xf numFmtId="43" fontId="16" fillId="0" borderId="25" xfId="1" applyFont="1" applyBorder="1" applyAlignment="1">
      <alignment vertical="center"/>
    </xf>
    <xf numFmtId="0" fontId="16" fillId="0" borderId="25" xfId="3" applyFont="1" applyBorder="1" applyAlignment="1">
      <alignment vertical="center"/>
    </xf>
    <xf numFmtId="0" fontId="16" fillId="0" borderId="19" xfId="3" applyFont="1" applyBorder="1" applyAlignment="1">
      <alignment vertical="center"/>
    </xf>
    <xf numFmtId="0" fontId="16" fillId="0" borderId="34" xfId="3" applyFont="1" applyBorder="1" applyAlignment="1">
      <alignment horizontal="center" vertical="center"/>
    </xf>
    <xf numFmtId="192" fontId="16" fillId="0" borderId="12" xfId="3" applyNumberFormat="1" applyFont="1" applyBorder="1" applyAlignment="1">
      <alignment vertical="center"/>
    </xf>
    <xf numFmtId="43" fontId="16" fillId="0" borderId="24" xfId="1" applyFont="1" applyBorder="1" applyAlignment="1">
      <alignment vertical="center"/>
    </xf>
    <xf numFmtId="0" fontId="16" fillId="0" borderId="34" xfId="3" applyFont="1" applyBorder="1" applyAlignment="1">
      <alignment vertical="center"/>
    </xf>
    <xf numFmtId="189" fontId="16" fillId="0" borderId="11" xfId="3" applyNumberFormat="1" applyFont="1" applyBorder="1" applyAlignment="1">
      <alignment vertical="center"/>
    </xf>
    <xf numFmtId="189" fontId="16" fillId="0" borderId="12" xfId="3" applyNumberFormat="1" applyFont="1" applyBorder="1" applyAlignment="1">
      <alignment vertical="center"/>
    </xf>
    <xf numFmtId="192" fontId="16" fillId="0" borderId="8" xfId="3" applyNumberFormat="1" applyFont="1" applyBorder="1" applyAlignment="1">
      <alignment vertical="center"/>
    </xf>
    <xf numFmtId="43" fontId="16" fillId="0" borderId="9" xfId="5" applyFont="1" applyFill="1" applyBorder="1" applyAlignment="1">
      <alignment vertical="center"/>
    </xf>
    <xf numFmtId="49" fontId="17" fillId="0" borderId="2" xfId="3" applyNumberFormat="1" applyFont="1" applyBorder="1" applyAlignment="1">
      <alignment vertical="center"/>
    </xf>
    <xf numFmtId="43" fontId="15" fillId="0" borderId="19" xfId="4" applyNumberFormat="1" applyFont="1" applyBorder="1" applyAlignment="1">
      <alignment horizontal="left" vertical="center"/>
    </xf>
    <xf numFmtId="43" fontId="16" fillId="0" borderId="8" xfId="3" applyNumberFormat="1" applyFont="1" applyBorder="1" applyAlignment="1">
      <alignment vertical="center"/>
    </xf>
    <xf numFmtId="0" fontId="16" fillId="0" borderId="13" xfId="3" applyFont="1" applyBorder="1" applyAlignment="1">
      <alignment vertical="center"/>
    </xf>
    <xf numFmtId="192" fontId="16" fillId="0" borderId="18" xfId="3" applyNumberFormat="1" applyFont="1" applyBorder="1" applyAlignment="1">
      <alignment horizontal="left" vertical="center"/>
    </xf>
    <xf numFmtId="192" fontId="16" fillId="0" borderId="10" xfId="3" applyNumberFormat="1" applyFont="1" applyBorder="1" applyAlignment="1">
      <alignment vertical="center"/>
    </xf>
    <xf numFmtId="43" fontId="16" fillId="0" borderId="11" xfId="4" applyNumberFormat="1" applyFont="1" applyBorder="1" applyAlignment="1">
      <alignment horizontal="left" vertical="center"/>
    </xf>
    <xf numFmtId="192" fontId="16" fillId="0" borderId="39" xfId="3" applyNumberFormat="1" applyFont="1" applyBorder="1" applyAlignment="1">
      <alignment vertical="center"/>
    </xf>
    <xf numFmtId="43" fontId="16" fillId="0" borderId="12" xfId="5" applyFont="1" applyFill="1" applyBorder="1" applyAlignment="1">
      <alignment vertical="center"/>
    </xf>
    <xf numFmtId="43" fontId="16" fillId="0" borderId="41" xfId="3" applyNumberFormat="1" applyFont="1" applyBorder="1" applyAlignment="1">
      <alignment vertical="center"/>
    </xf>
    <xf numFmtId="43" fontId="15" fillId="0" borderId="0" xfId="1" applyFont="1" applyAlignment="1">
      <alignment vertical="center"/>
    </xf>
    <xf numFmtId="43" fontId="15" fillId="0" borderId="17" xfId="1" applyFont="1" applyBorder="1" applyAlignment="1">
      <alignment vertical="center"/>
    </xf>
    <xf numFmtId="43" fontId="15" fillId="0" borderId="34" xfId="1" applyFont="1" applyBorder="1" applyAlignment="1">
      <alignment vertical="center"/>
    </xf>
    <xf numFmtId="43" fontId="15" fillId="0" borderId="0" xfId="1" applyFont="1" applyAlignment="1">
      <alignment horizontal="center" vertical="center"/>
    </xf>
    <xf numFmtId="43" fontId="16" fillId="0" borderId="0" xfId="1" applyFont="1" applyAlignment="1">
      <alignment vertical="center"/>
    </xf>
    <xf numFmtId="43" fontId="16" fillId="0" borderId="0" xfId="1" applyFont="1" applyAlignment="1">
      <alignment horizontal="center" vertical="center"/>
    </xf>
    <xf numFmtId="43" fontId="15" fillId="0" borderId="0" xfId="1" applyFont="1" applyAlignment="1">
      <alignment horizontal="right" vertical="center"/>
    </xf>
    <xf numFmtId="192" fontId="15" fillId="0" borderId="33" xfId="3" applyNumberFormat="1" applyFont="1" applyBorder="1" applyAlignment="1">
      <alignment vertical="center"/>
    </xf>
    <xf numFmtId="192" fontId="15" fillId="0" borderId="34" xfId="3" applyNumberFormat="1" applyFont="1" applyBorder="1" applyAlignment="1">
      <alignment vertical="center"/>
    </xf>
    <xf numFmtId="0" fontId="15" fillId="0" borderId="0" xfId="17" applyFont="1" applyAlignment="1">
      <alignment horizontal="right" vertical="center"/>
    </xf>
    <xf numFmtId="43" fontId="15" fillId="0" borderId="0" xfId="1" applyFont="1" applyAlignment="1">
      <alignment horizontal="left" vertical="center"/>
    </xf>
    <xf numFmtId="43" fontId="16" fillId="0" borderId="0" xfId="1" applyFont="1" applyAlignment="1">
      <alignment horizontal="left" vertical="center"/>
    </xf>
    <xf numFmtId="43" fontId="16" fillId="0" borderId="0" xfId="1" applyFont="1" applyBorder="1" applyAlignment="1">
      <alignment vertical="center"/>
    </xf>
    <xf numFmtId="188" fontId="16" fillId="0" borderId="0" xfId="3" applyNumberFormat="1" applyFont="1" applyAlignment="1">
      <alignment horizontal="left" vertical="center"/>
    </xf>
    <xf numFmtId="189" fontId="15" fillId="0" borderId="19" xfId="3" applyNumberFormat="1" applyFont="1" applyBorder="1" applyAlignment="1">
      <alignment vertical="center"/>
    </xf>
    <xf numFmtId="0" fontId="21" fillId="0" borderId="1" xfId="3" applyFont="1" applyBorder="1" applyAlignment="1">
      <alignment vertical="center"/>
    </xf>
    <xf numFmtId="0" fontId="21" fillId="0" borderId="2" xfId="3" applyFont="1" applyBorder="1" applyAlignment="1">
      <alignment vertical="center"/>
    </xf>
    <xf numFmtId="0" fontId="21" fillId="0" borderId="0" xfId="3" applyFont="1" applyAlignment="1">
      <alignment vertical="center"/>
    </xf>
    <xf numFmtId="43" fontId="21" fillId="0" borderId="0" xfId="3" applyNumberFormat="1" applyFont="1" applyAlignment="1">
      <alignment horizontal="left" vertical="center"/>
    </xf>
    <xf numFmtId="43" fontId="21" fillId="0" borderId="0" xfId="3" applyNumberFormat="1" applyFont="1" applyAlignment="1">
      <alignment vertical="center"/>
    </xf>
    <xf numFmtId="0" fontId="22" fillId="0" borderId="14" xfId="3" applyFont="1" applyBorder="1" applyAlignment="1">
      <alignment horizontal="center" vertical="center"/>
    </xf>
    <xf numFmtId="43" fontId="21" fillId="0" borderId="15" xfId="4" applyNumberFormat="1" applyFont="1" applyBorder="1" applyAlignment="1">
      <alignment horizontal="left" vertical="center"/>
    </xf>
    <xf numFmtId="43" fontId="21" fillId="0" borderId="16" xfId="3" applyNumberFormat="1" applyFont="1" applyBorder="1" applyAlignment="1">
      <alignment vertical="center"/>
    </xf>
    <xf numFmtId="0" fontId="22" fillId="0" borderId="18" xfId="3" applyFont="1" applyBorder="1" applyAlignment="1">
      <alignment horizontal="center" vertical="center"/>
    </xf>
    <xf numFmtId="43" fontId="22" fillId="0" borderId="2" xfId="4" applyNumberFormat="1" applyFont="1" applyBorder="1" applyAlignment="1">
      <alignment horizontal="left" vertical="center"/>
    </xf>
    <xf numFmtId="43" fontId="21" fillId="0" borderId="2" xfId="3" applyNumberFormat="1" applyFont="1" applyBorder="1" applyAlignment="1">
      <alignment vertical="center"/>
    </xf>
    <xf numFmtId="1" fontId="22" fillId="0" borderId="18" xfId="4" applyNumberFormat="1" applyFont="1" applyBorder="1" applyAlignment="1">
      <alignment horizontal="center" vertical="center"/>
    </xf>
    <xf numFmtId="43" fontId="22" fillId="0" borderId="2" xfId="6" applyNumberFormat="1" applyFont="1" applyBorder="1" applyAlignment="1">
      <alignment vertical="center"/>
    </xf>
    <xf numFmtId="43" fontId="21" fillId="0" borderId="20" xfId="3" applyNumberFormat="1" applyFont="1" applyBorder="1" applyAlignment="1">
      <alignment vertical="center"/>
    </xf>
    <xf numFmtId="43" fontId="21" fillId="0" borderId="18" xfId="4" applyNumberFormat="1" applyFont="1" applyBorder="1" applyAlignment="1">
      <alignment horizontal="center" vertical="center"/>
    </xf>
    <xf numFmtId="43" fontId="21" fillId="0" borderId="2" xfId="4" applyNumberFormat="1" applyFont="1" applyBorder="1" applyAlignment="1">
      <alignment horizontal="center" vertical="center"/>
    </xf>
    <xf numFmtId="43" fontId="21" fillId="0" borderId="20" xfId="4" applyNumberFormat="1" applyFont="1" applyBorder="1" applyAlignment="1">
      <alignment horizontal="center" vertical="center"/>
    </xf>
    <xf numFmtId="43" fontId="22" fillId="0" borderId="2" xfId="3" applyNumberFormat="1" applyFont="1" applyBorder="1" applyAlignment="1">
      <alignment horizontal="left" vertical="center"/>
    </xf>
    <xf numFmtId="43" fontId="22" fillId="0" borderId="20" xfId="3" applyNumberFormat="1" applyFont="1" applyBorder="1" applyAlignment="1">
      <alignment vertical="center"/>
    </xf>
    <xf numFmtId="0" fontId="22" fillId="0" borderId="21" xfId="3" applyFont="1" applyBorder="1" applyAlignment="1">
      <alignment horizontal="center" vertical="center"/>
    </xf>
    <xf numFmtId="43" fontId="22" fillId="0" borderId="3" xfId="3" applyNumberFormat="1" applyFont="1" applyBorder="1" applyAlignment="1">
      <alignment horizontal="left" vertical="center"/>
    </xf>
    <xf numFmtId="43" fontId="22" fillId="0" borderId="22" xfId="3" applyNumberFormat="1" applyFont="1" applyBorder="1" applyAlignment="1">
      <alignment vertical="center"/>
    </xf>
    <xf numFmtId="193" fontId="22" fillId="0" borderId="18" xfId="4" applyNumberFormat="1" applyFont="1" applyBorder="1" applyAlignment="1">
      <alignment horizontal="center" vertical="center"/>
    </xf>
    <xf numFmtId="43" fontId="22" fillId="0" borderId="2" xfId="0" applyNumberFormat="1" applyFont="1" applyBorder="1" applyAlignment="1">
      <alignment horizontal="left" vertical="center"/>
    </xf>
    <xf numFmtId="43" fontId="22" fillId="0" borderId="20" xfId="6" applyNumberFormat="1" applyFont="1" applyBorder="1" applyAlignment="1">
      <alignment vertical="center"/>
    </xf>
    <xf numFmtId="2" fontId="22" fillId="0" borderId="18" xfId="3" applyNumberFormat="1" applyFont="1" applyBorder="1" applyAlignment="1">
      <alignment horizontal="center" vertical="center"/>
    </xf>
    <xf numFmtId="43" fontId="22" fillId="0" borderId="2" xfId="0" applyNumberFormat="1" applyFont="1" applyBorder="1" applyAlignment="1">
      <alignment vertical="center"/>
    </xf>
    <xf numFmtId="2" fontId="22" fillId="0" borderId="18" xfId="7" applyNumberFormat="1" applyFont="1" applyBorder="1" applyAlignment="1">
      <alignment horizontal="center" vertical="center"/>
    </xf>
    <xf numFmtId="43" fontId="22" fillId="0" borderId="20" xfId="7" applyNumberFormat="1" applyFont="1" applyBorder="1" applyAlignment="1">
      <alignment vertical="center"/>
    </xf>
    <xf numFmtId="43" fontId="22" fillId="0" borderId="3" xfId="0" applyNumberFormat="1" applyFont="1" applyBorder="1" applyAlignment="1">
      <alignment vertical="center"/>
    </xf>
    <xf numFmtId="43" fontId="22" fillId="0" borderId="22" xfId="7" applyNumberFormat="1" applyFont="1" applyBorder="1" applyAlignment="1">
      <alignment vertical="center"/>
    </xf>
    <xf numFmtId="43" fontId="22" fillId="0" borderId="15" xfId="4" applyNumberFormat="1" applyFont="1" applyBorder="1" applyAlignment="1">
      <alignment horizontal="left" vertical="center"/>
    </xf>
    <xf numFmtId="2" fontId="22" fillId="0" borderId="29" xfId="7" applyNumberFormat="1" applyFont="1" applyBorder="1" applyAlignment="1">
      <alignment horizontal="center" vertical="center"/>
    </xf>
    <xf numFmtId="43" fontId="22" fillId="0" borderId="2" xfId="6" applyNumberFormat="1" applyFont="1" applyBorder="1" applyAlignment="1">
      <alignment horizontal="left" vertical="center"/>
    </xf>
    <xf numFmtId="2" fontId="22" fillId="0" borderId="18" xfId="6" applyNumberFormat="1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193" fontId="22" fillId="0" borderId="29" xfId="7" applyNumberFormat="1" applyFont="1" applyBorder="1" applyAlignment="1">
      <alignment horizontal="center" vertical="center"/>
    </xf>
    <xf numFmtId="0" fontId="22" fillId="0" borderId="29" xfId="6" applyFont="1" applyBorder="1" applyAlignment="1">
      <alignment horizontal="center" vertical="center"/>
    </xf>
    <xf numFmtId="192" fontId="22" fillId="0" borderId="2" xfId="7" applyNumberFormat="1" applyFont="1" applyBorder="1" applyAlignment="1">
      <alignment vertical="center"/>
    </xf>
    <xf numFmtId="192" fontId="22" fillId="0" borderId="2" xfId="3" applyNumberFormat="1" applyFont="1" applyBorder="1" applyAlignment="1">
      <alignment horizontal="center" vertical="center"/>
    </xf>
    <xf numFmtId="193" fontId="22" fillId="0" borderId="18" xfId="7" applyNumberFormat="1" applyFont="1" applyBorder="1" applyAlignment="1">
      <alignment horizontal="center" vertical="center"/>
    </xf>
    <xf numFmtId="192" fontId="21" fillId="0" borderId="18" xfId="7" applyNumberFormat="1" applyFont="1" applyBorder="1" applyAlignment="1">
      <alignment horizontal="center" vertical="center"/>
    </xf>
    <xf numFmtId="192" fontId="21" fillId="0" borderId="2" xfId="7" applyNumberFormat="1" applyFont="1" applyBorder="1" applyAlignment="1">
      <alignment horizontal="center" vertical="center"/>
    </xf>
    <xf numFmtId="192" fontId="21" fillId="0" borderId="20" xfId="7" applyNumberFormat="1" applyFont="1" applyBorder="1" applyAlignment="1">
      <alignment horizontal="center" vertical="center"/>
    </xf>
    <xf numFmtId="1" fontId="21" fillId="0" borderId="14" xfId="7" applyNumberFormat="1" applyFont="1" applyBorder="1" applyAlignment="1">
      <alignment horizontal="center" vertical="center"/>
    </xf>
    <xf numFmtId="192" fontId="21" fillId="0" borderId="15" xfId="7" applyNumberFormat="1" applyFont="1" applyBorder="1" applyAlignment="1">
      <alignment horizontal="left" vertical="center"/>
    </xf>
    <xf numFmtId="192" fontId="21" fillId="0" borderId="16" xfId="7" applyNumberFormat="1" applyFont="1" applyBorder="1" applyAlignment="1">
      <alignment vertical="center"/>
    </xf>
    <xf numFmtId="192" fontId="21" fillId="0" borderId="1" xfId="7" applyNumberFormat="1" applyFont="1" applyBorder="1" applyAlignment="1">
      <alignment horizontal="left" vertical="center"/>
    </xf>
    <xf numFmtId="192" fontId="22" fillId="0" borderId="20" xfId="7" applyNumberFormat="1" applyFont="1" applyBorder="1" applyAlignment="1">
      <alignment vertical="center"/>
    </xf>
    <xf numFmtId="192" fontId="22" fillId="0" borderId="2" xfId="0" applyNumberFormat="1" applyFont="1" applyBorder="1" applyAlignment="1">
      <alignment horizontal="left" vertical="center"/>
    </xf>
    <xf numFmtId="192" fontId="22" fillId="0" borderId="2" xfId="6" applyNumberFormat="1" applyFont="1" applyBorder="1" applyAlignment="1">
      <alignment vertical="center"/>
    </xf>
    <xf numFmtId="192" fontId="21" fillId="0" borderId="20" xfId="3" applyNumberFormat="1" applyFont="1" applyBorder="1" applyAlignment="1">
      <alignment vertical="center"/>
    </xf>
    <xf numFmtId="192" fontId="22" fillId="0" borderId="2" xfId="0" applyNumberFormat="1" applyFont="1" applyBorder="1" applyAlignment="1">
      <alignment vertical="center"/>
    </xf>
    <xf numFmtId="192" fontId="22" fillId="0" borderId="20" xfId="3" applyNumberFormat="1" applyFont="1" applyBorder="1" applyAlignment="1">
      <alignment vertical="center"/>
    </xf>
    <xf numFmtId="192" fontId="22" fillId="0" borderId="20" xfId="4" applyNumberFormat="1" applyFont="1" applyBorder="1" applyAlignment="1">
      <alignment vertical="center"/>
    </xf>
    <xf numFmtId="192" fontId="21" fillId="0" borderId="20" xfId="6" applyNumberFormat="1" applyFont="1" applyBorder="1" applyAlignment="1">
      <alignment vertical="center"/>
    </xf>
    <xf numFmtId="2" fontId="22" fillId="0" borderId="21" xfId="6" applyNumberFormat="1" applyFont="1" applyBorder="1" applyAlignment="1">
      <alignment horizontal="center" vertical="center"/>
    </xf>
    <xf numFmtId="192" fontId="22" fillId="0" borderId="3" xfId="6" applyNumberFormat="1" applyFont="1" applyBorder="1" applyAlignment="1">
      <alignment vertical="center"/>
    </xf>
    <xf numFmtId="192" fontId="22" fillId="0" borderId="15" xfId="7" applyNumberFormat="1" applyFont="1" applyBorder="1" applyAlignment="1">
      <alignment horizontal="left" vertical="center"/>
    </xf>
    <xf numFmtId="192" fontId="21" fillId="0" borderId="20" xfId="0" applyNumberFormat="1" applyFont="1" applyBorder="1" applyAlignment="1">
      <alignment vertical="center"/>
    </xf>
    <xf numFmtId="192" fontId="22" fillId="0" borderId="2" xfId="6" applyNumberFormat="1" applyFont="1" applyBorder="1" applyAlignment="1">
      <alignment horizontal="left" vertical="center"/>
    </xf>
    <xf numFmtId="192" fontId="21" fillId="0" borderId="2" xfId="0" applyNumberFormat="1" applyFont="1" applyBorder="1" applyAlignment="1">
      <alignment vertical="center"/>
    </xf>
    <xf numFmtId="192" fontId="22" fillId="0" borderId="20" xfId="0" applyNumberFormat="1" applyFont="1" applyBorder="1" applyAlignment="1">
      <alignment horizontal="center" vertical="center"/>
    </xf>
    <xf numFmtId="192" fontId="21" fillId="0" borderId="2" xfId="0" applyNumberFormat="1" applyFont="1" applyBorder="1" applyAlignment="1">
      <alignment horizontal="center" vertical="center"/>
    </xf>
    <xf numFmtId="192" fontId="21" fillId="0" borderId="20" xfId="0" applyNumberFormat="1" applyFont="1" applyBorder="1" applyAlignment="1">
      <alignment horizontal="center" vertical="center"/>
    </xf>
    <xf numFmtId="192" fontId="21" fillId="0" borderId="2" xfId="7" applyNumberFormat="1" applyFont="1" applyBorder="1" applyAlignment="1">
      <alignment vertical="center"/>
    </xf>
    <xf numFmtId="192" fontId="21" fillId="0" borderId="20" xfId="7" applyNumberFormat="1" applyFont="1" applyBorder="1" applyAlignment="1">
      <alignment vertical="center"/>
    </xf>
    <xf numFmtId="192" fontId="21" fillId="0" borderId="3" xfId="0" applyNumberFormat="1" applyFont="1" applyBorder="1" applyAlignment="1">
      <alignment horizontal="center" vertical="center"/>
    </xf>
    <xf numFmtId="192" fontId="21" fillId="0" borderId="22" xfId="0" applyNumberFormat="1" applyFont="1" applyBorder="1" applyAlignment="1">
      <alignment horizontal="center" vertical="center"/>
    </xf>
    <xf numFmtId="1" fontId="21" fillId="0" borderId="17" xfId="7" applyNumberFormat="1" applyFont="1" applyBorder="1" applyAlignment="1">
      <alignment horizontal="center" vertical="center"/>
    </xf>
    <xf numFmtId="191" fontId="21" fillId="0" borderId="15" xfId="7" applyNumberFormat="1" applyFont="1" applyBorder="1" applyAlignment="1">
      <alignment horizontal="left" vertical="center"/>
    </xf>
    <xf numFmtId="191" fontId="21" fillId="0" borderId="16" xfId="3" applyNumberFormat="1" applyFont="1" applyBorder="1" applyAlignment="1">
      <alignment vertical="center"/>
    </xf>
    <xf numFmtId="191" fontId="22" fillId="0" borderId="2" xfId="0" applyNumberFormat="1" applyFont="1" applyBorder="1" applyAlignment="1">
      <alignment vertical="center"/>
    </xf>
    <xf numFmtId="191" fontId="22" fillId="0" borderId="2" xfId="6" applyNumberFormat="1" applyFont="1" applyBorder="1" applyAlignment="1">
      <alignment vertical="center"/>
    </xf>
    <xf numFmtId="191" fontId="21" fillId="0" borderId="20" xfId="3" applyNumberFormat="1" applyFont="1" applyBorder="1" applyAlignment="1">
      <alignment vertical="center"/>
    </xf>
    <xf numFmtId="191" fontId="22" fillId="0" borderId="2" xfId="7" applyNumberFormat="1" applyFont="1" applyBorder="1" applyAlignment="1">
      <alignment vertical="center"/>
    </xf>
    <xf numFmtId="191" fontId="22" fillId="0" borderId="2" xfId="6" applyNumberFormat="1" applyFont="1" applyBorder="1" applyAlignment="1">
      <alignment horizontal="left" vertical="center"/>
    </xf>
    <xf numFmtId="191" fontId="22" fillId="0" borderId="20" xfId="3" applyNumberFormat="1" applyFont="1" applyBorder="1" applyAlignment="1">
      <alignment vertical="center"/>
    </xf>
    <xf numFmtId="191" fontId="22" fillId="0" borderId="2" xfId="3" applyNumberFormat="1" applyFont="1" applyBorder="1" applyAlignment="1">
      <alignment horizontal="left" vertical="center"/>
    </xf>
    <xf numFmtId="2" fontId="22" fillId="0" borderId="29" xfId="6" applyNumberFormat="1" applyFont="1" applyBorder="1" applyAlignment="1">
      <alignment horizontal="center" vertical="center"/>
    </xf>
    <xf numFmtId="192" fontId="21" fillId="0" borderId="20" xfId="6" applyNumberFormat="1" applyFont="1" applyBorder="1" applyAlignment="1">
      <alignment horizontal="center" vertical="center"/>
    </xf>
    <xf numFmtId="1" fontId="21" fillId="0" borderId="14" xfId="4" applyNumberFormat="1" applyFont="1" applyBorder="1" applyAlignment="1">
      <alignment horizontal="center" vertical="center"/>
    </xf>
    <xf numFmtId="192" fontId="22" fillId="0" borderId="15" xfId="3" applyNumberFormat="1" applyFont="1" applyBorder="1" applyAlignment="1">
      <alignment horizontal="left" vertical="center"/>
    </xf>
    <xf numFmtId="192" fontId="22" fillId="0" borderId="16" xfId="3" applyNumberFormat="1" applyFont="1" applyBorder="1" applyAlignment="1">
      <alignment vertical="center"/>
    </xf>
    <xf numFmtId="193" fontId="22" fillId="0" borderId="18" xfId="3" applyNumberFormat="1" applyFont="1" applyBorder="1" applyAlignment="1">
      <alignment horizontal="center" vertical="center"/>
    </xf>
    <xf numFmtId="2" fontId="22" fillId="0" borderId="17" xfId="4" applyNumberFormat="1" applyFont="1" applyBorder="1" applyAlignment="1">
      <alignment horizontal="center" vertical="center"/>
    </xf>
    <xf numFmtId="192" fontId="22" fillId="0" borderId="15" xfId="7" applyNumberFormat="1" applyFont="1" applyBorder="1" applyAlignment="1">
      <alignment vertical="center"/>
    </xf>
    <xf numFmtId="2" fontId="22" fillId="0" borderId="19" xfId="7" applyNumberFormat="1" applyFont="1" applyBorder="1" applyAlignment="1">
      <alignment horizontal="center" vertical="center"/>
    </xf>
    <xf numFmtId="0" fontId="22" fillId="0" borderId="19" xfId="6" applyFont="1" applyBorder="1" applyAlignment="1">
      <alignment horizontal="center" vertical="center"/>
    </xf>
    <xf numFmtId="193" fontId="22" fillId="0" borderId="19" xfId="7" applyNumberFormat="1" applyFont="1" applyBorder="1" applyAlignment="1">
      <alignment horizontal="center" vertical="center"/>
    </xf>
    <xf numFmtId="2" fontId="22" fillId="0" borderId="19" xfId="3" applyNumberFormat="1" applyFont="1" applyBorder="1" applyAlignment="1">
      <alignment horizontal="center" vertical="center"/>
    </xf>
    <xf numFmtId="2" fontId="22" fillId="0" borderId="25" xfId="7" applyNumberFormat="1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2" fontId="22" fillId="0" borderId="19" xfId="6" applyNumberFormat="1" applyFont="1" applyBorder="1" applyAlignment="1">
      <alignment horizontal="center" vertical="center"/>
    </xf>
    <xf numFmtId="189" fontId="22" fillId="0" borderId="2" xfId="6" applyNumberFormat="1" applyFont="1" applyBorder="1" applyAlignment="1">
      <alignment vertical="center"/>
    </xf>
    <xf numFmtId="0" fontId="22" fillId="0" borderId="21" xfId="6" applyFont="1" applyBorder="1" applyAlignment="1">
      <alignment horizontal="center" vertical="center"/>
    </xf>
    <xf numFmtId="192" fontId="22" fillId="0" borderId="3" xfId="7" applyNumberFormat="1" applyFont="1" applyBorder="1" applyAlignment="1">
      <alignment vertical="center"/>
    </xf>
    <xf numFmtId="189" fontId="22" fillId="0" borderId="3" xfId="6" applyNumberFormat="1" applyFont="1" applyBorder="1" applyAlignment="1">
      <alignment vertical="center"/>
    </xf>
    <xf numFmtId="189" fontId="22" fillId="0" borderId="15" xfId="6" applyNumberFormat="1" applyFont="1" applyBorder="1" applyAlignment="1">
      <alignment vertical="center"/>
    </xf>
    <xf numFmtId="192" fontId="22" fillId="0" borderId="2" xfId="11" applyNumberFormat="1" applyFont="1" applyBorder="1" applyAlignment="1">
      <alignment vertical="center"/>
    </xf>
    <xf numFmtId="192" fontId="22" fillId="0" borderId="20" xfId="6" applyNumberFormat="1" applyFont="1" applyBorder="1" applyAlignment="1">
      <alignment vertical="center"/>
    </xf>
    <xf numFmtId="0" fontId="22" fillId="0" borderId="18" xfId="6" applyFont="1" applyBorder="1" applyAlignment="1">
      <alignment vertical="center"/>
    </xf>
    <xf numFmtId="0" fontId="22" fillId="0" borderId="18" xfId="8" quotePrefix="1" applyFont="1" applyBorder="1" applyAlignment="1">
      <alignment horizontal="center" vertical="center"/>
    </xf>
    <xf numFmtId="0" fontId="22" fillId="0" borderId="23" xfId="6" applyFont="1" applyBorder="1" applyAlignment="1">
      <alignment horizontal="center" vertical="center"/>
    </xf>
    <xf numFmtId="192" fontId="21" fillId="0" borderId="16" xfId="3" applyNumberFormat="1" applyFont="1" applyBorder="1" applyAlignment="1">
      <alignment vertical="center"/>
    </xf>
    <xf numFmtId="1" fontId="21" fillId="0" borderId="29" xfId="4" applyNumberFormat="1" applyFont="1" applyBorder="1" applyAlignment="1">
      <alignment horizontal="center" vertical="center"/>
    </xf>
    <xf numFmtId="192" fontId="21" fillId="0" borderId="28" xfId="3" applyNumberFormat="1" applyFont="1" applyBorder="1" applyAlignment="1">
      <alignment vertical="center"/>
    </xf>
    <xf numFmtId="193" fontId="22" fillId="0" borderId="19" xfId="6" applyNumberFormat="1" applyFont="1" applyBorder="1" applyAlignment="1">
      <alignment horizontal="center" vertical="center"/>
    </xf>
    <xf numFmtId="2" fontId="22" fillId="0" borderId="17" xfId="7" applyNumberFormat="1" applyFont="1" applyBorder="1" applyAlignment="1">
      <alignment horizontal="center" vertical="center"/>
    </xf>
    <xf numFmtId="193" fontId="21" fillId="0" borderId="34" xfId="7" applyNumberFormat="1" applyFont="1" applyBorder="1" applyAlignment="1">
      <alignment horizontal="center" vertical="center"/>
    </xf>
    <xf numFmtId="0" fontId="22" fillId="0" borderId="19" xfId="3" applyFont="1" applyBorder="1" applyAlignment="1">
      <alignment horizontal="center" vertical="center"/>
    </xf>
    <xf numFmtId="2" fontId="22" fillId="0" borderId="31" xfId="3" applyNumberFormat="1" applyFont="1" applyBorder="1" applyAlignment="1">
      <alignment horizontal="center" vertical="center"/>
    </xf>
    <xf numFmtId="0" fontId="22" fillId="0" borderId="23" xfId="3" applyFont="1" applyBorder="1" applyAlignment="1">
      <alignment vertical="center"/>
    </xf>
    <xf numFmtId="2" fontId="22" fillId="0" borderId="17" xfId="3" applyNumberFormat="1" applyFont="1" applyBorder="1" applyAlignment="1">
      <alignment horizontal="center" vertical="center"/>
    </xf>
    <xf numFmtId="192" fontId="22" fillId="0" borderId="15" xfId="6" applyNumberFormat="1" applyFont="1" applyBorder="1" applyAlignment="1">
      <alignment vertical="center"/>
    </xf>
    <xf numFmtId="0" fontId="22" fillId="0" borderId="19" xfId="3" applyFont="1" applyBorder="1" applyAlignment="1">
      <alignment vertical="center"/>
    </xf>
    <xf numFmtId="192" fontId="21" fillId="0" borderId="2" xfId="3" applyNumberFormat="1" applyFont="1" applyBorder="1" applyAlignment="1">
      <alignment vertical="center"/>
    </xf>
    <xf numFmtId="192" fontId="22" fillId="0" borderId="6" xfId="7" applyNumberFormat="1" applyFont="1" applyBorder="1" applyAlignment="1">
      <alignment vertical="center"/>
    </xf>
    <xf numFmtId="192" fontId="22" fillId="0" borderId="2" xfId="12" applyNumberFormat="1" applyFont="1" applyBorder="1" applyAlignment="1">
      <alignment horizontal="left" vertical="center"/>
    </xf>
    <xf numFmtId="192" fontId="21" fillId="0" borderId="2" xfId="6" applyNumberFormat="1" applyFont="1" applyBorder="1" applyAlignment="1">
      <alignment vertical="center"/>
    </xf>
    <xf numFmtId="192" fontId="22" fillId="0" borderId="2" xfId="3" applyNumberFormat="1" applyFont="1" applyBorder="1" applyAlignment="1">
      <alignment horizontal="left" vertical="center"/>
    </xf>
    <xf numFmtId="192" fontId="22" fillId="0" borderId="2" xfId="3" applyNumberFormat="1" applyFont="1" applyBorder="1" applyAlignment="1">
      <alignment vertical="center"/>
    </xf>
    <xf numFmtId="192" fontId="22" fillId="0" borderId="32" xfId="6" applyNumberFormat="1" applyFont="1" applyBorder="1" applyAlignment="1">
      <alignment vertical="center"/>
    </xf>
    <xf numFmtId="193" fontId="22" fillId="0" borderId="25" xfId="7" applyNumberFormat="1" applyFont="1" applyBorder="1" applyAlignment="1">
      <alignment horizontal="center" vertical="center"/>
    </xf>
    <xf numFmtId="193" fontId="21" fillId="0" borderId="19" xfId="7" applyNumberFormat="1" applyFont="1" applyBorder="1" applyAlignment="1">
      <alignment horizontal="center" vertical="center"/>
    </xf>
    <xf numFmtId="192" fontId="21" fillId="0" borderId="20" xfId="1" applyNumberFormat="1" applyFont="1" applyFill="1" applyBorder="1" applyAlignment="1">
      <alignment vertical="center"/>
    </xf>
    <xf numFmtId="193" fontId="22" fillId="0" borderId="17" xfId="7" applyNumberFormat="1" applyFont="1" applyBorder="1" applyAlignment="1">
      <alignment horizontal="center" vertical="center"/>
    </xf>
    <xf numFmtId="193" fontId="22" fillId="0" borderId="19" xfId="14" quotePrefix="1" applyNumberFormat="1" applyFont="1" applyBorder="1" applyAlignment="1">
      <alignment horizontal="center" vertical="center"/>
    </xf>
    <xf numFmtId="192" fontId="22" fillId="0" borderId="2" xfId="4" applyNumberFormat="1" applyFont="1" applyBorder="1" applyAlignment="1">
      <alignment vertical="center"/>
    </xf>
    <xf numFmtId="1" fontId="21" fillId="0" borderId="19" xfId="7" applyNumberFormat="1" applyFont="1" applyBorder="1" applyAlignment="1">
      <alignment horizontal="center" vertical="center"/>
    </xf>
    <xf numFmtId="192" fontId="22" fillId="0" borderId="2" xfId="7" applyNumberFormat="1" applyFont="1" applyBorder="1" applyAlignment="1">
      <alignment horizontal="left" vertical="center"/>
    </xf>
    <xf numFmtId="193" fontId="22" fillId="0" borderId="23" xfId="7" applyNumberFormat="1" applyFont="1" applyBorder="1" applyAlignment="1">
      <alignment horizontal="center" vertical="center"/>
    </xf>
    <xf numFmtId="0" fontId="22" fillId="0" borderId="17" xfId="3" applyFont="1" applyBorder="1" applyAlignment="1">
      <alignment vertical="center"/>
    </xf>
    <xf numFmtId="0" fontId="21" fillId="0" borderId="2" xfId="6" applyFont="1" applyBorder="1" applyAlignment="1">
      <alignment horizontal="center" vertical="center"/>
    </xf>
    <xf numFmtId="192" fontId="21" fillId="0" borderId="1" xfId="3" applyNumberFormat="1" applyFont="1" applyBorder="1" applyAlignment="1">
      <alignment vertical="center"/>
    </xf>
    <xf numFmtId="192" fontId="22" fillId="0" borderId="20" xfId="1" applyNumberFormat="1" applyFont="1" applyFill="1" applyBorder="1" applyAlignment="1">
      <alignment horizontal="left" vertical="center"/>
    </xf>
    <xf numFmtId="0" fontId="22" fillId="0" borderId="0" xfId="3" applyFont="1" applyAlignment="1">
      <alignment vertical="center"/>
    </xf>
    <xf numFmtId="43" fontId="22" fillId="0" borderId="0" xfId="3" applyNumberFormat="1" applyFont="1" applyAlignment="1">
      <alignment horizontal="left" vertical="center"/>
    </xf>
    <xf numFmtId="43" fontId="22" fillId="0" borderId="0" xfId="3" applyNumberFormat="1" applyFont="1" applyAlignment="1">
      <alignment vertical="center"/>
    </xf>
    <xf numFmtId="43" fontId="21" fillId="0" borderId="1" xfId="1" applyFont="1" applyBorder="1" applyAlignment="1">
      <alignment vertical="center"/>
    </xf>
    <xf numFmtId="43" fontId="21" fillId="0" borderId="1" xfId="1" applyFont="1" applyBorder="1" applyAlignment="1">
      <alignment horizontal="left" vertical="center"/>
    </xf>
    <xf numFmtId="43" fontId="21" fillId="0" borderId="1" xfId="1" applyFont="1" applyBorder="1" applyAlignment="1">
      <alignment horizontal="right" vertical="center"/>
    </xf>
    <xf numFmtId="43" fontId="21" fillId="0" borderId="2" xfId="1" applyFont="1" applyBorder="1" applyAlignment="1">
      <alignment vertical="center"/>
    </xf>
    <xf numFmtId="43" fontId="21" fillId="0" borderId="2" xfId="1" applyFont="1" applyBorder="1" applyAlignment="1">
      <alignment horizontal="right" vertical="center"/>
    </xf>
    <xf numFmtId="43" fontId="22" fillId="0" borderId="2" xfId="1" applyFont="1" applyBorder="1" applyAlignment="1">
      <alignment horizontal="left" vertical="center"/>
    </xf>
    <xf numFmtId="43" fontId="21" fillId="0" borderId="2" xfId="1" applyFont="1" applyBorder="1" applyAlignment="1">
      <alignment horizontal="left" vertical="center"/>
    </xf>
    <xf numFmtId="43" fontId="21" fillId="0" borderId="0" xfId="1" applyFont="1" applyAlignment="1">
      <alignment vertical="center"/>
    </xf>
    <xf numFmtId="43" fontId="21" fillId="0" borderId="7" xfId="1" applyFont="1" applyBorder="1" applyAlignment="1">
      <alignment horizontal="center" vertical="center"/>
    </xf>
    <xf numFmtId="43" fontId="21" fillId="0" borderId="13" xfId="1" applyFont="1" applyBorder="1" applyAlignment="1">
      <alignment horizontal="center" vertical="center"/>
    </xf>
    <xf numFmtId="43" fontId="22" fillId="0" borderId="17" xfId="1" applyFont="1" applyFill="1" applyBorder="1" applyAlignment="1">
      <alignment vertical="center"/>
    </xf>
    <xf numFmtId="43" fontId="22" fillId="0" borderId="17" xfId="1" applyFont="1" applyBorder="1" applyAlignment="1">
      <alignment horizontal="center" vertical="center"/>
    </xf>
    <xf numFmtId="43" fontId="22" fillId="0" borderId="17" xfId="1" applyFont="1" applyFill="1" applyBorder="1" applyAlignment="1">
      <alignment horizontal="center" vertical="center"/>
    </xf>
    <xf numFmtId="43" fontId="21" fillId="0" borderId="17" xfId="1" applyFont="1" applyFill="1" applyBorder="1" applyAlignment="1">
      <alignment vertical="center"/>
    </xf>
    <xf numFmtId="43" fontId="22" fillId="0" borderId="19" xfId="1" applyFont="1" applyFill="1" applyBorder="1" applyAlignment="1">
      <alignment vertical="center"/>
    </xf>
    <xf numFmtId="43" fontId="22" fillId="0" borderId="19" xfId="1" applyFont="1" applyBorder="1" applyAlignment="1">
      <alignment horizontal="center" vertical="center"/>
    </xf>
    <xf numFmtId="43" fontId="22" fillId="0" borderId="19" xfId="1" applyFont="1" applyFill="1" applyBorder="1" applyAlignment="1">
      <alignment horizontal="center" vertical="center"/>
    </xf>
    <xf numFmtId="43" fontId="22" fillId="0" borderId="19" xfId="1" applyFont="1" applyBorder="1" applyAlignment="1">
      <alignment vertical="center"/>
    </xf>
    <xf numFmtId="43" fontId="21" fillId="0" borderId="19" xfId="1" applyFont="1" applyFill="1" applyBorder="1" applyAlignment="1">
      <alignment vertical="center"/>
    </xf>
    <xf numFmtId="43" fontId="22" fillId="0" borderId="23" xfId="1" applyFont="1" applyFill="1" applyBorder="1" applyAlignment="1">
      <alignment vertical="center"/>
    </xf>
    <xf numFmtId="43" fontId="22" fillId="0" borderId="23" xfId="1" applyFont="1" applyBorder="1" applyAlignment="1">
      <alignment horizontal="center" vertical="center"/>
    </xf>
    <xf numFmtId="43" fontId="22" fillId="0" borderId="23" xfId="1" applyFont="1" applyFill="1" applyBorder="1" applyAlignment="1">
      <alignment horizontal="center" vertical="center"/>
    </xf>
    <xf numFmtId="43" fontId="22" fillId="0" borderId="25" xfId="1" applyFont="1" applyBorder="1" applyAlignment="1">
      <alignment horizontal="center" vertical="center"/>
    </xf>
    <xf numFmtId="43" fontId="22" fillId="0" borderId="27" xfId="1" applyFont="1" applyFill="1" applyBorder="1" applyAlignment="1">
      <alignment vertical="center"/>
    </xf>
    <xf numFmtId="43" fontId="22" fillId="0" borderId="19" xfId="1" applyFont="1" applyFill="1" applyBorder="1" applyAlignment="1">
      <alignment horizontal="left" vertical="center"/>
    </xf>
    <xf numFmtId="43" fontId="22" fillId="0" borderId="23" xfId="1" applyFont="1" applyBorder="1" applyAlignment="1">
      <alignment vertical="center"/>
    </xf>
    <xf numFmtId="43" fontId="22" fillId="0" borderId="17" xfId="1" applyFont="1" applyBorder="1" applyAlignment="1">
      <alignment vertical="center"/>
    </xf>
    <xf numFmtId="43" fontId="22" fillId="0" borderId="25" xfId="1" applyFont="1" applyFill="1" applyBorder="1" applyAlignment="1">
      <alignment vertical="center"/>
    </xf>
    <xf numFmtId="43" fontId="21" fillId="0" borderId="19" xfId="1" applyFont="1" applyBorder="1" applyAlignment="1">
      <alignment horizontal="center" vertical="center"/>
    </xf>
    <xf numFmtId="43" fontId="22" fillId="0" borderId="25" xfId="1" applyFont="1" applyFill="1" applyBorder="1" applyAlignment="1">
      <alignment horizontal="center" vertical="center"/>
    </xf>
    <xf numFmtId="43" fontId="22" fillId="0" borderId="19" xfId="1" applyFont="1" applyBorder="1" applyAlignment="1">
      <alignment vertical="center" wrapText="1"/>
    </xf>
    <xf numFmtId="43" fontId="22" fillId="0" borderId="19" xfId="1" applyFont="1" applyFill="1" applyBorder="1" applyAlignment="1">
      <alignment horizontal="right" vertical="center"/>
    </xf>
    <xf numFmtId="43" fontId="22" fillId="0" borderId="19" xfId="1" applyFont="1" applyBorder="1" applyAlignment="1">
      <alignment horizontal="center" vertical="center" wrapText="1"/>
    </xf>
    <xf numFmtId="43" fontId="21" fillId="0" borderId="23" xfId="1" applyFont="1" applyFill="1" applyBorder="1" applyAlignment="1">
      <alignment vertical="center"/>
    </xf>
    <xf numFmtId="43" fontId="22" fillId="0" borderId="20" xfId="1" applyFont="1" applyBorder="1" applyAlignment="1">
      <alignment horizontal="center" vertical="center"/>
    </xf>
    <xf numFmtId="43" fontId="21" fillId="0" borderId="19" xfId="1" applyFont="1" applyBorder="1" applyAlignment="1">
      <alignment vertical="center"/>
    </xf>
    <xf numFmtId="43" fontId="22" fillId="0" borderId="18" xfId="1" applyFont="1" applyBorder="1" applyAlignment="1">
      <alignment vertical="center"/>
    </xf>
    <xf numFmtId="43" fontId="22" fillId="0" borderId="35" xfId="1" applyFont="1" applyFill="1" applyBorder="1" applyAlignment="1">
      <alignment vertical="center"/>
    </xf>
    <xf numFmtId="43" fontId="22" fillId="0" borderId="2" xfId="1" applyFont="1" applyFill="1" applyBorder="1" applyAlignment="1">
      <alignment vertical="center"/>
    </xf>
    <xf numFmtId="43" fontId="22" fillId="0" borderId="19" xfId="1" applyFont="1" applyBorder="1" applyAlignment="1">
      <alignment horizontal="left" vertical="center"/>
    </xf>
    <xf numFmtId="43" fontId="22" fillId="0" borderId="0" xfId="1" applyFont="1" applyAlignment="1">
      <alignment vertical="center"/>
    </xf>
    <xf numFmtId="189" fontId="21" fillId="0" borderId="1" xfId="3" applyNumberFormat="1" applyFont="1" applyBorder="1" applyAlignment="1">
      <alignment vertical="center"/>
    </xf>
    <xf numFmtId="188" fontId="21" fillId="0" borderId="1" xfId="2" applyNumberFormat="1" applyFont="1" applyBorder="1" applyAlignment="1">
      <alignment horizontal="left" vertical="center"/>
    </xf>
    <xf numFmtId="188" fontId="21" fillId="0" borderId="1" xfId="2" applyNumberFormat="1" applyFont="1" applyBorder="1" applyAlignment="1">
      <alignment horizontal="right" vertical="center"/>
    </xf>
    <xf numFmtId="0" fontId="22" fillId="0" borderId="1" xfId="2" applyFont="1" applyBorder="1" applyAlignment="1">
      <alignment horizontal="left" vertical="center"/>
    </xf>
    <xf numFmtId="189" fontId="21" fillId="0" borderId="2" xfId="3" applyNumberFormat="1" applyFont="1" applyBorder="1" applyAlignment="1">
      <alignment vertical="center"/>
    </xf>
    <xf numFmtId="188" fontId="21" fillId="0" borderId="2" xfId="2" applyNumberFormat="1" applyFont="1" applyBorder="1" applyAlignment="1">
      <alignment vertical="center"/>
    </xf>
    <xf numFmtId="0" fontId="21" fillId="0" borderId="2" xfId="2" applyFont="1" applyBorder="1" applyAlignment="1">
      <alignment horizontal="right" vertical="center"/>
    </xf>
    <xf numFmtId="190" fontId="22" fillId="0" borderId="2" xfId="2" applyNumberFormat="1" applyFont="1" applyBorder="1" applyAlignment="1">
      <alignment horizontal="left" vertical="center"/>
    </xf>
    <xf numFmtId="191" fontId="21" fillId="0" borderId="2" xfId="2" applyNumberFormat="1" applyFont="1" applyBorder="1" applyAlignment="1">
      <alignment horizontal="left" vertical="center"/>
    </xf>
    <xf numFmtId="188" fontId="21" fillId="0" borderId="2" xfId="2" applyNumberFormat="1" applyFont="1" applyBorder="1" applyAlignment="1">
      <alignment horizontal="right" vertical="center"/>
    </xf>
    <xf numFmtId="0" fontId="22" fillId="0" borderId="2" xfId="2" applyFont="1" applyBorder="1" applyAlignment="1">
      <alignment horizontal="left" vertical="center"/>
    </xf>
    <xf numFmtId="191" fontId="21" fillId="0" borderId="2" xfId="2" applyNumberFormat="1" applyFont="1" applyBorder="1" applyAlignment="1">
      <alignment vertical="center"/>
    </xf>
    <xf numFmtId="0" fontId="21" fillId="0" borderId="0" xfId="3" applyFont="1" applyAlignment="1">
      <alignment horizontal="center" vertical="center"/>
    </xf>
    <xf numFmtId="189" fontId="21" fillId="0" borderId="0" xfId="3" applyNumberFormat="1" applyFont="1" applyAlignment="1">
      <alignment vertical="center"/>
    </xf>
    <xf numFmtId="0" fontId="21" fillId="0" borderId="7" xfId="3" applyFont="1" applyBorder="1" applyAlignment="1">
      <alignment horizontal="center" vertical="center"/>
    </xf>
    <xf numFmtId="0" fontId="21" fillId="0" borderId="13" xfId="3" applyFont="1" applyBorder="1" applyAlignment="1">
      <alignment horizontal="center" vertical="center"/>
    </xf>
    <xf numFmtId="189" fontId="21" fillId="0" borderId="13" xfId="3" applyNumberFormat="1" applyFont="1" applyBorder="1" applyAlignment="1">
      <alignment horizontal="center" vertical="center"/>
    </xf>
    <xf numFmtId="188" fontId="21" fillId="0" borderId="13" xfId="2" applyNumberFormat="1" applyFont="1" applyBorder="1" applyAlignment="1">
      <alignment horizontal="center" vertical="center"/>
    </xf>
    <xf numFmtId="0" fontId="22" fillId="0" borderId="17" xfId="3" applyFont="1" applyBorder="1" applyAlignment="1">
      <alignment horizontal="center" vertical="center"/>
    </xf>
    <xf numFmtId="192" fontId="21" fillId="0" borderId="15" xfId="4" applyNumberFormat="1" applyFont="1" applyBorder="1" applyAlignment="1">
      <alignment horizontal="left" vertical="center"/>
    </xf>
    <xf numFmtId="0" fontId="22" fillId="0" borderId="19" xfId="8" applyFont="1" applyBorder="1" applyAlignment="1">
      <alignment horizontal="center" vertical="center"/>
    </xf>
    <xf numFmtId="43" fontId="21" fillId="0" borderId="18" xfId="4" applyNumberFormat="1" applyFont="1" applyBorder="1" applyAlignment="1">
      <alignment horizontal="left" vertical="center"/>
    </xf>
    <xf numFmtId="195" fontId="22" fillId="0" borderId="2" xfId="4" applyNumberFormat="1" applyFont="1" applyBorder="1" applyAlignment="1">
      <alignment horizontal="left" vertical="center"/>
    </xf>
    <xf numFmtId="192" fontId="22" fillId="0" borderId="18" xfId="8" quotePrefix="1" applyNumberFormat="1" applyFont="1" applyBorder="1" applyAlignment="1">
      <alignment horizontal="left" vertical="center"/>
    </xf>
    <xf numFmtId="192" fontId="22" fillId="0" borderId="2" xfId="4" applyNumberFormat="1" applyFont="1" applyBorder="1" applyAlignment="1">
      <alignment horizontal="left" vertical="center"/>
    </xf>
    <xf numFmtId="192" fontId="22" fillId="0" borderId="18" xfId="8" applyNumberFormat="1" applyFont="1" applyBorder="1" applyAlignment="1">
      <alignment horizontal="left" vertical="center"/>
    </xf>
    <xf numFmtId="195" fontId="22" fillId="0" borderId="18" xfId="8" applyNumberFormat="1" applyFont="1" applyBorder="1" applyAlignment="1">
      <alignment horizontal="left" vertical="center"/>
    </xf>
    <xf numFmtId="195" fontId="22" fillId="0" borderId="2" xfId="3" applyNumberFormat="1" applyFont="1" applyBorder="1" applyAlignment="1">
      <alignment horizontal="center" vertical="center"/>
    </xf>
    <xf numFmtId="195" fontId="22" fillId="0" borderId="18" xfId="8" quotePrefix="1" applyNumberFormat="1" applyFont="1" applyBorder="1" applyAlignment="1">
      <alignment horizontal="left" vertical="center"/>
    </xf>
    <xf numFmtId="43" fontId="22" fillId="0" borderId="18" xfId="4" applyNumberFormat="1" applyFont="1" applyBorder="1" applyAlignment="1">
      <alignment horizontal="left" vertical="center"/>
    </xf>
    <xf numFmtId="43" fontId="21" fillId="0" borderId="20" xfId="4" applyNumberFormat="1" applyFont="1" applyBorder="1" applyAlignment="1">
      <alignment vertical="center"/>
    </xf>
    <xf numFmtId="195" fontId="22" fillId="0" borderId="18" xfId="4" applyNumberFormat="1" applyFont="1" applyBorder="1" applyAlignment="1">
      <alignment horizontal="left" vertical="center"/>
    </xf>
    <xf numFmtId="195" fontId="22" fillId="0" borderId="2" xfId="6" applyNumberFormat="1" applyFont="1" applyBorder="1" applyAlignment="1">
      <alignment vertical="center"/>
    </xf>
    <xf numFmtId="195" fontId="22" fillId="0" borderId="18" xfId="3" applyNumberFormat="1" applyFont="1" applyBorder="1" applyAlignment="1">
      <alignment horizontal="left" vertical="center"/>
    </xf>
    <xf numFmtId="0" fontId="22" fillId="0" borderId="20" xfId="3" applyFont="1" applyBorder="1" applyAlignment="1">
      <alignment vertical="center"/>
    </xf>
    <xf numFmtId="0" fontId="22" fillId="0" borderId="2" xfId="3" applyFont="1" applyBorder="1" applyAlignment="1">
      <alignment horizontal="center" vertical="center"/>
    </xf>
    <xf numFmtId="0" fontId="22" fillId="0" borderId="2" xfId="3" applyFont="1" applyBorder="1" applyAlignment="1">
      <alignment vertical="center"/>
    </xf>
    <xf numFmtId="0" fontId="22" fillId="0" borderId="18" xfId="3" applyFont="1" applyBorder="1" applyAlignment="1">
      <alignment horizontal="left" vertical="center"/>
    </xf>
    <xf numFmtId="0" fontId="21" fillId="0" borderId="20" xfId="3" applyFont="1" applyBorder="1" applyAlignment="1">
      <alignment vertical="center"/>
    </xf>
    <xf numFmtId="192" fontId="21" fillId="0" borderId="18" xfId="4" applyNumberFormat="1" applyFont="1" applyBorder="1" applyAlignment="1">
      <alignment horizontal="center" vertical="center"/>
    </xf>
    <xf numFmtId="192" fontId="21" fillId="0" borderId="2" xfId="4" applyNumberFormat="1" applyFont="1" applyBorder="1" applyAlignment="1">
      <alignment horizontal="center" vertical="center"/>
    </xf>
    <xf numFmtId="192" fontId="21" fillId="0" borderId="20" xfId="4" applyNumberFormat="1" applyFont="1" applyBorder="1" applyAlignment="1">
      <alignment horizontal="center" vertical="center"/>
    </xf>
    <xf numFmtId="1" fontId="21" fillId="0" borderId="19" xfId="4" applyNumberFormat="1" applyFont="1" applyBorder="1" applyAlignment="1">
      <alignment horizontal="center" vertical="center"/>
    </xf>
    <xf numFmtId="192" fontId="21" fillId="0" borderId="18" xfId="4" applyNumberFormat="1" applyFont="1" applyBorder="1" applyAlignment="1">
      <alignment horizontal="left" vertical="center"/>
    </xf>
    <xf numFmtId="192" fontId="21" fillId="0" borderId="2" xfId="4" applyNumberFormat="1" applyFont="1" applyBorder="1" applyAlignment="1">
      <alignment horizontal="left" vertical="center"/>
    </xf>
    <xf numFmtId="43" fontId="21" fillId="0" borderId="19" xfId="1" applyFont="1" applyFill="1" applyBorder="1" applyAlignment="1">
      <alignment horizontal="center" vertical="center"/>
    </xf>
    <xf numFmtId="193" fontId="22" fillId="0" borderId="19" xfId="4" applyNumberFormat="1" applyFont="1" applyBorder="1" applyAlignment="1">
      <alignment horizontal="center" vertical="center"/>
    </xf>
    <xf numFmtId="192" fontId="22" fillId="0" borderId="18" xfId="4" quotePrefix="1" applyNumberFormat="1" applyFont="1" applyBorder="1" applyAlignment="1">
      <alignment horizontal="left" vertical="center"/>
    </xf>
    <xf numFmtId="0" fontId="22" fillId="0" borderId="18" xfId="0" applyFont="1" applyBorder="1" applyAlignment="1">
      <alignment horizontal="center" vertical="center"/>
    </xf>
    <xf numFmtId="192" fontId="22" fillId="0" borderId="18" xfId="4" quotePrefix="1" applyNumberFormat="1" applyFont="1" applyBorder="1" applyAlignment="1">
      <alignment horizontal="center" vertical="center"/>
    </xf>
    <xf numFmtId="192" fontId="22" fillId="0" borderId="18" xfId="4" applyNumberFormat="1" applyFont="1" applyBorder="1" applyAlignment="1">
      <alignment horizontal="left" vertical="center"/>
    </xf>
    <xf numFmtId="0" fontId="22" fillId="0" borderId="18" xfId="4" applyFont="1" applyBorder="1" applyAlignment="1">
      <alignment vertical="center"/>
    </xf>
    <xf numFmtId="2" fontId="22" fillId="0" borderId="19" xfId="4" applyNumberFormat="1" applyFont="1" applyBorder="1" applyAlignment="1">
      <alignment horizontal="center" vertical="center"/>
    </xf>
    <xf numFmtId="192" fontId="22" fillId="0" borderId="18" xfId="0" applyNumberFormat="1" applyFont="1" applyBorder="1" applyAlignment="1">
      <alignment horizontal="left" vertical="center"/>
    </xf>
    <xf numFmtId="191" fontId="22" fillId="0" borderId="18" xfId="0" applyNumberFormat="1" applyFont="1" applyBorder="1" applyAlignment="1">
      <alignment vertical="center"/>
    </xf>
    <xf numFmtId="192" fontId="22" fillId="0" borderId="18" xfId="4" applyNumberFormat="1" applyFont="1" applyBorder="1" applyAlignment="1">
      <alignment horizontal="center" vertical="center"/>
    </xf>
    <xf numFmtId="192" fontId="21" fillId="0" borderId="18" xfId="4" applyNumberFormat="1" applyFont="1" applyBorder="1" applyAlignment="1">
      <alignment vertical="center"/>
    </xf>
    <xf numFmtId="192" fontId="21" fillId="0" borderId="2" xfId="4" applyNumberFormat="1" applyFont="1" applyBorder="1" applyAlignment="1">
      <alignment vertical="center"/>
    </xf>
    <xf numFmtId="192" fontId="21" fillId="0" borderId="20" xfId="4" applyNumberFormat="1" applyFont="1" applyBorder="1" applyAlignment="1">
      <alignment vertical="center"/>
    </xf>
    <xf numFmtId="192" fontId="22" fillId="0" borderId="20" xfId="4" applyNumberFormat="1" applyFont="1" applyBorder="1" applyAlignment="1">
      <alignment vertical="center" wrapText="1"/>
    </xf>
    <xf numFmtId="192" fontId="22" fillId="0" borderId="2" xfId="4" applyNumberFormat="1" applyFont="1" applyBorder="1" applyAlignment="1">
      <alignment vertical="center" wrapText="1"/>
    </xf>
    <xf numFmtId="0" fontId="22" fillId="0" borderId="18" xfId="4" applyFont="1" applyBorder="1" applyAlignment="1">
      <alignment horizontal="center" vertical="center"/>
    </xf>
    <xf numFmtId="43" fontId="22" fillId="0" borderId="19" xfId="1" quotePrefix="1" applyFont="1" applyBorder="1" applyAlignment="1">
      <alignment horizontal="center" vertical="center"/>
    </xf>
    <xf numFmtId="0" fontId="22" fillId="0" borderId="18" xfId="0" applyFont="1" applyBorder="1" applyAlignment="1">
      <alignment vertical="center"/>
    </xf>
    <xf numFmtId="2" fontId="22" fillId="0" borderId="21" xfId="3" applyNumberFormat="1" applyFont="1" applyBorder="1" applyAlignment="1">
      <alignment horizontal="center" vertical="center"/>
    </xf>
    <xf numFmtId="43" fontId="21" fillId="0" borderId="23" xfId="1" applyFont="1" applyBorder="1" applyAlignment="1">
      <alignment vertical="center"/>
    </xf>
    <xf numFmtId="192" fontId="22" fillId="0" borderId="1" xfId="4" applyNumberFormat="1" applyFont="1" applyBorder="1" applyAlignment="1">
      <alignment horizontal="left" vertical="center"/>
    </xf>
    <xf numFmtId="189" fontId="22" fillId="0" borderId="25" xfId="5" applyNumberFormat="1" applyFont="1" applyFill="1" applyBorder="1" applyAlignment="1">
      <alignment vertical="center"/>
    </xf>
    <xf numFmtId="0" fontId="22" fillId="0" borderId="25" xfId="3" applyFont="1" applyBorder="1" applyAlignment="1">
      <alignment horizontal="center" vertical="center"/>
    </xf>
    <xf numFmtId="189" fontId="22" fillId="0" borderId="25" xfId="5" applyNumberFormat="1" applyFont="1" applyFill="1" applyBorder="1" applyAlignment="1">
      <alignment horizontal="center" vertical="center"/>
    </xf>
    <xf numFmtId="43" fontId="22" fillId="0" borderId="25" xfId="5" applyFont="1" applyFill="1" applyBorder="1" applyAlignment="1">
      <alignment vertical="center"/>
    </xf>
    <xf numFmtId="43" fontId="22" fillId="0" borderId="25" xfId="5" applyFont="1" applyFill="1" applyBorder="1" applyAlignment="1">
      <alignment horizontal="center" vertical="center"/>
    </xf>
    <xf numFmtId="189" fontId="22" fillId="0" borderId="25" xfId="6" applyNumberFormat="1" applyFont="1" applyBorder="1" applyAlignment="1">
      <alignment vertical="center"/>
    </xf>
    <xf numFmtId="189" fontId="22" fillId="0" borderId="19" xfId="5" applyNumberFormat="1" applyFont="1" applyFill="1" applyBorder="1" applyAlignment="1">
      <alignment vertical="center"/>
    </xf>
    <xf numFmtId="43" fontId="22" fillId="0" borderId="19" xfId="5" applyFont="1" applyFill="1" applyBorder="1" applyAlignment="1">
      <alignment vertical="center"/>
    </xf>
    <xf numFmtId="43" fontId="22" fillId="0" borderId="19" xfId="5" applyFont="1" applyFill="1" applyBorder="1" applyAlignment="1">
      <alignment horizontal="center" vertical="center"/>
    </xf>
    <xf numFmtId="189" fontId="22" fillId="0" borderId="19" xfId="6" applyNumberFormat="1" applyFont="1" applyBorder="1" applyAlignment="1">
      <alignment vertical="center"/>
    </xf>
    <xf numFmtId="1" fontId="21" fillId="0" borderId="19" xfId="3" applyNumberFormat="1" applyFont="1" applyBorder="1" applyAlignment="1">
      <alignment horizontal="center" vertical="center"/>
    </xf>
    <xf numFmtId="189" fontId="22" fillId="0" borderId="19" xfId="5" applyNumberFormat="1" applyFont="1" applyFill="1" applyBorder="1" applyAlignment="1">
      <alignment horizontal="center" vertical="center"/>
    </xf>
    <xf numFmtId="195" fontId="22" fillId="0" borderId="2" xfId="3" applyNumberFormat="1" applyFont="1" applyBorder="1" applyAlignment="1">
      <alignment vertical="center"/>
    </xf>
    <xf numFmtId="192" fontId="22" fillId="0" borderId="2" xfId="37" applyNumberFormat="1" applyFont="1" applyBorder="1" applyAlignment="1">
      <alignment vertical="center"/>
    </xf>
    <xf numFmtId="189" fontId="22" fillId="0" borderId="19" xfId="37" applyNumberFormat="1" applyFont="1" applyBorder="1" applyAlignment="1">
      <alignment vertical="center"/>
    </xf>
    <xf numFmtId="189" fontId="22" fillId="0" borderId="19" xfId="37" applyNumberFormat="1" applyFont="1" applyBorder="1" applyAlignment="1">
      <alignment horizontal="center" vertical="center"/>
    </xf>
    <xf numFmtId="189" fontId="22" fillId="0" borderId="19" xfId="0" applyNumberFormat="1" applyFont="1" applyBorder="1" applyAlignment="1">
      <alignment vertical="center"/>
    </xf>
    <xf numFmtId="195" fontId="22" fillId="0" borderId="2" xfId="37" applyNumberFormat="1" applyFont="1" applyBorder="1" applyAlignment="1">
      <alignment vertical="center"/>
    </xf>
    <xf numFmtId="193" fontId="21" fillId="0" borderId="19" xfId="3" applyNumberFormat="1" applyFont="1" applyBorder="1" applyAlignment="1">
      <alignment horizontal="center" vertical="center"/>
    </xf>
    <xf numFmtId="193" fontId="21" fillId="0" borderId="18" xfId="7" applyNumberFormat="1" applyFont="1" applyBorder="1" applyAlignment="1">
      <alignment horizontal="center" vertical="center"/>
    </xf>
    <xf numFmtId="195" fontId="21" fillId="0" borderId="18" xfId="3" applyNumberFormat="1" applyFont="1" applyBorder="1" applyAlignment="1">
      <alignment horizontal="left" vertical="center"/>
    </xf>
    <xf numFmtId="189" fontId="22" fillId="0" borderId="19" xfId="6" applyNumberFormat="1" applyFont="1" applyBorder="1" applyAlignment="1">
      <alignment horizontal="center" vertical="center"/>
    </xf>
    <xf numFmtId="189" fontId="21" fillId="0" borderId="19" xfId="3" applyNumberFormat="1" applyFont="1" applyBorder="1" applyAlignment="1">
      <alignment horizontal="center" vertical="center"/>
    </xf>
    <xf numFmtId="43" fontId="21" fillId="0" borderId="19" xfId="5" applyFont="1" applyFill="1" applyBorder="1" applyAlignment="1">
      <alignment vertical="center"/>
    </xf>
    <xf numFmtId="0" fontId="21" fillId="0" borderId="19" xfId="3" applyFont="1" applyBorder="1" applyAlignment="1">
      <alignment horizontal="center" vertical="center"/>
    </xf>
    <xf numFmtId="43" fontId="21" fillId="0" borderId="19" xfId="5" applyFont="1" applyFill="1" applyBorder="1" applyAlignment="1">
      <alignment horizontal="center" vertical="center"/>
    </xf>
    <xf numFmtId="43" fontId="21" fillId="0" borderId="19" xfId="3" applyNumberFormat="1" applyFont="1" applyBorder="1" applyAlignment="1">
      <alignment horizontal="center" vertical="center"/>
    </xf>
    <xf numFmtId="189" fontId="22" fillId="0" borderId="19" xfId="3" applyNumberFormat="1" applyFont="1" applyBorder="1" applyAlignment="1">
      <alignment horizontal="center" vertical="center"/>
    </xf>
    <xf numFmtId="189" fontId="21" fillId="0" borderId="19" xfId="5" applyNumberFormat="1" applyFont="1" applyFill="1" applyBorder="1" applyAlignment="1">
      <alignment vertical="center"/>
    </xf>
    <xf numFmtId="189" fontId="22" fillId="0" borderId="19" xfId="3" quotePrefix="1" applyNumberFormat="1" applyFont="1" applyBorder="1" applyAlignment="1">
      <alignment horizontal="center" vertical="center"/>
    </xf>
    <xf numFmtId="189" fontId="22" fillId="0" borderId="19" xfId="1" applyNumberFormat="1" applyFont="1" applyFill="1" applyBorder="1" applyAlignment="1">
      <alignment vertical="center"/>
    </xf>
    <xf numFmtId="43" fontId="22" fillId="0" borderId="19" xfId="6" applyNumberFormat="1" applyFont="1" applyBorder="1" applyAlignment="1">
      <alignment vertical="center"/>
    </xf>
    <xf numFmtId="189" fontId="21" fillId="0" borderId="19" xfId="6" applyNumberFormat="1" applyFont="1" applyBorder="1" applyAlignment="1">
      <alignment vertical="center"/>
    </xf>
    <xf numFmtId="43" fontId="22" fillId="0" borderId="19" xfId="37" applyNumberFormat="1" applyFont="1" applyBorder="1" applyAlignment="1">
      <alignment vertical="center"/>
    </xf>
    <xf numFmtId="0" fontId="22" fillId="0" borderId="19" xfId="3" quotePrefix="1" applyFont="1" applyBorder="1" applyAlignment="1">
      <alignment horizontal="center" vertical="center"/>
    </xf>
    <xf numFmtId="191" fontId="22" fillId="0" borderId="19" xfId="1" applyNumberFormat="1" applyFont="1" applyFill="1" applyBorder="1" applyAlignment="1">
      <alignment vertical="center"/>
    </xf>
    <xf numFmtId="192" fontId="22" fillId="0" borderId="18" xfId="8" applyNumberFormat="1" applyFont="1" applyBorder="1" applyAlignment="1">
      <alignment vertical="center"/>
    </xf>
    <xf numFmtId="193" fontId="21" fillId="0" borderId="18" xfId="3" applyNumberFormat="1" applyFont="1" applyBorder="1" applyAlignment="1">
      <alignment horizontal="center" vertical="center"/>
    </xf>
    <xf numFmtId="193" fontId="21" fillId="0" borderId="18" xfId="6" applyNumberFormat="1" applyFont="1" applyBorder="1" applyAlignment="1">
      <alignment horizontal="center" vertical="center"/>
    </xf>
    <xf numFmtId="192" fontId="21" fillId="0" borderId="18" xfId="8" applyNumberFormat="1" applyFont="1" applyBorder="1" applyAlignment="1">
      <alignment vertical="center"/>
    </xf>
    <xf numFmtId="0" fontId="22" fillId="0" borderId="23" xfId="3" applyFont="1" applyBorder="1" applyAlignment="1">
      <alignment horizontal="center" vertical="center"/>
    </xf>
    <xf numFmtId="0" fontId="22" fillId="0" borderId="3" xfId="3" applyFont="1" applyBorder="1" applyAlignment="1">
      <alignment horizontal="center" vertical="center"/>
    </xf>
    <xf numFmtId="0" fontId="22" fillId="0" borderId="22" xfId="3" applyFont="1" applyBorder="1" applyAlignment="1">
      <alignment vertical="center"/>
    </xf>
    <xf numFmtId="189" fontId="22" fillId="0" borderId="23" xfId="5" applyNumberFormat="1" applyFont="1" applyFill="1" applyBorder="1" applyAlignment="1">
      <alignment vertical="center"/>
    </xf>
    <xf numFmtId="43" fontId="22" fillId="0" borderId="23" xfId="5" applyFont="1" applyFill="1" applyBorder="1" applyAlignment="1">
      <alignment vertical="center"/>
    </xf>
    <xf numFmtId="43" fontId="22" fillId="0" borderId="23" xfId="5" applyFont="1" applyFill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189" fontId="22" fillId="0" borderId="0" xfId="3" applyNumberFormat="1" applyFont="1" applyAlignment="1">
      <alignment vertical="center"/>
    </xf>
    <xf numFmtId="0" fontId="21" fillId="0" borderId="18" xfId="4" applyFont="1" applyBorder="1" applyAlignment="1">
      <alignment horizontal="left" vertical="center"/>
    </xf>
    <xf numFmtId="0" fontId="22" fillId="0" borderId="18" xfId="8" applyFont="1" applyBorder="1" applyAlignment="1">
      <alignment horizontal="left" vertical="center"/>
    </xf>
    <xf numFmtId="0" fontId="22" fillId="0" borderId="18" xfId="4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1" fillId="0" borderId="18" xfId="4" applyFont="1" applyBorder="1" applyAlignment="1">
      <alignment horizontal="center" vertical="center"/>
    </xf>
    <xf numFmtId="0" fontId="21" fillId="0" borderId="18" xfId="3" applyFont="1" applyBorder="1" applyAlignment="1">
      <alignment horizontal="left" vertical="center"/>
    </xf>
    <xf numFmtId="0" fontId="22" fillId="0" borderId="18" xfId="7" applyFont="1" applyBorder="1" applyAlignment="1">
      <alignment vertical="center"/>
    </xf>
    <xf numFmtId="0" fontId="22" fillId="0" borderId="2" xfId="7" applyFont="1" applyBorder="1" applyAlignment="1">
      <alignment vertical="center"/>
    </xf>
    <xf numFmtId="0" fontId="22" fillId="0" borderId="18" xfId="8" applyFont="1" applyBorder="1" applyAlignment="1">
      <alignment vertical="center"/>
    </xf>
    <xf numFmtId="0" fontId="21" fillId="0" borderId="11" xfId="3" applyFont="1" applyBorder="1" applyAlignment="1">
      <alignment vertical="center"/>
    </xf>
    <xf numFmtId="43" fontId="21" fillId="0" borderId="14" xfId="4" applyNumberFormat="1" applyFont="1" applyBorder="1" applyAlignment="1">
      <alignment horizontal="left" vertical="center"/>
    </xf>
    <xf numFmtId="43" fontId="22" fillId="0" borderId="18" xfId="0" applyNumberFormat="1" applyFont="1" applyBorder="1" applyAlignment="1">
      <alignment vertical="center"/>
    </xf>
    <xf numFmtId="43" fontId="22" fillId="0" borderId="18" xfId="3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/>
    </xf>
    <xf numFmtId="43" fontId="21" fillId="0" borderId="18" xfId="7" applyNumberFormat="1" applyFont="1" applyBorder="1" applyAlignment="1">
      <alignment horizontal="left" vertical="center"/>
    </xf>
    <xf numFmtId="43" fontId="21" fillId="0" borderId="2" xfId="7" applyNumberFormat="1" applyFont="1" applyBorder="1" applyAlignment="1">
      <alignment horizontal="left" vertical="center"/>
    </xf>
    <xf numFmtId="2" fontId="22" fillId="0" borderId="19" xfId="8" applyNumberFormat="1" applyFont="1" applyBorder="1" applyAlignment="1">
      <alignment horizontal="center" vertical="center"/>
    </xf>
    <xf numFmtId="43" fontId="22" fillId="0" borderId="18" xfId="8" applyNumberFormat="1" applyFont="1" applyBorder="1" applyAlignment="1">
      <alignment vertical="center"/>
    </xf>
    <xf numFmtId="43" fontId="22" fillId="0" borderId="2" xfId="1" applyFont="1" applyBorder="1" applyAlignment="1">
      <alignment horizontal="center" vertical="center"/>
    </xf>
    <xf numFmtId="43" fontId="22" fillId="0" borderId="18" xfId="41" applyFont="1" applyFill="1" applyBorder="1" applyAlignment="1">
      <alignment vertical="center"/>
    </xf>
    <xf numFmtId="43" fontId="22" fillId="0" borderId="2" xfId="41" applyFont="1" applyFill="1" applyBorder="1" applyAlignment="1">
      <alignment vertical="center"/>
    </xf>
    <xf numFmtId="43" fontId="22" fillId="0" borderId="40" xfId="1" applyFont="1" applyBorder="1" applyAlignment="1">
      <alignment horizontal="center" vertical="center"/>
    </xf>
    <xf numFmtId="0" fontId="22" fillId="0" borderId="18" xfId="14" applyFont="1" applyBorder="1" applyAlignment="1">
      <alignment horizontal="center" vertical="center"/>
    </xf>
    <xf numFmtId="192" fontId="22" fillId="0" borderId="18" xfId="49" applyNumberFormat="1" applyFont="1" applyBorder="1" applyAlignment="1">
      <alignment horizontal="center" vertical="center"/>
    </xf>
    <xf numFmtId="192" fontId="22" fillId="0" borderId="2" xfId="49" applyNumberFormat="1" applyFont="1" applyBorder="1" applyAlignment="1">
      <alignment vertical="center"/>
    </xf>
    <xf numFmtId="43" fontId="22" fillId="0" borderId="18" xfId="1" applyFont="1" applyFill="1" applyBorder="1" applyAlignment="1">
      <alignment horizontal="center" vertical="center"/>
    </xf>
    <xf numFmtId="43" fontId="22" fillId="0" borderId="18" xfId="1" applyFont="1" applyFill="1" applyBorder="1" applyAlignment="1">
      <alignment vertical="center"/>
    </xf>
    <xf numFmtId="43" fontId="22" fillId="0" borderId="20" xfId="1" applyFont="1" applyFill="1" applyBorder="1" applyAlignment="1">
      <alignment vertical="center"/>
    </xf>
    <xf numFmtId="43" fontId="21" fillId="0" borderId="18" xfId="41" applyFont="1" applyFill="1" applyBorder="1" applyAlignment="1">
      <alignment vertical="center"/>
    </xf>
    <xf numFmtId="43" fontId="21" fillId="0" borderId="18" xfId="3" applyNumberFormat="1" applyFont="1" applyBorder="1" applyAlignment="1">
      <alignment horizontal="left" vertical="center"/>
    </xf>
    <xf numFmtId="43" fontId="21" fillId="0" borderId="2" xfId="3" applyNumberFormat="1" applyFont="1" applyBorder="1" applyAlignment="1">
      <alignment horizontal="left" vertical="center"/>
    </xf>
    <xf numFmtId="43" fontId="21" fillId="0" borderId="18" xfId="3" applyNumberFormat="1" applyFont="1" applyBorder="1" applyAlignment="1">
      <alignment horizontal="center" vertical="center"/>
    </xf>
    <xf numFmtId="43" fontId="21" fillId="0" borderId="2" xfId="3" applyNumberFormat="1" applyFont="1" applyBorder="1" applyAlignment="1">
      <alignment horizontal="center" vertical="center"/>
    </xf>
    <xf numFmtId="193" fontId="22" fillId="0" borderId="19" xfId="8" applyNumberFormat="1" applyFont="1" applyBorder="1" applyAlignment="1">
      <alignment horizontal="center" vertical="center"/>
    </xf>
    <xf numFmtId="43" fontId="22" fillId="0" borderId="2" xfId="7" applyNumberFormat="1" applyFont="1" applyBorder="1" applyAlignment="1">
      <alignment vertical="center"/>
    </xf>
    <xf numFmtId="43" fontId="22" fillId="0" borderId="18" xfId="8" quotePrefix="1" applyNumberFormat="1" applyFont="1" applyBorder="1" applyAlignment="1">
      <alignment vertical="center"/>
    </xf>
    <xf numFmtId="193" fontId="22" fillId="0" borderId="19" xfId="3" applyNumberFormat="1" applyFont="1" applyBorder="1" applyAlignment="1">
      <alignment horizontal="center" vertical="center"/>
    </xf>
    <xf numFmtId="43" fontId="22" fillId="0" borderId="18" xfId="3" applyNumberFormat="1" applyFont="1" applyBorder="1" applyAlignment="1">
      <alignment horizontal="left" vertical="center"/>
    </xf>
    <xf numFmtId="43" fontId="22" fillId="0" borderId="18" xfId="6" applyNumberFormat="1" applyFont="1" applyBorder="1" applyAlignment="1">
      <alignment vertical="center"/>
    </xf>
    <xf numFmtId="43" fontId="22" fillId="0" borderId="18" xfId="7" applyNumberFormat="1" applyFont="1" applyBorder="1" applyAlignment="1">
      <alignment horizontal="left" vertical="center"/>
    </xf>
    <xf numFmtId="191" fontId="22" fillId="0" borderId="18" xfId="41" applyNumberFormat="1" applyFont="1" applyFill="1" applyBorder="1" applyAlignment="1">
      <alignment vertical="center"/>
    </xf>
    <xf numFmtId="191" fontId="22" fillId="0" borderId="2" xfId="41" applyNumberFormat="1" applyFont="1" applyFill="1" applyBorder="1" applyAlignment="1">
      <alignment vertical="center"/>
    </xf>
    <xf numFmtId="0" fontId="21" fillId="0" borderId="2" xfId="3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/>
    </xf>
    <xf numFmtId="0" fontId="22" fillId="0" borderId="2" xfId="3" applyFont="1" applyBorder="1" applyAlignment="1">
      <alignment horizontal="left" vertical="center"/>
    </xf>
    <xf numFmtId="0" fontId="22" fillId="0" borderId="20" xfId="3" applyFont="1" applyBorder="1" applyAlignment="1">
      <alignment horizontal="left" vertical="center"/>
    </xf>
    <xf numFmtId="199" fontId="22" fillId="0" borderId="19" xfId="5" applyNumberFormat="1" applyFont="1" applyFill="1" applyBorder="1" applyAlignment="1">
      <alignment vertical="center"/>
    </xf>
    <xf numFmtId="43" fontId="21" fillId="0" borderId="19" xfId="6" applyNumberFormat="1" applyFont="1" applyBorder="1" applyAlignment="1">
      <alignment vertical="center"/>
    </xf>
    <xf numFmtId="0" fontId="22" fillId="0" borderId="21" xfId="9" applyFont="1" applyBorder="1" applyAlignment="1">
      <alignment horizontal="center" vertical="center"/>
    </xf>
    <xf numFmtId="191" fontId="22" fillId="0" borderId="23" xfId="1" applyNumberFormat="1" applyFont="1" applyFill="1" applyBorder="1" applyAlignment="1">
      <alignment vertical="center"/>
    </xf>
    <xf numFmtId="189" fontId="22" fillId="0" borderId="23" xfId="6" applyNumberFormat="1" applyFont="1" applyBorder="1" applyAlignment="1">
      <alignment horizontal="center" vertical="center"/>
    </xf>
    <xf numFmtId="189" fontId="22" fillId="0" borderId="23" xfId="0" applyNumberFormat="1" applyFont="1" applyBorder="1" applyAlignment="1">
      <alignment vertical="center"/>
    </xf>
    <xf numFmtId="189" fontId="22" fillId="0" borderId="23" xfId="6" applyNumberFormat="1" applyFont="1" applyBorder="1" applyAlignment="1">
      <alignment vertical="center"/>
    </xf>
    <xf numFmtId="0" fontId="22" fillId="0" borderId="18" xfId="9" applyFont="1" applyBorder="1" applyAlignment="1">
      <alignment horizontal="center" vertical="center"/>
    </xf>
    <xf numFmtId="189" fontId="22" fillId="0" borderId="2" xfId="1" applyNumberFormat="1" applyFont="1" applyFill="1" applyBorder="1" applyAlignment="1">
      <alignment vertical="center"/>
    </xf>
    <xf numFmtId="0" fontId="22" fillId="0" borderId="19" xfId="7" applyFont="1" applyBorder="1" applyAlignment="1">
      <alignment horizontal="centerContinuous" vertical="center"/>
    </xf>
    <xf numFmtId="189" fontId="22" fillId="0" borderId="19" xfId="1" applyNumberFormat="1" applyFont="1" applyFill="1" applyBorder="1" applyAlignment="1">
      <alignment horizontal="center" vertical="center"/>
    </xf>
    <xf numFmtId="191" fontId="22" fillId="0" borderId="19" xfId="4" applyNumberFormat="1" applyFont="1" applyBorder="1" applyAlignment="1">
      <alignment vertical="center"/>
    </xf>
    <xf numFmtId="0" fontId="22" fillId="0" borderId="18" xfId="7" applyFont="1" applyBorder="1" applyAlignment="1">
      <alignment horizontal="center" vertical="center"/>
    </xf>
    <xf numFmtId="0" fontId="22" fillId="0" borderId="18" xfId="7" applyFont="1" applyBorder="1" applyAlignment="1">
      <alignment horizontal="left" vertical="center"/>
    </xf>
    <xf numFmtId="0" fontId="22" fillId="0" borderId="18" xfId="7" quotePrefix="1" applyFont="1" applyBorder="1" applyAlignment="1">
      <alignment horizontal="center" vertical="center"/>
    </xf>
    <xf numFmtId="0" fontId="22" fillId="0" borderId="21" xfId="7" applyFont="1" applyBorder="1" applyAlignment="1">
      <alignment horizontal="center" vertical="center"/>
    </xf>
    <xf numFmtId="0" fontId="22" fillId="0" borderId="14" xfId="7" applyFont="1" applyBorder="1" applyAlignment="1">
      <alignment horizontal="center" vertical="center"/>
    </xf>
    <xf numFmtId="189" fontId="22" fillId="0" borderId="17" xfId="6" applyNumberFormat="1" applyFont="1" applyBorder="1" applyAlignment="1">
      <alignment vertical="center"/>
    </xf>
    <xf numFmtId="189" fontId="22" fillId="0" borderId="17" xfId="6" applyNumberFormat="1" applyFont="1" applyBorder="1" applyAlignment="1">
      <alignment horizontal="center" vertical="center"/>
    </xf>
    <xf numFmtId="0" fontId="21" fillId="0" borderId="18" xfId="1" applyNumberFormat="1" applyFont="1" applyFill="1" applyBorder="1" applyAlignment="1">
      <alignment vertical="center"/>
    </xf>
    <xf numFmtId="189" fontId="22" fillId="0" borderId="17" xfId="5" applyNumberFormat="1" applyFont="1" applyFill="1" applyBorder="1" applyAlignment="1">
      <alignment vertical="center"/>
    </xf>
    <xf numFmtId="189" fontId="22" fillId="0" borderId="17" xfId="5" applyNumberFormat="1" applyFont="1" applyFill="1" applyBorder="1" applyAlignment="1">
      <alignment horizontal="center" vertical="center"/>
    </xf>
    <xf numFmtId="189" fontId="21" fillId="0" borderId="17" xfId="5" applyNumberFormat="1" applyFont="1" applyFill="1" applyBorder="1" applyAlignment="1">
      <alignment vertical="center"/>
    </xf>
    <xf numFmtId="189" fontId="22" fillId="0" borderId="33" xfId="1" applyNumberFormat="1" applyFont="1" applyFill="1" applyBorder="1" applyAlignment="1">
      <alignment horizontal="center" vertical="center"/>
    </xf>
    <xf numFmtId="189" fontId="22" fillId="0" borderId="19" xfId="0" applyNumberFormat="1" applyFont="1" applyBorder="1" applyAlignment="1">
      <alignment horizontal="center" vertical="center"/>
    </xf>
    <xf numFmtId="192" fontId="21" fillId="0" borderId="18" xfId="7" applyNumberFormat="1" applyFont="1" applyBorder="1" applyAlignment="1">
      <alignment vertical="center"/>
    </xf>
    <xf numFmtId="0" fontId="21" fillId="0" borderId="14" xfId="7" quotePrefix="1" applyFont="1" applyBorder="1" applyAlignment="1">
      <alignment horizontal="left" vertical="center"/>
    </xf>
    <xf numFmtId="0" fontId="22" fillId="0" borderId="18" xfId="11" applyFont="1" applyBorder="1" applyAlignment="1">
      <alignment vertical="center"/>
    </xf>
    <xf numFmtId="189" fontId="22" fillId="0" borderId="19" xfId="4" applyNumberFormat="1" applyFont="1" applyBorder="1" applyAlignment="1">
      <alignment vertical="center"/>
    </xf>
    <xf numFmtId="189" fontId="22" fillId="0" borderId="33" xfId="4" applyNumberFormat="1" applyFont="1" applyBorder="1" applyAlignment="1">
      <alignment horizontal="center" vertical="center"/>
    </xf>
    <xf numFmtId="0" fontId="22" fillId="0" borderId="2" xfId="6" applyFont="1" applyBorder="1" applyAlignment="1">
      <alignment vertical="center"/>
    </xf>
    <xf numFmtId="0" fontId="22" fillId="0" borderId="21" xfId="6" applyFont="1" applyBorder="1" applyAlignment="1">
      <alignment vertical="center"/>
    </xf>
    <xf numFmtId="0" fontId="21" fillId="0" borderId="18" xfId="11" applyFont="1" applyBorder="1" applyAlignment="1">
      <alignment vertical="center"/>
    </xf>
    <xf numFmtId="0" fontId="22" fillId="0" borderId="18" xfId="11" applyFont="1" applyBorder="1" applyAlignment="1">
      <alignment horizontal="center" vertical="center"/>
    </xf>
    <xf numFmtId="0" fontId="22" fillId="0" borderId="1" xfId="12" applyFont="1" applyBorder="1" applyAlignment="1">
      <alignment horizontal="center" vertical="center"/>
    </xf>
    <xf numFmtId="0" fontId="22" fillId="0" borderId="24" xfId="3" applyFont="1" applyBorder="1" applyAlignment="1">
      <alignment horizontal="center" vertical="center"/>
    </xf>
    <xf numFmtId="0" fontId="22" fillId="0" borderId="36" xfId="3" applyFont="1" applyBorder="1" applyAlignment="1">
      <alignment vertical="center"/>
    </xf>
    <xf numFmtId="0" fontId="22" fillId="0" borderId="1" xfId="2" applyFont="1" applyBorder="1" applyAlignment="1">
      <alignment vertical="center"/>
    </xf>
    <xf numFmtId="0" fontId="21" fillId="0" borderId="2" xfId="3" applyFont="1" applyBorder="1" applyAlignment="1">
      <alignment vertical="center" wrapText="1" shrinkToFit="1"/>
    </xf>
    <xf numFmtId="0" fontId="21" fillId="0" borderId="0" xfId="3" applyFont="1" applyAlignment="1">
      <alignment vertical="center" wrapText="1" shrinkToFit="1"/>
    </xf>
    <xf numFmtId="189" fontId="21" fillId="0" borderId="0" xfId="1" applyNumberFormat="1" applyFont="1" applyFill="1" applyAlignment="1">
      <alignment vertical="center"/>
    </xf>
    <xf numFmtId="192" fontId="21" fillId="0" borderId="15" xfId="42" applyNumberFormat="1" applyFont="1" applyBorder="1" applyAlignment="1">
      <alignment horizontal="left" vertical="center"/>
    </xf>
    <xf numFmtId="192" fontId="22" fillId="0" borderId="16" xfId="3" applyNumberFormat="1" applyFont="1" applyBorder="1" applyAlignment="1">
      <alignment vertical="center" wrapText="1" shrinkToFit="1"/>
    </xf>
    <xf numFmtId="192" fontId="22" fillId="0" borderId="20" xfId="3" applyNumberFormat="1" applyFont="1" applyBorder="1" applyAlignment="1">
      <alignment vertical="center" wrapText="1" shrinkToFit="1"/>
    </xf>
    <xf numFmtId="0" fontId="22" fillId="0" borderId="0" xfId="3" applyFont="1" applyAlignment="1">
      <alignment horizontal="right" vertical="center"/>
    </xf>
    <xf numFmtId="3" fontId="22" fillId="0" borderId="0" xfId="3" applyNumberFormat="1" applyFont="1" applyAlignment="1">
      <alignment vertical="center"/>
    </xf>
    <xf numFmtId="189" fontId="22" fillId="0" borderId="0" xfId="1" applyNumberFormat="1" applyFont="1" applyFill="1" applyAlignment="1">
      <alignment horizontal="right" vertical="center"/>
    </xf>
    <xf numFmtId="192" fontId="21" fillId="0" borderId="20" xfId="4" applyNumberFormat="1" applyFont="1" applyBorder="1" applyAlignment="1">
      <alignment vertical="center" wrapText="1" shrinkToFit="1"/>
    </xf>
    <xf numFmtId="192" fontId="22" fillId="0" borderId="2" xfId="37" applyNumberFormat="1" applyFont="1" applyBorder="1" applyAlignment="1">
      <alignment vertical="center" wrapText="1" shrinkToFit="1"/>
    </xf>
    <xf numFmtId="0" fontId="22" fillId="0" borderId="20" xfId="3" applyFont="1" applyBorder="1" applyAlignment="1">
      <alignment vertical="center" wrapText="1" shrinkToFit="1"/>
    </xf>
    <xf numFmtId="1" fontId="22" fillId="0" borderId="19" xfId="4" applyNumberFormat="1" applyFont="1" applyBorder="1" applyAlignment="1">
      <alignment horizontal="center" vertical="center"/>
    </xf>
    <xf numFmtId="3" fontId="21" fillId="0" borderId="0" xfId="3" applyNumberFormat="1" applyFont="1" applyAlignment="1">
      <alignment vertical="center"/>
    </xf>
    <xf numFmtId="195" fontId="21" fillId="0" borderId="18" xfId="8" applyNumberFormat="1" applyFont="1" applyBorder="1" applyAlignment="1">
      <alignment horizontal="left" vertical="center"/>
    </xf>
    <xf numFmtId="49" fontId="21" fillId="0" borderId="2" xfId="4" applyNumberFormat="1" applyFont="1" applyBorder="1" applyAlignment="1">
      <alignment horizontal="left" vertical="center"/>
    </xf>
    <xf numFmtId="49" fontId="21" fillId="0" borderId="20" xfId="3" applyNumberFormat="1" applyFont="1" applyBorder="1" applyAlignment="1">
      <alignment vertical="center" wrapText="1" shrinkToFit="1"/>
    </xf>
    <xf numFmtId="49" fontId="22" fillId="0" borderId="2" xfId="4" applyNumberFormat="1" applyFont="1" applyBorder="1" applyAlignment="1">
      <alignment horizontal="left" vertical="center"/>
    </xf>
    <xf numFmtId="49" fontId="21" fillId="0" borderId="2" xfId="3" applyNumberFormat="1" applyFont="1" applyBorder="1" applyAlignment="1">
      <alignment vertical="center" wrapText="1" shrinkToFit="1"/>
    </xf>
    <xf numFmtId="49" fontId="22" fillId="0" borderId="2" xfId="43" quotePrefix="1" applyNumberFormat="1" applyFont="1" applyBorder="1" applyAlignment="1">
      <alignment vertical="center"/>
    </xf>
    <xf numFmtId="43" fontId="22" fillId="0" borderId="19" xfId="1" quotePrefix="1" applyFont="1" applyFill="1" applyBorder="1" applyAlignment="1">
      <alignment horizontal="right" vertical="center"/>
    </xf>
    <xf numFmtId="49" fontId="22" fillId="0" borderId="2" xfId="37" applyNumberFormat="1" applyFont="1" applyBorder="1" applyAlignment="1">
      <alignment vertical="center" wrapText="1" shrinkToFit="1"/>
    </xf>
    <xf numFmtId="193" fontId="21" fillId="0" borderId="19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 shrinkToFit="1"/>
    </xf>
    <xf numFmtId="189" fontId="22" fillId="0" borderId="0" xfId="5" applyNumberFormat="1" applyFont="1" applyFill="1" applyBorder="1" applyAlignment="1">
      <alignment horizontal="center" vertical="center"/>
    </xf>
    <xf numFmtId="191" fontId="22" fillId="0" borderId="0" xfId="3" applyNumberFormat="1" applyFont="1" applyAlignment="1">
      <alignment vertical="center"/>
    </xf>
    <xf numFmtId="195" fontId="21" fillId="0" borderId="18" xfId="8" quotePrefix="1" applyNumberFormat="1" applyFont="1" applyBorder="1" applyAlignment="1">
      <alignment horizontal="left" vertical="center"/>
    </xf>
    <xf numFmtId="49" fontId="22" fillId="0" borderId="2" xfId="4" applyNumberFormat="1" applyFont="1" applyBorder="1" applyAlignment="1">
      <alignment vertical="center"/>
    </xf>
    <xf numFmtId="49" fontId="22" fillId="0" borderId="2" xfId="3" applyNumberFormat="1" applyFont="1" applyBorder="1" applyAlignment="1">
      <alignment vertical="center" wrapText="1" shrinkToFit="1"/>
    </xf>
    <xf numFmtId="188" fontId="22" fillId="0" borderId="0" xfId="3" applyNumberFormat="1" applyFont="1" applyAlignment="1">
      <alignment vertical="center"/>
    </xf>
    <xf numFmtId="193" fontId="22" fillId="2" borderId="19" xfId="4" applyNumberFormat="1" applyFont="1" applyFill="1" applyBorder="1" applyAlignment="1">
      <alignment horizontal="center" vertical="center"/>
    </xf>
    <xf numFmtId="49" fontId="22" fillId="0" borderId="2" xfId="3" applyNumberFormat="1" applyFont="1" applyBorder="1" applyAlignment="1">
      <alignment horizontal="left" vertical="center"/>
    </xf>
    <xf numFmtId="49" fontId="22" fillId="0" borderId="20" xfId="3" applyNumberFormat="1" applyFont="1" applyBorder="1" applyAlignment="1">
      <alignment vertical="center" wrapText="1" shrinkToFit="1"/>
    </xf>
    <xf numFmtId="189" fontId="22" fillId="0" borderId="0" xfId="1" applyNumberFormat="1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20" xfId="0" applyFont="1" applyBorder="1" applyAlignment="1">
      <alignment vertical="center" wrapText="1" shrinkToFit="1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 shrinkToFit="1"/>
    </xf>
    <xf numFmtId="0" fontId="22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vertical="center" wrapText="1" shrinkToFit="1"/>
    </xf>
    <xf numFmtId="43" fontId="22" fillId="0" borderId="19" xfId="1" applyFont="1" applyBorder="1" applyAlignment="1">
      <alignment horizontal="right" vertical="center" wrapText="1"/>
    </xf>
    <xf numFmtId="43" fontId="22" fillId="0" borderId="19" xfId="1" applyFont="1" applyBorder="1" applyAlignment="1">
      <alignment horizontal="right" vertical="center"/>
    </xf>
    <xf numFmtId="43" fontId="22" fillId="0" borderId="2" xfId="1" applyFont="1" applyBorder="1" applyAlignment="1">
      <alignment horizontal="right" vertical="center"/>
    </xf>
    <xf numFmtId="2" fontId="22" fillId="0" borderId="18" xfId="0" applyNumberFormat="1" applyFont="1" applyBorder="1" applyAlignment="1">
      <alignment horizontal="left" vertical="center"/>
    </xf>
    <xf numFmtId="1" fontId="21" fillId="2" borderId="19" xfId="4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2" xfId="0" applyFont="1" applyFill="1" applyBorder="1" applyAlignment="1">
      <alignment horizontal="left" vertical="center"/>
    </xf>
    <xf numFmtId="0" fontId="22" fillId="2" borderId="2" xfId="0" applyFont="1" applyFill="1" applyBorder="1" applyAlignment="1">
      <alignment vertical="center" wrapText="1" shrinkToFit="1"/>
    </xf>
    <xf numFmtId="43" fontId="22" fillId="2" borderId="19" xfId="1" applyFont="1" applyFill="1" applyBorder="1" applyAlignment="1">
      <alignment horizontal="right" vertical="center" wrapText="1"/>
    </xf>
    <xf numFmtId="43" fontId="22" fillId="2" borderId="19" xfId="1" applyFont="1" applyFill="1" applyBorder="1" applyAlignment="1">
      <alignment horizontal="center" vertical="center"/>
    </xf>
    <xf numFmtId="43" fontId="22" fillId="2" borderId="19" xfId="1" applyFont="1" applyFill="1" applyBorder="1" applyAlignment="1">
      <alignment vertical="center"/>
    </xf>
    <xf numFmtId="43" fontId="21" fillId="2" borderId="19" xfId="1" applyFont="1" applyFill="1" applyBorder="1" applyAlignment="1">
      <alignment horizontal="center" vertical="center"/>
    </xf>
    <xf numFmtId="196" fontId="22" fillId="0" borderId="18" xfId="0" applyNumberFormat="1" applyFont="1" applyBorder="1" applyAlignment="1">
      <alignment horizontal="left" vertical="center"/>
    </xf>
    <xf numFmtId="43" fontId="22" fillId="0" borderId="20" xfId="1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 shrinkToFit="1"/>
    </xf>
    <xf numFmtId="43" fontId="22" fillId="0" borderId="20" xfId="1" applyFont="1" applyFill="1" applyBorder="1" applyAlignment="1">
      <alignment vertical="center" wrapText="1"/>
    </xf>
    <xf numFmtId="0" fontId="21" fillId="0" borderId="1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wrapText="1" shrinkToFit="1"/>
    </xf>
    <xf numFmtId="49" fontId="22" fillId="0" borderId="2" xfId="3" applyNumberFormat="1" applyFont="1" applyBorder="1" applyAlignment="1">
      <alignment vertical="center"/>
    </xf>
    <xf numFmtId="43" fontId="22" fillId="0" borderId="2" xfId="1" applyFont="1" applyBorder="1" applyAlignment="1">
      <alignment vertical="center"/>
    </xf>
    <xf numFmtId="49" fontId="22" fillId="0" borderId="2" xfId="4" applyNumberFormat="1" applyFont="1" applyBorder="1" applyAlignment="1">
      <alignment horizontal="left" vertical="center" wrapText="1" shrinkToFit="1"/>
    </xf>
    <xf numFmtId="49" fontId="21" fillId="0" borderId="2" xfId="3" applyNumberFormat="1" applyFont="1" applyBorder="1" applyAlignment="1">
      <alignment horizontal="left" vertical="center" wrapText="1" shrinkToFit="1"/>
    </xf>
    <xf numFmtId="49" fontId="22" fillId="0" borderId="20" xfId="3" applyNumberFormat="1" applyFont="1" applyBorder="1" applyAlignment="1">
      <alignment horizontal="left" vertical="center" wrapText="1" shrinkToFit="1"/>
    </xf>
    <xf numFmtId="43" fontId="21" fillId="0" borderId="19" xfId="1" applyFont="1" applyBorder="1" applyAlignment="1">
      <alignment horizontal="left" vertical="center"/>
    </xf>
    <xf numFmtId="189" fontId="22" fillId="0" borderId="0" xfId="1" applyNumberFormat="1" applyFont="1" applyFill="1" applyBorder="1" applyAlignment="1">
      <alignment horizontal="center" vertical="center"/>
    </xf>
    <xf numFmtId="189" fontId="22" fillId="0" borderId="0" xfId="1" applyNumberFormat="1" applyFont="1" applyFill="1" applyBorder="1" applyAlignment="1">
      <alignment vertical="center"/>
    </xf>
    <xf numFmtId="43" fontId="22" fillId="0" borderId="19" xfId="1" quotePrefix="1" applyFont="1" applyFill="1" applyBorder="1" applyAlignment="1">
      <alignment horizontal="center" vertical="center"/>
    </xf>
    <xf numFmtId="43" fontId="21" fillId="0" borderId="19" xfId="1" applyFont="1" applyFill="1" applyBorder="1" applyAlignment="1">
      <alignment horizontal="right" vertical="center"/>
    </xf>
    <xf numFmtId="49" fontId="22" fillId="0" borderId="2" xfId="37" applyNumberFormat="1" applyFont="1" applyBorder="1" applyAlignment="1">
      <alignment vertical="center"/>
    </xf>
    <xf numFmtId="49" fontId="22" fillId="0" borderId="20" xfId="37" applyNumberFormat="1" applyFont="1" applyBorder="1" applyAlignment="1">
      <alignment vertical="center" wrapText="1" shrinkToFit="1"/>
    </xf>
    <xf numFmtId="43" fontId="22" fillId="0" borderId="20" xfId="1" quotePrefix="1" applyFont="1" applyFill="1" applyBorder="1" applyAlignment="1">
      <alignment horizontal="center" vertical="center"/>
    </xf>
    <xf numFmtId="2" fontId="22" fillId="0" borderId="18" xfId="4" applyNumberFormat="1" applyFont="1" applyBorder="1" applyAlignment="1">
      <alignment horizontal="center" vertical="center"/>
    </xf>
    <xf numFmtId="49" fontId="21" fillId="0" borderId="2" xfId="4" applyNumberFormat="1" applyFont="1" applyBorder="1" applyAlignment="1">
      <alignment vertical="center"/>
    </xf>
    <xf numFmtId="193" fontId="22" fillId="0" borderId="18" xfId="4" applyNumberFormat="1" applyFont="1" applyBorder="1" applyAlignment="1">
      <alignment horizontal="right" vertical="center"/>
    </xf>
    <xf numFmtId="0" fontId="21" fillId="0" borderId="21" xfId="3" applyFont="1" applyBorder="1" applyAlignment="1">
      <alignment horizontal="center" vertical="center"/>
    </xf>
    <xf numFmtId="0" fontId="21" fillId="0" borderId="3" xfId="3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 shrinkToFit="1"/>
    </xf>
    <xf numFmtId="43" fontId="21" fillId="0" borderId="23" xfId="1" applyFont="1" applyFill="1" applyBorder="1" applyAlignment="1">
      <alignment horizontal="center" vertical="center"/>
    </xf>
    <xf numFmtId="43" fontId="21" fillId="0" borderId="23" xfId="1" applyFont="1" applyFill="1" applyBorder="1" applyAlignment="1">
      <alignment horizontal="right" vertical="center"/>
    </xf>
    <xf numFmtId="43" fontId="21" fillId="0" borderId="23" xfId="1" applyFont="1" applyBorder="1" applyAlignment="1">
      <alignment horizontal="center" vertical="center"/>
    </xf>
    <xf numFmtId="0" fontId="22" fillId="0" borderId="0" xfId="3" applyFont="1" applyAlignment="1">
      <alignment vertical="center" wrapText="1" shrinkToFit="1"/>
    </xf>
    <xf numFmtId="189" fontId="22" fillId="0" borderId="0" xfId="1" applyNumberFormat="1" applyFont="1" applyFill="1" applyAlignment="1">
      <alignment vertical="center"/>
    </xf>
    <xf numFmtId="0" fontId="22" fillId="0" borderId="41" xfId="3" applyFont="1" applyBorder="1" applyAlignment="1">
      <alignment horizontal="center" vertical="center"/>
    </xf>
    <xf numFmtId="0" fontId="22" fillId="0" borderId="41" xfId="3" applyFont="1" applyBorder="1" applyAlignment="1">
      <alignment horizontal="right" vertical="center"/>
    </xf>
    <xf numFmtId="189" fontId="22" fillId="0" borderId="41" xfId="1" applyNumberFormat="1" applyFont="1" applyFill="1" applyBorder="1" applyAlignment="1">
      <alignment horizontal="right" vertical="center"/>
    </xf>
    <xf numFmtId="189" fontId="22" fillId="0" borderId="41" xfId="3" applyNumberFormat="1" applyFont="1" applyBorder="1" applyAlignment="1">
      <alignment horizontal="center" vertical="center"/>
    </xf>
    <xf numFmtId="0" fontId="21" fillId="0" borderId="14" xfId="4" applyFont="1" applyBorder="1" applyAlignment="1">
      <alignment horizontal="left" vertical="center"/>
    </xf>
    <xf numFmtId="43" fontId="21" fillId="0" borderId="15" xfId="3" applyNumberFormat="1" applyFont="1" applyBorder="1" applyAlignment="1">
      <alignment vertical="center"/>
    </xf>
    <xf numFmtId="0" fontId="22" fillId="0" borderId="41" xfId="3" applyFont="1" applyBorder="1" applyAlignment="1">
      <alignment vertical="center"/>
    </xf>
    <xf numFmtId="189" fontId="21" fillId="0" borderId="41" xfId="1" applyNumberFormat="1" applyFont="1" applyFill="1" applyBorder="1" applyAlignment="1">
      <alignment horizontal="right" vertical="center"/>
    </xf>
    <xf numFmtId="0" fontId="21" fillId="0" borderId="2" xfId="4" applyFont="1" applyBorder="1" applyAlignment="1">
      <alignment horizontal="center" vertical="center"/>
    </xf>
    <xf numFmtId="189" fontId="22" fillId="0" borderId="41" xfId="1" applyNumberFormat="1" applyFont="1" applyFill="1" applyBorder="1" applyAlignment="1">
      <alignment horizontal="center" vertical="center"/>
    </xf>
    <xf numFmtId="1" fontId="21" fillId="0" borderId="18" xfId="7" applyNumberFormat="1" applyFont="1" applyBorder="1" applyAlignment="1">
      <alignment horizontal="center" vertical="center"/>
    </xf>
    <xf numFmtId="49" fontId="21" fillId="0" borderId="18" xfId="8" applyNumberFormat="1" applyFont="1" applyBorder="1" applyAlignment="1">
      <alignment horizontal="left" vertical="center"/>
    </xf>
    <xf numFmtId="192" fontId="21" fillId="0" borderId="2" xfId="7" applyNumberFormat="1" applyFont="1" applyBorder="1" applyAlignment="1">
      <alignment horizontal="left" vertical="center"/>
    </xf>
    <xf numFmtId="0" fontId="22" fillId="0" borderId="18" xfId="8" applyFont="1" applyBorder="1" applyAlignment="1">
      <alignment horizontal="center" vertical="center"/>
    </xf>
    <xf numFmtId="49" fontId="22" fillId="0" borderId="18" xfId="8" applyNumberFormat="1" applyFont="1" applyBorder="1" applyAlignment="1">
      <alignment horizontal="center" vertical="center"/>
    </xf>
    <xf numFmtId="0" fontId="21" fillId="0" borderId="41" xfId="3" applyFont="1" applyBorder="1" applyAlignment="1">
      <alignment horizontal="center" vertical="center"/>
    </xf>
    <xf numFmtId="3" fontId="22" fillId="0" borderId="41" xfId="3" applyNumberFormat="1" applyFont="1" applyBorder="1" applyAlignment="1">
      <alignment horizontal="center" vertical="center"/>
    </xf>
    <xf numFmtId="0" fontId="22" fillId="0" borderId="24" xfId="3" applyFont="1" applyBorder="1" applyAlignment="1">
      <alignment vertical="center"/>
    </xf>
    <xf numFmtId="0" fontId="22" fillId="0" borderId="18" xfId="37" applyFont="1" applyBorder="1" applyAlignment="1">
      <alignment horizontal="center" vertical="center"/>
    </xf>
    <xf numFmtId="2" fontId="22" fillId="0" borderId="18" xfId="8" applyNumberFormat="1" applyFont="1" applyBorder="1" applyAlignment="1">
      <alignment horizontal="center" vertical="center"/>
    </xf>
    <xf numFmtId="189" fontId="22" fillId="0" borderId="41" xfId="1" applyNumberFormat="1" applyFont="1" applyBorder="1" applyAlignment="1">
      <alignment horizontal="center" vertical="center"/>
    </xf>
    <xf numFmtId="193" fontId="22" fillId="0" borderId="18" xfId="8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left" vertical="center"/>
    </xf>
    <xf numFmtId="189" fontId="22" fillId="0" borderId="41" xfId="5" applyNumberFormat="1" applyFont="1" applyFill="1" applyBorder="1" applyAlignment="1">
      <alignment horizontal="center" vertical="center"/>
    </xf>
    <xf numFmtId="189" fontId="22" fillId="0" borderId="41" xfId="0" applyNumberFormat="1" applyFont="1" applyBorder="1" applyAlignment="1">
      <alignment vertical="center"/>
    </xf>
    <xf numFmtId="189" fontId="22" fillId="0" borderId="41" xfId="1" applyNumberFormat="1" applyFont="1" applyBorder="1" applyAlignment="1">
      <alignment vertical="center"/>
    </xf>
    <xf numFmtId="192" fontId="22" fillId="0" borderId="18" xfId="4" applyNumberFormat="1" applyFont="1" applyBorder="1" applyAlignment="1">
      <alignment vertical="center"/>
    </xf>
    <xf numFmtId="0" fontId="21" fillId="0" borderId="18" xfId="37" applyFont="1" applyBorder="1" applyAlignment="1">
      <alignment horizontal="center" vertical="center"/>
    </xf>
    <xf numFmtId="192" fontId="21" fillId="0" borderId="2" xfId="37" applyNumberFormat="1" applyFont="1" applyBorder="1" applyAlignment="1">
      <alignment vertical="center"/>
    </xf>
    <xf numFmtId="43" fontId="22" fillId="0" borderId="38" xfId="1" applyFont="1" applyFill="1" applyBorder="1" applyAlignment="1">
      <alignment vertical="center"/>
    </xf>
    <xf numFmtId="189" fontId="22" fillId="0" borderId="41" xfId="1" applyNumberFormat="1" applyFont="1" applyBorder="1" applyAlignment="1">
      <alignment horizontal="left" vertical="center"/>
    </xf>
    <xf numFmtId="189" fontId="21" fillId="0" borderId="41" xfId="1" applyNumberFormat="1" applyFont="1" applyBorder="1" applyAlignment="1">
      <alignment horizontal="center" vertical="center"/>
    </xf>
    <xf numFmtId="189" fontId="22" fillId="0" borderId="41" xfId="1" applyNumberFormat="1" applyFont="1" applyBorder="1" applyAlignment="1">
      <alignment horizontal="right" vertical="center"/>
    </xf>
    <xf numFmtId="189" fontId="22" fillId="0" borderId="41" xfId="3" applyNumberFormat="1" applyFont="1" applyBorder="1" applyAlignment="1">
      <alignment horizontal="left" vertical="center"/>
    </xf>
    <xf numFmtId="189" fontId="22" fillId="4" borderId="41" xfId="0" applyNumberFormat="1" applyFont="1" applyFill="1" applyBorder="1" applyAlignment="1">
      <alignment vertical="center"/>
    </xf>
    <xf numFmtId="189" fontId="22" fillId="4" borderId="41" xfId="1" applyNumberFormat="1" applyFont="1" applyFill="1" applyBorder="1" applyAlignment="1">
      <alignment horizontal="right" vertical="center"/>
    </xf>
    <xf numFmtId="49" fontId="22" fillId="0" borderId="18" xfId="8" applyNumberFormat="1" applyFont="1" applyBorder="1" applyAlignment="1">
      <alignment horizontal="left" vertical="center"/>
    </xf>
    <xf numFmtId="0" fontId="21" fillId="0" borderId="41" xfId="3" applyFont="1" applyBorder="1" applyAlignment="1">
      <alignment horizontal="left" vertical="center" wrapText="1"/>
    </xf>
    <xf numFmtId="0" fontId="21" fillId="0" borderId="41" xfId="3" applyFont="1" applyBorder="1" applyAlignment="1">
      <alignment horizontal="center" vertical="center" wrapText="1"/>
    </xf>
    <xf numFmtId="43" fontId="22" fillId="0" borderId="41" xfId="1" applyFont="1" applyFill="1" applyBorder="1" applyAlignment="1">
      <alignment vertical="center"/>
    </xf>
    <xf numFmtId="0" fontId="21" fillId="0" borderId="22" xfId="3" applyFont="1" applyBorder="1" applyAlignment="1">
      <alignment horizontal="center" vertical="center"/>
    </xf>
    <xf numFmtId="43" fontId="22" fillId="0" borderId="1" xfId="1" applyFont="1" applyBorder="1" applyAlignment="1">
      <alignment vertical="center"/>
    </xf>
    <xf numFmtId="192" fontId="22" fillId="0" borderId="15" xfId="4" applyNumberFormat="1" applyFont="1" applyBorder="1" applyAlignment="1">
      <alignment horizontal="left" vertical="center"/>
    </xf>
    <xf numFmtId="192" fontId="22" fillId="0" borderId="2" xfId="4" applyNumberFormat="1" applyFont="1" applyBorder="1" applyAlignment="1">
      <alignment horizontal="center" vertical="center"/>
    </xf>
    <xf numFmtId="0" fontId="22" fillId="0" borderId="19" xfId="44" applyFont="1" applyBorder="1" applyAlignment="1">
      <alignment horizontal="center" vertical="center"/>
    </xf>
    <xf numFmtId="192" fontId="22" fillId="0" borderId="18" xfId="14" applyNumberFormat="1" applyFont="1" applyBorder="1" applyAlignment="1">
      <alignment vertical="center"/>
    </xf>
    <xf numFmtId="192" fontId="22" fillId="0" borderId="2" xfId="45" applyNumberFormat="1" applyFont="1" applyBorder="1" applyAlignment="1">
      <alignment horizontal="left" vertical="center"/>
    </xf>
    <xf numFmtId="192" fontId="21" fillId="0" borderId="18" xfId="3" applyNumberFormat="1" applyFont="1" applyBorder="1" applyAlignment="1">
      <alignment vertical="center"/>
    </xf>
    <xf numFmtId="192" fontId="21" fillId="0" borderId="18" xfId="3" applyNumberFormat="1" applyFont="1" applyBorder="1" applyAlignment="1">
      <alignment horizontal="center" vertical="center"/>
    </xf>
    <xf numFmtId="192" fontId="21" fillId="0" borderId="2" xfId="3" applyNumberFormat="1" applyFont="1" applyBorder="1" applyAlignment="1">
      <alignment horizontal="center" vertical="center"/>
    </xf>
    <xf numFmtId="192" fontId="21" fillId="0" borderId="20" xfId="3" applyNumberFormat="1" applyFont="1" applyBorder="1" applyAlignment="1">
      <alignment horizontal="center" vertical="center"/>
    </xf>
    <xf numFmtId="43" fontId="21" fillId="0" borderId="19" xfId="1" applyFont="1" applyBorder="1" applyAlignment="1">
      <alignment horizontal="right" vertical="center"/>
    </xf>
    <xf numFmtId="0" fontId="21" fillId="0" borderId="19" xfId="44" applyFont="1" applyBorder="1" applyAlignment="1">
      <alignment horizontal="center" vertical="center"/>
    </xf>
    <xf numFmtId="192" fontId="21" fillId="0" borderId="18" xfId="14" applyNumberFormat="1" applyFont="1" applyBorder="1" applyAlignment="1">
      <alignment vertical="center"/>
    </xf>
    <xf numFmtId="192" fontId="22" fillId="0" borderId="2" xfId="14" applyNumberFormat="1" applyFont="1" applyBorder="1" applyAlignment="1">
      <alignment vertical="center"/>
    </xf>
    <xf numFmtId="0" fontId="22" fillId="0" borderId="18" xfId="33" applyFont="1" applyBorder="1" applyAlignment="1">
      <alignment horizontal="center" vertical="center"/>
    </xf>
    <xf numFmtId="192" fontId="22" fillId="0" borderId="2" xfId="33" applyNumberFormat="1" applyFont="1" applyBorder="1" applyAlignment="1">
      <alignment vertical="center"/>
    </xf>
    <xf numFmtId="3" fontId="22" fillId="0" borderId="20" xfId="3" applyNumberFormat="1" applyFont="1" applyBorder="1" applyAlignment="1">
      <alignment vertical="center"/>
    </xf>
    <xf numFmtId="0" fontId="22" fillId="0" borderId="19" xfId="33" applyFont="1" applyBorder="1" applyAlignment="1">
      <alignment horizontal="center" vertical="center"/>
    </xf>
    <xf numFmtId="192" fontId="22" fillId="0" borderId="20" xfId="37" applyNumberFormat="1" applyFont="1" applyBorder="1" applyAlignment="1">
      <alignment vertical="center"/>
    </xf>
    <xf numFmtId="192" fontId="22" fillId="0" borderId="20" xfId="33" applyNumberFormat="1" applyFont="1" applyBorder="1" applyAlignment="1">
      <alignment vertical="center"/>
    </xf>
    <xf numFmtId="192" fontId="22" fillId="0" borderId="18" xfId="3" applyNumberFormat="1" applyFont="1" applyBorder="1" applyAlignment="1">
      <alignment vertical="center"/>
    </xf>
    <xf numFmtId="0" fontId="21" fillId="0" borderId="19" xfId="8" applyFont="1" applyBorder="1" applyAlignment="1">
      <alignment horizontal="center" vertical="center"/>
    </xf>
    <xf numFmtId="192" fontId="21" fillId="0" borderId="2" xfId="45" applyNumberFormat="1" applyFont="1" applyBorder="1" applyAlignment="1">
      <alignment horizontal="left" vertical="center"/>
    </xf>
    <xf numFmtId="189" fontId="22" fillId="0" borderId="41" xfId="1" applyNumberFormat="1" applyFont="1" applyFill="1" applyBorder="1" applyAlignment="1">
      <alignment vertical="center"/>
    </xf>
    <xf numFmtId="198" fontId="22" fillId="0" borderId="41" xfId="3" applyNumberFormat="1" applyFont="1" applyBorder="1" applyAlignment="1">
      <alignment horizontal="center" vertical="center"/>
    </xf>
    <xf numFmtId="189" fontId="22" fillId="0" borderId="13" xfId="1" applyNumberFormat="1" applyFont="1" applyFill="1" applyBorder="1" applyAlignment="1">
      <alignment vertical="center"/>
    </xf>
    <xf numFmtId="189" fontId="22" fillId="0" borderId="13" xfId="1" applyNumberFormat="1" applyFont="1" applyFill="1" applyBorder="1" applyAlignment="1">
      <alignment horizontal="center" vertical="center"/>
    </xf>
    <xf numFmtId="192" fontId="21" fillId="0" borderId="18" xfId="45" applyNumberFormat="1" applyFont="1" applyBorder="1" applyAlignment="1">
      <alignment horizontal="left" vertical="center"/>
    </xf>
    <xf numFmtId="189" fontId="22" fillId="0" borderId="2" xfId="5" applyNumberFormat="1" applyFont="1" applyFill="1" applyBorder="1" applyAlignment="1">
      <alignment vertical="center"/>
    </xf>
    <xf numFmtId="0" fontId="21" fillId="0" borderId="18" xfId="8" applyFont="1" applyBorder="1" applyAlignment="1">
      <alignment horizontal="center" vertical="center"/>
    </xf>
    <xf numFmtId="43" fontId="22" fillId="0" borderId="38" xfId="1" applyFont="1" applyBorder="1" applyAlignment="1">
      <alignment horizontal="center" vertical="center"/>
    </xf>
    <xf numFmtId="0" fontId="22" fillId="0" borderId="23" xfId="33" applyFont="1" applyBorder="1" applyAlignment="1">
      <alignment horizontal="center" vertical="center"/>
    </xf>
    <xf numFmtId="192" fontId="22" fillId="0" borderId="18" xfId="6" applyNumberFormat="1" applyFont="1" applyBorder="1" applyAlignment="1">
      <alignment horizontal="left" vertical="center"/>
    </xf>
    <xf numFmtId="192" fontId="22" fillId="0" borderId="29" xfId="6" applyNumberFormat="1" applyFont="1" applyBorder="1" applyAlignment="1">
      <alignment horizontal="left" vertical="center"/>
    </xf>
    <xf numFmtId="1" fontId="22" fillId="0" borderId="17" xfId="7" applyNumberFormat="1" applyFont="1" applyBorder="1" applyAlignment="1">
      <alignment horizontal="center" vertical="center"/>
    </xf>
    <xf numFmtId="192" fontId="21" fillId="0" borderId="14" xfId="6" applyNumberFormat="1" applyFont="1" applyBorder="1" applyAlignment="1">
      <alignment horizontal="left" vertical="center"/>
    </xf>
    <xf numFmtId="0" fontId="21" fillId="0" borderId="25" xfId="6" applyFont="1" applyBorder="1" applyAlignment="1">
      <alignment horizontal="center" vertical="center"/>
    </xf>
    <xf numFmtId="192" fontId="21" fillId="0" borderId="29" xfId="6" applyNumberFormat="1" applyFont="1" applyBorder="1" applyAlignment="1">
      <alignment horizontal="left" vertical="center"/>
    </xf>
    <xf numFmtId="192" fontId="22" fillId="0" borderId="1" xfId="6" applyNumberFormat="1" applyFont="1" applyBorder="1" applyAlignment="1">
      <alignment vertical="center"/>
    </xf>
    <xf numFmtId="192" fontId="22" fillId="0" borderId="18" xfId="7" applyNumberFormat="1" applyFont="1" applyBorder="1" applyAlignment="1">
      <alignment horizontal="left" vertical="center"/>
    </xf>
    <xf numFmtId="0" fontId="22" fillId="0" borderId="18" xfId="3" applyFont="1" applyBorder="1" applyAlignment="1">
      <alignment vertical="center"/>
    </xf>
    <xf numFmtId="192" fontId="22" fillId="0" borderId="18" xfId="7" applyNumberFormat="1" applyFont="1" applyBorder="1" applyAlignment="1">
      <alignment horizontal="center" vertical="center"/>
    </xf>
    <xf numFmtId="192" fontId="21" fillId="0" borderId="18" xfId="6" applyNumberFormat="1" applyFont="1" applyBorder="1" applyAlignment="1">
      <alignment horizontal="left" vertical="center"/>
    </xf>
    <xf numFmtId="0" fontId="22" fillId="0" borderId="34" xfId="6" applyFont="1" applyBorder="1" applyAlignment="1">
      <alignment horizontal="center" vertical="center"/>
    </xf>
    <xf numFmtId="192" fontId="21" fillId="0" borderId="1" xfId="6" applyNumberFormat="1" applyFont="1" applyBorder="1" applyAlignment="1">
      <alignment vertical="center"/>
    </xf>
    <xf numFmtId="192" fontId="22" fillId="0" borderId="20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left" vertical="center"/>
    </xf>
    <xf numFmtId="43" fontId="22" fillId="0" borderId="25" xfId="1" applyFont="1" applyFill="1" applyBorder="1" applyAlignment="1">
      <alignment horizontal="right" vertical="center"/>
    </xf>
    <xf numFmtId="0" fontId="21" fillId="0" borderId="14" xfId="7" applyFont="1" applyBorder="1" applyAlignment="1">
      <alignment vertical="center"/>
    </xf>
    <xf numFmtId="191" fontId="22" fillId="0" borderId="14" xfId="4" applyNumberFormat="1" applyFont="1" applyBorder="1" applyAlignment="1">
      <alignment horizontal="center" vertical="center"/>
    </xf>
    <xf numFmtId="43" fontId="22" fillId="0" borderId="17" xfId="5" applyFont="1" applyFill="1" applyBorder="1" applyAlignment="1">
      <alignment horizontal="center" vertical="center"/>
    </xf>
    <xf numFmtId="43" fontId="22" fillId="0" borderId="17" xfId="5" applyFont="1" applyFill="1" applyBorder="1" applyAlignment="1">
      <alignment vertical="center"/>
    </xf>
    <xf numFmtId="189" fontId="22" fillId="0" borderId="19" xfId="6" applyNumberFormat="1" applyFont="1" applyBorder="1" applyAlignment="1">
      <alignment vertical="center" wrapText="1"/>
    </xf>
    <xf numFmtId="0" fontId="22" fillId="0" borderId="18" xfId="9" applyFont="1" applyBorder="1" applyAlignment="1">
      <alignment horizontal="left" vertical="center"/>
    </xf>
    <xf numFmtId="0" fontId="22" fillId="0" borderId="31" xfId="3" applyFont="1" applyBorder="1" applyAlignment="1">
      <alignment horizontal="center" vertical="center"/>
    </xf>
    <xf numFmtId="0" fontId="22" fillId="0" borderId="31" xfId="6" applyFont="1" applyBorder="1" applyAlignment="1">
      <alignment vertical="center"/>
    </xf>
    <xf numFmtId="192" fontId="21" fillId="0" borderId="32" xfId="6" applyNumberFormat="1" applyFont="1" applyBorder="1" applyAlignment="1">
      <alignment vertical="center"/>
    </xf>
    <xf numFmtId="189" fontId="22" fillId="0" borderId="33" xfId="5" applyNumberFormat="1" applyFont="1" applyFill="1" applyBorder="1" applyAlignment="1">
      <alignment vertical="center"/>
    </xf>
    <xf numFmtId="189" fontId="22" fillId="0" borderId="33" xfId="6" applyNumberFormat="1" applyFont="1" applyBorder="1" applyAlignment="1">
      <alignment horizontal="center" vertical="center"/>
    </xf>
    <xf numFmtId="189" fontId="22" fillId="0" borderId="33" xfId="0" applyNumberFormat="1" applyFont="1" applyBorder="1" applyAlignment="1">
      <alignment vertical="center"/>
    </xf>
    <xf numFmtId="0" fontId="22" fillId="0" borderId="33" xfId="3" applyFont="1" applyBorder="1" applyAlignment="1">
      <alignment horizontal="center" vertical="center"/>
    </xf>
    <xf numFmtId="0" fontId="22" fillId="0" borderId="21" xfId="0" applyFont="1" applyBorder="1" applyAlignment="1">
      <alignment vertical="center"/>
    </xf>
    <xf numFmtId="191" fontId="22" fillId="0" borderId="18" xfId="4" applyNumberFormat="1" applyFont="1" applyBorder="1" applyAlignment="1">
      <alignment horizontal="center" vertical="center"/>
    </xf>
    <xf numFmtId="189" fontId="22" fillId="0" borderId="19" xfId="1" applyNumberFormat="1" applyFont="1" applyFill="1" applyBorder="1" applyAlignment="1">
      <alignment horizontal="right" vertical="center"/>
    </xf>
    <xf numFmtId="192" fontId="22" fillId="0" borderId="19" xfId="6" applyNumberFormat="1" applyFont="1" applyBorder="1" applyAlignment="1">
      <alignment vertical="center"/>
    </xf>
    <xf numFmtId="192" fontId="21" fillId="0" borderId="14" xfId="0" applyNumberFormat="1" applyFont="1" applyBorder="1" applyAlignment="1">
      <alignment horizontal="center" vertical="center"/>
    </xf>
    <xf numFmtId="192" fontId="21" fillId="0" borderId="15" xfId="0" applyNumberFormat="1" applyFont="1" applyBorder="1" applyAlignment="1">
      <alignment horizontal="center" vertical="center"/>
    </xf>
    <xf numFmtId="0" fontId="22" fillId="0" borderId="19" xfId="3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/>
    </xf>
    <xf numFmtId="189" fontId="22" fillId="0" borderId="30" xfId="1" applyNumberFormat="1" applyFont="1" applyFill="1" applyBorder="1" applyAlignment="1">
      <alignment vertical="center"/>
    </xf>
    <xf numFmtId="0" fontId="22" fillId="0" borderId="25" xfId="3" quotePrefix="1" applyFont="1" applyBorder="1" applyAlignment="1">
      <alignment horizontal="center" vertical="center"/>
    </xf>
    <xf numFmtId="2" fontId="22" fillId="0" borderId="29" xfId="3" applyNumberFormat="1" applyFont="1" applyBorder="1" applyAlignment="1">
      <alignment horizontal="center" vertical="center"/>
    </xf>
    <xf numFmtId="192" fontId="21" fillId="0" borderId="2" xfId="6" applyNumberFormat="1" applyFont="1" applyBorder="1" applyAlignment="1">
      <alignment horizontal="center" vertical="center"/>
    </xf>
    <xf numFmtId="189" fontId="22" fillId="0" borderId="17" xfId="0" applyNumberFormat="1" applyFont="1" applyBorder="1" applyAlignment="1">
      <alignment vertical="center"/>
    </xf>
    <xf numFmtId="0" fontId="22" fillId="0" borderId="18" xfId="8" quotePrefix="1" applyFont="1" applyBorder="1" applyAlignment="1">
      <alignment vertical="center"/>
    </xf>
    <xf numFmtId="0" fontId="22" fillId="0" borderId="14" xfId="8" quotePrefix="1" applyFont="1" applyBorder="1" applyAlignment="1">
      <alignment vertical="center"/>
    </xf>
    <xf numFmtId="189" fontId="22" fillId="0" borderId="33" xfId="6" applyNumberFormat="1" applyFont="1" applyBorder="1" applyAlignment="1">
      <alignment vertical="center"/>
    </xf>
    <xf numFmtId="0" fontId="22" fillId="0" borderId="21" xfId="8" applyFont="1" applyBorder="1" applyAlignment="1">
      <alignment vertical="center"/>
    </xf>
    <xf numFmtId="189" fontId="22" fillId="0" borderId="23" xfId="5" applyNumberFormat="1" applyFont="1" applyFill="1" applyBorder="1" applyAlignment="1">
      <alignment horizontal="center" vertical="center"/>
    </xf>
    <xf numFmtId="0" fontId="22" fillId="0" borderId="14" xfId="8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9" fontId="22" fillId="0" borderId="19" xfId="10" applyNumberFormat="1" applyFont="1" applyBorder="1" applyAlignment="1">
      <alignment vertical="center"/>
    </xf>
    <xf numFmtId="192" fontId="22" fillId="0" borderId="20" xfId="6" applyNumberFormat="1" applyFont="1" applyBorder="1" applyAlignment="1">
      <alignment horizontal="center" vertical="center"/>
    </xf>
    <xf numFmtId="189" fontId="22" fillId="0" borderId="19" xfId="51" applyFont="1" applyFill="1" applyBorder="1" applyAlignment="1">
      <alignment vertical="center"/>
    </xf>
    <xf numFmtId="0" fontId="21" fillId="0" borderId="29" xfId="7" applyFont="1" applyBorder="1" applyAlignment="1">
      <alignment vertical="center"/>
    </xf>
    <xf numFmtId="0" fontId="22" fillId="0" borderId="31" xfId="7" applyFont="1" applyBorder="1" applyAlignment="1">
      <alignment horizontal="left" vertical="center"/>
    </xf>
    <xf numFmtId="192" fontId="22" fillId="0" borderId="32" xfId="7" applyNumberFormat="1" applyFont="1" applyBorder="1" applyAlignment="1">
      <alignment vertical="center"/>
    </xf>
    <xf numFmtId="192" fontId="21" fillId="0" borderId="37" xfId="3" applyNumberFormat="1" applyFont="1" applyBorder="1" applyAlignment="1">
      <alignment vertical="center"/>
    </xf>
    <xf numFmtId="0" fontId="22" fillId="0" borderId="14" xfId="7" applyFont="1" applyBorder="1" applyAlignment="1">
      <alignment horizontal="left" vertical="center"/>
    </xf>
    <xf numFmtId="189" fontId="22" fillId="0" borderId="14" xfId="6" applyNumberFormat="1" applyFont="1" applyBorder="1" applyAlignment="1">
      <alignment vertical="center"/>
    </xf>
    <xf numFmtId="189" fontId="22" fillId="0" borderId="18" xfId="6" applyNumberFormat="1" applyFont="1" applyBorder="1" applyAlignment="1">
      <alignment vertical="center"/>
    </xf>
    <xf numFmtId="189" fontId="22" fillId="0" borderId="21" xfId="6" applyNumberFormat="1" applyFont="1" applyBorder="1" applyAlignment="1">
      <alignment vertical="center"/>
    </xf>
    <xf numFmtId="191" fontId="22" fillId="0" borderId="7" xfId="1" applyNumberFormat="1" applyFont="1" applyFill="1" applyBorder="1" applyAlignment="1">
      <alignment vertical="center"/>
    </xf>
    <xf numFmtId="0" fontId="22" fillId="0" borderId="7" xfId="7" applyFont="1" applyBorder="1" applyAlignment="1">
      <alignment horizontal="centerContinuous" vertical="center"/>
    </xf>
    <xf numFmtId="189" fontId="22" fillId="0" borderId="4" xfId="1" applyNumberFormat="1" applyFont="1" applyFill="1" applyBorder="1" applyAlignment="1">
      <alignment vertical="center"/>
    </xf>
    <xf numFmtId="189" fontId="22" fillId="0" borderId="7" xfId="4" applyNumberFormat="1" applyFont="1" applyBorder="1" applyAlignment="1">
      <alignment vertical="center"/>
    </xf>
    <xf numFmtId="0" fontId="21" fillId="0" borderId="24" xfId="7" applyFont="1" applyBorder="1" applyAlignment="1">
      <alignment vertical="center"/>
    </xf>
    <xf numFmtId="0" fontId="22" fillId="0" borderId="19" xfId="7" applyFont="1" applyBorder="1" applyAlignment="1">
      <alignment horizontal="center" vertical="center"/>
    </xf>
    <xf numFmtId="189" fontId="22" fillId="0" borderId="35" xfId="5" applyNumberFormat="1" applyFont="1" applyFill="1" applyBorder="1" applyAlignment="1">
      <alignment vertical="center"/>
    </xf>
    <xf numFmtId="189" fontId="22" fillId="0" borderId="18" xfId="4" applyNumberFormat="1" applyFont="1" applyBorder="1" applyAlignment="1">
      <alignment horizontal="center" vertical="center"/>
    </xf>
    <xf numFmtId="0" fontId="22" fillId="0" borderId="1" xfId="12" applyFont="1" applyBorder="1" applyAlignment="1">
      <alignment horizontal="left" vertical="center"/>
    </xf>
    <xf numFmtId="192" fontId="21" fillId="0" borderId="28" xfId="6" applyNumberFormat="1" applyFont="1" applyBorder="1" applyAlignment="1">
      <alignment vertical="center"/>
    </xf>
    <xf numFmtId="0" fontId="22" fillId="0" borderId="14" xfId="7" applyFont="1" applyBorder="1" applyAlignment="1">
      <alignment vertical="center"/>
    </xf>
    <xf numFmtId="192" fontId="21" fillId="0" borderId="15" xfId="12" applyNumberFormat="1" applyFont="1" applyBorder="1" applyAlignment="1">
      <alignment horizontal="left" vertical="center"/>
    </xf>
    <xf numFmtId="192" fontId="21" fillId="0" borderId="16" xfId="12" applyNumberFormat="1" applyFont="1" applyBorder="1" applyAlignment="1">
      <alignment vertical="center"/>
    </xf>
    <xf numFmtId="0" fontId="21" fillId="0" borderId="18" xfId="7" applyFont="1" applyBorder="1" applyAlignment="1">
      <alignment horizontal="left" vertical="center"/>
    </xf>
    <xf numFmtId="0" fontId="22" fillId="0" borderId="2" xfId="7" applyFont="1" applyBorder="1" applyAlignment="1">
      <alignment horizontal="center" vertical="center"/>
    </xf>
    <xf numFmtId="189" fontId="22" fillId="0" borderId="34" xfId="6" applyNumberFormat="1" applyFont="1" applyBorder="1" applyAlignment="1">
      <alignment vertical="center"/>
    </xf>
    <xf numFmtId="189" fontId="22" fillId="0" borderId="34" xfId="6" applyNumberFormat="1" applyFont="1" applyBorder="1" applyAlignment="1">
      <alignment horizontal="center" vertical="center"/>
    </xf>
    <xf numFmtId="192" fontId="22" fillId="0" borderId="5" xfId="6" applyNumberFormat="1" applyFont="1" applyBorder="1" applyAlignment="1">
      <alignment vertical="center"/>
    </xf>
    <xf numFmtId="189" fontId="22" fillId="0" borderId="7" xfId="6" applyNumberFormat="1" applyFont="1" applyBorder="1" applyAlignment="1">
      <alignment vertical="center"/>
    </xf>
    <xf numFmtId="189" fontId="22" fillId="0" borderId="7" xfId="6" applyNumberFormat="1" applyFont="1" applyBorder="1" applyAlignment="1">
      <alignment horizontal="center" vertical="center"/>
    </xf>
    <xf numFmtId="0" fontId="22" fillId="0" borderId="7" xfId="3" applyFont="1" applyBorder="1" applyAlignment="1">
      <alignment horizontal="center" vertical="center"/>
    </xf>
    <xf numFmtId="0" fontId="21" fillId="0" borderId="2" xfId="7" applyFont="1" applyBorder="1" applyAlignment="1">
      <alignment horizontal="left" vertical="center"/>
    </xf>
    <xf numFmtId="0" fontId="22" fillId="0" borderId="34" xfId="3" applyFont="1" applyBorder="1" applyAlignment="1">
      <alignment horizontal="center" vertical="center"/>
    </xf>
    <xf numFmtId="0" fontId="22" fillId="0" borderId="2" xfId="7" applyFont="1" applyBorder="1" applyAlignment="1">
      <alignment horizontal="left" vertical="center"/>
    </xf>
    <xf numFmtId="0" fontId="22" fillId="0" borderId="2" xfId="14" applyFont="1" applyBorder="1" applyAlignment="1">
      <alignment vertical="center"/>
    </xf>
    <xf numFmtId="0" fontId="21" fillId="0" borderId="2" xfId="7" applyFont="1" applyBorder="1" applyAlignment="1">
      <alignment vertical="center"/>
    </xf>
    <xf numFmtId="189" fontId="22" fillId="0" borderId="19" xfId="7" applyNumberFormat="1" applyFont="1" applyBorder="1" applyAlignment="1">
      <alignment horizontal="centerContinuous" vertical="center"/>
    </xf>
    <xf numFmtId="1" fontId="21" fillId="0" borderId="17" xfId="4" applyNumberFormat="1" applyFont="1" applyBorder="1" applyAlignment="1">
      <alignment horizontal="center" vertical="center"/>
    </xf>
    <xf numFmtId="192" fontId="21" fillId="0" borderId="14" xfId="8" quotePrefix="1" applyNumberFormat="1" applyFont="1" applyBorder="1" applyAlignment="1">
      <alignment horizontal="left" vertical="center"/>
    </xf>
    <xf numFmtId="189" fontId="21" fillId="0" borderId="41" xfId="3" applyNumberFormat="1" applyFont="1" applyBorder="1" applyAlignment="1">
      <alignment horizontal="center" vertical="center"/>
    </xf>
    <xf numFmtId="192" fontId="21" fillId="0" borderId="18" xfId="4" quotePrefix="1" applyNumberFormat="1" applyFont="1" applyBorder="1" applyAlignment="1">
      <alignment horizontal="left" vertical="center"/>
    </xf>
    <xf numFmtId="49" fontId="21" fillId="0" borderId="2" xfId="3" applyNumberFormat="1" applyFont="1" applyBorder="1" applyAlignment="1">
      <alignment vertical="center"/>
    </xf>
    <xf numFmtId="43" fontId="22" fillId="0" borderId="25" xfId="1" applyFont="1" applyBorder="1" applyAlignment="1">
      <alignment vertical="center"/>
    </xf>
    <xf numFmtId="0" fontId="22" fillId="0" borderId="41" xfId="0" applyFont="1" applyBorder="1" applyAlignment="1">
      <alignment horizontal="center" vertical="center"/>
    </xf>
    <xf numFmtId="193" fontId="21" fillId="0" borderId="23" xfId="4" applyNumberFormat="1" applyFont="1" applyBorder="1" applyAlignment="1">
      <alignment horizontal="center" vertical="center"/>
    </xf>
    <xf numFmtId="0" fontId="21" fillId="0" borderId="41" xfId="3" applyFont="1" applyBorder="1" applyAlignment="1">
      <alignment vertical="center"/>
    </xf>
    <xf numFmtId="189" fontId="21" fillId="0" borderId="41" xfId="1" applyNumberFormat="1" applyFont="1" applyFill="1" applyBorder="1" applyAlignment="1">
      <alignment vertical="center"/>
    </xf>
    <xf numFmtId="193" fontId="22" fillId="0" borderId="25" xfId="4" applyNumberFormat="1" applyFont="1" applyBorder="1" applyAlignment="1">
      <alignment horizontal="center" vertical="center"/>
    </xf>
    <xf numFmtId="2" fontId="22" fillId="0" borderId="33" xfId="4" applyNumberFormat="1" applyFont="1" applyBorder="1" applyAlignment="1">
      <alignment horizontal="center" vertical="center"/>
    </xf>
    <xf numFmtId="1" fontId="22" fillId="0" borderId="17" xfId="4" applyNumberFormat="1" applyFont="1" applyBorder="1" applyAlignment="1">
      <alignment horizontal="center" vertical="center"/>
    </xf>
    <xf numFmtId="192" fontId="22" fillId="0" borderId="14" xfId="4" applyNumberFormat="1" applyFont="1" applyBorder="1" applyAlignment="1">
      <alignment horizontal="left" vertical="center"/>
    </xf>
    <xf numFmtId="192" fontId="21" fillId="0" borderId="18" xfId="8" quotePrefix="1" applyNumberFormat="1" applyFont="1" applyBorder="1" applyAlignment="1">
      <alignment horizontal="left" vertical="center"/>
    </xf>
    <xf numFmtId="189" fontId="22" fillId="0" borderId="0" xfId="5" applyNumberFormat="1" applyFont="1" applyFill="1" applyBorder="1" applyAlignment="1">
      <alignment vertical="center"/>
    </xf>
    <xf numFmtId="192" fontId="22" fillId="0" borderId="20" xfId="4" applyNumberFormat="1" applyFont="1" applyBorder="1" applyAlignment="1">
      <alignment horizontal="center" vertical="center" wrapText="1"/>
    </xf>
    <xf numFmtId="192" fontId="22" fillId="0" borderId="2" xfId="4" applyNumberFormat="1" applyFont="1" applyBorder="1" applyAlignment="1">
      <alignment horizontal="center" vertical="center" wrapText="1"/>
    </xf>
    <xf numFmtId="192" fontId="22" fillId="0" borderId="2" xfId="6" applyNumberFormat="1" applyFont="1" applyBorder="1" applyAlignment="1">
      <alignment horizontal="center" vertical="center"/>
    </xf>
    <xf numFmtId="192" fontId="22" fillId="0" borderId="20" xfId="3" applyNumberFormat="1" applyFont="1" applyBorder="1" applyAlignment="1">
      <alignment horizontal="center" vertical="center"/>
    </xf>
    <xf numFmtId="191" fontId="22" fillId="0" borderId="2" xfId="6" applyNumberFormat="1" applyFont="1" applyBorder="1" applyAlignment="1">
      <alignment horizontal="center" vertical="center"/>
    </xf>
    <xf numFmtId="43" fontId="22" fillId="0" borderId="2" xfId="4" applyNumberFormat="1" applyFont="1" applyBorder="1" applyAlignment="1">
      <alignment vertical="center"/>
    </xf>
    <xf numFmtId="195" fontId="22" fillId="0" borderId="2" xfId="3" applyNumberFormat="1" applyFont="1" applyBorder="1" applyAlignment="1">
      <alignment horizontal="left" vertical="center"/>
    </xf>
    <xf numFmtId="0" fontId="22" fillId="0" borderId="2" xfId="10" applyFont="1" applyBorder="1" applyAlignment="1">
      <alignment vertical="center"/>
    </xf>
    <xf numFmtId="0" fontId="22" fillId="0" borderId="0" xfId="10" applyFont="1" applyAlignment="1">
      <alignment vertical="center"/>
    </xf>
    <xf numFmtId="192" fontId="22" fillId="0" borderId="0" xfId="6" applyNumberFormat="1" applyFont="1" applyAlignment="1">
      <alignment vertical="center"/>
    </xf>
    <xf numFmtId="0" fontId="22" fillId="0" borderId="0" xfId="0" applyFont="1" applyAlignment="1">
      <alignment horizontal="center" vertical="center"/>
    </xf>
    <xf numFmtId="43" fontId="22" fillId="0" borderId="0" xfId="1" applyFont="1" applyFill="1" applyBorder="1" applyAlignment="1">
      <alignment horizontal="center" vertical="center"/>
    </xf>
    <xf numFmtId="43" fontId="22" fillId="0" borderId="0" xfId="1" applyFont="1" applyFill="1" applyBorder="1" applyAlignment="1">
      <alignment vertical="center"/>
    </xf>
    <xf numFmtId="43" fontId="22" fillId="0" borderId="2" xfId="1" applyFont="1" applyFill="1" applyBorder="1" applyAlignment="1">
      <alignment horizontal="center" vertical="center"/>
    </xf>
    <xf numFmtId="192" fontId="22" fillId="0" borderId="0" xfId="4" applyNumberFormat="1" applyFont="1" applyAlignment="1">
      <alignment vertical="center"/>
    </xf>
    <xf numFmtId="192" fontId="22" fillId="0" borderId="0" xfId="3" applyNumberFormat="1" applyFont="1" applyAlignment="1">
      <alignment vertical="center"/>
    </xf>
    <xf numFmtId="192" fontId="21" fillId="0" borderId="0" xfId="3" applyNumberFormat="1" applyFont="1" applyAlignment="1">
      <alignment vertical="center"/>
    </xf>
    <xf numFmtId="189" fontId="22" fillId="0" borderId="33" xfId="3" applyNumberFormat="1" applyFont="1" applyBorder="1" applyAlignment="1">
      <alignment horizontal="center" vertical="center"/>
    </xf>
    <xf numFmtId="189" fontId="22" fillId="0" borderId="33" xfId="5" applyNumberFormat="1" applyFont="1" applyFill="1" applyBorder="1" applyAlignment="1">
      <alignment horizontal="center" vertical="center"/>
    </xf>
    <xf numFmtId="189" fontId="22" fillId="0" borderId="23" xfId="3" applyNumberFormat="1" applyFont="1" applyBorder="1" applyAlignment="1">
      <alignment horizontal="center" vertical="center"/>
    </xf>
    <xf numFmtId="43" fontId="22" fillId="0" borderId="17" xfId="3" applyNumberFormat="1" applyFont="1" applyBorder="1" applyAlignment="1">
      <alignment horizontal="center" vertical="center"/>
    </xf>
    <xf numFmtId="43" fontId="22" fillId="0" borderId="25" xfId="3" applyNumberFormat="1" applyFont="1" applyBorder="1" applyAlignment="1">
      <alignment horizontal="center" vertical="center"/>
    </xf>
    <xf numFmtId="43" fontId="21" fillId="0" borderId="2" xfId="2" applyNumberFormat="1" applyFont="1" applyBorder="1" applyAlignment="1">
      <alignment horizontal="left" vertical="center"/>
    </xf>
    <xf numFmtId="43" fontId="21" fillId="0" borderId="2" xfId="2" applyNumberFormat="1" applyFont="1" applyBorder="1" applyAlignment="1">
      <alignment vertical="center"/>
    </xf>
    <xf numFmtId="0" fontId="21" fillId="0" borderId="24" xfId="3" applyFont="1" applyBorder="1" applyAlignment="1">
      <alignment horizontal="center" vertical="center"/>
    </xf>
    <xf numFmtId="43" fontId="21" fillId="0" borderId="7" xfId="3" applyNumberFormat="1" applyFont="1" applyBorder="1" applyAlignment="1">
      <alignment horizontal="center" vertical="center"/>
    </xf>
    <xf numFmtId="43" fontId="21" fillId="0" borderId="13" xfId="3" applyNumberFormat="1" applyFont="1" applyBorder="1" applyAlignment="1">
      <alignment horizontal="center" vertical="center"/>
    </xf>
    <xf numFmtId="0" fontId="21" fillId="0" borderId="19" xfId="4" applyFont="1" applyBorder="1" applyAlignment="1">
      <alignment horizontal="center" vertical="center"/>
    </xf>
    <xf numFmtId="0" fontId="22" fillId="0" borderId="19" xfId="4" applyFont="1" applyBorder="1" applyAlignment="1">
      <alignment horizontal="center" vertical="center"/>
    </xf>
    <xf numFmtId="189" fontId="22" fillId="0" borderId="18" xfId="7" applyNumberFormat="1" applyFont="1" applyBorder="1" applyAlignment="1">
      <alignment horizontal="left" vertical="center"/>
    </xf>
    <xf numFmtId="189" fontId="22" fillId="0" borderId="2" xfId="27" applyNumberFormat="1" applyFont="1" applyBorder="1" applyAlignment="1">
      <alignment horizontal="left" vertical="center"/>
    </xf>
    <xf numFmtId="189" fontId="22" fillId="0" borderId="2" xfId="6" applyNumberFormat="1" applyFont="1" applyBorder="1" applyAlignment="1">
      <alignment horizontal="left" vertical="center"/>
    </xf>
    <xf numFmtId="0" fontId="21" fillId="0" borderId="19" xfId="7" applyFont="1" applyBorder="1" applyAlignment="1">
      <alignment horizontal="center" vertical="center"/>
    </xf>
    <xf numFmtId="192" fontId="21" fillId="0" borderId="18" xfId="7" applyNumberFormat="1" applyFont="1" applyBorder="1" applyAlignment="1">
      <alignment horizontal="left" vertical="center"/>
    </xf>
    <xf numFmtId="0" fontId="22" fillId="0" borderId="19" xfId="49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1" fontId="22" fillId="0" borderId="19" xfId="7" applyNumberFormat="1" applyFont="1" applyBorder="1" applyAlignment="1">
      <alignment horizontal="center" vertical="center"/>
    </xf>
    <xf numFmtId="43" fontId="22" fillId="0" borderId="19" xfId="0" applyNumberFormat="1" applyFont="1" applyBorder="1" applyAlignment="1">
      <alignment vertical="center"/>
    </xf>
    <xf numFmtId="43" fontId="22" fillId="0" borderId="33" xfId="0" applyNumberFormat="1" applyFont="1" applyBorder="1" applyAlignment="1">
      <alignment vertical="center"/>
    </xf>
    <xf numFmtId="43" fontId="22" fillId="0" borderId="23" xfId="0" applyNumberFormat="1" applyFont="1" applyBorder="1" applyAlignment="1">
      <alignment vertical="center"/>
    </xf>
    <xf numFmtId="43" fontId="22" fillId="0" borderId="19" xfId="3" applyNumberFormat="1" applyFont="1" applyBorder="1" applyAlignment="1">
      <alignment horizontal="center" vertical="center"/>
    </xf>
    <xf numFmtId="43" fontId="21" fillId="0" borderId="23" xfId="5" applyFont="1" applyFill="1" applyBorder="1" applyAlignment="1">
      <alignment vertical="center"/>
    </xf>
    <xf numFmtId="43" fontId="22" fillId="0" borderId="17" xfId="0" applyNumberFormat="1" applyFont="1" applyBorder="1" applyAlignment="1">
      <alignment vertical="center"/>
    </xf>
    <xf numFmtId="43" fontId="22" fillId="0" borderId="33" xfId="6" applyNumberFormat="1" applyFont="1" applyBorder="1" applyAlignment="1">
      <alignment vertical="center"/>
    </xf>
    <xf numFmtId="43" fontId="22" fillId="0" borderId="23" xfId="6" applyNumberFormat="1" applyFont="1" applyBorder="1" applyAlignment="1">
      <alignment vertical="center"/>
    </xf>
    <xf numFmtId="43" fontId="22" fillId="0" borderId="19" xfId="10" applyNumberFormat="1" applyFont="1" applyBorder="1" applyAlignment="1">
      <alignment vertical="center"/>
    </xf>
    <xf numFmtId="43" fontId="21" fillId="0" borderId="19" xfId="10" applyNumberFormat="1" applyFont="1" applyBorder="1" applyAlignment="1">
      <alignment vertical="center"/>
    </xf>
    <xf numFmtId="43" fontId="22" fillId="0" borderId="19" xfId="51" applyNumberFormat="1" applyFont="1" applyFill="1" applyBorder="1" applyAlignment="1">
      <alignment vertical="center"/>
    </xf>
    <xf numFmtId="43" fontId="21" fillId="0" borderId="17" xfId="5" applyFont="1" applyFill="1" applyBorder="1" applyAlignment="1">
      <alignment vertical="center"/>
    </xf>
    <xf numFmtId="43" fontId="21" fillId="0" borderId="25" xfId="5" applyFont="1" applyFill="1" applyBorder="1" applyAlignment="1">
      <alignment vertical="center"/>
    </xf>
    <xf numFmtId="43" fontId="21" fillId="0" borderId="19" xfId="0" applyNumberFormat="1" applyFont="1" applyBorder="1" applyAlignment="1">
      <alignment vertical="center"/>
    </xf>
    <xf numFmtId="43" fontId="22" fillId="0" borderId="17" xfId="6" applyNumberFormat="1" applyFont="1" applyBorder="1" applyAlignment="1">
      <alignment vertical="center"/>
    </xf>
    <xf numFmtId="43" fontId="22" fillId="0" borderId="7" xfId="8" applyNumberFormat="1" applyFont="1" applyBorder="1" applyAlignment="1">
      <alignment vertical="center"/>
    </xf>
    <xf numFmtId="43" fontId="21" fillId="0" borderId="19" xfId="8" applyNumberFormat="1" applyFont="1" applyBorder="1" applyAlignment="1">
      <alignment vertical="center"/>
    </xf>
    <xf numFmtId="43" fontId="21" fillId="0" borderId="34" xfId="6" applyNumberFormat="1" applyFont="1" applyBorder="1" applyAlignment="1">
      <alignment vertical="center"/>
    </xf>
    <xf numFmtId="43" fontId="22" fillId="0" borderId="7" xfId="6" applyNumberFormat="1" applyFont="1" applyBorder="1" applyAlignment="1">
      <alignment vertical="center"/>
    </xf>
    <xf numFmtId="43" fontId="22" fillId="0" borderId="19" xfId="8" applyNumberFormat="1" applyFont="1" applyBorder="1" applyAlignment="1">
      <alignment vertical="center"/>
    </xf>
    <xf numFmtId="43" fontId="22" fillId="0" borderId="19" xfId="13" applyNumberFormat="1" applyFont="1" applyFill="1" applyBorder="1" applyAlignment="1">
      <alignment vertical="center"/>
    </xf>
    <xf numFmtId="0" fontId="22" fillId="0" borderId="17" xfId="3" applyFont="1" applyBorder="1" applyAlignment="1">
      <alignment horizontal="left" vertical="center"/>
    </xf>
    <xf numFmtId="0" fontId="22" fillId="0" borderId="19" xfId="3" applyFont="1" applyBorder="1" applyAlignment="1">
      <alignment horizontal="left" vertical="center"/>
    </xf>
    <xf numFmtId="192" fontId="22" fillId="0" borderId="18" xfId="3" applyNumberFormat="1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43" fontId="22" fillId="0" borderId="18" xfId="4" applyNumberFormat="1" applyFont="1" applyBorder="1" applyAlignment="1">
      <alignment horizontal="center" vertical="center"/>
    </xf>
    <xf numFmtId="1" fontId="22" fillId="0" borderId="18" xfId="7" applyNumberFormat="1" applyFont="1" applyBorder="1" applyAlignment="1">
      <alignment horizontal="center" vertical="center"/>
    </xf>
    <xf numFmtId="192" fontId="22" fillId="0" borderId="18" xfId="6" applyNumberFormat="1" applyFont="1" applyBorder="1" applyAlignment="1">
      <alignment vertical="center"/>
    </xf>
    <xf numFmtId="1" fontId="22" fillId="0" borderId="18" xfId="3" applyNumberFormat="1" applyFont="1" applyBorder="1" applyAlignment="1">
      <alignment horizontal="center" vertical="center"/>
    </xf>
    <xf numFmtId="43" fontId="22" fillId="0" borderId="21" xfId="3" applyNumberFormat="1" applyFont="1" applyBorder="1" applyAlignment="1">
      <alignment horizontal="center" vertical="center"/>
    </xf>
    <xf numFmtId="0" fontId="22" fillId="0" borderId="23" xfId="3" applyFont="1" applyBorder="1" applyAlignment="1">
      <alignment horizontal="left" vertical="center"/>
    </xf>
    <xf numFmtId="1" fontId="22" fillId="0" borderId="14" xfId="4" applyNumberFormat="1" applyFont="1" applyBorder="1" applyAlignment="1">
      <alignment horizontal="center" vertical="center"/>
    </xf>
    <xf numFmtId="192" fontId="22" fillId="0" borderId="14" xfId="3" applyNumberFormat="1" applyFont="1" applyBorder="1" applyAlignment="1">
      <alignment vertical="center"/>
    </xf>
    <xf numFmtId="43" fontId="22" fillId="0" borderId="16" xfId="6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192" fontId="22" fillId="0" borderId="18" xfId="1" applyNumberFormat="1" applyFont="1" applyFill="1" applyBorder="1" applyAlignment="1">
      <alignment vertical="center"/>
    </xf>
    <xf numFmtId="192" fontId="21" fillId="0" borderId="2" xfId="1" applyNumberFormat="1" applyFont="1" applyFill="1" applyBorder="1" applyAlignment="1">
      <alignment vertical="center"/>
    </xf>
    <xf numFmtId="192" fontId="22" fillId="0" borderId="1" xfId="12" applyNumberFormat="1" applyFont="1" applyBorder="1" applyAlignment="1">
      <alignment horizontal="center" vertical="center"/>
    </xf>
    <xf numFmtId="192" fontId="22" fillId="0" borderId="21" xfId="6" applyNumberFormat="1" applyFont="1" applyBorder="1" applyAlignment="1">
      <alignment vertical="center"/>
    </xf>
    <xf numFmtId="43" fontId="22" fillId="0" borderId="24" xfId="3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left" vertical="center"/>
    </xf>
    <xf numFmtId="0" fontId="21" fillId="0" borderId="15" xfId="4" applyFont="1" applyBorder="1" applyAlignment="1">
      <alignment horizontal="left" vertical="center"/>
    </xf>
    <xf numFmtId="0" fontId="22" fillId="0" borderId="2" xfId="4" applyFont="1" applyBorder="1" applyAlignment="1">
      <alignment horizontal="left" vertical="center"/>
    </xf>
    <xf numFmtId="0" fontId="21" fillId="0" borderId="2" xfId="4" applyFont="1" applyBorder="1" applyAlignment="1">
      <alignment vertical="center"/>
    </xf>
    <xf numFmtId="0" fontId="21" fillId="0" borderId="2" xfId="4" applyFont="1" applyBorder="1" applyAlignment="1">
      <alignment horizontal="left" vertical="center"/>
    </xf>
    <xf numFmtId="0" fontId="22" fillId="0" borderId="2" xfId="4" applyFont="1" applyBorder="1" applyAlignment="1">
      <alignment vertical="center"/>
    </xf>
    <xf numFmtId="0" fontId="22" fillId="0" borderId="2" xfId="6" applyFont="1" applyBorder="1" applyAlignment="1">
      <alignment horizontal="left" vertical="center"/>
    </xf>
    <xf numFmtId="0" fontId="22" fillId="0" borderId="2" xfId="4" applyFont="1" applyBorder="1" applyAlignment="1">
      <alignment horizontal="left" vertical="center" wrapText="1"/>
    </xf>
    <xf numFmtId="0" fontId="22" fillId="0" borderId="2" xfId="27" applyFont="1" applyBorder="1" applyAlignment="1">
      <alignment vertical="center"/>
    </xf>
    <xf numFmtId="0" fontId="22" fillId="0" borderId="1" xfId="4" applyFont="1" applyBorder="1" applyAlignment="1">
      <alignment horizontal="left" vertical="center"/>
    </xf>
    <xf numFmtId="0" fontId="22" fillId="0" borderId="2" xfId="37" applyFont="1" applyBorder="1" applyAlignment="1">
      <alignment vertical="center"/>
    </xf>
    <xf numFmtId="0" fontId="22" fillId="0" borderId="18" xfId="8" quotePrefix="1" applyFont="1" applyBorder="1" applyAlignment="1">
      <alignment horizontal="left" vertical="center"/>
    </xf>
    <xf numFmtId="0" fontId="22" fillId="0" borderId="18" xfId="4" quotePrefix="1" applyFont="1" applyBorder="1" applyAlignment="1">
      <alignment horizontal="left" vertical="center"/>
    </xf>
    <xf numFmtId="0" fontId="22" fillId="0" borderId="18" xfId="4" quotePrefix="1" applyFont="1" applyBorder="1" applyAlignment="1">
      <alignment horizontal="center" vertical="center"/>
    </xf>
    <xf numFmtId="0" fontId="21" fillId="0" borderId="18" xfId="4" applyFont="1" applyBorder="1" applyAlignment="1">
      <alignment vertical="center"/>
    </xf>
    <xf numFmtId="0" fontId="22" fillId="0" borderId="29" xfId="8" applyFont="1" applyBorder="1" applyAlignment="1">
      <alignment vertical="center"/>
    </xf>
    <xf numFmtId="0" fontId="21" fillId="0" borderId="18" xfId="8" applyFont="1" applyBorder="1" applyAlignment="1">
      <alignment vertical="center"/>
    </xf>
    <xf numFmtId="0" fontId="22" fillId="0" borderId="16" xfId="3" applyFont="1" applyBorder="1" applyAlignment="1">
      <alignment vertical="center"/>
    </xf>
    <xf numFmtId="0" fontId="21" fillId="0" borderId="20" xfId="4" applyFont="1" applyBorder="1" applyAlignment="1">
      <alignment vertical="center"/>
    </xf>
    <xf numFmtId="0" fontId="21" fillId="0" borderId="2" xfId="6" applyFont="1" applyBorder="1" applyAlignment="1">
      <alignment vertical="center"/>
    </xf>
    <xf numFmtId="0" fontId="22" fillId="0" borderId="20" xfId="7" applyFont="1" applyBorder="1" applyAlignment="1">
      <alignment vertical="center"/>
    </xf>
    <xf numFmtId="0" fontId="22" fillId="0" borderId="20" xfId="4" applyFont="1" applyBorder="1" applyAlignment="1">
      <alignment vertical="center"/>
    </xf>
    <xf numFmtId="0" fontId="22" fillId="0" borderId="20" xfId="4" applyFont="1" applyBorder="1" applyAlignment="1">
      <alignment vertical="center" wrapText="1"/>
    </xf>
    <xf numFmtId="0" fontId="22" fillId="0" borderId="20" xfId="4" applyFont="1" applyBorder="1" applyAlignment="1">
      <alignment horizontal="left" vertical="center" wrapText="1"/>
    </xf>
    <xf numFmtId="0" fontId="21" fillId="0" borderId="20" xfId="6" applyFont="1" applyBorder="1" applyAlignment="1">
      <alignment vertical="center"/>
    </xf>
    <xf numFmtId="0" fontId="21" fillId="0" borderId="20" xfId="4" applyFont="1" applyBorder="1" applyAlignment="1">
      <alignment horizontal="center" vertical="center"/>
    </xf>
    <xf numFmtId="0" fontId="22" fillId="0" borderId="28" xfId="3" applyFont="1" applyBorder="1" applyAlignment="1">
      <alignment vertical="center"/>
    </xf>
    <xf numFmtId="0" fontId="15" fillId="0" borderId="1" xfId="3" applyFont="1" applyBorder="1" applyAlignment="1">
      <alignment vertical="top"/>
    </xf>
    <xf numFmtId="43" fontId="16" fillId="0" borderId="0" xfId="1" applyFont="1" applyBorder="1" applyAlignment="1">
      <alignment vertical="top"/>
    </xf>
    <xf numFmtId="43" fontId="15" fillId="0" borderId="0" xfId="1" applyFont="1" applyAlignment="1">
      <alignment vertical="top"/>
    </xf>
    <xf numFmtId="43" fontId="16" fillId="0" borderId="0" xfId="1" applyFont="1" applyAlignment="1">
      <alignment vertical="top"/>
    </xf>
    <xf numFmtId="0" fontId="15" fillId="0" borderId="0" xfId="3" applyFont="1" applyAlignment="1">
      <alignment vertical="top"/>
    </xf>
    <xf numFmtId="0" fontId="24" fillId="0" borderId="0" xfId="3" applyFont="1" applyAlignment="1">
      <alignment vertical="center"/>
    </xf>
    <xf numFmtId="193" fontId="22" fillId="0" borderId="0" xfId="7" applyNumberFormat="1" applyFont="1" applyAlignment="1">
      <alignment horizontal="center" vertical="center"/>
    </xf>
    <xf numFmtId="0" fontId="22" fillId="0" borderId="0" xfId="4" applyFont="1" applyAlignment="1">
      <alignment horizontal="center" vertical="center"/>
    </xf>
    <xf numFmtId="43" fontId="22" fillId="0" borderId="0" xfId="6" applyNumberFormat="1" applyFont="1" applyAlignment="1">
      <alignment horizontal="left" vertical="center"/>
    </xf>
    <xf numFmtId="43" fontId="22" fillId="0" borderId="0" xfId="6" applyNumberFormat="1" applyFont="1" applyAlignment="1">
      <alignment vertical="center"/>
    </xf>
    <xf numFmtId="189" fontId="22" fillId="0" borderId="0" xfId="0" applyNumberFormat="1" applyFont="1" applyAlignment="1">
      <alignment vertical="center"/>
    </xf>
    <xf numFmtId="189" fontId="22" fillId="0" borderId="0" xfId="6" applyNumberFormat="1" applyFont="1" applyAlignment="1">
      <alignment vertical="center"/>
    </xf>
    <xf numFmtId="0" fontId="22" fillId="0" borderId="0" xfId="6" applyFont="1" applyAlignment="1">
      <alignment horizontal="center" vertical="center"/>
    </xf>
    <xf numFmtId="43" fontId="22" fillId="0" borderId="0" xfId="5" applyFont="1" applyFill="1" applyBorder="1" applyAlignment="1">
      <alignment horizontal="center" vertical="center"/>
    </xf>
    <xf numFmtId="2" fontId="22" fillId="0" borderId="0" xfId="3" applyNumberFormat="1" applyFont="1" applyAlignment="1">
      <alignment horizontal="center" vertical="center"/>
    </xf>
    <xf numFmtId="0" fontId="22" fillId="0" borderId="0" xfId="7" quotePrefix="1" applyFont="1" applyAlignment="1">
      <alignment horizontal="left" vertical="center"/>
    </xf>
    <xf numFmtId="43" fontId="22" fillId="0" borderId="0" xfId="7" applyNumberFormat="1" applyFont="1" applyAlignment="1">
      <alignment horizontal="left" vertical="center"/>
    </xf>
    <xf numFmtId="189" fontId="22" fillId="0" borderId="0" xfId="6" applyNumberFormat="1" applyFont="1" applyAlignment="1">
      <alignment horizontal="center" vertical="center"/>
    </xf>
    <xf numFmtId="0" fontId="22" fillId="0" borderId="0" xfId="4" applyFont="1" applyAlignment="1">
      <alignment horizontal="left" vertical="center"/>
    </xf>
    <xf numFmtId="192" fontId="22" fillId="0" borderId="0" xfId="7" applyNumberFormat="1" applyFont="1" applyAlignment="1">
      <alignment vertical="center"/>
    </xf>
    <xf numFmtId="192" fontId="22" fillId="0" borderId="0" xfId="3" applyNumberFormat="1" applyFont="1" applyAlignment="1">
      <alignment horizontal="center" vertical="center"/>
    </xf>
    <xf numFmtId="0" fontId="22" fillId="0" borderId="0" xfId="7" applyFont="1" applyAlignment="1">
      <alignment vertical="center"/>
    </xf>
    <xf numFmtId="192" fontId="21" fillId="0" borderId="0" xfId="7" applyNumberFormat="1" applyFont="1" applyAlignment="1">
      <alignment horizontal="center" vertical="center"/>
    </xf>
    <xf numFmtId="189" fontId="21" fillId="0" borderId="0" xfId="3" applyNumberFormat="1" applyFont="1" applyAlignment="1">
      <alignment horizontal="center" vertical="center"/>
    </xf>
    <xf numFmtId="43" fontId="22" fillId="0" borderId="0" xfId="4" applyNumberFormat="1" applyFont="1" applyAlignment="1">
      <alignment vertical="center"/>
    </xf>
    <xf numFmtId="43" fontId="22" fillId="0" borderId="0" xfId="5" applyFont="1" applyFill="1" applyBorder="1" applyAlignment="1">
      <alignment vertical="center"/>
    </xf>
    <xf numFmtId="1" fontId="21" fillId="0" borderId="0" xfId="7" applyNumberFormat="1" applyFont="1" applyAlignment="1">
      <alignment horizontal="center" vertical="center"/>
    </xf>
    <xf numFmtId="0" fontId="21" fillId="0" borderId="0" xfId="7" applyFont="1" applyAlignment="1">
      <alignment vertical="center"/>
    </xf>
    <xf numFmtId="192" fontId="21" fillId="0" borderId="0" xfId="7" applyNumberFormat="1" applyFont="1" applyAlignment="1">
      <alignment horizontal="left" vertical="center"/>
    </xf>
    <xf numFmtId="192" fontId="21" fillId="0" borderId="0" xfId="7" applyNumberFormat="1" applyFont="1" applyAlignment="1">
      <alignment vertical="center"/>
    </xf>
    <xf numFmtId="191" fontId="22" fillId="0" borderId="0" xfId="4" applyNumberFormat="1" applyFont="1" applyAlignment="1">
      <alignment horizontal="center" vertical="center"/>
    </xf>
    <xf numFmtId="0" fontId="22" fillId="0" borderId="0" xfId="7" applyFont="1" applyAlignment="1">
      <alignment horizontal="left" vertical="center"/>
    </xf>
    <xf numFmtId="189" fontId="22" fillId="0" borderId="0" xfId="6" applyNumberFormat="1" applyFont="1" applyAlignment="1">
      <alignment vertical="center" wrapText="1"/>
    </xf>
    <xf numFmtId="0" fontId="22" fillId="0" borderId="0" xfId="9" applyFont="1" applyAlignment="1">
      <alignment horizontal="left" vertical="center"/>
    </xf>
    <xf numFmtId="192" fontId="22" fillId="0" borderId="0" xfId="0" applyNumberFormat="1" applyFont="1" applyAlignment="1">
      <alignment horizontal="left" vertical="center"/>
    </xf>
    <xf numFmtId="2" fontId="22" fillId="0" borderId="0" xfId="6" applyNumberFormat="1" applyFont="1" applyAlignment="1">
      <alignment horizontal="center" vertical="center"/>
    </xf>
    <xf numFmtId="2" fontId="22" fillId="0" borderId="0" xfId="7" applyNumberFormat="1" applyFont="1" applyAlignment="1">
      <alignment horizontal="center" vertical="center"/>
    </xf>
    <xf numFmtId="192" fontId="22" fillId="0" borderId="0" xfId="0" applyNumberFormat="1" applyFont="1" applyAlignment="1">
      <alignment vertical="center"/>
    </xf>
    <xf numFmtId="0" fontId="22" fillId="0" borderId="0" xfId="6" applyFont="1" applyAlignment="1">
      <alignment vertical="center"/>
    </xf>
    <xf numFmtId="192" fontId="21" fillId="0" borderId="0" xfId="6" applyNumberFormat="1" applyFont="1" applyAlignment="1">
      <alignment vertical="center"/>
    </xf>
    <xf numFmtId="192" fontId="22" fillId="0" borderId="0" xfId="7" applyNumberFormat="1" applyFont="1" applyAlignment="1">
      <alignment horizontal="left" vertical="center"/>
    </xf>
    <xf numFmtId="189" fontId="22" fillId="0" borderId="0" xfId="1" applyNumberFormat="1" applyFont="1" applyFill="1" applyBorder="1" applyAlignment="1">
      <alignment horizontal="right" vertical="center"/>
    </xf>
    <xf numFmtId="192" fontId="21" fillId="0" borderId="0" xfId="0" applyNumberFormat="1" applyFont="1" applyAlignment="1">
      <alignment vertical="center"/>
    </xf>
    <xf numFmtId="192" fontId="22" fillId="0" borderId="0" xfId="6" applyNumberFormat="1" applyFont="1" applyAlignment="1">
      <alignment horizontal="left" vertical="center"/>
    </xf>
    <xf numFmtId="192" fontId="21" fillId="0" borderId="0" xfId="0" applyNumberFormat="1" applyFont="1" applyAlignment="1">
      <alignment horizontal="center" vertical="center"/>
    </xf>
    <xf numFmtId="192" fontId="22" fillId="0" borderId="0" xfId="0" applyNumberFormat="1" applyFont="1" applyAlignment="1">
      <alignment horizontal="center" vertical="center"/>
    </xf>
    <xf numFmtId="0" fontId="22" fillId="0" borderId="0" xfId="3" applyFont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189" fontId="21" fillId="0" borderId="0" xfId="5" applyNumberFormat="1" applyFont="1" applyFill="1" applyBorder="1" applyAlignment="1">
      <alignment vertical="center"/>
    </xf>
    <xf numFmtId="0" fontId="21" fillId="0" borderId="0" xfId="7" quotePrefix="1" applyFont="1" applyAlignment="1">
      <alignment horizontal="left" vertical="center"/>
    </xf>
    <xf numFmtId="191" fontId="21" fillId="0" borderId="0" xfId="7" applyNumberFormat="1" applyFont="1" applyAlignment="1">
      <alignment horizontal="left" vertical="center"/>
    </xf>
    <xf numFmtId="191" fontId="21" fillId="0" borderId="0" xfId="3" applyNumberFormat="1" applyFont="1" applyAlignment="1">
      <alignment vertical="center"/>
    </xf>
    <xf numFmtId="191" fontId="22" fillId="0" borderId="0" xfId="0" applyNumberFormat="1" applyFont="1" applyAlignment="1">
      <alignment vertical="center"/>
    </xf>
    <xf numFmtId="191" fontId="22" fillId="0" borderId="0" xfId="6" applyNumberFormat="1" applyFont="1" applyAlignment="1">
      <alignment vertical="center"/>
    </xf>
    <xf numFmtId="191" fontId="22" fillId="0" borderId="0" xfId="7" applyNumberFormat="1" applyFont="1" applyAlignment="1">
      <alignment vertical="center"/>
    </xf>
    <xf numFmtId="191" fontId="22" fillId="0" borderId="0" xfId="1" applyNumberFormat="1" applyFont="1" applyFill="1" applyBorder="1" applyAlignment="1">
      <alignment vertical="center"/>
    </xf>
    <xf numFmtId="0" fontId="22" fillId="0" borderId="0" xfId="3" quotePrefix="1" applyFont="1" applyAlignment="1">
      <alignment horizontal="center" vertical="center"/>
    </xf>
    <xf numFmtId="191" fontId="22" fillId="0" borderId="0" xfId="6" applyNumberFormat="1" applyFont="1" applyAlignment="1">
      <alignment horizontal="left" vertical="center"/>
    </xf>
    <xf numFmtId="191" fontId="22" fillId="0" borderId="0" xfId="3" applyNumberFormat="1" applyFont="1" applyAlignment="1">
      <alignment horizontal="left" vertical="center"/>
    </xf>
    <xf numFmtId="192" fontId="21" fillId="0" borderId="0" xfId="6" applyNumberFormat="1" applyFont="1" applyAlignment="1">
      <alignment horizontal="center" vertical="center"/>
    </xf>
    <xf numFmtId="1" fontId="21" fillId="0" borderId="0" xfId="4" applyNumberFormat="1" applyFont="1" applyAlignment="1">
      <alignment horizontal="center" vertical="center"/>
    </xf>
    <xf numFmtId="192" fontId="22" fillId="0" borderId="0" xfId="3" applyNumberFormat="1" applyFont="1" applyAlignment="1">
      <alignment horizontal="left" vertical="center"/>
    </xf>
    <xf numFmtId="0" fontId="22" fillId="0" borderId="0" xfId="8" quotePrefix="1" applyFont="1" applyAlignment="1">
      <alignment vertical="center"/>
    </xf>
    <xf numFmtId="0" fontId="22" fillId="0" borderId="0" xfId="8" applyFont="1" applyAlignment="1">
      <alignment vertical="center"/>
    </xf>
    <xf numFmtId="0" fontId="22" fillId="0" borderId="0" xfId="8" quotePrefix="1" applyFont="1" applyAlignment="1">
      <alignment horizontal="center" vertical="center"/>
    </xf>
    <xf numFmtId="0" fontId="22" fillId="0" borderId="0" xfId="8" applyFont="1" applyAlignment="1">
      <alignment horizontal="center" vertical="center"/>
    </xf>
    <xf numFmtId="193" fontId="22" fillId="0" borderId="0" xfId="3" applyNumberFormat="1" applyFont="1" applyAlignment="1">
      <alignment horizontal="center" vertical="center"/>
    </xf>
    <xf numFmtId="0" fontId="22" fillId="0" borderId="0" xfId="8" applyFont="1" applyAlignment="1">
      <alignment horizontal="left" vertical="center"/>
    </xf>
    <xf numFmtId="2" fontId="22" fillId="0" borderId="0" xfId="4" applyNumberFormat="1" applyFont="1" applyAlignment="1">
      <alignment horizontal="center" vertical="center"/>
    </xf>
    <xf numFmtId="192" fontId="22" fillId="0" borderId="0" xfId="11" applyNumberFormat="1" applyFont="1" applyAlignment="1">
      <alignment vertical="center"/>
    </xf>
    <xf numFmtId="189" fontId="22" fillId="0" borderId="0" xfId="10" applyNumberFormat="1" applyFont="1" applyAlignment="1">
      <alignment vertical="center"/>
    </xf>
    <xf numFmtId="192" fontId="22" fillId="0" borderId="0" xfId="6" applyNumberFormat="1" applyFont="1" applyAlignment="1">
      <alignment horizontal="center" vertical="center"/>
    </xf>
    <xf numFmtId="189" fontId="21" fillId="0" borderId="0" xfId="10" applyNumberFormat="1" applyFont="1" applyAlignment="1">
      <alignment vertical="center"/>
    </xf>
    <xf numFmtId="189" fontId="22" fillId="0" borderId="0" xfId="51" applyFont="1" applyFill="1" applyBorder="1" applyAlignment="1">
      <alignment vertical="center"/>
    </xf>
    <xf numFmtId="193" fontId="22" fillId="0" borderId="0" xfId="6" applyNumberFormat="1" applyFont="1" applyAlignment="1">
      <alignment horizontal="center" vertical="center"/>
    </xf>
    <xf numFmtId="193" fontId="21" fillId="0" borderId="0" xfId="7" applyNumberFormat="1" applyFont="1" applyAlignment="1">
      <alignment horizontal="center" vertical="center"/>
    </xf>
    <xf numFmtId="189" fontId="21" fillId="0" borderId="0" xfId="0" applyNumberFormat="1" applyFont="1" applyAlignment="1">
      <alignment vertical="center"/>
    </xf>
    <xf numFmtId="189" fontId="21" fillId="0" borderId="0" xfId="6" applyNumberFormat="1" applyFont="1" applyAlignment="1">
      <alignment vertical="center"/>
    </xf>
    <xf numFmtId="0" fontId="22" fillId="0" borderId="0" xfId="7" applyFont="1" applyAlignment="1">
      <alignment horizontal="centerContinuous" vertical="center"/>
    </xf>
    <xf numFmtId="189" fontId="22" fillId="0" borderId="0" xfId="4" applyNumberFormat="1" applyFont="1" applyAlignment="1">
      <alignment vertical="center"/>
    </xf>
    <xf numFmtId="189" fontId="22" fillId="0" borderId="0" xfId="8" applyNumberFormat="1" applyFont="1" applyAlignment="1">
      <alignment vertical="center"/>
    </xf>
    <xf numFmtId="0" fontId="22" fillId="0" borderId="0" xfId="7" applyFont="1" applyAlignment="1">
      <alignment horizontal="center" vertical="center"/>
    </xf>
    <xf numFmtId="189" fontId="22" fillId="0" borderId="0" xfId="4" applyNumberFormat="1" applyFont="1" applyAlignment="1">
      <alignment horizontal="center" vertical="center"/>
    </xf>
    <xf numFmtId="0" fontId="22" fillId="0" borderId="0" xfId="12" applyFont="1" applyAlignment="1">
      <alignment horizontal="left" vertical="center"/>
    </xf>
    <xf numFmtId="192" fontId="22" fillId="0" borderId="0" xfId="12" applyNumberFormat="1" applyFont="1" applyAlignment="1">
      <alignment horizontal="left" vertical="center"/>
    </xf>
    <xf numFmtId="192" fontId="21" fillId="0" borderId="0" xfId="12" applyNumberFormat="1" applyFont="1" applyAlignment="1">
      <alignment horizontal="left" vertical="center"/>
    </xf>
    <xf numFmtId="192" fontId="21" fillId="0" borderId="0" xfId="12" applyNumberFormat="1" applyFont="1" applyAlignment="1">
      <alignment vertical="center"/>
    </xf>
    <xf numFmtId="189" fontId="21" fillId="0" borderId="0" xfId="8" applyNumberFormat="1" applyFont="1" applyAlignment="1">
      <alignment vertical="center"/>
    </xf>
    <xf numFmtId="0" fontId="21" fillId="0" borderId="0" xfId="7" applyFont="1" applyAlignment="1">
      <alignment horizontal="left" vertical="center"/>
    </xf>
    <xf numFmtId="189" fontId="22" fillId="0" borderId="0" xfId="0" applyNumberFormat="1" applyFont="1" applyAlignment="1">
      <alignment horizontal="center" vertical="center"/>
    </xf>
    <xf numFmtId="192" fontId="21" fillId="0" borderId="0" xfId="1" applyNumberFormat="1" applyFont="1" applyFill="1" applyBorder="1" applyAlignment="1">
      <alignment vertical="center"/>
    </xf>
    <xf numFmtId="193" fontId="22" fillId="0" borderId="0" xfId="14" quotePrefix="1" applyNumberFormat="1" applyFont="1" applyAlignment="1">
      <alignment horizontal="center" vertical="center"/>
    </xf>
    <xf numFmtId="0" fontId="22" fillId="0" borderId="0" xfId="14" applyFont="1" applyAlignment="1">
      <alignment vertical="center"/>
    </xf>
    <xf numFmtId="189" fontId="22" fillId="0" borderId="0" xfId="7" applyNumberFormat="1" applyFont="1" applyAlignment="1">
      <alignment horizontal="centerContinuous" vertical="center"/>
    </xf>
    <xf numFmtId="191" fontId="22" fillId="0" borderId="0" xfId="4" applyNumberFormat="1" applyFont="1" applyAlignment="1">
      <alignment vertical="center"/>
    </xf>
    <xf numFmtId="191" fontId="22" fillId="0" borderId="0" xfId="8" applyNumberFormat="1" applyFont="1" applyAlignment="1">
      <alignment vertical="center"/>
    </xf>
    <xf numFmtId="0" fontId="22" fillId="0" borderId="0" xfId="9" applyFont="1" applyAlignment="1">
      <alignment horizontal="center" vertical="center"/>
    </xf>
    <xf numFmtId="0" fontId="22" fillId="0" borderId="0" xfId="7" quotePrefix="1" applyFont="1" applyAlignment="1">
      <alignment horizontal="center" vertical="center"/>
    </xf>
    <xf numFmtId="0" fontId="21" fillId="0" borderId="0" xfId="1" applyNumberFormat="1" applyFont="1" applyFill="1" applyBorder="1" applyAlignment="1">
      <alignment vertical="center"/>
    </xf>
    <xf numFmtId="0" fontId="22" fillId="0" borderId="0" xfId="11" applyFont="1" applyAlignment="1">
      <alignment vertical="center"/>
    </xf>
    <xf numFmtId="189" fontId="22" fillId="0" borderId="0" xfId="13" applyFont="1" applyFill="1" applyBorder="1" applyAlignment="1">
      <alignment vertical="center"/>
    </xf>
    <xf numFmtId="0" fontId="21" fillId="0" borderId="0" xfId="11" applyFont="1" applyAlignment="1">
      <alignment vertical="center"/>
    </xf>
    <xf numFmtId="0" fontId="22" fillId="0" borderId="0" xfId="11" applyFont="1" applyAlignment="1">
      <alignment horizontal="center" vertical="center"/>
    </xf>
    <xf numFmtId="192" fontId="22" fillId="0" borderId="0" xfId="1" applyNumberFormat="1" applyFont="1" applyFill="1" applyBorder="1" applyAlignment="1">
      <alignment horizontal="left" vertical="center"/>
    </xf>
    <xf numFmtId="0" fontId="22" fillId="0" borderId="0" xfId="12" applyFont="1" applyAlignment="1">
      <alignment horizontal="center" vertical="center"/>
    </xf>
    <xf numFmtId="2" fontId="22" fillId="0" borderId="18" xfId="3" applyNumberFormat="1" applyFont="1" applyBorder="1" applyAlignment="1">
      <alignment horizontal="center"/>
    </xf>
    <xf numFmtId="49" fontId="22" fillId="0" borderId="20" xfId="3" applyNumberFormat="1" applyFont="1" applyBorder="1" applyAlignment="1">
      <alignment wrapText="1" shrinkToFit="1"/>
    </xf>
    <xf numFmtId="49" fontId="22" fillId="0" borderId="2" xfId="43" quotePrefix="1" applyNumberFormat="1" applyFont="1" applyBorder="1"/>
    <xf numFmtId="43" fontId="24" fillId="0" borderId="0" xfId="1" applyFont="1" applyAlignment="1">
      <alignment vertical="center"/>
    </xf>
    <xf numFmtId="43" fontId="22" fillId="0" borderId="41" xfId="1" applyFont="1" applyFill="1" applyBorder="1" applyAlignment="1">
      <alignment horizontal="center" vertical="center"/>
    </xf>
    <xf numFmtId="2" fontId="22" fillId="0" borderId="19" xfId="3" applyNumberFormat="1" applyFont="1" applyBorder="1" applyAlignment="1">
      <alignment vertical="center"/>
    </xf>
    <xf numFmtId="2" fontId="22" fillId="0" borderId="41" xfId="3" applyNumberFormat="1" applyFont="1" applyBorder="1" applyAlignment="1">
      <alignment vertical="center"/>
    </xf>
    <xf numFmtId="199" fontId="22" fillId="0" borderId="41" xfId="1" applyNumberFormat="1" applyFont="1" applyBorder="1" applyAlignment="1">
      <alignment vertical="center"/>
    </xf>
    <xf numFmtId="0" fontId="24" fillId="0" borderId="19" xfId="3" applyFont="1" applyBorder="1" applyAlignment="1">
      <alignment horizontal="left" vertical="center"/>
    </xf>
    <xf numFmtId="43" fontId="22" fillId="2" borderId="19" xfId="1" applyFont="1" applyFill="1" applyBorder="1" applyAlignment="1">
      <alignment horizontal="right" vertical="center"/>
    </xf>
    <xf numFmtId="43" fontId="22" fillId="0" borderId="0" xfId="1" applyFont="1" applyBorder="1" applyAlignment="1">
      <alignment horizontal="center" vertical="center"/>
    </xf>
    <xf numFmtId="43" fontId="22" fillId="3" borderId="0" xfId="1" applyFont="1" applyFill="1" applyBorder="1" applyAlignment="1">
      <alignment horizontal="center" vertical="center"/>
    </xf>
    <xf numFmtId="43" fontId="22" fillId="0" borderId="0" xfId="1" applyFont="1" applyBorder="1" applyAlignment="1">
      <alignment horizontal="left" vertical="center"/>
    </xf>
    <xf numFmtId="43" fontId="22" fillId="0" borderId="0" xfId="1" applyFont="1" applyBorder="1" applyAlignment="1">
      <alignment vertical="center"/>
    </xf>
    <xf numFmtId="43" fontId="21" fillId="0" borderId="0" xfId="1" applyFont="1" applyBorder="1" applyAlignment="1">
      <alignment vertical="center"/>
    </xf>
    <xf numFmtId="43" fontId="21" fillId="0" borderId="0" xfId="1" applyFont="1" applyBorder="1" applyAlignment="1">
      <alignment horizontal="center" vertical="center"/>
    </xf>
    <xf numFmtId="43" fontId="24" fillId="0" borderId="0" xfId="1" applyFont="1" applyBorder="1" applyAlignment="1">
      <alignment horizontal="center" vertical="center"/>
    </xf>
    <xf numFmtId="43" fontId="24" fillId="0" borderId="0" xfId="1" applyFont="1" applyBorder="1" applyAlignment="1">
      <alignment vertical="center"/>
    </xf>
    <xf numFmtId="195" fontId="22" fillId="0" borderId="0" xfId="1" applyNumberFormat="1" applyFont="1" applyBorder="1" applyAlignment="1">
      <alignment vertical="center"/>
    </xf>
    <xf numFmtId="43" fontId="25" fillId="0" borderId="13" xfId="1" applyFont="1" applyBorder="1" applyAlignment="1">
      <alignment horizontal="center" vertical="center"/>
    </xf>
    <xf numFmtId="0" fontId="26" fillId="0" borderId="14" xfId="3" applyFont="1" applyBorder="1" applyAlignment="1">
      <alignment horizontal="center" vertical="center"/>
    </xf>
    <xf numFmtId="188" fontId="25" fillId="0" borderId="14" xfId="4" applyNumberFormat="1" applyFont="1" applyBorder="1" applyAlignment="1">
      <alignment horizontal="left" vertical="center"/>
    </xf>
    <xf numFmtId="43" fontId="25" fillId="0" borderId="16" xfId="3" applyNumberFormat="1" applyFont="1" applyBorder="1" applyAlignment="1">
      <alignment vertical="center"/>
    </xf>
    <xf numFmtId="43" fontId="26" fillId="0" borderId="17" xfId="1" applyFont="1" applyFill="1" applyBorder="1" applyAlignment="1">
      <alignment vertical="center"/>
    </xf>
    <xf numFmtId="43" fontId="26" fillId="0" borderId="17" xfId="1" applyFont="1" applyBorder="1" applyAlignment="1">
      <alignment horizontal="center" vertical="center"/>
    </xf>
    <xf numFmtId="43" fontId="26" fillId="0" borderId="17" xfId="1" applyFont="1" applyFill="1" applyBorder="1" applyAlignment="1">
      <alignment horizontal="center" vertical="center"/>
    </xf>
    <xf numFmtId="43" fontId="25" fillId="0" borderId="17" xfId="1" applyFont="1" applyFill="1" applyBorder="1" applyAlignment="1">
      <alignment vertical="center"/>
    </xf>
    <xf numFmtId="0" fontId="26" fillId="0" borderId="18" xfId="3" applyFont="1" applyBorder="1" applyAlignment="1">
      <alignment horizontal="center" vertical="center"/>
    </xf>
    <xf numFmtId="188" fontId="25" fillId="0" borderId="18" xfId="4" applyNumberFormat="1" applyFont="1" applyBorder="1" applyAlignment="1">
      <alignment horizontal="left" vertical="center"/>
    </xf>
    <xf numFmtId="43" fontId="25" fillId="0" borderId="2" xfId="3" applyNumberFormat="1" applyFont="1" applyBorder="1" applyAlignment="1">
      <alignment vertical="center"/>
    </xf>
    <xf numFmtId="43" fontId="26" fillId="0" borderId="19" xfId="1" applyFont="1" applyFill="1" applyBorder="1" applyAlignment="1">
      <alignment vertical="center"/>
    </xf>
    <xf numFmtId="43" fontId="26" fillId="0" borderId="19" xfId="1" applyFont="1" applyBorder="1" applyAlignment="1">
      <alignment horizontal="center" vertical="center"/>
    </xf>
    <xf numFmtId="43" fontId="26" fillId="0" borderId="19" xfId="1" applyFont="1" applyFill="1" applyBorder="1" applyAlignment="1">
      <alignment horizontal="center" vertical="center"/>
    </xf>
    <xf numFmtId="43" fontId="26" fillId="0" borderId="19" xfId="1" applyFont="1" applyBorder="1" applyAlignment="1">
      <alignment vertical="center"/>
    </xf>
    <xf numFmtId="1" fontId="26" fillId="0" borderId="18" xfId="4" applyNumberFormat="1" applyFont="1" applyBorder="1" applyAlignment="1">
      <alignment horizontal="center" vertical="center"/>
    </xf>
    <xf numFmtId="188" fontId="26" fillId="0" borderId="18" xfId="4" applyNumberFormat="1" applyFont="1" applyBorder="1" applyAlignment="1">
      <alignment horizontal="left" vertical="center"/>
    </xf>
    <xf numFmtId="43" fontId="26" fillId="0" borderId="2" xfId="6" applyNumberFormat="1" applyFont="1" applyBorder="1" applyAlignment="1">
      <alignment vertical="center"/>
    </xf>
    <xf numFmtId="43" fontId="25" fillId="0" borderId="20" xfId="3" applyNumberFormat="1" applyFont="1" applyBorder="1" applyAlignment="1">
      <alignment vertical="center"/>
    </xf>
    <xf numFmtId="43" fontId="25" fillId="0" borderId="20" xfId="4" applyNumberFormat="1" applyFont="1" applyBorder="1" applyAlignment="1">
      <alignment horizontal="center" vertical="center"/>
    </xf>
    <xf numFmtId="43" fontId="25" fillId="0" borderId="19" xfId="1" applyFont="1" applyFill="1" applyBorder="1" applyAlignment="1">
      <alignment vertical="center"/>
    </xf>
    <xf numFmtId="188" fontId="25" fillId="0" borderId="18" xfId="4" applyNumberFormat="1" applyFont="1" applyBorder="1" applyAlignment="1">
      <alignment horizontal="center" vertical="center"/>
    </xf>
    <xf numFmtId="188" fontId="26" fillId="0" borderId="18" xfId="3" applyNumberFormat="1" applyFont="1" applyBorder="1" applyAlignment="1">
      <alignment horizontal="center" vertical="center"/>
    </xf>
    <xf numFmtId="43" fontId="26" fillId="0" borderId="20" xfId="3" applyNumberFormat="1" applyFont="1" applyBorder="1" applyAlignment="1">
      <alignment vertical="center"/>
    </xf>
    <xf numFmtId="0" fontId="26" fillId="0" borderId="21" xfId="3" applyFont="1" applyBorder="1" applyAlignment="1">
      <alignment horizontal="center" vertical="center"/>
    </xf>
    <xf numFmtId="188" fontId="26" fillId="0" borderId="21" xfId="3" applyNumberFormat="1" applyFont="1" applyBorder="1" applyAlignment="1">
      <alignment horizontal="center" vertical="center"/>
    </xf>
    <xf numFmtId="43" fontId="26" fillId="0" borderId="22" xfId="3" applyNumberFormat="1" applyFont="1" applyBorder="1" applyAlignment="1">
      <alignment vertical="center"/>
    </xf>
    <xf numFmtId="43" fontId="26" fillId="0" borderId="23" xfId="1" applyFont="1" applyFill="1" applyBorder="1" applyAlignment="1">
      <alignment vertical="center"/>
    </xf>
    <xf numFmtId="43" fontId="26" fillId="0" borderId="23" xfId="1" applyFont="1" applyBorder="1" applyAlignment="1">
      <alignment horizontal="center" vertical="center"/>
    </xf>
    <xf numFmtId="43" fontId="26" fillId="0" borderId="23" xfId="1" applyFont="1" applyFill="1" applyBorder="1" applyAlignment="1">
      <alignment horizontal="center" vertical="center"/>
    </xf>
    <xf numFmtId="0" fontId="25" fillId="0" borderId="14" xfId="3" applyFont="1" applyBorder="1" applyAlignment="1">
      <alignment horizontal="center" vertical="center"/>
    </xf>
    <xf numFmtId="188" fontId="25" fillId="0" borderId="14" xfId="7" applyNumberFormat="1" applyFont="1" applyBorder="1" applyAlignment="1">
      <alignment horizontal="left" vertical="center"/>
    </xf>
    <xf numFmtId="193" fontId="26" fillId="0" borderId="18" xfId="4" applyNumberFormat="1" applyFont="1" applyBorder="1" applyAlignment="1">
      <alignment horizontal="center" vertical="center"/>
    </xf>
    <xf numFmtId="43" fontId="26" fillId="0" borderId="25" xfId="1" applyFont="1" applyBorder="1" applyAlignment="1">
      <alignment horizontal="center" vertical="center"/>
    </xf>
    <xf numFmtId="188" fontId="26" fillId="0" borderId="18" xfId="0" applyNumberFormat="1" applyFont="1" applyBorder="1" applyAlignment="1">
      <alignment vertical="center"/>
    </xf>
    <xf numFmtId="43" fontId="26" fillId="0" borderId="20" xfId="6" applyNumberFormat="1" applyFont="1" applyBorder="1" applyAlignment="1">
      <alignment vertical="center"/>
    </xf>
    <xf numFmtId="2" fontId="26" fillId="0" borderId="18" xfId="3" applyNumberFormat="1" applyFont="1" applyBorder="1" applyAlignment="1">
      <alignment horizontal="center" vertical="center"/>
    </xf>
    <xf numFmtId="43" fontId="26" fillId="0" borderId="26" xfId="1" applyFont="1" applyFill="1" applyBorder="1" applyAlignment="1">
      <alignment vertical="center"/>
    </xf>
    <xf numFmtId="43" fontId="26" fillId="0" borderId="27" xfId="1" applyFont="1" applyFill="1" applyBorder="1" applyAlignment="1">
      <alignment vertical="center"/>
    </xf>
    <xf numFmtId="2" fontId="26" fillId="0" borderId="18" xfId="7" applyNumberFormat="1" applyFont="1" applyBorder="1" applyAlignment="1">
      <alignment horizontal="center" vertical="center"/>
    </xf>
    <xf numFmtId="43" fontId="26" fillId="0" borderId="19" xfId="1" applyFont="1" applyFill="1" applyBorder="1" applyAlignment="1">
      <alignment horizontal="left" vertical="center"/>
    </xf>
    <xf numFmtId="188" fontId="26" fillId="0" borderId="18" xfId="0" applyNumberFormat="1" applyFont="1" applyBorder="1" applyAlignment="1">
      <alignment horizontal="center" vertical="center"/>
    </xf>
    <xf numFmtId="43" fontId="26" fillId="0" borderId="20" xfId="4" applyNumberFormat="1" applyFont="1" applyBorder="1" applyAlignment="1">
      <alignment vertical="center"/>
    </xf>
    <xf numFmtId="43" fontId="26" fillId="0" borderId="20" xfId="7" applyNumberFormat="1" applyFont="1" applyBorder="1" applyAlignment="1">
      <alignment vertical="center"/>
    </xf>
    <xf numFmtId="188" fontId="26" fillId="0" borderId="21" xfId="0" applyNumberFormat="1" applyFont="1" applyBorder="1" applyAlignment="1">
      <alignment vertical="center"/>
    </xf>
    <xf numFmtId="43" fontId="26" fillId="0" borderId="22" xfId="7" applyNumberFormat="1" applyFont="1" applyBorder="1" applyAlignment="1">
      <alignment vertical="center"/>
    </xf>
    <xf numFmtId="43" fontId="26" fillId="0" borderId="23" xfId="1" applyFont="1" applyBorder="1" applyAlignment="1">
      <alignment vertical="center"/>
    </xf>
    <xf numFmtId="2" fontId="26" fillId="0" borderId="14" xfId="4" applyNumberFormat="1" applyFont="1" applyBorder="1" applyAlignment="1">
      <alignment horizontal="center" vertical="center"/>
    </xf>
    <xf numFmtId="188" fontId="26" fillId="0" borderId="14" xfId="4" applyNumberFormat="1" applyFont="1" applyBorder="1" applyAlignment="1">
      <alignment horizontal="left" vertical="center"/>
    </xf>
    <xf numFmtId="43" fontId="26" fillId="0" borderId="17" xfId="1" applyFont="1" applyBorder="1" applyAlignment="1">
      <alignment vertical="center"/>
    </xf>
    <xf numFmtId="2" fontId="26" fillId="0" borderId="29" xfId="7" applyNumberFormat="1" applyFont="1" applyBorder="1" applyAlignment="1">
      <alignment horizontal="center" vertical="center"/>
    </xf>
    <xf numFmtId="188" fontId="26" fillId="0" borderId="18" xfId="4" applyNumberFormat="1" applyFont="1" applyBorder="1" applyAlignment="1">
      <alignment horizontal="center" vertical="center"/>
    </xf>
    <xf numFmtId="43" fontId="26" fillId="0" borderId="25" xfId="1" applyFont="1" applyFill="1" applyBorder="1" applyAlignment="1">
      <alignment vertical="center"/>
    </xf>
    <xf numFmtId="2" fontId="26" fillId="0" borderId="18" xfId="6" applyNumberFormat="1" applyFont="1" applyBorder="1" applyAlignment="1">
      <alignment horizontal="center" vertical="center"/>
    </xf>
    <xf numFmtId="0" fontId="26" fillId="0" borderId="18" xfId="6" applyFont="1" applyBorder="1" applyAlignment="1">
      <alignment horizontal="center" vertical="center"/>
    </xf>
    <xf numFmtId="188" fontId="26" fillId="0" borderId="29" xfId="7" quotePrefix="1" applyNumberFormat="1" applyFont="1" applyBorder="1" applyAlignment="1">
      <alignment horizontal="left" vertical="center"/>
    </xf>
    <xf numFmtId="43" fontId="26" fillId="0" borderId="33" xfId="1" applyFont="1" applyFill="1" applyBorder="1" applyAlignment="1">
      <alignment horizontal="center" vertical="center"/>
    </xf>
    <xf numFmtId="193" fontId="26" fillId="0" borderId="29" xfId="7" applyNumberFormat="1" applyFont="1" applyBorder="1" applyAlignment="1">
      <alignment horizontal="center" vertical="center"/>
    </xf>
    <xf numFmtId="0" fontId="26" fillId="0" borderId="29" xfId="6" applyFont="1" applyBorder="1" applyAlignment="1">
      <alignment horizontal="center" vertical="center"/>
    </xf>
    <xf numFmtId="192" fontId="26" fillId="0" borderId="2" xfId="3" applyNumberFormat="1" applyFont="1" applyBorder="1" applyAlignment="1">
      <alignment horizontal="center" vertical="center"/>
    </xf>
    <xf numFmtId="188" fontId="26" fillId="0" borderId="18" xfId="7" applyNumberFormat="1" applyFont="1" applyBorder="1" applyAlignment="1">
      <alignment vertical="center"/>
    </xf>
    <xf numFmtId="193" fontId="26" fillId="0" borderId="18" xfId="7" applyNumberFormat="1" applyFont="1" applyBorder="1" applyAlignment="1">
      <alignment horizontal="center" vertical="center"/>
    </xf>
    <xf numFmtId="192" fontId="25" fillId="0" borderId="18" xfId="7" applyNumberFormat="1" applyFont="1" applyBorder="1" applyAlignment="1">
      <alignment horizontal="center" vertical="center"/>
    </xf>
    <xf numFmtId="192" fontId="25" fillId="0" borderId="20" xfId="7" applyNumberFormat="1" applyFont="1" applyBorder="1" applyAlignment="1">
      <alignment horizontal="center" vertical="center"/>
    </xf>
    <xf numFmtId="43" fontId="25" fillId="0" borderId="19" xfId="1" applyFont="1" applyBorder="1" applyAlignment="1">
      <alignment horizontal="center" vertical="center"/>
    </xf>
    <xf numFmtId="188" fontId="25" fillId="0" borderId="18" xfId="7" applyNumberFormat="1" applyFont="1" applyBorder="1" applyAlignment="1">
      <alignment horizontal="center" vertical="center"/>
    </xf>
    <xf numFmtId="1" fontId="25" fillId="0" borderId="14" xfId="7" applyNumberFormat="1" applyFont="1" applyBorder="1" applyAlignment="1">
      <alignment horizontal="center" vertical="center"/>
    </xf>
    <xf numFmtId="188" fontId="25" fillId="0" borderId="14" xfId="7" applyNumberFormat="1" applyFont="1" applyBorder="1" applyAlignment="1">
      <alignment vertical="center"/>
    </xf>
    <xf numFmtId="192" fontId="25" fillId="0" borderId="16" xfId="7" applyNumberFormat="1" applyFont="1" applyBorder="1" applyAlignment="1">
      <alignment vertical="center"/>
    </xf>
    <xf numFmtId="43" fontId="26" fillId="0" borderId="14" xfId="1" applyFont="1" applyFill="1" applyBorder="1" applyAlignment="1">
      <alignment horizontal="center" vertical="center"/>
    </xf>
    <xf numFmtId="1" fontId="25" fillId="0" borderId="29" xfId="7" applyNumberFormat="1" applyFont="1" applyBorder="1" applyAlignment="1">
      <alignment horizontal="center" vertical="center"/>
    </xf>
    <xf numFmtId="188" fontId="25" fillId="0" borderId="29" xfId="7" applyNumberFormat="1" applyFont="1" applyBorder="1" applyAlignment="1">
      <alignment vertical="center"/>
    </xf>
    <xf numFmtId="192" fontId="25" fillId="0" borderId="28" xfId="7" applyNumberFormat="1" applyFont="1" applyBorder="1" applyAlignment="1">
      <alignment vertical="center"/>
    </xf>
    <xf numFmtId="43" fontId="26" fillId="0" borderId="29" xfId="1" applyFont="1" applyFill="1" applyBorder="1" applyAlignment="1">
      <alignment horizontal="center" vertical="center"/>
    </xf>
    <xf numFmtId="43" fontId="26" fillId="0" borderId="25" xfId="1" applyFont="1" applyFill="1" applyBorder="1" applyAlignment="1">
      <alignment horizontal="center" vertical="center"/>
    </xf>
    <xf numFmtId="188" fontId="26" fillId="0" borderId="18" xfId="7" applyNumberFormat="1" applyFont="1" applyBorder="1" applyAlignment="1">
      <alignment horizontal="left" vertical="center"/>
    </xf>
    <xf numFmtId="192" fontId="26" fillId="0" borderId="20" xfId="7" applyNumberFormat="1" applyFont="1" applyBorder="1" applyAlignment="1">
      <alignment vertical="center"/>
    </xf>
    <xf numFmtId="192" fontId="26" fillId="0" borderId="2" xfId="6" applyNumberFormat="1" applyFont="1" applyBorder="1" applyAlignment="1">
      <alignment vertical="center"/>
    </xf>
    <xf numFmtId="192" fontId="25" fillId="0" borderId="20" xfId="3" applyNumberFormat="1" applyFont="1" applyBorder="1" applyAlignment="1">
      <alignment vertical="center"/>
    </xf>
    <xf numFmtId="192" fontId="26" fillId="0" borderId="20" xfId="3" applyNumberFormat="1" applyFont="1" applyBorder="1" applyAlignment="1">
      <alignment vertical="center"/>
    </xf>
    <xf numFmtId="192" fontId="26" fillId="0" borderId="20" xfId="4" applyNumberFormat="1" applyFont="1" applyBorder="1" applyAlignment="1">
      <alignment vertical="center"/>
    </xf>
    <xf numFmtId="188" fontId="26" fillId="0" borderId="18" xfId="6" applyNumberFormat="1" applyFont="1" applyBorder="1" applyAlignment="1">
      <alignment vertical="center"/>
    </xf>
    <xf numFmtId="192" fontId="25" fillId="0" borderId="20" xfId="6" applyNumberFormat="1" applyFont="1" applyBorder="1" applyAlignment="1">
      <alignment vertical="center"/>
    </xf>
    <xf numFmtId="192" fontId="26" fillId="0" borderId="3" xfId="6" applyNumberFormat="1" applyFont="1" applyBorder="1" applyAlignment="1">
      <alignment vertical="center"/>
    </xf>
    <xf numFmtId="192" fontId="26" fillId="0" borderId="20" xfId="0" applyNumberFormat="1" applyFont="1" applyBorder="1" applyAlignment="1">
      <alignment horizontal="center" vertical="center"/>
    </xf>
    <xf numFmtId="188" fontId="26" fillId="0" borderId="18" xfId="0" applyNumberFormat="1" applyFont="1" applyBorder="1" applyAlignment="1">
      <alignment horizontal="left" vertical="center"/>
    </xf>
    <xf numFmtId="192" fontId="25" fillId="0" borderId="20" xfId="0" applyNumberFormat="1" applyFont="1" applyBorder="1" applyAlignment="1">
      <alignment horizontal="center" vertical="center"/>
    </xf>
    <xf numFmtId="188" fontId="25" fillId="0" borderId="18" xfId="0" applyNumberFormat="1" applyFont="1" applyBorder="1" applyAlignment="1">
      <alignment horizontal="center" vertical="center"/>
    </xf>
    <xf numFmtId="188" fontId="25" fillId="0" borderId="18" xfId="7" applyNumberFormat="1" applyFont="1" applyBorder="1" applyAlignment="1">
      <alignment vertical="center"/>
    </xf>
    <xf numFmtId="192" fontId="25" fillId="0" borderId="20" xfId="7" applyNumberFormat="1" applyFont="1" applyBorder="1" applyAlignment="1">
      <alignment vertical="center"/>
    </xf>
    <xf numFmtId="188" fontId="25" fillId="0" borderId="21" xfId="0" applyNumberFormat="1" applyFont="1" applyBorder="1" applyAlignment="1">
      <alignment horizontal="center" vertical="center"/>
    </xf>
    <xf numFmtId="192" fontId="25" fillId="0" borderId="22" xfId="0" applyNumberFormat="1" applyFont="1" applyBorder="1" applyAlignment="1">
      <alignment horizontal="center" vertical="center"/>
    </xf>
    <xf numFmtId="1" fontId="25" fillId="0" borderId="17" xfId="7" applyNumberFormat="1" applyFont="1" applyBorder="1" applyAlignment="1">
      <alignment horizontal="center" vertical="center"/>
    </xf>
    <xf numFmtId="188" fontId="25" fillId="0" borderId="14" xfId="7" quotePrefix="1" applyNumberFormat="1" applyFont="1" applyBorder="1" applyAlignment="1">
      <alignment horizontal="left" vertical="center"/>
    </xf>
    <xf numFmtId="191" fontId="25" fillId="0" borderId="16" xfId="3" applyNumberFormat="1" applyFont="1" applyBorder="1" applyAlignment="1">
      <alignment vertical="center"/>
    </xf>
    <xf numFmtId="191" fontId="26" fillId="0" borderId="2" xfId="6" applyNumberFormat="1" applyFont="1" applyBorder="1" applyAlignment="1">
      <alignment vertical="center"/>
    </xf>
    <xf numFmtId="43" fontId="26" fillId="0" borderId="30" xfId="1" applyFont="1" applyFill="1" applyBorder="1" applyAlignment="1">
      <alignment vertical="center"/>
    </xf>
    <xf numFmtId="191" fontId="25" fillId="0" borderId="20" xfId="3" applyNumberFormat="1" applyFont="1" applyBorder="1" applyAlignment="1">
      <alignment vertical="center"/>
    </xf>
    <xf numFmtId="43" fontId="26" fillId="0" borderId="25" xfId="1" quotePrefix="1" applyFont="1" applyBorder="1" applyAlignment="1">
      <alignment horizontal="center" vertical="center"/>
    </xf>
    <xf numFmtId="191" fontId="26" fillId="0" borderId="20" xfId="3" applyNumberFormat="1" applyFont="1" applyBorder="1" applyAlignment="1">
      <alignment vertical="center"/>
    </xf>
    <xf numFmtId="2" fontId="26" fillId="0" borderId="29" xfId="6" applyNumberFormat="1" applyFont="1" applyBorder="1" applyAlignment="1">
      <alignment horizontal="center" vertical="center"/>
    </xf>
    <xf numFmtId="192" fontId="25" fillId="0" borderId="20" xfId="6" applyNumberFormat="1" applyFont="1" applyBorder="1" applyAlignment="1">
      <alignment horizontal="center" vertical="center"/>
    </xf>
    <xf numFmtId="43" fontId="25" fillId="0" borderId="23" xfId="1" applyFont="1" applyFill="1" applyBorder="1" applyAlignment="1">
      <alignment vertical="center"/>
    </xf>
    <xf numFmtId="1" fontId="25" fillId="0" borderId="14" xfId="4" applyNumberFormat="1" applyFont="1" applyBorder="1" applyAlignment="1">
      <alignment horizontal="center" vertical="center"/>
    </xf>
    <xf numFmtId="192" fontId="26" fillId="0" borderId="16" xfId="3" applyNumberFormat="1" applyFont="1" applyBorder="1" applyAlignment="1">
      <alignment vertical="center"/>
    </xf>
    <xf numFmtId="188" fontId="26" fillId="0" borderId="18" xfId="8" quotePrefix="1" applyNumberFormat="1" applyFont="1" applyBorder="1" applyAlignment="1">
      <alignment vertical="center"/>
    </xf>
    <xf numFmtId="188" fontId="26" fillId="0" borderId="18" xfId="8" applyNumberFormat="1" applyFont="1" applyBorder="1" applyAlignment="1">
      <alignment vertical="center"/>
    </xf>
    <xf numFmtId="188" fontId="26" fillId="0" borderId="18" xfId="8" quotePrefix="1" applyNumberFormat="1" applyFont="1" applyBorder="1" applyAlignment="1">
      <alignment horizontal="center" vertical="center"/>
    </xf>
    <xf numFmtId="188" fontId="26" fillId="0" borderId="18" xfId="8" applyNumberFormat="1" applyFont="1" applyBorder="1" applyAlignment="1">
      <alignment horizontal="center" vertical="center"/>
    </xf>
    <xf numFmtId="193" fontId="26" fillId="0" borderId="18" xfId="3" applyNumberFormat="1" applyFont="1" applyBorder="1" applyAlignment="1">
      <alignment horizontal="center" vertical="center"/>
    </xf>
    <xf numFmtId="188" fontId="26" fillId="0" borderId="18" xfId="8" applyNumberFormat="1" applyFont="1" applyBorder="1" applyAlignment="1">
      <alignment horizontal="left" vertical="center"/>
    </xf>
    <xf numFmtId="188" fontId="26" fillId="0" borderId="18" xfId="3" applyNumberFormat="1" applyFont="1" applyBorder="1" applyAlignment="1">
      <alignment vertical="center"/>
    </xf>
    <xf numFmtId="2" fontId="26" fillId="0" borderId="17" xfId="4" applyNumberFormat="1" applyFont="1" applyBorder="1" applyAlignment="1">
      <alignment horizontal="center" vertical="center"/>
    </xf>
    <xf numFmtId="188" fontId="26" fillId="0" borderId="14" xfId="8" quotePrefix="1" applyNumberFormat="1" applyFont="1" applyBorder="1" applyAlignment="1">
      <alignment vertical="center"/>
    </xf>
    <xf numFmtId="43" fontId="26" fillId="0" borderId="33" xfId="1" applyFont="1" applyBorder="1" applyAlignment="1">
      <alignment vertical="center"/>
    </xf>
    <xf numFmtId="43" fontId="26" fillId="0" borderId="33" xfId="1" applyFont="1" applyBorder="1" applyAlignment="1">
      <alignment horizontal="center" vertical="center"/>
    </xf>
    <xf numFmtId="43" fontId="26" fillId="0" borderId="33" xfId="1" applyFont="1" applyFill="1" applyBorder="1" applyAlignment="1">
      <alignment vertical="center"/>
    </xf>
    <xf numFmtId="188" fontId="26" fillId="0" borderId="21" xfId="6" applyNumberFormat="1" applyFont="1" applyBorder="1" applyAlignment="1">
      <alignment vertical="center"/>
    </xf>
    <xf numFmtId="2" fontId="26" fillId="0" borderId="19" xfId="7" applyNumberFormat="1" applyFont="1" applyBorder="1" applyAlignment="1">
      <alignment horizontal="center" vertical="center"/>
    </xf>
    <xf numFmtId="0" fontId="26" fillId="0" borderId="19" xfId="6" applyFont="1" applyBorder="1" applyAlignment="1">
      <alignment horizontal="center" vertical="center"/>
    </xf>
    <xf numFmtId="193" fontId="26" fillId="0" borderId="19" xfId="7" applyNumberFormat="1" applyFont="1" applyBorder="1" applyAlignment="1">
      <alignment horizontal="center" vertical="center"/>
    </xf>
    <xf numFmtId="2" fontId="26" fillId="0" borderId="19" xfId="3" applyNumberFormat="1" applyFont="1" applyBorder="1" applyAlignment="1">
      <alignment horizontal="center" vertical="center"/>
    </xf>
    <xf numFmtId="2" fontId="26" fillId="0" borderId="25" xfId="7" applyNumberFormat="1" applyFont="1" applyBorder="1" applyAlignment="1">
      <alignment horizontal="center" vertical="center"/>
    </xf>
    <xf numFmtId="0" fontId="26" fillId="0" borderId="17" xfId="6" applyFont="1" applyBorder="1" applyAlignment="1">
      <alignment horizontal="center" vertical="center"/>
    </xf>
    <xf numFmtId="2" fontId="26" fillId="0" borderId="19" xfId="6" applyNumberFormat="1" applyFont="1" applyBorder="1" applyAlignment="1">
      <alignment horizontal="center" vertical="center"/>
    </xf>
    <xf numFmtId="189" fontId="26" fillId="0" borderId="2" xfId="6" applyNumberFormat="1" applyFont="1" applyBorder="1" applyAlignment="1">
      <alignment vertical="center"/>
    </xf>
    <xf numFmtId="0" fontId="26" fillId="0" borderId="21" xfId="6" applyFont="1" applyBorder="1" applyAlignment="1">
      <alignment horizontal="center" vertical="center"/>
    </xf>
    <xf numFmtId="188" fontId="26" fillId="0" borderId="21" xfId="8" applyNumberFormat="1" applyFont="1" applyBorder="1" applyAlignment="1">
      <alignment vertical="center"/>
    </xf>
    <xf numFmtId="189" fontId="26" fillId="0" borderId="3" xfId="6" applyNumberFormat="1" applyFont="1" applyBorder="1" applyAlignment="1">
      <alignment vertical="center"/>
    </xf>
    <xf numFmtId="188" fontId="26" fillId="0" borderId="14" xfId="8" applyNumberFormat="1" applyFont="1" applyBorder="1" applyAlignment="1">
      <alignment vertical="center"/>
    </xf>
    <xf numFmtId="189" fontId="26" fillId="0" borderId="15" xfId="6" applyNumberFormat="1" applyFont="1" applyBorder="1" applyAlignment="1">
      <alignment vertical="center"/>
    </xf>
    <xf numFmtId="192" fontId="26" fillId="0" borderId="20" xfId="6" applyNumberFormat="1" applyFont="1" applyBorder="1" applyAlignment="1">
      <alignment vertical="center"/>
    </xf>
    <xf numFmtId="0" fontId="26" fillId="0" borderId="18" xfId="6" applyFont="1" applyBorder="1" applyAlignment="1">
      <alignment vertical="center"/>
    </xf>
    <xf numFmtId="0" fontId="26" fillId="0" borderId="18" xfId="8" quotePrefix="1" applyFont="1" applyBorder="1" applyAlignment="1">
      <alignment horizontal="center" vertical="center"/>
    </xf>
    <xf numFmtId="43" fontId="25" fillId="0" borderId="19" xfId="1" applyFont="1" applyBorder="1" applyAlignment="1">
      <alignment vertical="center"/>
    </xf>
    <xf numFmtId="0" fontId="26" fillId="0" borderId="23" xfId="6" applyFont="1" applyBorder="1" applyAlignment="1">
      <alignment horizontal="center" vertical="center"/>
    </xf>
    <xf numFmtId="192" fontId="25" fillId="0" borderId="16" xfId="3" applyNumberFormat="1" applyFont="1" applyBorder="1" applyAlignment="1">
      <alignment vertical="center"/>
    </xf>
    <xf numFmtId="1" fontId="25" fillId="0" borderId="29" xfId="4" applyNumberFormat="1" applyFont="1" applyBorder="1" applyAlignment="1">
      <alignment horizontal="center" vertical="center"/>
    </xf>
    <xf numFmtId="192" fontId="25" fillId="0" borderId="28" xfId="3" applyNumberFormat="1" applyFont="1" applyBorder="1" applyAlignment="1">
      <alignment vertical="center"/>
    </xf>
    <xf numFmtId="43" fontId="25" fillId="0" borderId="25" xfId="1" applyFont="1" applyFill="1" applyBorder="1" applyAlignment="1">
      <alignment vertical="center"/>
    </xf>
    <xf numFmtId="193" fontId="26" fillId="0" borderId="19" xfId="6" applyNumberFormat="1" applyFont="1" applyBorder="1" applyAlignment="1">
      <alignment horizontal="center" vertical="center"/>
    </xf>
    <xf numFmtId="188" fontId="26" fillId="0" borderId="21" xfId="7" applyNumberFormat="1" applyFont="1" applyBorder="1" applyAlignment="1">
      <alignment horizontal="left" vertical="center"/>
    </xf>
    <xf numFmtId="192" fontId="25" fillId="0" borderId="22" xfId="3" applyNumberFormat="1" applyFont="1" applyBorder="1" applyAlignment="1">
      <alignment vertical="center"/>
    </xf>
    <xf numFmtId="2" fontId="26" fillId="0" borderId="17" xfId="7" applyNumberFormat="1" applyFont="1" applyBorder="1" applyAlignment="1">
      <alignment horizontal="center" vertical="center"/>
    </xf>
    <xf numFmtId="188" fontId="26" fillId="0" borderId="14" xfId="7" applyNumberFormat="1" applyFont="1" applyBorder="1" applyAlignment="1">
      <alignment horizontal="left" vertical="center"/>
    </xf>
    <xf numFmtId="193" fontId="25" fillId="0" borderId="34" xfId="7" applyNumberFormat="1" applyFont="1" applyBorder="1" applyAlignment="1">
      <alignment horizontal="center" vertical="center"/>
    </xf>
    <xf numFmtId="0" fontId="26" fillId="0" borderId="19" xfId="3" applyFont="1" applyBorder="1" applyAlignment="1">
      <alignment horizontal="center" vertical="center"/>
    </xf>
    <xf numFmtId="2" fontId="26" fillId="0" borderId="31" xfId="3" applyNumberFormat="1" applyFont="1" applyBorder="1" applyAlignment="1">
      <alignment horizontal="center" vertical="center"/>
    </xf>
    <xf numFmtId="0" fontId="26" fillId="0" borderId="23" xfId="3" applyFont="1" applyBorder="1" applyAlignment="1">
      <alignment vertical="center"/>
    </xf>
    <xf numFmtId="2" fontId="26" fillId="0" borderId="17" xfId="3" applyNumberFormat="1" applyFont="1" applyBorder="1" applyAlignment="1">
      <alignment horizontal="center" vertical="center"/>
    </xf>
    <xf numFmtId="192" fontId="26" fillId="0" borderId="15" xfId="6" applyNumberFormat="1" applyFont="1" applyBorder="1" applyAlignment="1">
      <alignment vertical="center"/>
    </xf>
    <xf numFmtId="43" fontId="26" fillId="0" borderId="14" xfId="1" applyFont="1" applyFill="1" applyBorder="1" applyAlignment="1">
      <alignment vertical="center"/>
    </xf>
    <xf numFmtId="43" fontId="26" fillId="0" borderId="18" xfId="1" applyFont="1" applyFill="1" applyBorder="1" applyAlignment="1">
      <alignment vertical="center"/>
    </xf>
    <xf numFmtId="0" fontId="26" fillId="0" borderId="19" xfId="3" applyFont="1" applyBorder="1" applyAlignment="1">
      <alignment vertical="center"/>
    </xf>
    <xf numFmtId="192" fontId="25" fillId="0" borderId="2" xfId="3" applyNumberFormat="1" applyFont="1" applyBorder="1" applyAlignment="1">
      <alignment vertical="center"/>
    </xf>
    <xf numFmtId="43" fontId="26" fillId="0" borderId="21" xfId="1" applyFont="1" applyFill="1" applyBorder="1" applyAlignment="1">
      <alignment vertical="center"/>
    </xf>
    <xf numFmtId="192" fontId="26" fillId="0" borderId="6" xfId="7" applyNumberFormat="1" applyFont="1" applyBorder="1" applyAlignment="1">
      <alignment vertical="center"/>
    </xf>
    <xf numFmtId="43" fontId="26" fillId="0" borderId="7" xfId="1" applyFont="1" applyFill="1" applyBorder="1" applyAlignment="1">
      <alignment vertical="center"/>
    </xf>
    <xf numFmtId="43" fontId="26" fillId="0" borderId="7" xfId="1" applyFont="1" applyBorder="1" applyAlignment="1">
      <alignment horizontal="centerContinuous" vertical="center"/>
    </xf>
    <xf numFmtId="43" fontId="26" fillId="0" borderId="4" xfId="1" applyFont="1" applyFill="1" applyBorder="1" applyAlignment="1">
      <alignment vertical="center"/>
    </xf>
    <xf numFmtId="43" fontId="26" fillId="0" borderId="7" xfId="1" applyFont="1" applyBorder="1" applyAlignment="1">
      <alignment vertical="center"/>
    </xf>
    <xf numFmtId="188" fontId="25" fillId="0" borderId="24" xfId="7" applyNumberFormat="1" applyFont="1" applyBorder="1" applyAlignment="1">
      <alignment vertical="center"/>
    </xf>
    <xf numFmtId="43" fontId="26" fillId="0" borderId="35" xfId="1" applyFont="1" applyFill="1" applyBorder="1" applyAlignment="1">
      <alignment vertical="center"/>
    </xf>
    <xf numFmtId="43" fontId="26" fillId="0" borderId="18" xfId="1" applyFont="1" applyFill="1" applyBorder="1" applyAlignment="1">
      <alignment horizontal="center" vertical="center"/>
    </xf>
    <xf numFmtId="192" fontId="26" fillId="0" borderId="2" xfId="3" applyNumberFormat="1" applyFont="1" applyBorder="1" applyAlignment="1">
      <alignment vertical="center"/>
    </xf>
    <xf numFmtId="188" fontId="26" fillId="0" borderId="2" xfId="6" applyNumberFormat="1" applyFont="1" applyBorder="1" applyAlignment="1">
      <alignment vertical="center"/>
    </xf>
    <xf numFmtId="43" fontId="26" fillId="0" borderId="19" xfId="1" applyFont="1" applyBorder="1" applyAlignment="1">
      <alignment horizontal="centerContinuous" vertical="center"/>
    </xf>
    <xf numFmtId="188" fontId="26" fillId="0" borderId="18" xfId="6" applyNumberFormat="1" applyFont="1" applyBorder="1" applyAlignment="1">
      <alignment horizontal="center" vertical="center"/>
    </xf>
    <xf numFmtId="188" fontId="26" fillId="0" borderId="18" xfId="7" applyNumberFormat="1" applyFont="1" applyBorder="1" applyAlignment="1">
      <alignment horizontal="center" vertical="center"/>
    </xf>
    <xf numFmtId="193" fontId="25" fillId="0" borderId="19" xfId="7" applyNumberFormat="1" applyFont="1" applyBorder="1" applyAlignment="1">
      <alignment horizontal="center" vertical="center"/>
    </xf>
    <xf numFmtId="1" fontId="25" fillId="0" borderId="19" xfId="7" applyNumberFormat="1" applyFont="1" applyBorder="1" applyAlignment="1">
      <alignment horizontal="center" vertical="center"/>
    </xf>
    <xf numFmtId="188" fontId="26" fillId="0" borderId="2" xfId="7" applyNumberFormat="1" applyFont="1" applyBorder="1" applyAlignment="1">
      <alignment vertical="center"/>
    </xf>
    <xf numFmtId="192" fontId="25" fillId="0" borderId="1" xfId="3" applyNumberFormat="1" applyFont="1" applyBorder="1" applyAlignment="1">
      <alignment vertical="center"/>
    </xf>
    <xf numFmtId="188" fontId="25" fillId="0" borderId="18" xfId="11" applyNumberFormat="1" applyFont="1" applyBorder="1" applyAlignment="1">
      <alignment vertical="center"/>
    </xf>
    <xf numFmtId="188" fontId="26" fillId="0" borderId="18" xfId="11" applyNumberFormat="1" applyFont="1" applyBorder="1" applyAlignment="1">
      <alignment horizontal="center" vertical="center"/>
    </xf>
    <xf numFmtId="188" fontId="26" fillId="0" borderId="1" xfId="12" applyNumberFormat="1" applyFont="1" applyBorder="1" applyAlignment="1">
      <alignment horizontal="center" vertical="center"/>
    </xf>
    <xf numFmtId="0" fontId="26" fillId="0" borderId="0" xfId="3" applyFont="1" applyAlignment="1">
      <alignment vertical="center"/>
    </xf>
    <xf numFmtId="188" fontId="26" fillId="0" borderId="24" xfId="3" applyNumberFormat="1" applyFont="1" applyBorder="1" applyAlignment="1">
      <alignment horizontal="center" vertical="center"/>
    </xf>
    <xf numFmtId="43" fontId="26" fillId="0" borderId="0" xfId="3" applyNumberFormat="1" applyFont="1" applyAlignment="1">
      <alignment vertical="center"/>
    </xf>
    <xf numFmtId="43" fontId="26" fillId="0" borderId="0" xfId="1" applyFont="1" applyAlignment="1">
      <alignment vertical="center"/>
    </xf>
    <xf numFmtId="43" fontId="26" fillId="0" borderId="36" xfId="1" applyFont="1" applyBorder="1" applyAlignment="1">
      <alignment vertical="center"/>
    </xf>
    <xf numFmtId="195" fontId="22" fillId="0" borderId="0" xfId="1" applyNumberFormat="1" applyFont="1" applyBorder="1" applyAlignment="1">
      <alignment horizontal="center" vertical="center"/>
    </xf>
    <xf numFmtId="43" fontId="22" fillId="0" borderId="0" xfId="1" applyFont="1" applyBorder="1" applyAlignment="1">
      <alignment vertical="center" wrapText="1"/>
    </xf>
    <xf numFmtId="43" fontId="22" fillId="0" borderId="0" xfId="1" applyFont="1" applyBorder="1" applyAlignment="1">
      <alignment horizontal="center" vertical="center" wrapText="1"/>
    </xf>
    <xf numFmtId="43" fontId="22" fillId="0" borderId="0" xfId="1" applyFont="1" applyAlignment="1">
      <alignment horizontal="right" vertical="center"/>
    </xf>
    <xf numFmtId="43" fontId="22" fillId="0" borderId="2" xfId="1" applyFont="1" applyBorder="1" applyAlignment="1">
      <alignment horizontal="right" vertical="center" wrapText="1"/>
    </xf>
    <xf numFmtId="43" fontId="22" fillId="0" borderId="24" xfId="1" applyFont="1" applyBorder="1" applyAlignment="1">
      <alignment vertical="center"/>
    </xf>
    <xf numFmtId="43" fontId="22" fillId="0" borderId="24" xfId="1" applyFont="1" applyBorder="1" applyAlignment="1">
      <alignment horizontal="center" vertical="center"/>
    </xf>
    <xf numFmtId="195" fontId="21" fillId="0" borderId="0" xfId="1" applyNumberFormat="1" applyFont="1" applyAlignment="1">
      <alignment vertical="center"/>
    </xf>
    <xf numFmtId="200" fontId="22" fillId="0" borderId="0" xfId="3" applyNumberFormat="1" applyFont="1" applyAlignment="1">
      <alignment vertical="center"/>
    </xf>
    <xf numFmtId="189" fontId="22" fillId="0" borderId="29" xfId="6" applyNumberFormat="1" applyFont="1" applyBorder="1" applyAlignment="1">
      <alignment vertical="center"/>
    </xf>
    <xf numFmtId="189" fontId="22" fillId="0" borderId="18" xfId="5" applyNumberFormat="1" applyFont="1" applyFill="1" applyBorder="1" applyAlignment="1">
      <alignment vertical="center"/>
    </xf>
    <xf numFmtId="195" fontId="22" fillId="0" borderId="0" xfId="1" applyNumberFormat="1" applyFont="1" applyAlignment="1">
      <alignment vertical="center"/>
    </xf>
    <xf numFmtId="1" fontId="21" fillId="5" borderId="19" xfId="4" applyNumberFormat="1" applyFont="1" applyFill="1" applyBorder="1" applyAlignment="1">
      <alignment horizontal="center" vertical="center"/>
    </xf>
    <xf numFmtId="0" fontId="21" fillId="5" borderId="18" xfId="4" applyFont="1" applyFill="1" applyBorder="1" applyAlignment="1">
      <alignment horizontal="left" vertical="center"/>
    </xf>
    <xf numFmtId="0" fontId="21" fillId="5" borderId="2" xfId="4" applyFont="1" applyFill="1" applyBorder="1" applyAlignment="1">
      <alignment horizontal="left" vertical="center"/>
    </xf>
    <xf numFmtId="0" fontId="21" fillId="5" borderId="2" xfId="6" applyFont="1" applyFill="1" applyBorder="1" applyAlignment="1">
      <alignment vertical="center"/>
    </xf>
    <xf numFmtId="43" fontId="21" fillId="5" borderId="19" xfId="1" applyFont="1" applyFill="1" applyBorder="1" applyAlignment="1">
      <alignment vertical="center"/>
    </xf>
    <xf numFmtId="43" fontId="21" fillId="5" borderId="19" xfId="1" applyFont="1" applyFill="1" applyBorder="1" applyAlignment="1">
      <alignment horizontal="center" vertical="center"/>
    </xf>
    <xf numFmtId="43" fontId="22" fillId="5" borderId="19" xfId="1" applyFont="1" applyFill="1" applyBorder="1" applyAlignment="1">
      <alignment horizontal="center" vertical="center"/>
    </xf>
    <xf numFmtId="0" fontId="21" fillId="5" borderId="18" xfId="4" applyFont="1" applyFill="1" applyBorder="1" applyAlignment="1">
      <alignment vertical="center"/>
    </xf>
    <xf numFmtId="0" fontId="22" fillId="5" borderId="2" xfId="4" applyFont="1" applyFill="1" applyBorder="1" applyAlignment="1">
      <alignment horizontal="left" vertical="center"/>
    </xf>
    <xf numFmtId="0" fontId="22" fillId="5" borderId="2" xfId="6" applyFont="1" applyFill="1" applyBorder="1" applyAlignment="1">
      <alignment vertical="center"/>
    </xf>
    <xf numFmtId="43" fontId="22" fillId="5" borderId="19" xfId="1" applyFont="1" applyFill="1" applyBorder="1" applyAlignment="1">
      <alignment vertical="center"/>
    </xf>
    <xf numFmtId="0" fontId="21" fillId="5" borderId="20" xfId="6" applyFont="1" applyFill="1" applyBorder="1" applyAlignment="1">
      <alignment vertical="center"/>
    </xf>
    <xf numFmtId="0" fontId="21" fillId="5" borderId="18" xfId="6" applyFont="1" applyFill="1" applyBorder="1" applyAlignment="1">
      <alignment horizontal="center" vertical="center"/>
    </xf>
    <xf numFmtId="0" fontId="21" fillId="5" borderId="20" xfId="8" applyFont="1" applyFill="1" applyBorder="1" applyAlignment="1">
      <alignment vertical="center"/>
    </xf>
    <xf numFmtId="0" fontId="25" fillId="0" borderId="10" xfId="3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center"/>
    </xf>
    <xf numFmtId="43" fontId="16" fillId="0" borderId="13" xfId="1" applyFont="1" applyBorder="1" applyAlignment="1">
      <alignment horizontal="center" vertical="center"/>
    </xf>
    <xf numFmtId="0" fontId="21" fillId="0" borderId="4" xfId="3" applyFont="1" applyBorder="1" applyAlignment="1">
      <alignment horizontal="center" vertical="center"/>
    </xf>
    <xf numFmtId="189" fontId="21" fillId="0" borderId="7" xfId="3" applyNumberFormat="1" applyFont="1" applyBorder="1" applyAlignment="1">
      <alignment horizontal="center" vertical="center"/>
    </xf>
    <xf numFmtId="43" fontId="25" fillId="0" borderId="10" xfId="3" applyNumberFormat="1" applyFont="1" applyBorder="1" applyAlignment="1">
      <alignment vertical="center"/>
    </xf>
    <xf numFmtId="43" fontId="25" fillId="0" borderId="12" xfId="3" applyNumberFormat="1" applyFont="1" applyBorder="1" applyAlignment="1">
      <alignment vertical="center"/>
    </xf>
    <xf numFmtId="0" fontId="16" fillId="0" borderId="29" xfId="4" applyFont="1" applyBorder="1" applyAlignment="1">
      <alignment horizontal="left" vertical="center"/>
    </xf>
    <xf numFmtId="192" fontId="15" fillId="0" borderId="32" xfId="3" applyNumberFormat="1" applyFont="1" applyBorder="1" applyAlignment="1">
      <alignment vertical="center"/>
    </xf>
    <xf numFmtId="192" fontId="15" fillId="0" borderId="3" xfId="3" applyNumberFormat="1" applyFont="1" applyBorder="1" applyAlignment="1">
      <alignment vertical="center"/>
    </xf>
    <xf numFmtId="192" fontId="16" fillId="0" borderId="11" xfId="3" applyNumberFormat="1" applyFont="1" applyBorder="1" applyAlignment="1">
      <alignment vertical="center"/>
    </xf>
    <xf numFmtId="189" fontId="16" fillId="0" borderId="8" xfId="3" applyNumberFormat="1" applyFont="1" applyBorder="1" applyAlignment="1">
      <alignment vertical="center"/>
    </xf>
    <xf numFmtId="189" fontId="16" fillId="0" borderId="39" xfId="3" applyNumberFormat="1" applyFont="1" applyBorder="1" applyAlignment="1">
      <alignment vertical="center"/>
    </xf>
    <xf numFmtId="189" fontId="16" fillId="0" borderId="9" xfId="3" applyNumberFormat="1" applyFont="1" applyBorder="1" applyAlignment="1">
      <alignment vertical="center"/>
    </xf>
    <xf numFmtId="1" fontId="21" fillId="0" borderId="18" xfId="3" applyNumberFormat="1" applyFont="1" applyBorder="1" applyAlignment="1">
      <alignment horizontal="center" vertical="center"/>
    </xf>
    <xf numFmtId="193" fontId="22" fillId="0" borderId="21" xfId="7" applyNumberFormat="1" applyFont="1" applyBorder="1" applyAlignment="1">
      <alignment horizontal="center" vertical="center"/>
    </xf>
    <xf numFmtId="43" fontId="21" fillId="0" borderId="4" xfId="3" applyNumberFormat="1" applyFont="1" applyBorder="1" applyAlignment="1">
      <alignment vertical="center"/>
    </xf>
    <xf numFmtId="43" fontId="21" fillId="0" borderId="5" xfId="3" applyNumberFormat="1" applyFont="1" applyBorder="1" applyAlignment="1">
      <alignment vertical="center"/>
    </xf>
    <xf numFmtId="189" fontId="21" fillId="0" borderId="8" xfId="3" applyNumberFormat="1" applyFont="1" applyBorder="1" applyAlignment="1">
      <alignment vertical="center"/>
    </xf>
    <xf numFmtId="189" fontId="21" fillId="0" borderId="9" xfId="3" applyNumberFormat="1" applyFont="1" applyBorder="1" applyAlignment="1">
      <alignment vertical="center"/>
    </xf>
    <xf numFmtId="0" fontId="21" fillId="0" borderId="8" xfId="3" applyFont="1" applyBorder="1" applyAlignment="1">
      <alignment vertical="center"/>
    </xf>
    <xf numFmtId="0" fontId="21" fillId="0" borderId="9" xfId="3" applyFont="1" applyBorder="1" applyAlignment="1">
      <alignment vertical="center"/>
    </xf>
    <xf numFmtId="189" fontId="21" fillId="0" borderId="42" xfId="3" applyNumberFormat="1" applyFont="1" applyBorder="1" applyAlignment="1">
      <alignment vertical="center"/>
    </xf>
    <xf numFmtId="0" fontId="21" fillId="0" borderId="42" xfId="3" applyFont="1" applyBorder="1" applyAlignment="1">
      <alignment vertical="center"/>
    </xf>
    <xf numFmtId="43" fontId="25" fillId="0" borderId="43" xfId="3" applyNumberFormat="1" applyFont="1" applyBorder="1" applyAlignment="1">
      <alignment horizontal="left" vertical="center"/>
    </xf>
    <xf numFmtId="43" fontId="25" fillId="0" borderId="44" xfId="4" applyNumberFormat="1" applyFont="1" applyBorder="1" applyAlignment="1">
      <alignment horizontal="left" vertical="center"/>
    </xf>
    <xf numFmtId="43" fontId="26" fillId="0" borderId="26" xfId="4" applyNumberFormat="1" applyFont="1" applyBorder="1" applyAlignment="1">
      <alignment horizontal="left" vertical="center"/>
    </xf>
    <xf numFmtId="43" fontId="25" fillId="0" borderId="26" xfId="4" applyNumberFormat="1" applyFont="1" applyBorder="1" applyAlignment="1">
      <alignment horizontal="left" vertical="center"/>
    </xf>
    <xf numFmtId="43" fontId="26" fillId="0" borderId="26" xfId="3" applyNumberFormat="1" applyFont="1" applyBorder="1" applyAlignment="1">
      <alignment horizontal="left" vertical="center"/>
    </xf>
    <xf numFmtId="43" fontId="26" fillId="0" borderId="45" xfId="3" applyNumberFormat="1" applyFont="1" applyBorder="1" applyAlignment="1">
      <alignment horizontal="left" vertical="center"/>
    </xf>
    <xf numFmtId="43" fontId="25" fillId="0" borderId="44" xfId="7" applyNumberFormat="1" applyFont="1" applyBorder="1" applyAlignment="1">
      <alignment horizontal="left" vertical="center"/>
    </xf>
    <xf numFmtId="43" fontId="26" fillId="0" borderId="26" xfId="0" applyNumberFormat="1" applyFont="1" applyBorder="1" applyAlignment="1">
      <alignment horizontal="left" vertical="center"/>
    </xf>
    <xf numFmtId="43" fontId="26" fillId="0" borderId="26" xfId="6" applyNumberFormat="1" applyFont="1" applyBorder="1" applyAlignment="1">
      <alignment horizontal="left" vertical="center"/>
    </xf>
    <xf numFmtId="43" fontId="26" fillId="0" borderId="45" xfId="0" applyNumberFormat="1" applyFont="1" applyBorder="1" applyAlignment="1">
      <alignment horizontal="left" vertical="center"/>
    </xf>
    <xf numFmtId="43" fontId="26" fillId="0" borderId="44" xfId="4" applyNumberFormat="1" applyFont="1" applyBorder="1" applyAlignment="1">
      <alignment horizontal="left" vertical="center"/>
    </xf>
    <xf numFmtId="43" fontId="26" fillId="0" borderId="46" xfId="7" applyNumberFormat="1" applyFont="1" applyBorder="1" applyAlignment="1">
      <alignment horizontal="left" vertical="center"/>
    </xf>
    <xf numFmtId="192" fontId="26" fillId="0" borderId="26" xfId="7" applyNumberFormat="1" applyFont="1" applyBorder="1" applyAlignment="1">
      <alignment horizontal="left" vertical="center"/>
    </xf>
    <xf numFmtId="192" fontId="25" fillId="0" borderId="26" xfId="7" applyNumberFormat="1" applyFont="1" applyBorder="1" applyAlignment="1">
      <alignment horizontal="left" vertical="center"/>
    </xf>
    <xf numFmtId="43" fontId="26" fillId="0" borderId="26" xfId="7" applyNumberFormat="1" applyFont="1" applyBorder="1" applyAlignment="1">
      <alignment horizontal="left" vertical="center"/>
    </xf>
    <xf numFmtId="192" fontId="25" fillId="0" borderId="44" xfId="7" applyNumberFormat="1" applyFont="1" applyBorder="1" applyAlignment="1">
      <alignment horizontal="left" vertical="center"/>
    </xf>
    <xf numFmtId="192" fontId="25" fillId="0" borderId="46" xfId="7" applyNumberFormat="1" applyFont="1" applyBorder="1" applyAlignment="1">
      <alignment horizontal="left" vertical="center"/>
    </xf>
    <xf numFmtId="192" fontId="25" fillId="0" borderId="26" xfId="0" applyNumberFormat="1" applyFont="1" applyBorder="1" applyAlignment="1">
      <alignment horizontal="left" vertical="center"/>
    </xf>
    <xf numFmtId="192" fontId="26" fillId="0" borderId="26" xfId="0" applyNumberFormat="1" applyFont="1" applyBorder="1" applyAlignment="1">
      <alignment horizontal="left" vertical="center"/>
    </xf>
    <xf numFmtId="192" fontId="25" fillId="0" borderId="45" xfId="0" applyNumberFormat="1" applyFont="1" applyBorder="1" applyAlignment="1">
      <alignment horizontal="left" vertical="center"/>
    </xf>
    <xf numFmtId="191" fontId="25" fillId="0" borderId="44" xfId="7" applyNumberFormat="1" applyFont="1" applyBorder="1" applyAlignment="1">
      <alignment horizontal="left" vertical="center"/>
    </xf>
    <xf numFmtId="191" fontId="26" fillId="0" borderId="26" xfId="0" applyNumberFormat="1" applyFont="1" applyBorder="1" applyAlignment="1">
      <alignment horizontal="left" vertical="center"/>
    </xf>
    <xf numFmtId="191" fontId="26" fillId="0" borderId="26" xfId="6" applyNumberFormat="1" applyFont="1" applyBorder="1" applyAlignment="1">
      <alignment horizontal="left" vertical="center"/>
    </xf>
    <xf numFmtId="191" fontId="26" fillId="0" borderId="26" xfId="7" applyNumberFormat="1" applyFont="1" applyBorder="1" applyAlignment="1">
      <alignment horizontal="left" vertical="center"/>
    </xf>
    <xf numFmtId="191" fontId="26" fillId="0" borderId="26" xfId="3" applyNumberFormat="1" applyFont="1" applyBorder="1" applyAlignment="1">
      <alignment horizontal="left" vertical="center"/>
    </xf>
    <xf numFmtId="188" fontId="26" fillId="0" borderId="26" xfId="0" applyNumberFormat="1" applyFont="1" applyBorder="1" applyAlignment="1">
      <alignment horizontal="left" vertical="center"/>
    </xf>
    <xf numFmtId="192" fontId="26" fillId="0" borderId="26" xfId="6" applyNumberFormat="1" applyFont="1" applyBorder="1" applyAlignment="1">
      <alignment horizontal="left" vertical="center"/>
    </xf>
    <xf numFmtId="192" fontId="26" fillId="0" borderId="44" xfId="3" applyNumberFormat="1" applyFont="1" applyBorder="1" applyAlignment="1">
      <alignment horizontal="left" vertical="center"/>
    </xf>
    <xf numFmtId="192" fontId="26" fillId="0" borderId="44" xfId="7" applyNumberFormat="1" applyFont="1" applyBorder="1" applyAlignment="1">
      <alignment horizontal="left" vertical="center"/>
    </xf>
    <xf numFmtId="192" fontId="26" fillId="0" borderId="45" xfId="6" applyNumberFormat="1" applyFont="1" applyBorder="1" applyAlignment="1">
      <alignment horizontal="left" vertical="center"/>
    </xf>
    <xf numFmtId="192" fontId="26" fillId="0" borderId="45" xfId="7" applyNumberFormat="1" applyFont="1" applyBorder="1" applyAlignment="1">
      <alignment horizontal="left" vertical="center"/>
    </xf>
    <xf numFmtId="192" fontId="26" fillId="0" borderId="26" xfId="11" applyNumberFormat="1" applyFont="1" applyBorder="1" applyAlignment="1">
      <alignment horizontal="left" vertical="center"/>
    </xf>
    <xf numFmtId="188" fontId="26" fillId="0" borderId="26" xfId="6" applyNumberFormat="1" applyFont="1" applyBorder="1" applyAlignment="1">
      <alignment horizontal="left" vertical="center"/>
    </xf>
    <xf numFmtId="188" fontId="26" fillId="0" borderId="26" xfId="7" applyNumberFormat="1" applyFont="1" applyBorder="1" applyAlignment="1">
      <alignment horizontal="left" vertical="center"/>
    </xf>
    <xf numFmtId="188" fontId="26" fillId="0" borderId="46" xfId="12" applyNumberFormat="1" applyFont="1" applyBorder="1" applyAlignment="1">
      <alignment horizontal="left" vertical="center"/>
    </xf>
    <xf numFmtId="188" fontId="26" fillId="0" borderId="26" xfId="8" applyNumberFormat="1" applyFont="1" applyBorder="1" applyAlignment="1">
      <alignment horizontal="left" vertical="center"/>
    </xf>
    <xf numFmtId="192" fontId="26" fillId="0" borderId="26" xfId="3" applyNumberFormat="1" applyFont="1" applyBorder="1" applyAlignment="1">
      <alignment horizontal="left" vertical="center"/>
    </xf>
    <xf numFmtId="192" fontId="26" fillId="0" borderId="47" xfId="1" applyNumberFormat="1" applyFont="1" applyFill="1" applyBorder="1" applyAlignment="1">
      <alignment horizontal="left" vertical="center"/>
    </xf>
    <xf numFmtId="192" fontId="26" fillId="0" borderId="26" xfId="12" applyNumberFormat="1" applyFont="1" applyBorder="1" applyAlignment="1">
      <alignment horizontal="left" vertical="center"/>
    </xf>
    <xf numFmtId="43" fontId="26" fillId="0" borderId="48" xfId="3" applyNumberFormat="1" applyFont="1" applyBorder="1" applyAlignment="1">
      <alignment horizontal="left" vertical="center"/>
    </xf>
    <xf numFmtId="0" fontId="21" fillId="0" borderId="34" xfId="3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/>
    </xf>
    <xf numFmtId="189" fontId="21" fillId="0" borderId="34" xfId="3" applyNumberFormat="1" applyFont="1" applyBorder="1" applyAlignment="1">
      <alignment horizontal="center" vertical="center"/>
    </xf>
    <xf numFmtId="188" fontId="21" fillId="0" borderId="34" xfId="2" applyNumberFormat="1" applyFont="1" applyBorder="1" applyAlignment="1">
      <alignment horizontal="center" vertical="center"/>
    </xf>
    <xf numFmtId="43" fontId="21" fillId="0" borderId="18" xfId="3" applyNumberFormat="1" applyFont="1" applyBorder="1" applyAlignment="1">
      <alignment vertical="center"/>
    </xf>
    <xf numFmtId="43" fontId="21" fillId="0" borderId="18" xfId="4" applyNumberFormat="1" applyFont="1" applyBorder="1" applyAlignment="1">
      <alignment vertical="center"/>
    </xf>
    <xf numFmtId="0" fontId="21" fillId="0" borderId="18" xfId="3" applyFont="1" applyBorder="1" applyAlignment="1">
      <alignment vertical="center"/>
    </xf>
    <xf numFmtId="43" fontId="0" fillId="0" borderId="0" xfId="0" applyNumberFormat="1"/>
    <xf numFmtId="0" fontId="0" fillId="0" borderId="0" xfId="0" applyAlignment="1">
      <alignment horizontal="center"/>
    </xf>
    <xf numFmtId="43" fontId="21" fillId="0" borderId="24" xfId="3" applyNumberFormat="1" applyFont="1" applyBorder="1" applyAlignment="1">
      <alignment horizontal="center" vertical="center"/>
    </xf>
    <xf numFmtId="43" fontId="21" fillId="0" borderId="0" xfId="3" applyNumberFormat="1" applyFont="1" applyAlignment="1">
      <alignment horizontal="center" vertical="center"/>
    </xf>
    <xf numFmtId="43" fontId="21" fillId="0" borderId="0" xfId="1" applyFont="1" applyAlignment="1">
      <alignment horizontal="center" vertical="center"/>
    </xf>
    <xf numFmtId="43" fontId="15" fillId="6" borderId="32" xfId="4" applyNumberFormat="1" applyFont="1" applyFill="1" applyBorder="1" applyAlignment="1">
      <alignment horizontal="left" vertical="center"/>
    </xf>
    <xf numFmtId="0" fontId="0" fillId="6" borderId="0" xfId="0" applyFill="1"/>
    <xf numFmtId="43" fontId="0" fillId="6" borderId="0" xfId="0" applyNumberFormat="1" applyFill="1"/>
    <xf numFmtId="0" fontId="27" fillId="0" borderId="0" xfId="0" applyFont="1"/>
    <xf numFmtId="43" fontId="16" fillId="6" borderId="0" xfId="1" applyFont="1" applyFill="1" applyAlignment="1">
      <alignment horizontal="left" vertical="center"/>
    </xf>
    <xf numFmtId="192" fontId="16" fillId="0" borderId="8" xfId="3" applyNumberFormat="1" applyFont="1" applyBorder="1" applyAlignment="1">
      <alignment horizontal="left" vertical="center"/>
    </xf>
    <xf numFmtId="192" fontId="16" fillId="0" borderId="39" xfId="3" applyNumberFormat="1" applyFont="1" applyBorder="1" applyAlignment="1">
      <alignment horizontal="left" vertical="center"/>
    </xf>
    <xf numFmtId="192" fontId="16" fillId="0" borderId="9" xfId="3" applyNumberFormat="1" applyFont="1" applyBorder="1" applyAlignment="1">
      <alignment horizontal="left" vertical="center"/>
    </xf>
    <xf numFmtId="0" fontId="15" fillId="0" borderId="0" xfId="3" applyFont="1" applyAlignment="1">
      <alignment horizontal="right" vertical="center"/>
    </xf>
    <xf numFmtId="0" fontId="16" fillId="0" borderId="0" xfId="3" applyFont="1" applyAlignment="1">
      <alignment horizontal="center" vertical="center"/>
    </xf>
    <xf numFmtId="0" fontId="16" fillId="0" borderId="4" xfId="3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/>
    </xf>
    <xf numFmtId="0" fontId="16" fillId="0" borderId="7" xfId="3" applyFont="1" applyBorder="1" applyAlignment="1">
      <alignment horizontal="center" vertical="center"/>
    </xf>
    <xf numFmtId="0" fontId="16" fillId="0" borderId="13" xfId="3" applyFont="1" applyBorder="1" applyAlignment="1">
      <alignment horizontal="center" vertical="center"/>
    </xf>
    <xf numFmtId="192" fontId="25" fillId="0" borderId="18" xfId="7" applyNumberFormat="1" applyFont="1" applyBorder="1" applyAlignment="1">
      <alignment horizontal="center" vertical="center"/>
    </xf>
    <xf numFmtId="192" fontId="25" fillId="0" borderId="2" xfId="7" applyNumberFormat="1" applyFont="1" applyBorder="1" applyAlignment="1">
      <alignment horizontal="center" vertical="center"/>
    </xf>
    <xf numFmtId="192" fontId="25" fillId="0" borderId="20" xfId="7" applyNumberFormat="1" applyFont="1" applyBorder="1" applyAlignment="1">
      <alignment horizontal="center" vertical="center"/>
    </xf>
    <xf numFmtId="192" fontId="25" fillId="0" borderId="29" xfId="6" applyNumberFormat="1" applyFont="1" applyBorder="1" applyAlignment="1">
      <alignment horizontal="center" vertical="center"/>
    </xf>
    <xf numFmtId="192" fontId="25" fillId="0" borderId="1" xfId="6" applyNumberFormat="1" applyFont="1" applyBorder="1" applyAlignment="1">
      <alignment horizontal="center" vertical="center"/>
    </xf>
    <xf numFmtId="192" fontId="25" fillId="0" borderId="28" xfId="6" applyNumberFormat="1" applyFont="1" applyBorder="1" applyAlignment="1">
      <alignment horizontal="center" vertical="center"/>
    </xf>
    <xf numFmtId="192" fontId="25" fillId="0" borderId="18" xfId="1" applyNumberFormat="1" applyFont="1" applyFill="1" applyBorder="1" applyAlignment="1">
      <alignment horizontal="center" vertical="center"/>
    </xf>
    <xf numFmtId="192" fontId="25" fillId="0" borderId="2" xfId="1" applyNumberFormat="1" applyFont="1" applyFill="1" applyBorder="1" applyAlignment="1">
      <alignment horizontal="center" vertical="center"/>
    </xf>
    <xf numFmtId="192" fontId="25" fillId="0" borderId="20" xfId="1" applyNumberFormat="1" applyFont="1" applyFill="1" applyBorder="1" applyAlignment="1">
      <alignment horizontal="center" vertical="center"/>
    </xf>
    <xf numFmtId="0" fontId="25" fillId="0" borderId="18" xfId="6" applyFont="1" applyBorder="1" applyAlignment="1">
      <alignment horizontal="center" vertical="center"/>
    </xf>
    <xf numFmtId="0" fontId="25" fillId="0" borderId="2" xfId="6" applyFont="1" applyBorder="1" applyAlignment="1">
      <alignment horizontal="center" vertical="center"/>
    </xf>
    <xf numFmtId="0" fontId="25" fillId="0" borderId="20" xfId="6" applyFont="1" applyBorder="1" applyAlignment="1">
      <alignment horizontal="center" vertical="center"/>
    </xf>
    <xf numFmtId="43" fontId="25" fillId="0" borderId="18" xfId="4" applyNumberFormat="1" applyFont="1" applyBorder="1" applyAlignment="1">
      <alignment horizontal="center" vertical="center"/>
    </xf>
    <xf numFmtId="43" fontId="25" fillId="0" borderId="2" xfId="4" applyNumberFormat="1" applyFont="1" applyBorder="1" applyAlignment="1">
      <alignment horizontal="center" vertical="center"/>
    </xf>
    <xf numFmtId="43" fontId="25" fillId="0" borderId="20" xfId="4" applyNumberFormat="1" applyFont="1" applyBorder="1" applyAlignment="1">
      <alignment horizontal="center" vertical="center"/>
    </xf>
    <xf numFmtId="43" fontId="26" fillId="0" borderId="18" xfId="1" applyFont="1" applyBorder="1" applyAlignment="1">
      <alignment horizontal="center" vertical="center"/>
    </xf>
    <xf numFmtId="43" fontId="26" fillId="0" borderId="20" xfId="1" applyFont="1" applyBorder="1" applyAlignment="1">
      <alignment horizontal="center" vertical="center"/>
    </xf>
    <xf numFmtId="192" fontId="25" fillId="0" borderId="21" xfId="6" applyNumberFormat="1" applyFont="1" applyBorder="1" applyAlignment="1">
      <alignment horizontal="center" vertical="center"/>
    </xf>
    <xf numFmtId="192" fontId="25" fillId="0" borderId="3" xfId="6" applyNumberFormat="1" applyFont="1" applyBorder="1" applyAlignment="1">
      <alignment horizontal="center" vertical="center"/>
    </xf>
    <xf numFmtId="192" fontId="25" fillId="0" borderId="22" xfId="6" applyNumberFormat="1" applyFont="1" applyBorder="1" applyAlignment="1">
      <alignment horizontal="center" vertical="center"/>
    </xf>
    <xf numFmtId="192" fontId="21" fillId="0" borderId="18" xfId="4" applyNumberFormat="1" applyFont="1" applyBorder="1" applyAlignment="1">
      <alignment horizontal="center" vertical="center"/>
    </xf>
    <xf numFmtId="192" fontId="21" fillId="0" borderId="2" xfId="4" applyNumberFormat="1" applyFont="1" applyBorder="1" applyAlignment="1">
      <alignment horizontal="center" vertical="center"/>
    </xf>
    <xf numFmtId="192" fontId="21" fillId="0" borderId="20" xfId="4" applyNumberFormat="1" applyFont="1" applyBorder="1" applyAlignment="1">
      <alignment horizontal="center" vertical="center"/>
    </xf>
    <xf numFmtId="192" fontId="21" fillId="0" borderId="18" xfId="8" applyNumberFormat="1" applyFont="1" applyBorder="1" applyAlignment="1">
      <alignment horizontal="center" vertical="center"/>
    </xf>
    <xf numFmtId="192" fontId="21" fillId="0" borderId="2" xfId="8" applyNumberFormat="1" applyFont="1" applyBorder="1" applyAlignment="1">
      <alignment horizontal="center" vertical="center"/>
    </xf>
    <xf numFmtId="192" fontId="21" fillId="0" borderId="20" xfId="8" applyNumberFormat="1" applyFont="1" applyBorder="1" applyAlignment="1">
      <alignment horizontal="center" vertical="center"/>
    </xf>
    <xf numFmtId="192" fontId="21" fillId="0" borderId="18" xfId="7" applyNumberFormat="1" applyFont="1" applyBorder="1" applyAlignment="1">
      <alignment horizontal="center" vertical="center"/>
    </xf>
    <xf numFmtId="192" fontId="21" fillId="0" borderId="2" xfId="7" applyNumberFormat="1" applyFont="1" applyBorder="1" applyAlignment="1">
      <alignment horizontal="center" vertical="center"/>
    </xf>
    <xf numFmtId="192" fontId="21" fillId="0" borderId="20" xfId="7" applyNumberFormat="1" applyFont="1" applyBorder="1" applyAlignment="1">
      <alignment horizontal="center" vertical="center"/>
    </xf>
    <xf numFmtId="192" fontId="22" fillId="0" borderId="2" xfId="4" applyNumberFormat="1" applyFont="1" applyBorder="1" applyAlignment="1">
      <alignment horizontal="left" vertical="center" wrapText="1"/>
    </xf>
    <xf numFmtId="192" fontId="22" fillId="0" borderId="20" xfId="4" applyNumberFormat="1" applyFont="1" applyBorder="1" applyAlignment="1">
      <alignment horizontal="left" vertical="center" wrapText="1"/>
    </xf>
    <xf numFmtId="192" fontId="22" fillId="0" borderId="2" xfId="6" applyNumberFormat="1" applyFont="1" applyBorder="1" applyAlignment="1">
      <alignment horizontal="left" vertical="center" wrapText="1"/>
    </xf>
    <xf numFmtId="192" fontId="22" fillId="0" borderId="20" xfId="6" applyNumberFormat="1" applyFont="1" applyBorder="1" applyAlignment="1">
      <alignment horizontal="left" vertical="center" wrapText="1"/>
    </xf>
    <xf numFmtId="192" fontId="22" fillId="0" borderId="2" xfId="4" applyNumberFormat="1" applyFont="1" applyBorder="1" applyAlignment="1">
      <alignment vertical="center"/>
    </xf>
    <xf numFmtId="192" fontId="22" fillId="0" borderId="20" xfId="4" applyNumberFormat="1" applyFont="1" applyBorder="1" applyAlignment="1">
      <alignment vertical="center"/>
    </xf>
    <xf numFmtId="192" fontId="22" fillId="0" borderId="2" xfId="4" applyNumberFormat="1" applyFont="1" applyBorder="1" applyAlignment="1">
      <alignment horizontal="left" vertical="center"/>
    </xf>
    <xf numFmtId="192" fontId="22" fillId="0" borderId="20" xfId="4" applyNumberFormat="1" applyFont="1" applyBorder="1" applyAlignment="1">
      <alignment horizontal="left" vertical="center"/>
    </xf>
    <xf numFmtId="192" fontId="21" fillId="0" borderId="21" xfId="4" applyNumberFormat="1" applyFont="1" applyBorder="1" applyAlignment="1">
      <alignment horizontal="center" vertical="center"/>
    </xf>
    <xf numFmtId="192" fontId="21" fillId="0" borderId="3" xfId="4" applyNumberFormat="1" applyFont="1" applyBorder="1" applyAlignment="1">
      <alignment horizontal="center" vertical="center"/>
    </xf>
    <xf numFmtId="192" fontId="21" fillId="0" borderId="22" xfId="4" applyNumberFormat="1" applyFont="1" applyBorder="1" applyAlignment="1">
      <alignment horizontal="center" vertical="center"/>
    </xf>
    <xf numFmtId="191" fontId="22" fillId="0" borderId="18" xfId="41" applyNumberFormat="1" applyFont="1" applyFill="1" applyBorder="1" applyAlignment="1">
      <alignment vertical="center"/>
    </xf>
    <xf numFmtId="191" fontId="22" fillId="0" borderId="2" xfId="41" applyNumberFormat="1" applyFont="1" applyFill="1" applyBorder="1" applyAlignment="1">
      <alignment vertical="center"/>
    </xf>
    <xf numFmtId="43" fontId="22" fillId="0" borderId="18" xfId="41" applyFont="1" applyFill="1" applyBorder="1" applyAlignment="1">
      <alignment vertical="center"/>
    </xf>
    <xf numFmtId="43" fontId="22" fillId="0" borderId="2" xfId="41" applyFont="1" applyFill="1" applyBorder="1" applyAlignment="1">
      <alignment vertical="center"/>
    </xf>
    <xf numFmtId="4" fontId="22" fillId="0" borderId="18" xfId="39" applyFont="1" applyBorder="1" applyAlignment="1">
      <alignment vertical="center"/>
    </xf>
    <xf numFmtId="4" fontId="22" fillId="0" borderId="2" xfId="39" applyFont="1" applyBorder="1" applyAlignment="1">
      <alignment vertical="center"/>
    </xf>
    <xf numFmtId="192" fontId="21" fillId="0" borderId="18" xfId="4" applyNumberFormat="1" applyFont="1" applyBorder="1" applyAlignment="1">
      <alignment horizontal="left" vertical="center"/>
    </xf>
    <xf numFmtId="192" fontId="21" fillId="0" borderId="2" xfId="4" applyNumberFormat="1" applyFont="1" applyBorder="1" applyAlignment="1">
      <alignment horizontal="left" vertical="center"/>
    </xf>
    <xf numFmtId="43" fontId="21" fillId="0" borderId="18" xfId="3" applyNumberFormat="1" applyFont="1" applyBorder="1" applyAlignment="1">
      <alignment horizontal="left" vertical="center"/>
    </xf>
    <xf numFmtId="43" fontId="21" fillId="0" borderId="2" xfId="3" applyNumberFormat="1" applyFont="1" applyBorder="1" applyAlignment="1">
      <alignment horizontal="left" vertical="center"/>
    </xf>
    <xf numFmtId="43" fontId="22" fillId="0" borderId="18" xfId="39" applyNumberFormat="1" applyFont="1" applyBorder="1" applyAlignment="1">
      <alignment vertical="center"/>
    </xf>
    <xf numFmtId="43" fontId="22" fillId="0" borderId="2" xfId="39" applyNumberFormat="1" applyFont="1" applyBorder="1" applyAlignment="1">
      <alignment vertical="center"/>
    </xf>
    <xf numFmtId="43" fontId="21" fillId="0" borderId="18" xfId="41" applyFont="1" applyFill="1" applyBorder="1" applyAlignment="1">
      <alignment vertical="center"/>
    </xf>
    <xf numFmtId="43" fontId="21" fillId="0" borderId="2" xfId="41" applyFont="1" applyFill="1" applyBorder="1" applyAlignment="1">
      <alignment vertical="center"/>
    </xf>
    <xf numFmtId="43" fontId="22" fillId="0" borderId="18" xfId="3" applyNumberFormat="1" applyFont="1" applyBorder="1" applyAlignment="1">
      <alignment horizontal="left" vertical="center"/>
    </xf>
    <xf numFmtId="43" fontId="22" fillId="0" borderId="2" xfId="3" applyNumberFormat="1" applyFont="1" applyBorder="1" applyAlignment="1">
      <alignment horizontal="left" vertical="center"/>
    </xf>
    <xf numFmtId="0" fontId="21" fillId="0" borderId="18" xfId="3" applyFont="1" applyBorder="1" applyAlignment="1">
      <alignment horizontal="left" vertical="center"/>
    </xf>
    <xf numFmtId="0" fontId="21" fillId="0" borderId="2" xfId="3" applyFont="1" applyBorder="1" applyAlignment="1">
      <alignment horizontal="left" vertical="center"/>
    </xf>
    <xf numFmtId="0" fontId="22" fillId="0" borderId="18" xfId="3" applyFont="1" applyBorder="1" applyAlignment="1">
      <alignment horizontal="left" vertical="center"/>
    </xf>
    <xf numFmtId="0" fontId="22" fillId="0" borderId="2" xfId="3" applyFont="1" applyBorder="1" applyAlignment="1">
      <alignment horizontal="left" vertical="center"/>
    </xf>
    <xf numFmtId="43" fontId="21" fillId="0" borderId="18" xfId="39" applyNumberFormat="1" applyFont="1" applyBorder="1" applyAlignment="1">
      <alignment vertical="center"/>
    </xf>
    <xf numFmtId="43" fontId="21" fillId="0" borderId="2" xfId="39" applyNumberFormat="1" applyFont="1" applyBorder="1" applyAlignment="1">
      <alignment vertical="center"/>
    </xf>
    <xf numFmtId="4" fontId="21" fillId="0" borderId="18" xfId="39" applyFont="1" applyBorder="1" applyAlignment="1">
      <alignment vertical="center"/>
    </xf>
    <xf numFmtId="4" fontId="21" fillId="0" borderId="2" xfId="39" applyFont="1" applyBorder="1" applyAlignment="1">
      <alignment vertical="center"/>
    </xf>
    <xf numFmtId="0" fontId="21" fillId="0" borderId="18" xfId="3" applyFont="1" applyBorder="1" applyAlignment="1">
      <alignment horizontal="center" vertical="center"/>
    </xf>
    <xf numFmtId="0" fontId="21" fillId="0" borderId="2" xfId="3" applyFont="1" applyBorder="1" applyAlignment="1">
      <alignment horizontal="center" vertical="center"/>
    </xf>
    <xf numFmtId="43" fontId="21" fillId="0" borderId="18" xfId="8" quotePrefix="1" applyNumberFormat="1" applyFont="1" applyBorder="1" applyAlignment="1">
      <alignment horizontal="left" vertical="center"/>
    </xf>
    <xf numFmtId="43" fontId="21" fillId="0" borderId="2" xfId="8" quotePrefix="1" applyNumberFormat="1" applyFont="1" applyBorder="1" applyAlignment="1">
      <alignment horizontal="left" vertical="center"/>
    </xf>
    <xf numFmtId="43" fontId="21" fillId="0" borderId="18" xfId="4" applyNumberFormat="1" applyFont="1" applyBorder="1" applyAlignment="1">
      <alignment horizontal="left" vertical="center"/>
    </xf>
    <xf numFmtId="43" fontId="21" fillId="0" borderId="2" xfId="4" applyNumberFormat="1" applyFont="1" applyBorder="1" applyAlignment="1">
      <alignment horizontal="left" vertical="center"/>
    </xf>
    <xf numFmtId="43" fontId="22" fillId="0" borderId="18" xfId="8" applyNumberFormat="1" applyFont="1" applyBorder="1" applyAlignment="1">
      <alignment vertical="center"/>
    </xf>
    <xf numFmtId="43" fontId="22" fillId="0" borderId="2" xfId="8" applyNumberFormat="1" applyFont="1" applyBorder="1" applyAlignment="1">
      <alignment vertical="center"/>
    </xf>
    <xf numFmtId="195" fontId="21" fillId="0" borderId="18" xfId="3" applyNumberFormat="1" applyFont="1" applyBorder="1" applyAlignment="1">
      <alignment horizontal="center" vertical="center"/>
    </xf>
    <xf numFmtId="195" fontId="21" fillId="0" borderId="2" xfId="3" applyNumberFormat="1" applyFont="1" applyBorder="1" applyAlignment="1">
      <alignment horizontal="center" vertical="center"/>
    </xf>
    <xf numFmtId="195" fontId="21" fillId="0" borderId="20" xfId="3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189" fontId="21" fillId="0" borderId="7" xfId="1" applyNumberFormat="1" applyFont="1" applyFill="1" applyBorder="1" applyAlignment="1">
      <alignment horizontal="center" vertical="center"/>
    </xf>
    <xf numFmtId="189" fontId="21" fillId="0" borderId="13" xfId="1" applyNumberFormat="1" applyFont="1" applyFill="1" applyBorder="1" applyAlignment="1">
      <alignment horizontal="center" vertical="center"/>
    </xf>
    <xf numFmtId="0" fontId="21" fillId="0" borderId="7" xfId="3" applyFont="1" applyBorder="1" applyAlignment="1">
      <alignment horizontal="center" vertical="center"/>
    </xf>
    <xf numFmtId="0" fontId="21" fillId="0" borderId="13" xfId="3" applyFont="1" applyBorder="1" applyAlignment="1">
      <alignment horizontal="center" vertical="center"/>
    </xf>
    <xf numFmtId="189" fontId="21" fillId="0" borderId="8" xfId="3" applyNumberFormat="1" applyFont="1" applyBorder="1" applyAlignment="1">
      <alignment horizontal="center" vertical="center"/>
    </xf>
    <xf numFmtId="189" fontId="21" fillId="0" borderId="39" xfId="3" applyNumberFormat="1" applyFont="1" applyBorder="1" applyAlignment="1">
      <alignment horizontal="center" vertical="center"/>
    </xf>
    <xf numFmtId="189" fontId="21" fillId="0" borderId="9" xfId="3" applyNumberFormat="1" applyFont="1" applyBorder="1" applyAlignment="1">
      <alignment horizontal="center" vertical="center"/>
    </xf>
    <xf numFmtId="0" fontId="21" fillId="0" borderId="8" xfId="3" applyFont="1" applyBorder="1" applyAlignment="1">
      <alignment horizontal="center" vertical="center"/>
    </xf>
    <xf numFmtId="0" fontId="21" fillId="0" borderId="39" xfId="3" applyFont="1" applyBorder="1" applyAlignment="1">
      <alignment horizontal="center" vertical="center"/>
    </xf>
    <xf numFmtId="0" fontId="21" fillId="0" borderId="9" xfId="3" applyFont="1" applyBorder="1" applyAlignment="1">
      <alignment horizontal="center" vertical="center"/>
    </xf>
    <xf numFmtId="0" fontId="21" fillId="0" borderId="1" xfId="2" applyFont="1" applyBorder="1" applyAlignment="1">
      <alignment vertical="center"/>
    </xf>
    <xf numFmtId="0" fontId="21" fillId="0" borderId="2" xfId="2" applyFont="1" applyBorder="1" applyAlignment="1">
      <alignment vertical="center"/>
    </xf>
    <xf numFmtId="0" fontId="21" fillId="0" borderId="4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1" fillId="0" borderId="6" xfId="3" applyFont="1" applyBorder="1" applyAlignment="1">
      <alignment horizontal="center" vertical="center"/>
    </xf>
    <xf numFmtId="0" fontId="21" fillId="0" borderId="10" xfId="3" applyFont="1" applyBorder="1" applyAlignment="1">
      <alignment horizontal="center" vertical="center"/>
    </xf>
    <xf numFmtId="0" fontId="21" fillId="0" borderId="11" xfId="3" applyFont="1" applyBorder="1" applyAlignment="1">
      <alignment horizontal="center" vertical="center"/>
    </xf>
    <xf numFmtId="0" fontId="21" fillId="0" borderId="12" xfId="3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/>
    </xf>
    <xf numFmtId="0" fontId="21" fillId="0" borderId="3" xfId="3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/>
    </xf>
    <xf numFmtId="0" fontId="22" fillId="0" borderId="1" xfId="2" applyFont="1" applyBorder="1" applyAlignment="1">
      <alignment horizontal="left" vertical="center"/>
    </xf>
    <xf numFmtId="43" fontId="21" fillId="0" borderId="4" xfId="3" applyNumberFormat="1" applyFont="1" applyBorder="1" applyAlignment="1">
      <alignment horizontal="center" vertical="center"/>
    </xf>
    <xf numFmtId="43" fontId="21" fillId="0" borderId="5" xfId="3" applyNumberFormat="1" applyFont="1" applyBorder="1" applyAlignment="1">
      <alignment horizontal="center" vertical="center"/>
    </xf>
    <xf numFmtId="43" fontId="21" fillId="0" borderId="6" xfId="3" applyNumberFormat="1" applyFont="1" applyBorder="1" applyAlignment="1">
      <alignment horizontal="center" vertical="center"/>
    </xf>
    <xf numFmtId="43" fontId="21" fillId="0" borderId="10" xfId="3" applyNumberFormat="1" applyFont="1" applyBorder="1" applyAlignment="1">
      <alignment horizontal="center" vertical="center"/>
    </xf>
    <xf numFmtId="43" fontId="21" fillId="0" borderId="11" xfId="3" applyNumberFormat="1" applyFont="1" applyBorder="1" applyAlignment="1">
      <alignment horizontal="center" vertical="center"/>
    </xf>
    <xf numFmtId="43" fontId="21" fillId="0" borderId="12" xfId="3" applyNumberFormat="1" applyFont="1" applyBorder="1" applyAlignment="1">
      <alignment horizontal="center" vertical="center"/>
    </xf>
    <xf numFmtId="189" fontId="21" fillId="0" borderId="7" xfId="3" applyNumberFormat="1" applyFont="1" applyBorder="1" applyAlignment="1">
      <alignment horizontal="center" vertical="center"/>
    </xf>
    <xf numFmtId="189" fontId="21" fillId="0" borderId="13" xfId="3" applyNumberFormat="1" applyFont="1" applyBorder="1" applyAlignment="1">
      <alignment horizontal="center" vertical="center"/>
    </xf>
    <xf numFmtId="0" fontId="21" fillId="0" borderId="18" xfId="4" applyFont="1" applyBorder="1" applyAlignment="1">
      <alignment horizontal="center" vertical="center"/>
    </xf>
    <xf numFmtId="0" fontId="21" fillId="0" borderId="2" xfId="4" applyFont="1" applyBorder="1" applyAlignment="1">
      <alignment horizontal="center" vertical="center"/>
    </xf>
    <xf numFmtId="0" fontId="21" fillId="0" borderId="41" xfId="0" applyFont="1" applyBorder="1" applyAlignment="1" applyProtection="1">
      <alignment horizontal="center" vertical="center" wrapText="1"/>
      <protection locked="0"/>
    </xf>
    <xf numFmtId="0" fontId="21" fillId="0" borderId="41" xfId="0" applyFont="1" applyBorder="1" applyAlignment="1">
      <alignment horizontal="center" vertical="center" wrapText="1"/>
    </xf>
    <xf numFmtId="43" fontId="21" fillId="0" borderId="41" xfId="1" applyFont="1" applyFill="1" applyBorder="1" applyAlignment="1">
      <alignment horizontal="center" vertical="center" wrapText="1"/>
    </xf>
    <xf numFmtId="197" fontId="21" fillId="0" borderId="41" xfId="0" applyNumberFormat="1" applyFont="1" applyBorder="1" applyAlignment="1">
      <alignment horizontal="center" vertical="center" wrapText="1"/>
    </xf>
    <xf numFmtId="197" fontId="21" fillId="0" borderId="41" xfId="0" applyNumberFormat="1" applyFont="1" applyBorder="1" applyAlignment="1">
      <alignment horizontal="center" vertical="center"/>
    </xf>
    <xf numFmtId="43" fontId="21" fillId="0" borderId="8" xfId="1" applyFont="1" applyFill="1" applyBorder="1" applyAlignment="1">
      <alignment horizontal="center" vertical="center" wrapText="1"/>
    </xf>
    <xf numFmtId="43" fontId="21" fillId="0" borderId="9" xfId="1" applyFont="1" applyFill="1" applyBorder="1" applyAlignment="1">
      <alignment horizontal="center" vertical="center" wrapText="1"/>
    </xf>
    <xf numFmtId="189" fontId="21" fillId="0" borderId="41" xfId="1" applyNumberFormat="1" applyFont="1" applyFill="1" applyBorder="1" applyAlignment="1">
      <alignment vertical="center" wrapText="1"/>
    </xf>
    <xf numFmtId="189" fontId="21" fillId="0" borderId="7" xfId="1" applyNumberFormat="1" applyFont="1" applyFill="1" applyBorder="1" applyAlignment="1">
      <alignment horizontal="center" vertical="center" wrapText="1"/>
    </xf>
    <xf numFmtId="189" fontId="21" fillId="0" borderId="13" xfId="1" applyNumberFormat="1" applyFont="1" applyFill="1" applyBorder="1" applyAlignment="1">
      <alignment horizontal="center" vertical="center" wrapText="1"/>
    </xf>
    <xf numFmtId="43" fontId="21" fillId="0" borderId="7" xfId="1" applyFont="1" applyFill="1" applyBorder="1" applyAlignment="1">
      <alignment horizontal="center" vertical="center" wrapText="1"/>
    </xf>
    <xf numFmtId="43" fontId="21" fillId="0" borderId="13" xfId="1" applyFont="1" applyFill="1" applyBorder="1" applyAlignment="1">
      <alignment horizontal="center" vertical="center" wrapText="1"/>
    </xf>
    <xf numFmtId="43" fontId="21" fillId="0" borderId="8" xfId="1" applyFont="1" applyBorder="1" applyAlignment="1">
      <alignment horizontal="center" vertical="center"/>
    </xf>
    <xf numFmtId="43" fontId="21" fillId="0" borderId="39" xfId="1" applyFont="1" applyBorder="1" applyAlignment="1">
      <alignment horizontal="center" vertical="center"/>
    </xf>
    <xf numFmtId="43" fontId="21" fillId="0" borderId="9" xfId="1" applyFont="1" applyBorder="1" applyAlignment="1">
      <alignment horizontal="center" vertical="center"/>
    </xf>
    <xf numFmtId="43" fontId="21" fillId="0" borderId="7" xfId="1" applyFont="1" applyBorder="1" applyAlignment="1">
      <alignment horizontal="center" vertical="center"/>
    </xf>
    <xf numFmtId="43" fontId="21" fillId="0" borderId="13" xfId="1" applyFont="1" applyBorder="1" applyAlignment="1">
      <alignment horizontal="center" vertical="center"/>
    </xf>
    <xf numFmtId="192" fontId="21" fillId="0" borderId="18" xfId="3" applyNumberFormat="1" applyFont="1" applyBorder="1" applyAlignment="1">
      <alignment horizontal="center" vertical="center"/>
    </xf>
    <xf numFmtId="192" fontId="21" fillId="0" borderId="2" xfId="3" applyNumberFormat="1" applyFont="1" applyBorder="1" applyAlignment="1">
      <alignment horizontal="center" vertical="center"/>
    </xf>
    <xf numFmtId="192" fontId="21" fillId="0" borderId="20" xfId="3" applyNumberFormat="1" applyFont="1" applyBorder="1" applyAlignment="1">
      <alignment horizontal="center" vertical="center"/>
    </xf>
    <xf numFmtId="43" fontId="22" fillId="0" borderId="18" xfId="1" applyFont="1" applyFill="1" applyBorder="1" applyAlignment="1">
      <alignment horizontal="center" vertical="center"/>
    </xf>
    <xf numFmtId="43" fontId="22" fillId="0" borderId="20" xfId="1" applyFont="1" applyFill="1" applyBorder="1" applyAlignment="1">
      <alignment horizontal="center" vertical="center"/>
    </xf>
    <xf numFmtId="43" fontId="22" fillId="0" borderId="19" xfId="1" applyFont="1" applyBorder="1" applyAlignment="1">
      <alignment horizontal="center" vertical="center" wrapText="1"/>
    </xf>
    <xf numFmtId="0" fontId="21" fillId="0" borderId="0" xfId="6" applyFont="1" applyAlignment="1">
      <alignment horizontal="center" vertical="center"/>
    </xf>
    <xf numFmtId="192" fontId="21" fillId="0" borderId="0" xfId="7" applyNumberFormat="1" applyFont="1" applyAlignment="1">
      <alignment horizontal="center" vertical="center"/>
    </xf>
    <xf numFmtId="192" fontId="21" fillId="0" borderId="0" xfId="1" applyNumberFormat="1" applyFont="1" applyFill="1" applyBorder="1" applyAlignment="1">
      <alignment horizontal="center" vertical="center"/>
    </xf>
    <xf numFmtId="192" fontId="21" fillId="0" borderId="0" xfId="6" applyNumberFormat="1" applyFont="1" applyAlignment="1">
      <alignment horizontal="center" vertical="center"/>
    </xf>
    <xf numFmtId="192" fontId="21" fillId="0" borderId="0" xfId="0" applyNumberFormat="1" applyFont="1" applyAlignment="1">
      <alignment horizontal="center" vertical="center"/>
    </xf>
    <xf numFmtId="43" fontId="21" fillId="0" borderId="18" xfId="4" applyNumberFormat="1" applyFont="1" applyBorder="1" applyAlignment="1">
      <alignment horizontal="center" vertical="center"/>
    </xf>
    <xf numFmtId="43" fontId="21" fillId="0" borderId="2" xfId="4" applyNumberFormat="1" applyFont="1" applyBorder="1" applyAlignment="1">
      <alignment horizontal="center" vertical="center"/>
    </xf>
    <xf numFmtId="43" fontId="21" fillId="0" borderId="20" xfId="4" applyNumberFormat="1" applyFont="1" applyBorder="1" applyAlignment="1">
      <alignment horizontal="center" vertical="center"/>
    </xf>
    <xf numFmtId="0" fontId="21" fillId="0" borderId="1" xfId="3" applyFont="1" applyBorder="1" applyAlignment="1">
      <alignment horizontal="left" vertical="center" shrinkToFit="1"/>
    </xf>
    <xf numFmtId="189" fontId="16" fillId="0" borderId="7" xfId="3" applyNumberFormat="1" applyFont="1" applyBorder="1" applyAlignment="1">
      <alignment horizontal="center" vertical="center"/>
    </xf>
    <xf numFmtId="189" fontId="16" fillId="0" borderId="13" xfId="3" applyNumberFormat="1" applyFont="1" applyBorder="1" applyAlignment="1">
      <alignment horizontal="center" vertical="center"/>
    </xf>
    <xf numFmtId="0" fontId="16" fillId="0" borderId="2" xfId="3" applyFont="1" applyBorder="1" applyAlignment="1">
      <alignment horizontal="left" vertical="center" shrinkToFit="1"/>
    </xf>
    <xf numFmtId="43" fontId="16" fillId="0" borderId="0" xfId="1" applyFont="1" applyAlignment="1">
      <alignment horizontal="center" vertical="center"/>
    </xf>
    <xf numFmtId="43" fontId="16" fillId="0" borderId="7" xfId="1" applyFont="1" applyBorder="1" applyAlignment="1">
      <alignment horizontal="center" vertical="center"/>
    </xf>
    <xf numFmtId="43" fontId="16" fillId="0" borderId="13" xfId="1" applyFont="1" applyBorder="1" applyAlignment="1">
      <alignment horizontal="center" vertical="center"/>
    </xf>
    <xf numFmtId="0" fontId="16" fillId="0" borderId="1" xfId="3" applyFont="1" applyBorder="1" applyAlignment="1">
      <alignment horizontal="left" vertical="top" wrapText="1"/>
    </xf>
    <xf numFmtId="189" fontId="21" fillId="0" borderId="41" xfId="1" applyNumberFormat="1" applyFont="1" applyFill="1" applyBorder="1" applyAlignment="1">
      <alignment horizontal="center" vertical="center" wrapText="1"/>
    </xf>
    <xf numFmtId="43" fontId="22" fillId="0" borderId="1" xfId="1" applyFont="1" applyBorder="1" applyAlignment="1">
      <alignment horizontal="left" vertical="center"/>
    </xf>
    <xf numFmtId="0" fontId="21" fillId="0" borderId="18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20" xfId="6" applyFont="1" applyBorder="1" applyAlignment="1">
      <alignment horizontal="center" vertical="center"/>
    </xf>
    <xf numFmtId="192" fontId="21" fillId="0" borderId="18" xfId="1" applyNumberFormat="1" applyFont="1" applyFill="1" applyBorder="1" applyAlignment="1">
      <alignment horizontal="center" vertical="center"/>
    </xf>
    <xf numFmtId="192" fontId="21" fillId="0" borderId="2" xfId="1" applyNumberFormat="1" applyFont="1" applyFill="1" applyBorder="1" applyAlignment="1">
      <alignment horizontal="center" vertical="center"/>
    </xf>
    <xf numFmtId="192" fontId="21" fillId="0" borderId="20" xfId="1" applyNumberFormat="1" applyFont="1" applyFill="1" applyBorder="1" applyAlignment="1">
      <alignment horizontal="center" vertical="center"/>
    </xf>
    <xf numFmtId="192" fontId="21" fillId="0" borderId="29" xfId="6" applyNumberFormat="1" applyFont="1" applyBorder="1" applyAlignment="1">
      <alignment horizontal="center" vertical="center"/>
    </xf>
    <xf numFmtId="192" fontId="21" fillId="0" borderId="1" xfId="6" applyNumberFormat="1" applyFont="1" applyBorder="1" applyAlignment="1">
      <alignment horizontal="center" vertical="center"/>
    </xf>
    <xf numFmtId="192" fontId="21" fillId="0" borderId="28" xfId="6" applyNumberFormat="1" applyFont="1" applyBorder="1" applyAlignment="1">
      <alignment horizontal="center" vertical="center"/>
    </xf>
    <xf numFmtId="192" fontId="21" fillId="0" borderId="21" xfId="6" applyNumberFormat="1" applyFont="1" applyBorder="1" applyAlignment="1">
      <alignment horizontal="center" vertical="center"/>
    </xf>
    <xf numFmtId="192" fontId="21" fillId="0" borderId="3" xfId="6" applyNumberFormat="1" applyFont="1" applyBorder="1" applyAlignment="1">
      <alignment horizontal="center" vertical="center"/>
    </xf>
    <xf numFmtId="192" fontId="21" fillId="0" borderId="22" xfId="6" applyNumberFormat="1" applyFont="1" applyBorder="1" applyAlignment="1">
      <alignment horizontal="center" vertical="center"/>
    </xf>
    <xf numFmtId="192" fontId="21" fillId="0" borderId="21" xfId="0" applyNumberFormat="1" applyFont="1" applyBorder="1" applyAlignment="1">
      <alignment horizontal="center" vertical="center"/>
    </xf>
    <xf numFmtId="192" fontId="21" fillId="0" borderId="3" xfId="0" applyNumberFormat="1" applyFont="1" applyBorder="1" applyAlignment="1">
      <alignment horizontal="center" vertical="center"/>
    </xf>
    <xf numFmtId="192" fontId="21" fillId="0" borderId="22" xfId="0" applyNumberFormat="1" applyFont="1" applyBorder="1" applyAlignment="1">
      <alignment horizontal="center" vertical="center"/>
    </xf>
    <xf numFmtId="192" fontId="21" fillId="0" borderId="18" xfId="7" applyNumberFormat="1" applyFont="1" applyBorder="1" applyAlignment="1">
      <alignment horizontal="left" vertical="center"/>
    </xf>
    <xf numFmtId="192" fontId="21" fillId="0" borderId="2" xfId="7" applyNumberFormat="1" applyFont="1" applyBorder="1" applyAlignment="1">
      <alignment horizontal="left" vertical="center"/>
    </xf>
    <xf numFmtId="192" fontId="21" fillId="0" borderId="20" xfId="7" applyNumberFormat="1" applyFont="1" applyBorder="1" applyAlignment="1">
      <alignment horizontal="left" vertical="center"/>
    </xf>
    <xf numFmtId="192" fontId="22" fillId="0" borderId="18" xfId="7" applyNumberFormat="1" applyFont="1" applyBorder="1" applyAlignment="1">
      <alignment horizontal="left" vertical="center"/>
    </xf>
    <xf numFmtId="192" fontId="22" fillId="0" borderId="2" xfId="7" applyNumberFormat="1" applyFont="1" applyBorder="1" applyAlignment="1">
      <alignment horizontal="left" vertical="center"/>
    </xf>
    <xf numFmtId="192" fontId="22" fillId="0" borderId="20" xfId="7" applyNumberFormat="1" applyFont="1" applyBorder="1" applyAlignment="1">
      <alignment horizontal="left" vertical="center"/>
    </xf>
  </cellXfs>
  <cellStyles count="53">
    <cellStyle name="Comma" xfId="1" builtinId="3"/>
    <cellStyle name="Comma [0] 2" xfId="48" xr:uid="{00000000-0005-0000-0000-000001000000}"/>
    <cellStyle name="Comma 10" xfId="46" xr:uid="{00000000-0005-0000-0000-000002000000}"/>
    <cellStyle name="Comma 10 2" xfId="52" xr:uid="{00000000-0005-0000-0000-000003000000}"/>
    <cellStyle name="Comma 2" xfId="28" xr:uid="{00000000-0005-0000-0000-000004000000}"/>
    <cellStyle name="Comma 2 2" xfId="38" xr:uid="{00000000-0005-0000-0000-000005000000}"/>
    <cellStyle name="Comma 2 3" xfId="35" xr:uid="{00000000-0005-0000-0000-000006000000}"/>
    <cellStyle name="Comma 2 4" xfId="41" xr:uid="{00000000-0005-0000-0000-000007000000}"/>
    <cellStyle name="Comma_แบบฟอร์มประมาณราคา" xfId="13" xr:uid="{00000000-0005-0000-0000-000008000000}"/>
    <cellStyle name="Normal" xfId="0" builtinId="0"/>
    <cellStyle name="Normal 10" xfId="17" xr:uid="{00000000-0005-0000-0000-00000A000000}"/>
    <cellStyle name="Normal 2" xfId="27" xr:uid="{00000000-0005-0000-0000-00000B000000}"/>
    <cellStyle name="Normal 2 2" xfId="45" xr:uid="{00000000-0005-0000-0000-00000C000000}"/>
    <cellStyle name="Normal 2 3" xfId="36" xr:uid="{00000000-0005-0000-0000-00000D000000}"/>
    <cellStyle name="Normal 3" xfId="10" xr:uid="{00000000-0005-0000-0000-00000E000000}"/>
    <cellStyle name="Normal 3 2" xfId="47" xr:uid="{00000000-0005-0000-0000-00000F000000}"/>
    <cellStyle name="Normal 4" xfId="50" xr:uid="{00000000-0005-0000-0000-000010000000}"/>
    <cellStyle name="Normal_D1" xfId="39" xr:uid="{00000000-0005-0000-0000-000011000000}"/>
    <cellStyle name="Normal_แบบฟอร์มประมาณราคา" xfId="8" xr:uid="{00000000-0005-0000-0000-000012000000}"/>
    <cellStyle name="Normal_ประมาณราคาระบบสุขา+ดับเพลิง(ภูเก็ต)" xfId="43" xr:uid="{00000000-0005-0000-0000-000013000000}"/>
    <cellStyle name="Percent 2" xfId="40" xr:uid="{00000000-0005-0000-0000-000014000000}"/>
    <cellStyle name="เครื่องหมายจุลภาค 2" xfId="5" xr:uid="{00000000-0005-0000-0000-000015000000}"/>
    <cellStyle name="เครื่องหมายจุลภาค 2 2" xfId="29" xr:uid="{00000000-0005-0000-0000-000016000000}"/>
    <cellStyle name="เครื่องหมายจุลภาค 2 3" xfId="25" xr:uid="{00000000-0005-0000-0000-000017000000}"/>
    <cellStyle name="เครื่องหมายจุลภาค 3 2 2" xfId="18" xr:uid="{00000000-0005-0000-0000-000018000000}"/>
    <cellStyle name="เครื่องหมายจุลภาค 4" xfId="15" xr:uid="{00000000-0005-0000-0000-000019000000}"/>
    <cellStyle name="เครื่องหมายจุลภาค 9 2" xfId="23" xr:uid="{00000000-0005-0000-0000-00001A000000}"/>
    <cellStyle name="เครื่องหมายจุลภาค_BOQโครงสร้าง 2" xfId="26" xr:uid="{00000000-0005-0000-0000-00001B000000}"/>
    <cellStyle name="เครื่องหมายจุลภาค_ราคากลาง1" xfId="51" xr:uid="{00000000-0005-0000-0000-00001C000000}"/>
    <cellStyle name="จุลภาค 3" xfId="32" xr:uid="{00000000-0005-0000-0000-00001D000000}"/>
    <cellStyle name="ปกติ 2" xfId="16" xr:uid="{00000000-0005-0000-0000-00001E000000}"/>
    <cellStyle name="ปกติ 2 2" xfId="3" xr:uid="{00000000-0005-0000-0000-00001F000000}"/>
    <cellStyle name="ปกติ 2 2 2" xfId="14" xr:uid="{00000000-0005-0000-0000-000020000000}"/>
    <cellStyle name="ปกติ 2 2_B TR" xfId="22" xr:uid="{00000000-0005-0000-0000-000021000000}"/>
    <cellStyle name="ปกติ 3" xfId="19" xr:uid="{00000000-0005-0000-0000-000022000000}"/>
    <cellStyle name="ปกติ 3 2" xfId="2" xr:uid="{00000000-0005-0000-0000-000023000000}"/>
    <cellStyle name="ปกติ 4" xfId="21" xr:uid="{00000000-0005-0000-0000-000024000000}"/>
    <cellStyle name="ปกติ 5" xfId="6" xr:uid="{00000000-0005-0000-0000-000025000000}"/>
    <cellStyle name="ปกติ 5 2" xfId="33" xr:uid="{00000000-0005-0000-0000-000026000000}"/>
    <cellStyle name="ปกติ 5 2 2" xfId="37" xr:uid="{00000000-0005-0000-0000-000027000000}"/>
    <cellStyle name="ปกติ 5 3" xfId="34" xr:uid="{00000000-0005-0000-0000-000028000000}"/>
    <cellStyle name="ปกติ 5 5" xfId="24" xr:uid="{00000000-0005-0000-0000-000029000000}"/>
    <cellStyle name="ปกติ 8" xfId="20" xr:uid="{00000000-0005-0000-0000-00002A000000}"/>
    <cellStyle name="ปกติ_BOQ_EE" xfId="31" xr:uid="{00000000-0005-0000-0000-00002B000000}"/>
    <cellStyle name="ปกติ_BOQUBOLโครงสร้าง 2" xfId="44" xr:uid="{00000000-0005-0000-0000-00002C000000}"/>
    <cellStyle name="ปกติ_BOQUBOLโครงสร้าง_โครงสร้างนิด้า 10-10-51_1" xfId="49" xr:uid="{00000000-0005-0000-0000-00002D000000}"/>
    <cellStyle name="ปกติ_ราคากลาง1" xfId="4" xr:uid="{00000000-0005-0000-0000-00002E000000}"/>
    <cellStyle name="ปกติ_ราคากลาง1 2 2" xfId="42" xr:uid="{00000000-0005-0000-0000-00002F000000}"/>
    <cellStyle name="ปกติ_ราคากลางสถาปัตย์" xfId="9" xr:uid="{00000000-0005-0000-0000-000030000000}"/>
    <cellStyle name="ปกติ_ราคากลางสถาปัตย์ 2" xfId="7" xr:uid="{00000000-0005-0000-0000-000031000000}"/>
    <cellStyle name="ปกติ_ราคากลางสถาปัตย์ 2 2" xfId="12" xr:uid="{00000000-0005-0000-0000-000032000000}"/>
    <cellStyle name="ปกติ_ราคากลางสถาปัตย์ 3" xfId="11" xr:uid="{00000000-0005-0000-0000-000033000000}"/>
    <cellStyle name="ลักษณะ 1 2" xfId="30" xr:uid="{00000000-0005-0000-0000-000034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1\adm4-27&#3585;&#3588;50file&#3592;&#3634;&#3585;17-22&#3585;&#3604;&#3605;&#3657;&#3629;&#3591;&#3607;&#3635;&#3651;&#3627;&#3617;&#3656;\Users\Tin\Documents\CPSR\M&amp;E%20Bid\ZZ%20Blank%20BOQ\BOQ-Central%20Suratthani-SN&amp;F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N FP"/>
      <sheetName val="Prelim SN Fire"/>
      <sheetName val="Indirect SN Fire"/>
      <sheetName val="Direct SAN"/>
      <sheetName val="Direct FIRE"/>
      <sheetName val="Factor F Data"/>
      <sheetName val="ภูมิทัศน์"/>
      <sheetName val="วัดใต้"/>
      <sheetName val="設備Pe"/>
      <sheetName val="Summary_SN_FP"/>
      <sheetName val="Prelim_SN_Fire"/>
      <sheetName val="Indirect_SN_Fire"/>
      <sheetName val="Direct_SAN"/>
      <sheetName val="Direct_FIRE"/>
      <sheetName val="Factor_F_Data"/>
      <sheetName val="เงินกู้ธนชาติ"/>
      <sheetName val="Main Sum (Hotel &amp; Residences)"/>
      <sheetName val="X-REF"/>
      <sheetName val="MCB"/>
      <sheetName val="Tableau"/>
      <sheetName val="DQE-MEN-EX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6"/>
  <sheetViews>
    <sheetView view="pageBreakPreview" topLeftCell="A13" zoomScale="85" zoomScaleNormal="115" zoomScaleSheetLayoutView="85" workbookViewId="0">
      <selection activeCell="B22" sqref="B22"/>
    </sheetView>
  </sheetViews>
  <sheetFormatPr defaultRowHeight="26.25"/>
  <cols>
    <col min="1" max="1" width="8.7109375" style="1" customWidth="1"/>
    <col min="2" max="2" width="35.5703125" style="1" customWidth="1"/>
    <col min="3" max="4" width="18.7109375" style="1" customWidth="1"/>
    <col min="5" max="5" width="22.5703125" style="1" customWidth="1"/>
    <col min="6" max="6" width="20.7109375" style="1" customWidth="1"/>
    <col min="7" max="7" width="16.85546875" style="99" bestFit="1" customWidth="1"/>
    <col min="8" max="8" width="15.5703125" style="99" bestFit="1" customWidth="1"/>
    <col min="9" max="9" width="14.5703125" style="1" bestFit="1" customWidth="1"/>
    <col min="10" max="246" width="9.140625" style="1"/>
    <col min="247" max="247" width="5.85546875" style="1" customWidth="1"/>
    <col min="248" max="248" width="28.42578125" style="1" customWidth="1"/>
    <col min="249" max="249" width="14.7109375" style="1" customWidth="1"/>
    <col min="250" max="250" width="7.42578125" style="1" customWidth="1"/>
    <col min="251" max="251" width="14.42578125" style="1" customWidth="1"/>
    <col min="252" max="252" width="9.140625" style="1" customWidth="1"/>
    <col min="253" max="253" width="9.140625" style="1"/>
    <col min="254" max="254" width="11.42578125" style="1" customWidth="1"/>
    <col min="255" max="255" width="13.42578125" style="1" customWidth="1"/>
    <col min="256" max="256" width="9.140625" style="1"/>
    <col min="257" max="257" width="8.5703125" style="1" customWidth="1"/>
    <col min="258" max="502" width="9.140625" style="1"/>
    <col min="503" max="503" width="5.85546875" style="1" customWidth="1"/>
    <col min="504" max="504" width="28.42578125" style="1" customWidth="1"/>
    <col min="505" max="505" width="14.7109375" style="1" customWidth="1"/>
    <col min="506" max="506" width="7.42578125" style="1" customWidth="1"/>
    <col min="507" max="507" width="14.42578125" style="1" customWidth="1"/>
    <col min="508" max="508" width="9.140625" style="1" customWidth="1"/>
    <col min="509" max="509" width="9.140625" style="1"/>
    <col min="510" max="510" width="11.42578125" style="1" customWidth="1"/>
    <col min="511" max="511" width="13.42578125" style="1" customWidth="1"/>
    <col min="512" max="512" width="9.140625" style="1"/>
    <col min="513" max="513" width="8.5703125" style="1" customWidth="1"/>
    <col min="514" max="758" width="9.140625" style="1"/>
    <col min="759" max="759" width="5.85546875" style="1" customWidth="1"/>
    <col min="760" max="760" width="28.42578125" style="1" customWidth="1"/>
    <col min="761" max="761" width="14.7109375" style="1" customWidth="1"/>
    <col min="762" max="762" width="7.42578125" style="1" customWidth="1"/>
    <col min="763" max="763" width="14.42578125" style="1" customWidth="1"/>
    <col min="764" max="764" width="9.140625" style="1" customWidth="1"/>
    <col min="765" max="765" width="9.140625" style="1"/>
    <col min="766" max="766" width="11.42578125" style="1" customWidth="1"/>
    <col min="767" max="767" width="13.42578125" style="1" customWidth="1"/>
    <col min="768" max="768" width="9.140625" style="1"/>
    <col min="769" max="769" width="8.5703125" style="1" customWidth="1"/>
    <col min="770" max="1014" width="9.140625" style="1"/>
    <col min="1015" max="1015" width="5.85546875" style="1" customWidth="1"/>
    <col min="1016" max="1016" width="28.42578125" style="1" customWidth="1"/>
    <col min="1017" max="1017" width="14.7109375" style="1" customWidth="1"/>
    <col min="1018" max="1018" width="7.42578125" style="1" customWidth="1"/>
    <col min="1019" max="1019" width="14.42578125" style="1" customWidth="1"/>
    <col min="1020" max="1020" width="9.140625" style="1" customWidth="1"/>
    <col min="1021" max="1021" width="9.140625" style="1"/>
    <col min="1022" max="1022" width="11.42578125" style="1" customWidth="1"/>
    <col min="1023" max="1023" width="13.42578125" style="1" customWidth="1"/>
    <col min="1024" max="1024" width="9.140625" style="1"/>
    <col min="1025" max="1025" width="8.5703125" style="1" customWidth="1"/>
    <col min="1026" max="1270" width="9.140625" style="1"/>
    <col min="1271" max="1271" width="5.85546875" style="1" customWidth="1"/>
    <col min="1272" max="1272" width="28.42578125" style="1" customWidth="1"/>
    <col min="1273" max="1273" width="14.7109375" style="1" customWidth="1"/>
    <col min="1274" max="1274" width="7.42578125" style="1" customWidth="1"/>
    <col min="1275" max="1275" width="14.42578125" style="1" customWidth="1"/>
    <col min="1276" max="1276" width="9.140625" style="1" customWidth="1"/>
    <col min="1277" max="1277" width="9.140625" style="1"/>
    <col min="1278" max="1278" width="11.42578125" style="1" customWidth="1"/>
    <col min="1279" max="1279" width="13.42578125" style="1" customWidth="1"/>
    <col min="1280" max="1280" width="9.140625" style="1"/>
    <col min="1281" max="1281" width="8.5703125" style="1" customWidth="1"/>
    <col min="1282" max="1526" width="9.140625" style="1"/>
    <col min="1527" max="1527" width="5.85546875" style="1" customWidth="1"/>
    <col min="1528" max="1528" width="28.42578125" style="1" customWidth="1"/>
    <col min="1529" max="1529" width="14.7109375" style="1" customWidth="1"/>
    <col min="1530" max="1530" width="7.42578125" style="1" customWidth="1"/>
    <col min="1531" max="1531" width="14.42578125" style="1" customWidth="1"/>
    <col min="1532" max="1532" width="9.140625" style="1" customWidth="1"/>
    <col min="1533" max="1533" width="9.140625" style="1"/>
    <col min="1534" max="1534" width="11.42578125" style="1" customWidth="1"/>
    <col min="1535" max="1535" width="13.42578125" style="1" customWidth="1"/>
    <col min="1536" max="1536" width="9.140625" style="1"/>
    <col min="1537" max="1537" width="8.5703125" style="1" customWidth="1"/>
    <col min="1538" max="1782" width="9.140625" style="1"/>
    <col min="1783" max="1783" width="5.85546875" style="1" customWidth="1"/>
    <col min="1784" max="1784" width="28.42578125" style="1" customWidth="1"/>
    <col min="1785" max="1785" width="14.7109375" style="1" customWidth="1"/>
    <col min="1786" max="1786" width="7.42578125" style="1" customWidth="1"/>
    <col min="1787" max="1787" width="14.42578125" style="1" customWidth="1"/>
    <col min="1788" max="1788" width="9.140625" style="1" customWidth="1"/>
    <col min="1789" max="1789" width="9.140625" style="1"/>
    <col min="1790" max="1790" width="11.42578125" style="1" customWidth="1"/>
    <col min="1791" max="1791" width="13.42578125" style="1" customWidth="1"/>
    <col min="1792" max="1792" width="9.140625" style="1"/>
    <col min="1793" max="1793" width="8.5703125" style="1" customWidth="1"/>
    <col min="1794" max="2038" width="9.140625" style="1"/>
    <col min="2039" max="2039" width="5.85546875" style="1" customWidth="1"/>
    <col min="2040" max="2040" width="28.42578125" style="1" customWidth="1"/>
    <col min="2041" max="2041" width="14.7109375" style="1" customWidth="1"/>
    <col min="2042" max="2042" width="7.42578125" style="1" customWidth="1"/>
    <col min="2043" max="2043" width="14.42578125" style="1" customWidth="1"/>
    <col min="2044" max="2044" width="9.140625" style="1" customWidth="1"/>
    <col min="2045" max="2045" width="9.140625" style="1"/>
    <col min="2046" max="2046" width="11.42578125" style="1" customWidth="1"/>
    <col min="2047" max="2047" width="13.42578125" style="1" customWidth="1"/>
    <col min="2048" max="2048" width="9.140625" style="1"/>
    <col min="2049" max="2049" width="8.5703125" style="1" customWidth="1"/>
    <col min="2050" max="2294" width="9.140625" style="1"/>
    <col min="2295" max="2295" width="5.85546875" style="1" customWidth="1"/>
    <col min="2296" max="2296" width="28.42578125" style="1" customWidth="1"/>
    <col min="2297" max="2297" width="14.7109375" style="1" customWidth="1"/>
    <col min="2298" max="2298" width="7.42578125" style="1" customWidth="1"/>
    <col min="2299" max="2299" width="14.42578125" style="1" customWidth="1"/>
    <col min="2300" max="2300" width="9.140625" style="1" customWidth="1"/>
    <col min="2301" max="2301" width="9.140625" style="1"/>
    <col min="2302" max="2302" width="11.42578125" style="1" customWidth="1"/>
    <col min="2303" max="2303" width="13.42578125" style="1" customWidth="1"/>
    <col min="2304" max="2304" width="9.140625" style="1"/>
    <col min="2305" max="2305" width="8.5703125" style="1" customWidth="1"/>
    <col min="2306" max="2550" width="9.140625" style="1"/>
    <col min="2551" max="2551" width="5.85546875" style="1" customWidth="1"/>
    <col min="2552" max="2552" width="28.42578125" style="1" customWidth="1"/>
    <col min="2553" max="2553" width="14.7109375" style="1" customWidth="1"/>
    <col min="2554" max="2554" width="7.42578125" style="1" customWidth="1"/>
    <col min="2555" max="2555" width="14.42578125" style="1" customWidth="1"/>
    <col min="2556" max="2556" width="9.140625" style="1" customWidth="1"/>
    <col min="2557" max="2557" width="9.140625" style="1"/>
    <col min="2558" max="2558" width="11.42578125" style="1" customWidth="1"/>
    <col min="2559" max="2559" width="13.42578125" style="1" customWidth="1"/>
    <col min="2560" max="2560" width="9.140625" style="1"/>
    <col min="2561" max="2561" width="8.5703125" style="1" customWidth="1"/>
    <col min="2562" max="2806" width="9.140625" style="1"/>
    <col min="2807" max="2807" width="5.85546875" style="1" customWidth="1"/>
    <col min="2808" max="2808" width="28.42578125" style="1" customWidth="1"/>
    <col min="2809" max="2809" width="14.7109375" style="1" customWidth="1"/>
    <col min="2810" max="2810" width="7.42578125" style="1" customWidth="1"/>
    <col min="2811" max="2811" width="14.42578125" style="1" customWidth="1"/>
    <col min="2812" max="2812" width="9.140625" style="1" customWidth="1"/>
    <col min="2813" max="2813" width="9.140625" style="1"/>
    <col min="2814" max="2814" width="11.42578125" style="1" customWidth="1"/>
    <col min="2815" max="2815" width="13.42578125" style="1" customWidth="1"/>
    <col min="2816" max="2816" width="9.140625" style="1"/>
    <col min="2817" max="2817" width="8.5703125" style="1" customWidth="1"/>
    <col min="2818" max="3062" width="9.140625" style="1"/>
    <col min="3063" max="3063" width="5.85546875" style="1" customWidth="1"/>
    <col min="3064" max="3064" width="28.42578125" style="1" customWidth="1"/>
    <col min="3065" max="3065" width="14.7109375" style="1" customWidth="1"/>
    <col min="3066" max="3066" width="7.42578125" style="1" customWidth="1"/>
    <col min="3067" max="3067" width="14.42578125" style="1" customWidth="1"/>
    <col min="3068" max="3068" width="9.140625" style="1" customWidth="1"/>
    <col min="3069" max="3069" width="9.140625" style="1"/>
    <col min="3070" max="3070" width="11.42578125" style="1" customWidth="1"/>
    <col min="3071" max="3071" width="13.42578125" style="1" customWidth="1"/>
    <col min="3072" max="3072" width="9.140625" style="1"/>
    <col min="3073" max="3073" width="8.5703125" style="1" customWidth="1"/>
    <col min="3074" max="3318" width="9.140625" style="1"/>
    <col min="3319" max="3319" width="5.85546875" style="1" customWidth="1"/>
    <col min="3320" max="3320" width="28.42578125" style="1" customWidth="1"/>
    <col min="3321" max="3321" width="14.7109375" style="1" customWidth="1"/>
    <col min="3322" max="3322" width="7.42578125" style="1" customWidth="1"/>
    <col min="3323" max="3323" width="14.42578125" style="1" customWidth="1"/>
    <col min="3324" max="3324" width="9.140625" style="1" customWidth="1"/>
    <col min="3325" max="3325" width="9.140625" style="1"/>
    <col min="3326" max="3326" width="11.42578125" style="1" customWidth="1"/>
    <col min="3327" max="3327" width="13.42578125" style="1" customWidth="1"/>
    <col min="3328" max="3328" width="9.140625" style="1"/>
    <col min="3329" max="3329" width="8.5703125" style="1" customWidth="1"/>
    <col min="3330" max="3574" width="9.140625" style="1"/>
    <col min="3575" max="3575" width="5.85546875" style="1" customWidth="1"/>
    <col min="3576" max="3576" width="28.42578125" style="1" customWidth="1"/>
    <col min="3577" max="3577" width="14.7109375" style="1" customWidth="1"/>
    <col min="3578" max="3578" width="7.42578125" style="1" customWidth="1"/>
    <col min="3579" max="3579" width="14.42578125" style="1" customWidth="1"/>
    <col min="3580" max="3580" width="9.140625" style="1" customWidth="1"/>
    <col min="3581" max="3581" width="9.140625" style="1"/>
    <col min="3582" max="3582" width="11.42578125" style="1" customWidth="1"/>
    <col min="3583" max="3583" width="13.42578125" style="1" customWidth="1"/>
    <col min="3584" max="3584" width="9.140625" style="1"/>
    <col min="3585" max="3585" width="8.5703125" style="1" customWidth="1"/>
    <col min="3586" max="3830" width="9.140625" style="1"/>
    <col min="3831" max="3831" width="5.85546875" style="1" customWidth="1"/>
    <col min="3832" max="3832" width="28.42578125" style="1" customWidth="1"/>
    <col min="3833" max="3833" width="14.7109375" style="1" customWidth="1"/>
    <col min="3834" max="3834" width="7.42578125" style="1" customWidth="1"/>
    <col min="3835" max="3835" width="14.42578125" style="1" customWidth="1"/>
    <col min="3836" max="3836" width="9.140625" style="1" customWidth="1"/>
    <col min="3837" max="3837" width="9.140625" style="1"/>
    <col min="3838" max="3838" width="11.42578125" style="1" customWidth="1"/>
    <col min="3839" max="3839" width="13.42578125" style="1" customWidth="1"/>
    <col min="3840" max="3840" width="9.140625" style="1"/>
    <col min="3841" max="3841" width="8.5703125" style="1" customWidth="1"/>
    <col min="3842" max="4086" width="9.140625" style="1"/>
    <col min="4087" max="4087" width="5.85546875" style="1" customWidth="1"/>
    <col min="4088" max="4088" width="28.42578125" style="1" customWidth="1"/>
    <col min="4089" max="4089" width="14.7109375" style="1" customWidth="1"/>
    <col min="4090" max="4090" width="7.42578125" style="1" customWidth="1"/>
    <col min="4091" max="4091" width="14.42578125" style="1" customWidth="1"/>
    <col min="4092" max="4092" width="9.140625" style="1" customWidth="1"/>
    <col min="4093" max="4093" width="9.140625" style="1"/>
    <col min="4094" max="4094" width="11.42578125" style="1" customWidth="1"/>
    <col min="4095" max="4095" width="13.42578125" style="1" customWidth="1"/>
    <col min="4096" max="4096" width="9.140625" style="1"/>
    <col min="4097" max="4097" width="8.5703125" style="1" customWidth="1"/>
    <col min="4098" max="4342" width="9.140625" style="1"/>
    <col min="4343" max="4343" width="5.85546875" style="1" customWidth="1"/>
    <col min="4344" max="4344" width="28.42578125" style="1" customWidth="1"/>
    <col min="4345" max="4345" width="14.7109375" style="1" customWidth="1"/>
    <col min="4346" max="4346" width="7.42578125" style="1" customWidth="1"/>
    <col min="4347" max="4347" width="14.42578125" style="1" customWidth="1"/>
    <col min="4348" max="4348" width="9.140625" style="1" customWidth="1"/>
    <col min="4349" max="4349" width="9.140625" style="1"/>
    <col min="4350" max="4350" width="11.42578125" style="1" customWidth="1"/>
    <col min="4351" max="4351" width="13.42578125" style="1" customWidth="1"/>
    <col min="4352" max="4352" width="9.140625" style="1"/>
    <col min="4353" max="4353" width="8.5703125" style="1" customWidth="1"/>
    <col min="4354" max="4598" width="9.140625" style="1"/>
    <col min="4599" max="4599" width="5.85546875" style="1" customWidth="1"/>
    <col min="4600" max="4600" width="28.42578125" style="1" customWidth="1"/>
    <col min="4601" max="4601" width="14.7109375" style="1" customWidth="1"/>
    <col min="4602" max="4602" width="7.42578125" style="1" customWidth="1"/>
    <col min="4603" max="4603" width="14.42578125" style="1" customWidth="1"/>
    <col min="4604" max="4604" width="9.140625" style="1" customWidth="1"/>
    <col min="4605" max="4605" width="9.140625" style="1"/>
    <col min="4606" max="4606" width="11.42578125" style="1" customWidth="1"/>
    <col min="4607" max="4607" width="13.42578125" style="1" customWidth="1"/>
    <col min="4608" max="4608" width="9.140625" style="1"/>
    <col min="4609" max="4609" width="8.5703125" style="1" customWidth="1"/>
    <col min="4610" max="4854" width="9.140625" style="1"/>
    <col min="4855" max="4855" width="5.85546875" style="1" customWidth="1"/>
    <col min="4856" max="4856" width="28.42578125" style="1" customWidth="1"/>
    <col min="4857" max="4857" width="14.7109375" style="1" customWidth="1"/>
    <col min="4858" max="4858" width="7.42578125" style="1" customWidth="1"/>
    <col min="4859" max="4859" width="14.42578125" style="1" customWidth="1"/>
    <col min="4860" max="4860" width="9.140625" style="1" customWidth="1"/>
    <col min="4861" max="4861" width="9.140625" style="1"/>
    <col min="4862" max="4862" width="11.42578125" style="1" customWidth="1"/>
    <col min="4863" max="4863" width="13.42578125" style="1" customWidth="1"/>
    <col min="4864" max="4864" width="9.140625" style="1"/>
    <col min="4865" max="4865" width="8.5703125" style="1" customWidth="1"/>
    <col min="4866" max="5110" width="9.140625" style="1"/>
    <col min="5111" max="5111" width="5.85546875" style="1" customWidth="1"/>
    <col min="5112" max="5112" width="28.42578125" style="1" customWidth="1"/>
    <col min="5113" max="5113" width="14.7109375" style="1" customWidth="1"/>
    <col min="5114" max="5114" width="7.42578125" style="1" customWidth="1"/>
    <col min="5115" max="5115" width="14.42578125" style="1" customWidth="1"/>
    <col min="5116" max="5116" width="9.140625" style="1" customWidth="1"/>
    <col min="5117" max="5117" width="9.140625" style="1"/>
    <col min="5118" max="5118" width="11.42578125" style="1" customWidth="1"/>
    <col min="5119" max="5119" width="13.42578125" style="1" customWidth="1"/>
    <col min="5120" max="5120" width="9.140625" style="1"/>
    <col min="5121" max="5121" width="8.5703125" style="1" customWidth="1"/>
    <col min="5122" max="5366" width="9.140625" style="1"/>
    <col min="5367" max="5367" width="5.85546875" style="1" customWidth="1"/>
    <col min="5368" max="5368" width="28.42578125" style="1" customWidth="1"/>
    <col min="5369" max="5369" width="14.7109375" style="1" customWidth="1"/>
    <col min="5370" max="5370" width="7.42578125" style="1" customWidth="1"/>
    <col min="5371" max="5371" width="14.42578125" style="1" customWidth="1"/>
    <col min="5372" max="5372" width="9.140625" style="1" customWidth="1"/>
    <col min="5373" max="5373" width="9.140625" style="1"/>
    <col min="5374" max="5374" width="11.42578125" style="1" customWidth="1"/>
    <col min="5375" max="5375" width="13.42578125" style="1" customWidth="1"/>
    <col min="5376" max="5376" width="9.140625" style="1"/>
    <col min="5377" max="5377" width="8.5703125" style="1" customWidth="1"/>
    <col min="5378" max="5622" width="9.140625" style="1"/>
    <col min="5623" max="5623" width="5.85546875" style="1" customWidth="1"/>
    <col min="5624" max="5624" width="28.42578125" style="1" customWidth="1"/>
    <col min="5625" max="5625" width="14.7109375" style="1" customWidth="1"/>
    <col min="5626" max="5626" width="7.42578125" style="1" customWidth="1"/>
    <col min="5627" max="5627" width="14.42578125" style="1" customWidth="1"/>
    <col min="5628" max="5628" width="9.140625" style="1" customWidth="1"/>
    <col min="5629" max="5629" width="9.140625" style="1"/>
    <col min="5630" max="5630" width="11.42578125" style="1" customWidth="1"/>
    <col min="5631" max="5631" width="13.42578125" style="1" customWidth="1"/>
    <col min="5632" max="5632" width="9.140625" style="1"/>
    <col min="5633" max="5633" width="8.5703125" style="1" customWidth="1"/>
    <col min="5634" max="5878" width="9.140625" style="1"/>
    <col min="5879" max="5879" width="5.85546875" style="1" customWidth="1"/>
    <col min="5880" max="5880" width="28.42578125" style="1" customWidth="1"/>
    <col min="5881" max="5881" width="14.7109375" style="1" customWidth="1"/>
    <col min="5882" max="5882" width="7.42578125" style="1" customWidth="1"/>
    <col min="5883" max="5883" width="14.42578125" style="1" customWidth="1"/>
    <col min="5884" max="5884" width="9.140625" style="1" customWidth="1"/>
    <col min="5885" max="5885" width="9.140625" style="1"/>
    <col min="5886" max="5886" width="11.42578125" style="1" customWidth="1"/>
    <col min="5887" max="5887" width="13.42578125" style="1" customWidth="1"/>
    <col min="5888" max="5888" width="9.140625" style="1"/>
    <col min="5889" max="5889" width="8.5703125" style="1" customWidth="1"/>
    <col min="5890" max="6134" width="9.140625" style="1"/>
    <col min="6135" max="6135" width="5.85546875" style="1" customWidth="1"/>
    <col min="6136" max="6136" width="28.42578125" style="1" customWidth="1"/>
    <col min="6137" max="6137" width="14.7109375" style="1" customWidth="1"/>
    <col min="6138" max="6138" width="7.42578125" style="1" customWidth="1"/>
    <col min="6139" max="6139" width="14.42578125" style="1" customWidth="1"/>
    <col min="6140" max="6140" width="9.140625" style="1" customWidth="1"/>
    <col min="6141" max="6141" width="9.140625" style="1"/>
    <col min="6142" max="6142" width="11.42578125" style="1" customWidth="1"/>
    <col min="6143" max="6143" width="13.42578125" style="1" customWidth="1"/>
    <col min="6144" max="6144" width="9.140625" style="1"/>
    <col min="6145" max="6145" width="8.5703125" style="1" customWidth="1"/>
    <col min="6146" max="6390" width="9.140625" style="1"/>
    <col min="6391" max="6391" width="5.85546875" style="1" customWidth="1"/>
    <col min="6392" max="6392" width="28.42578125" style="1" customWidth="1"/>
    <col min="6393" max="6393" width="14.7109375" style="1" customWidth="1"/>
    <col min="6394" max="6394" width="7.42578125" style="1" customWidth="1"/>
    <col min="6395" max="6395" width="14.42578125" style="1" customWidth="1"/>
    <col min="6396" max="6396" width="9.140625" style="1" customWidth="1"/>
    <col min="6397" max="6397" width="9.140625" style="1"/>
    <col min="6398" max="6398" width="11.42578125" style="1" customWidth="1"/>
    <col min="6399" max="6399" width="13.42578125" style="1" customWidth="1"/>
    <col min="6400" max="6400" width="9.140625" style="1"/>
    <col min="6401" max="6401" width="8.5703125" style="1" customWidth="1"/>
    <col min="6402" max="6646" width="9.140625" style="1"/>
    <col min="6647" max="6647" width="5.85546875" style="1" customWidth="1"/>
    <col min="6648" max="6648" width="28.42578125" style="1" customWidth="1"/>
    <col min="6649" max="6649" width="14.7109375" style="1" customWidth="1"/>
    <col min="6650" max="6650" width="7.42578125" style="1" customWidth="1"/>
    <col min="6651" max="6651" width="14.42578125" style="1" customWidth="1"/>
    <col min="6652" max="6652" width="9.140625" style="1" customWidth="1"/>
    <col min="6653" max="6653" width="9.140625" style="1"/>
    <col min="6654" max="6654" width="11.42578125" style="1" customWidth="1"/>
    <col min="6655" max="6655" width="13.42578125" style="1" customWidth="1"/>
    <col min="6656" max="6656" width="9.140625" style="1"/>
    <col min="6657" max="6657" width="8.5703125" style="1" customWidth="1"/>
    <col min="6658" max="6902" width="9.140625" style="1"/>
    <col min="6903" max="6903" width="5.85546875" style="1" customWidth="1"/>
    <col min="6904" max="6904" width="28.42578125" style="1" customWidth="1"/>
    <col min="6905" max="6905" width="14.7109375" style="1" customWidth="1"/>
    <col min="6906" max="6906" width="7.42578125" style="1" customWidth="1"/>
    <col min="6907" max="6907" width="14.42578125" style="1" customWidth="1"/>
    <col min="6908" max="6908" width="9.140625" style="1" customWidth="1"/>
    <col min="6909" max="6909" width="9.140625" style="1"/>
    <col min="6910" max="6910" width="11.42578125" style="1" customWidth="1"/>
    <col min="6911" max="6911" width="13.42578125" style="1" customWidth="1"/>
    <col min="6912" max="6912" width="9.140625" style="1"/>
    <col min="6913" max="6913" width="8.5703125" style="1" customWidth="1"/>
    <col min="6914" max="7158" width="9.140625" style="1"/>
    <col min="7159" max="7159" width="5.85546875" style="1" customWidth="1"/>
    <col min="7160" max="7160" width="28.42578125" style="1" customWidth="1"/>
    <col min="7161" max="7161" width="14.7109375" style="1" customWidth="1"/>
    <col min="7162" max="7162" width="7.42578125" style="1" customWidth="1"/>
    <col min="7163" max="7163" width="14.42578125" style="1" customWidth="1"/>
    <col min="7164" max="7164" width="9.140625" style="1" customWidth="1"/>
    <col min="7165" max="7165" width="9.140625" style="1"/>
    <col min="7166" max="7166" width="11.42578125" style="1" customWidth="1"/>
    <col min="7167" max="7167" width="13.42578125" style="1" customWidth="1"/>
    <col min="7168" max="7168" width="9.140625" style="1"/>
    <col min="7169" max="7169" width="8.5703125" style="1" customWidth="1"/>
    <col min="7170" max="7414" width="9.140625" style="1"/>
    <col min="7415" max="7415" width="5.85546875" style="1" customWidth="1"/>
    <col min="7416" max="7416" width="28.42578125" style="1" customWidth="1"/>
    <col min="7417" max="7417" width="14.7109375" style="1" customWidth="1"/>
    <col min="7418" max="7418" width="7.42578125" style="1" customWidth="1"/>
    <col min="7419" max="7419" width="14.42578125" style="1" customWidth="1"/>
    <col min="7420" max="7420" width="9.140625" style="1" customWidth="1"/>
    <col min="7421" max="7421" width="9.140625" style="1"/>
    <col min="7422" max="7422" width="11.42578125" style="1" customWidth="1"/>
    <col min="7423" max="7423" width="13.42578125" style="1" customWidth="1"/>
    <col min="7424" max="7424" width="9.140625" style="1"/>
    <col min="7425" max="7425" width="8.5703125" style="1" customWidth="1"/>
    <col min="7426" max="7670" width="9.140625" style="1"/>
    <col min="7671" max="7671" width="5.85546875" style="1" customWidth="1"/>
    <col min="7672" max="7672" width="28.42578125" style="1" customWidth="1"/>
    <col min="7673" max="7673" width="14.7109375" style="1" customWidth="1"/>
    <col min="7674" max="7674" width="7.42578125" style="1" customWidth="1"/>
    <col min="7675" max="7675" width="14.42578125" style="1" customWidth="1"/>
    <col min="7676" max="7676" width="9.140625" style="1" customWidth="1"/>
    <col min="7677" max="7677" width="9.140625" style="1"/>
    <col min="7678" max="7678" width="11.42578125" style="1" customWidth="1"/>
    <col min="7679" max="7679" width="13.42578125" style="1" customWidth="1"/>
    <col min="7680" max="7680" width="9.140625" style="1"/>
    <col min="7681" max="7681" width="8.5703125" style="1" customWidth="1"/>
    <col min="7682" max="7926" width="9.140625" style="1"/>
    <col min="7927" max="7927" width="5.85546875" style="1" customWidth="1"/>
    <col min="7928" max="7928" width="28.42578125" style="1" customWidth="1"/>
    <col min="7929" max="7929" width="14.7109375" style="1" customWidth="1"/>
    <col min="7930" max="7930" width="7.42578125" style="1" customWidth="1"/>
    <col min="7931" max="7931" width="14.42578125" style="1" customWidth="1"/>
    <col min="7932" max="7932" width="9.140625" style="1" customWidth="1"/>
    <col min="7933" max="7933" width="9.140625" style="1"/>
    <col min="7934" max="7934" width="11.42578125" style="1" customWidth="1"/>
    <col min="7935" max="7935" width="13.42578125" style="1" customWidth="1"/>
    <col min="7936" max="7936" width="9.140625" style="1"/>
    <col min="7937" max="7937" width="8.5703125" style="1" customWidth="1"/>
    <col min="7938" max="8182" width="9.140625" style="1"/>
    <col min="8183" max="8183" width="5.85546875" style="1" customWidth="1"/>
    <col min="8184" max="8184" width="28.42578125" style="1" customWidth="1"/>
    <col min="8185" max="8185" width="14.7109375" style="1" customWidth="1"/>
    <col min="8186" max="8186" width="7.42578125" style="1" customWidth="1"/>
    <col min="8187" max="8187" width="14.42578125" style="1" customWidth="1"/>
    <col min="8188" max="8188" width="9.140625" style="1" customWidth="1"/>
    <col min="8189" max="8189" width="9.140625" style="1"/>
    <col min="8190" max="8190" width="11.42578125" style="1" customWidth="1"/>
    <col min="8191" max="8191" width="13.42578125" style="1" customWidth="1"/>
    <col min="8192" max="8192" width="9.140625" style="1"/>
    <col min="8193" max="8193" width="8.5703125" style="1" customWidth="1"/>
    <col min="8194" max="8438" width="9.140625" style="1"/>
    <col min="8439" max="8439" width="5.85546875" style="1" customWidth="1"/>
    <col min="8440" max="8440" width="28.42578125" style="1" customWidth="1"/>
    <col min="8441" max="8441" width="14.7109375" style="1" customWidth="1"/>
    <col min="8442" max="8442" width="7.42578125" style="1" customWidth="1"/>
    <col min="8443" max="8443" width="14.42578125" style="1" customWidth="1"/>
    <col min="8444" max="8444" width="9.140625" style="1" customWidth="1"/>
    <col min="8445" max="8445" width="9.140625" style="1"/>
    <col min="8446" max="8446" width="11.42578125" style="1" customWidth="1"/>
    <col min="8447" max="8447" width="13.42578125" style="1" customWidth="1"/>
    <col min="8448" max="8448" width="9.140625" style="1"/>
    <col min="8449" max="8449" width="8.5703125" style="1" customWidth="1"/>
    <col min="8450" max="8694" width="9.140625" style="1"/>
    <col min="8695" max="8695" width="5.85546875" style="1" customWidth="1"/>
    <col min="8696" max="8696" width="28.42578125" style="1" customWidth="1"/>
    <col min="8697" max="8697" width="14.7109375" style="1" customWidth="1"/>
    <col min="8698" max="8698" width="7.42578125" style="1" customWidth="1"/>
    <col min="8699" max="8699" width="14.42578125" style="1" customWidth="1"/>
    <col min="8700" max="8700" width="9.140625" style="1" customWidth="1"/>
    <col min="8701" max="8701" width="9.140625" style="1"/>
    <col min="8702" max="8702" width="11.42578125" style="1" customWidth="1"/>
    <col min="8703" max="8703" width="13.42578125" style="1" customWidth="1"/>
    <col min="8704" max="8704" width="9.140625" style="1"/>
    <col min="8705" max="8705" width="8.5703125" style="1" customWidth="1"/>
    <col min="8706" max="8950" width="9.140625" style="1"/>
    <col min="8951" max="8951" width="5.85546875" style="1" customWidth="1"/>
    <col min="8952" max="8952" width="28.42578125" style="1" customWidth="1"/>
    <col min="8953" max="8953" width="14.7109375" style="1" customWidth="1"/>
    <col min="8954" max="8954" width="7.42578125" style="1" customWidth="1"/>
    <col min="8955" max="8955" width="14.42578125" style="1" customWidth="1"/>
    <col min="8956" max="8956" width="9.140625" style="1" customWidth="1"/>
    <col min="8957" max="8957" width="9.140625" style="1"/>
    <col min="8958" max="8958" width="11.42578125" style="1" customWidth="1"/>
    <col min="8959" max="8959" width="13.42578125" style="1" customWidth="1"/>
    <col min="8960" max="8960" width="9.140625" style="1"/>
    <col min="8961" max="8961" width="8.5703125" style="1" customWidth="1"/>
    <col min="8962" max="9206" width="9.140625" style="1"/>
    <col min="9207" max="9207" width="5.85546875" style="1" customWidth="1"/>
    <col min="9208" max="9208" width="28.42578125" style="1" customWidth="1"/>
    <col min="9209" max="9209" width="14.7109375" style="1" customWidth="1"/>
    <col min="9210" max="9210" width="7.42578125" style="1" customWidth="1"/>
    <col min="9211" max="9211" width="14.42578125" style="1" customWidth="1"/>
    <col min="9212" max="9212" width="9.140625" style="1" customWidth="1"/>
    <col min="9213" max="9213" width="9.140625" style="1"/>
    <col min="9214" max="9214" width="11.42578125" style="1" customWidth="1"/>
    <col min="9215" max="9215" width="13.42578125" style="1" customWidth="1"/>
    <col min="9216" max="9216" width="9.140625" style="1"/>
    <col min="9217" max="9217" width="8.5703125" style="1" customWidth="1"/>
    <col min="9218" max="9462" width="9.140625" style="1"/>
    <col min="9463" max="9463" width="5.85546875" style="1" customWidth="1"/>
    <col min="9464" max="9464" width="28.42578125" style="1" customWidth="1"/>
    <col min="9465" max="9465" width="14.7109375" style="1" customWidth="1"/>
    <col min="9466" max="9466" width="7.42578125" style="1" customWidth="1"/>
    <col min="9467" max="9467" width="14.42578125" style="1" customWidth="1"/>
    <col min="9468" max="9468" width="9.140625" style="1" customWidth="1"/>
    <col min="9469" max="9469" width="9.140625" style="1"/>
    <col min="9470" max="9470" width="11.42578125" style="1" customWidth="1"/>
    <col min="9471" max="9471" width="13.42578125" style="1" customWidth="1"/>
    <col min="9472" max="9472" width="9.140625" style="1"/>
    <col min="9473" max="9473" width="8.5703125" style="1" customWidth="1"/>
    <col min="9474" max="9718" width="9.140625" style="1"/>
    <col min="9719" max="9719" width="5.85546875" style="1" customWidth="1"/>
    <col min="9720" max="9720" width="28.42578125" style="1" customWidth="1"/>
    <col min="9721" max="9721" width="14.7109375" style="1" customWidth="1"/>
    <col min="9722" max="9722" width="7.42578125" style="1" customWidth="1"/>
    <col min="9723" max="9723" width="14.42578125" style="1" customWidth="1"/>
    <col min="9724" max="9724" width="9.140625" style="1" customWidth="1"/>
    <col min="9725" max="9725" width="9.140625" style="1"/>
    <col min="9726" max="9726" width="11.42578125" style="1" customWidth="1"/>
    <col min="9727" max="9727" width="13.42578125" style="1" customWidth="1"/>
    <col min="9728" max="9728" width="9.140625" style="1"/>
    <col min="9729" max="9729" width="8.5703125" style="1" customWidth="1"/>
    <col min="9730" max="9974" width="9.140625" style="1"/>
    <col min="9975" max="9975" width="5.85546875" style="1" customWidth="1"/>
    <col min="9976" max="9976" width="28.42578125" style="1" customWidth="1"/>
    <col min="9977" max="9977" width="14.7109375" style="1" customWidth="1"/>
    <col min="9978" max="9978" width="7.42578125" style="1" customWidth="1"/>
    <col min="9979" max="9979" width="14.42578125" style="1" customWidth="1"/>
    <col min="9980" max="9980" width="9.140625" style="1" customWidth="1"/>
    <col min="9981" max="9981" width="9.140625" style="1"/>
    <col min="9982" max="9982" width="11.42578125" style="1" customWidth="1"/>
    <col min="9983" max="9983" width="13.42578125" style="1" customWidth="1"/>
    <col min="9984" max="9984" width="9.140625" style="1"/>
    <col min="9985" max="9985" width="8.5703125" style="1" customWidth="1"/>
    <col min="9986" max="10230" width="9.140625" style="1"/>
    <col min="10231" max="10231" width="5.85546875" style="1" customWidth="1"/>
    <col min="10232" max="10232" width="28.42578125" style="1" customWidth="1"/>
    <col min="10233" max="10233" width="14.7109375" style="1" customWidth="1"/>
    <col min="10234" max="10234" width="7.42578125" style="1" customWidth="1"/>
    <col min="10235" max="10235" width="14.42578125" style="1" customWidth="1"/>
    <col min="10236" max="10236" width="9.140625" style="1" customWidth="1"/>
    <col min="10237" max="10237" width="9.140625" style="1"/>
    <col min="10238" max="10238" width="11.42578125" style="1" customWidth="1"/>
    <col min="10239" max="10239" width="13.42578125" style="1" customWidth="1"/>
    <col min="10240" max="10240" width="9.140625" style="1"/>
    <col min="10241" max="10241" width="8.5703125" style="1" customWidth="1"/>
    <col min="10242" max="10486" width="9.140625" style="1"/>
    <col min="10487" max="10487" width="5.85546875" style="1" customWidth="1"/>
    <col min="10488" max="10488" width="28.42578125" style="1" customWidth="1"/>
    <col min="10489" max="10489" width="14.7109375" style="1" customWidth="1"/>
    <col min="10490" max="10490" width="7.42578125" style="1" customWidth="1"/>
    <col min="10491" max="10491" width="14.42578125" style="1" customWidth="1"/>
    <col min="10492" max="10492" width="9.140625" style="1" customWidth="1"/>
    <col min="10493" max="10493" width="9.140625" style="1"/>
    <col min="10494" max="10494" width="11.42578125" style="1" customWidth="1"/>
    <col min="10495" max="10495" width="13.42578125" style="1" customWidth="1"/>
    <col min="10496" max="10496" width="9.140625" style="1"/>
    <col min="10497" max="10497" width="8.5703125" style="1" customWidth="1"/>
    <col min="10498" max="10742" width="9.140625" style="1"/>
    <col min="10743" max="10743" width="5.85546875" style="1" customWidth="1"/>
    <col min="10744" max="10744" width="28.42578125" style="1" customWidth="1"/>
    <col min="10745" max="10745" width="14.7109375" style="1" customWidth="1"/>
    <col min="10746" max="10746" width="7.42578125" style="1" customWidth="1"/>
    <col min="10747" max="10747" width="14.42578125" style="1" customWidth="1"/>
    <col min="10748" max="10748" width="9.140625" style="1" customWidth="1"/>
    <col min="10749" max="10749" width="9.140625" style="1"/>
    <col min="10750" max="10750" width="11.42578125" style="1" customWidth="1"/>
    <col min="10751" max="10751" width="13.42578125" style="1" customWidth="1"/>
    <col min="10752" max="10752" width="9.140625" style="1"/>
    <col min="10753" max="10753" width="8.5703125" style="1" customWidth="1"/>
    <col min="10754" max="10998" width="9.140625" style="1"/>
    <col min="10999" max="10999" width="5.85546875" style="1" customWidth="1"/>
    <col min="11000" max="11000" width="28.42578125" style="1" customWidth="1"/>
    <col min="11001" max="11001" width="14.7109375" style="1" customWidth="1"/>
    <col min="11002" max="11002" width="7.42578125" style="1" customWidth="1"/>
    <col min="11003" max="11003" width="14.42578125" style="1" customWidth="1"/>
    <col min="11004" max="11004" width="9.140625" style="1" customWidth="1"/>
    <col min="11005" max="11005" width="9.140625" style="1"/>
    <col min="11006" max="11006" width="11.42578125" style="1" customWidth="1"/>
    <col min="11007" max="11007" width="13.42578125" style="1" customWidth="1"/>
    <col min="11008" max="11008" width="9.140625" style="1"/>
    <col min="11009" max="11009" width="8.5703125" style="1" customWidth="1"/>
    <col min="11010" max="11254" width="9.140625" style="1"/>
    <col min="11255" max="11255" width="5.85546875" style="1" customWidth="1"/>
    <col min="11256" max="11256" width="28.42578125" style="1" customWidth="1"/>
    <col min="11257" max="11257" width="14.7109375" style="1" customWidth="1"/>
    <col min="11258" max="11258" width="7.42578125" style="1" customWidth="1"/>
    <col min="11259" max="11259" width="14.42578125" style="1" customWidth="1"/>
    <col min="11260" max="11260" width="9.140625" style="1" customWidth="1"/>
    <col min="11261" max="11261" width="9.140625" style="1"/>
    <col min="11262" max="11262" width="11.42578125" style="1" customWidth="1"/>
    <col min="11263" max="11263" width="13.42578125" style="1" customWidth="1"/>
    <col min="11264" max="11264" width="9.140625" style="1"/>
    <col min="11265" max="11265" width="8.5703125" style="1" customWidth="1"/>
    <col min="11266" max="11510" width="9.140625" style="1"/>
    <col min="11511" max="11511" width="5.85546875" style="1" customWidth="1"/>
    <col min="11512" max="11512" width="28.42578125" style="1" customWidth="1"/>
    <col min="11513" max="11513" width="14.7109375" style="1" customWidth="1"/>
    <col min="11514" max="11514" width="7.42578125" style="1" customWidth="1"/>
    <col min="11515" max="11515" width="14.42578125" style="1" customWidth="1"/>
    <col min="11516" max="11516" width="9.140625" style="1" customWidth="1"/>
    <col min="11517" max="11517" width="9.140625" style="1"/>
    <col min="11518" max="11518" width="11.42578125" style="1" customWidth="1"/>
    <col min="11519" max="11519" width="13.42578125" style="1" customWidth="1"/>
    <col min="11520" max="11520" width="9.140625" style="1"/>
    <col min="11521" max="11521" width="8.5703125" style="1" customWidth="1"/>
    <col min="11522" max="11766" width="9.140625" style="1"/>
    <col min="11767" max="11767" width="5.85546875" style="1" customWidth="1"/>
    <col min="11768" max="11768" width="28.42578125" style="1" customWidth="1"/>
    <col min="11769" max="11769" width="14.7109375" style="1" customWidth="1"/>
    <col min="11770" max="11770" width="7.42578125" style="1" customWidth="1"/>
    <col min="11771" max="11771" width="14.42578125" style="1" customWidth="1"/>
    <col min="11772" max="11772" width="9.140625" style="1" customWidth="1"/>
    <col min="11773" max="11773" width="9.140625" style="1"/>
    <col min="11774" max="11774" width="11.42578125" style="1" customWidth="1"/>
    <col min="11775" max="11775" width="13.42578125" style="1" customWidth="1"/>
    <col min="11776" max="11776" width="9.140625" style="1"/>
    <col min="11777" max="11777" width="8.5703125" style="1" customWidth="1"/>
    <col min="11778" max="12022" width="9.140625" style="1"/>
    <col min="12023" max="12023" width="5.85546875" style="1" customWidth="1"/>
    <col min="12024" max="12024" width="28.42578125" style="1" customWidth="1"/>
    <col min="12025" max="12025" width="14.7109375" style="1" customWidth="1"/>
    <col min="12026" max="12026" width="7.42578125" style="1" customWidth="1"/>
    <col min="12027" max="12027" width="14.42578125" style="1" customWidth="1"/>
    <col min="12028" max="12028" width="9.140625" style="1" customWidth="1"/>
    <col min="12029" max="12029" width="9.140625" style="1"/>
    <col min="12030" max="12030" width="11.42578125" style="1" customWidth="1"/>
    <col min="12031" max="12031" width="13.42578125" style="1" customWidth="1"/>
    <col min="12032" max="12032" width="9.140625" style="1"/>
    <col min="12033" max="12033" width="8.5703125" style="1" customWidth="1"/>
    <col min="12034" max="12278" width="9.140625" style="1"/>
    <col min="12279" max="12279" width="5.85546875" style="1" customWidth="1"/>
    <col min="12280" max="12280" width="28.42578125" style="1" customWidth="1"/>
    <col min="12281" max="12281" width="14.7109375" style="1" customWidth="1"/>
    <col min="12282" max="12282" width="7.42578125" style="1" customWidth="1"/>
    <col min="12283" max="12283" width="14.42578125" style="1" customWidth="1"/>
    <col min="12284" max="12284" width="9.140625" style="1" customWidth="1"/>
    <col min="12285" max="12285" width="9.140625" style="1"/>
    <col min="12286" max="12286" width="11.42578125" style="1" customWidth="1"/>
    <col min="12287" max="12287" width="13.42578125" style="1" customWidth="1"/>
    <col min="12288" max="12288" width="9.140625" style="1"/>
    <col min="12289" max="12289" width="8.5703125" style="1" customWidth="1"/>
    <col min="12290" max="12534" width="9.140625" style="1"/>
    <col min="12535" max="12535" width="5.85546875" style="1" customWidth="1"/>
    <col min="12536" max="12536" width="28.42578125" style="1" customWidth="1"/>
    <col min="12537" max="12537" width="14.7109375" style="1" customWidth="1"/>
    <col min="12538" max="12538" width="7.42578125" style="1" customWidth="1"/>
    <col min="12539" max="12539" width="14.42578125" style="1" customWidth="1"/>
    <col min="12540" max="12540" width="9.140625" style="1" customWidth="1"/>
    <col min="12541" max="12541" width="9.140625" style="1"/>
    <col min="12542" max="12542" width="11.42578125" style="1" customWidth="1"/>
    <col min="12543" max="12543" width="13.42578125" style="1" customWidth="1"/>
    <col min="12544" max="12544" width="9.140625" style="1"/>
    <col min="12545" max="12545" width="8.5703125" style="1" customWidth="1"/>
    <col min="12546" max="12790" width="9.140625" style="1"/>
    <col min="12791" max="12791" width="5.85546875" style="1" customWidth="1"/>
    <col min="12792" max="12792" width="28.42578125" style="1" customWidth="1"/>
    <col min="12793" max="12793" width="14.7109375" style="1" customWidth="1"/>
    <col min="12794" max="12794" width="7.42578125" style="1" customWidth="1"/>
    <col min="12795" max="12795" width="14.42578125" style="1" customWidth="1"/>
    <col min="12796" max="12796" width="9.140625" style="1" customWidth="1"/>
    <col min="12797" max="12797" width="9.140625" style="1"/>
    <col min="12798" max="12798" width="11.42578125" style="1" customWidth="1"/>
    <col min="12799" max="12799" width="13.42578125" style="1" customWidth="1"/>
    <col min="12800" max="12800" width="9.140625" style="1"/>
    <col min="12801" max="12801" width="8.5703125" style="1" customWidth="1"/>
    <col min="12802" max="13046" width="9.140625" style="1"/>
    <col min="13047" max="13047" width="5.85546875" style="1" customWidth="1"/>
    <col min="13048" max="13048" width="28.42578125" style="1" customWidth="1"/>
    <col min="13049" max="13049" width="14.7109375" style="1" customWidth="1"/>
    <col min="13050" max="13050" width="7.42578125" style="1" customWidth="1"/>
    <col min="13051" max="13051" width="14.42578125" style="1" customWidth="1"/>
    <col min="13052" max="13052" width="9.140625" style="1" customWidth="1"/>
    <col min="13053" max="13053" width="9.140625" style="1"/>
    <col min="13054" max="13054" width="11.42578125" style="1" customWidth="1"/>
    <col min="13055" max="13055" width="13.42578125" style="1" customWidth="1"/>
    <col min="13056" max="13056" width="9.140625" style="1"/>
    <col min="13057" max="13057" width="8.5703125" style="1" customWidth="1"/>
    <col min="13058" max="13302" width="9.140625" style="1"/>
    <col min="13303" max="13303" width="5.85546875" style="1" customWidth="1"/>
    <col min="13304" max="13304" width="28.42578125" style="1" customWidth="1"/>
    <col min="13305" max="13305" width="14.7109375" style="1" customWidth="1"/>
    <col min="13306" max="13306" width="7.42578125" style="1" customWidth="1"/>
    <col min="13307" max="13307" width="14.42578125" style="1" customWidth="1"/>
    <col min="13308" max="13308" width="9.140625" style="1" customWidth="1"/>
    <col min="13309" max="13309" width="9.140625" style="1"/>
    <col min="13310" max="13310" width="11.42578125" style="1" customWidth="1"/>
    <col min="13311" max="13311" width="13.42578125" style="1" customWidth="1"/>
    <col min="13312" max="13312" width="9.140625" style="1"/>
    <col min="13313" max="13313" width="8.5703125" style="1" customWidth="1"/>
    <col min="13314" max="13558" width="9.140625" style="1"/>
    <col min="13559" max="13559" width="5.85546875" style="1" customWidth="1"/>
    <col min="13560" max="13560" width="28.42578125" style="1" customWidth="1"/>
    <col min="13561" max="13561" width="14.7109375" style="1" customWidth="1"/>
    <col min="13562" max="13562" width="7.42578125" style="1" customWidth="1"/>
    <col min="13563" max="13563" width="14.42578125" style="1" customWidth="1"/>
    <col min="13564" max="13564" width="9.140625" style="1" customWidth="1"/>
    <col min="13565" max="13565" width="9.140625" style="1"/>
    <col min="13566" max="13566" width="11.42578125" style="1" customWidth="1"/>
    <col min="13567" max="13567" width="13.42578125" style="1" customWidth="1"/>
    <col min="13568" max="13568" width="9.140625" style="1"/>
    <col min="13569" max="13569" width="8.5703125" style="1" customWidth="1"/>
    <col min="13570" max="13814" width="9.140625" style="1"/>
    <col min="13815" max="13815" width="5.85546875" style="1" customWidth="1"/>
    <col min="13816" max="13816" width="28.42578125" style="1" customWidth="1"/>
    <col min="13817" max="13817" width="14.7109375" style="1" customWidth="1"/>
    <col min="13818" max="13818" width="7.42578125" style="1" customWidth="1"/>
    <col min="13819" max="13819" width="14.42578125" style="1" customWidth="1"/>
    <col min="13820" max="13820" width="9.140625" style="1" customWidth="1"/>
    <col min="13821" max="13821" width="9.140625" style="1"/>
    <col min="13822" max="13822" width="11.42578125" style="1" customWidth="1"/>
    <col min="13823" max="13823" width="13.42578125" style="1" customWidth="1"/>
    <col min="13824" max="13824" width="9.140625" style="1"/>
    <col min="13825" max="13825" width="8.5703125" style="1" customWidth="1"/>
    <col min="13826" max="14070" width="9.140625" style="1"/>
    <col min="14071" max="14071" width="5.85546875" style="1" customWidth="1"/>
    <col min="14072" max="14072" width="28.42578125" style="1" customWidth="1"/>
    <col min="14073" max="14073" width="14.7109375" style="1" customWidth="1"/>
    <col min="14074" max="14074" width="7.42578125" style="1" customWidth="1"/>
    <col min="14075" max="14075" width="14.42578125" style="1" customWidth="1"/>
    <col min="14076" max="14076" width="9.140625" style="1" customWidth="1"/>
    <col min="14077" max="14077" width="9.140625" style="1"/>
    <col min="14078" max="14078" width="11.42578125" style="1" customWidth="1"/>
    <col min="14079" max="14079" width="13.42578125" style="1" customWidth="1"/>
    <col min="14080" max="14080" width="9.140625" style="1"/>
    <col min="14081" max="14081" width="8.5703125" style="1" customWidth="1"/>
    <col min="14082" max="14326" width="9.140625" style="1"/>
    <col min="14327" max="14327" width="5.85546875" style="1" customWidth="1"/>
    <col min="14328" max="14328" width="28.42578125" style="1" customWidth="1"/>
    <col min="14329" max="14329" width="14.7109375" style="1" customWidth="1"/>
    <col min="14330" max="14330" width="7.42578125" style="1" customWidth="1"/>
    <col min="14331" max="14331" width="14.42578125" style="1" customWidth="1"/>
    <col min="14332" max="14332" width="9.140625" style="1" customWidth="1"/>
    <col min="14333" max="14333" width="9.140625" style="1"/>
    <col min="14334" max="14334" width="11.42578125" style="1" customWidth="1"/>
    <col min="14335" max="14335" width="13.42578125" style="1" customWidth="1"/>
    <col min="14336" max="14336" width="9.140625" style="1"/>
    <col min="14337" max="14337" width="8.5703125" style="1" customWidth="1"/>
    <col min="14338" max="14582" width="9.140625" style="1"/>
    <col min="14583" max="14583" width="5.85546875" style="1" customWidth="1"/>
    <col min="14584" max="14584" width="28.42578125" style="1" customWidth="1"/>
    <col min="14585" max="14585" width="14.7109375" style="1" customWidth="1"/>
    <col min="14586" max="14586" width="7.42578125" style="1" customWidth="1"/>
    <col min="14587" max="14587" width="14.42578125" style="1" customWidth="1"/>
    <col min="14588" max="14588" width="9.140625" style="1" customWidth="1"/>
    <col min="14589" max="14589" width="9.140625" style="1"/>
    <col min="14590" max="14590" width="11.42578125" style="1" customWidth="1"/>
    <col min="14591" max="14591" width="13.42578125" style="1" customWidth="1"/>
    <col min="14592" max="14592" width="9.140625" style="1"/>
    <col min="14593" max="14593" width="8.5703125" style="1" customWidth="1"/>
    <col min="14594" max="14838" width="9.140625" style="1"/>
    <col min="14839" max="14839" width="5.85546875" style="1" customWidth="1"/>
    <col min="14840" max="14840" width="28.42578125" style="1" customWidth="1"/>
    <col min="14841" max="14841" width="14.7109375" style="1" customWidth="1"/>
    <col min="14842" max="14842" width="7.42578125" style="1" customWidth="1"/>
    <col min="14843" max="14843" width="14.42578125" style="1" customWidth="1"/>
    <col min="14844" max="14844" width="9.140625" style="1" customWidth="1"/>
    <col min="14845" max="14845" width="9.140625" style="1"/>
    <col min="14846" max="14846" width="11.42578125" style="1" customWidth="1"/>
    <col min="14847" max="14847" width="13.42578125" style="1" customWidth="1"/>
    <col min="14848" max="14848" width="9.140625" style="1"/>
    <col min="14849" max="14849" width="8.5703125" style="1" customWidth="1"/>
    <col min="14850" max="15094" width="9.140625" style="1"/>
    <col min="15095" max="15095" width="5.85546875" style="1" customWidth="1"/>
    <col min="15096" max="15096" width="28.42578125" style="1" customWidth="1"/>
    <col min="15097" max="15097" width="14.7109375" style="1" customWidth="1"/>
    <col min="15098" max="15098" width="7.42578125" style="1" customWidth="1"/>
    <col min="15099" max="15099" width="14.42578125" style="1" customWidth="1"/>
    <col min="15100" max="15100" width="9.140625" style="1" customWidth="1"/>
    <col min="15101" max="15101" width="9.140625" style="1"/>
    <col min="15102" max="15102" width="11.42578125" style="1" customWidth="1"/>
    <col min="15103" max="15103" width="13.42578125" style="1" customWidth="1"/>
    <col min="15104" max="15104" width="9.140625" style="1"/>
    <col min="15105" max="15105" width="8.5703125" style="1" customWidth="1"/>
    <col min="15106" max="15350" width="9.140625" style="1"/>
    <col min="15351" max="15351" width="5.85546875" style="1" customWidth="1"/>
    <col min="15352" max="15352" width="28.42578125" style="1" customWidth="1"/>
    <col min="15353" max="15353" width="14.7109375" style="1" customWidth="1"/>
    <col min="15354" max="15354" width="7.42578125" style="1" customWidth="1"/>
    <col min="15355" max="15355" width="14.42578125" style="1" customWidth="1"/>
    <col min="15356" max="15356" width="9.140625" style="1" customWidth="1"/>
    <col min="15357" max="15357" width="9.140625" style="1"/>
    <col min="15358" max="15358" width="11.42578125" style="1" customWidth="1"/>
    <col min="15359" max="15359" width="13.42578125" style="1" customWidth="1"/>
    <col min="15360" max="15360" width="9.140625" style="1"/>
    <col min="15361" max="15361" width="8.5703125" style="1" customWidth="1"/>
    <col min="15362" max="15606" width="9.140625" style="1"/>
    <col min="15607" max="15607" width="5.85546875" style="1" customWidth="1"/>
    <col min="15608" max="15608" width="28.42578125" style="1" customWidth="1"/>
    <col min="15609" max="15609" width="14.7109375" style="1" customWidth="1"/>
    <col min="15610" max="15610" width="7.42578125" style="1" customWidth="1"/>
    <col min="15611" max="15611" width="14.42578125" style="1" customWidth="1"/>
    <col min="15612" max="15612" width="9.140625" style="1" customWidth="1"/>
    <col min="15613" max="15613" width="9.140625" style="1"/>
    <col min="15614" max="15614" width="11.42578125" style="1" customWidth="1"/>
    <col min="15615" max="15615" width="13.42578125" style="1" customWidth="1"/>
    <col min="15616" max="15616" width="9.140625" style="1"/>
    <col min="15617" max="15617" width="8.5703125" style="1" customWidth="1"/>
    <col min="15618" max="15862" width="9.140625" style="1"/>
    <col min="15863" max="15863" width="5.85546875" style="1" customWidth="1"/>
    <col min="15864" max="15864" width="28.42578125" style="1" customWidth="1"/>
    <col min="15865" max="15865" width="14.7109375" style="1" customWidth="1"/>
    <col min="15866" max="15866" width="7.42578125" style="1" customWidth="1"/>
    <col min="15867" max="15867" width="14.42578125" style="1" customWidth="1"/>
    <col min="15868" max="15868" width="9.140625" style="1" customWidth="1"/>
    <col min="15869" max="15869" width="9.140625" style="1"/>
    <col min="15870" max="15870" width="11.42578125" style="1" customWidth="1"/>
    <col min="15871" max="15871" width="13.42578125" style="1" customWidth="1"/>
    <col min="15872" max="15872" width="9.140625" style="1"/>
    <col min="15873" max="15873" width="8.5703125" style="1" customWidth="1"/>
    <col min="15874" max="16118" width="9.140625" style="1"/>
    <col min="16119" max="16119" width="5.85546875" style="1" customWidth="1"/>
    <col min="16120" max="16120" width="28.42578125" style="1" customWidth="1"/>
    <col min="16121" max="16121" width="14.7109375" style="1" customWidth="1"/>
    <col min="16122" max="16122" width="7.42578125" style="1" customWidth="1"/>
    <col min="16123" max="16123" width="14.42578125" style="1" customWidth="1"/>
    <col min="16124" max="16124" width="9.140625" style="1" customWidth="1"/>
    <col min="16125" max="16125" width="9.140625" style="1"/>
    <col min="16126" max="16126" width="11.42578125" style="1" customWidth="1"/>
    <col min="16127" max="16127" width="13.42578125" style="1" customWidth="1"/>
    <col min="16128" max="16128" width="9.140625" style="1"/>
    <col min="16129" max="16129" width="8.5703125" style="1" customWidth="1"/>
    <col min="16130" max="16374" width="9.140625" style="1"/>
    <col min="16375" max="16375" width="8" style="1" customWidth="1"/>
    <col min="16376" max="16384" width="9.140625" style="1" customWidth="1"/>
  </cols>
  <sheetData>
    <row r="1" spans="1:12">
      <c r="E1" s="1273" t="s">
        <v>0</v>
      </c>
      <c r="F1" s="1273"/>
    </row>
    <row r="2" spans="1:12" s="4" customFormat="1">
      <c r="A2" s="1274" t="s">
        <v>1</v>
      </c>
      <c r="B2" s="1274"/>
      <c r="C2" s="1274"/>
      <c r="D2" s="1274"/>
      <c r="E2" s="1274"/>
      <c r="F2" s="1274"/>
      <c r="G2" s="102"/>
      <c r="H2" s="102"/>
    </row>
    <row r="3" spans="1:12" s="4" customFormat="1">
      <c r="A3" s="3"/>
      <c r="B3" s="3"/>
      <c r="C3" s="3"/>
      <c r="D3" s="3"/>
      <c r="E3" s="3"/>
      <c r="F3" s="3"/>
      <c r="G3" s="102"/>
      <c r="H3" s="102"/>
    </row>
    <row r="4" spans="1:12">
      <c r="A4" s="5" t="s">
        <v>2</v>
      </c>
      <c r="B4" s="5"/>
      <c r="C4" s="6" t="s">
        <v>3</v>
      </c>
      <c r="D4" s="6"/>
      <c r="E4" s="6"/>
      <c r="F4" s="6"/>
      <c r="H4" s="103"/>
      <c r="I4" s="7"/>
    </row>
    <row r="5" spans="1:12">
      <c r="A5" s="8" t="s">
        <v>4</v>
      </c>
      <c r="B5" s="8"/>
      <c r="C5" s="9" t="s">
        <v>5</v>
      </c>
      <c r="D5" s="9"/>
      <c r="E5" s="9"/>
      <c r="F5" s="9"/>
    </row>
    <row r="6" spans="1:12">
      <c r="A6" s="8" t="s">
        <v>6</v>
      </c>
      <c r="B6" s="8"/>
      <c r="C6" s="9" t="s">
        <v>7</v>
      </c>
      <c r="D6" s="9"/>
      <c r="E6" s="9"/>
      <c r="F6" s="9"/>
      <c r="H6" s="103"/>
      <c r="I6" s="10"/>
    </row>
    <row r="7" spans="1:12">
      <c r="A7" s="8" t="s">
        <v>8</v>
      </c>
      <c r="B7" s="8"/>
      <c r="C7" s="9" t="s">
        <v>9</v>
      </c>
      <c r="D7" s="9"/>
      <c r="E7" s="9"/>
      <c r="F7" s="9"/>
      <c r="H7" s="104"/>
      <c r="I7" s="1274"/>
      <c r="J7" s="1274"/>
      <c r="K7" s="3"/>
      <c r="L7" s="3"/>
    </row>
    <row r="8" spans="1:12">
      <c r="A8" s="8" t="s">
        <v>10</v>
      </c>
      <c r="B8" s="8"/>
      <c r="C8" s="9" t="s">
        <v>11</v>
      </c>
      <c r="D8" s="9"/>
      <c r="E8" s="9"/>
      <c r="F8" s="9"/>
      <c r="H8" s="104"/>
      <c r="I8" s="3"/>
      <c r="J8" s="3"/>
      <c r="K8" s="3"/>
      <c r="L8" s="3"/>
    </row>
    <row r="9" spans="1:12">
      <c r="A9" s="8" t="s">
        <v>12</v>
      </c>
      <c r="B9" s="8"/>
      <c r="C9" s="9" t="s">
        <v>13</v>
      </c>
      <c r="D9" s="11"/>
      <c r="E9" s="89"/>
      <c r="F9" s="12"/>
      <c r="H9" s="104"/>
      <c r="I9" s="3"/>
      <c r="J9" s="3"/>
      <c r="K9" s="3"/>
      <c r="L9" s="3"/>
    </row>
    <row r="10" spans="1:12">
      <c r="A10" s="58" t="s">
        <v>14</v>
      </c>
      <c r="B10" s="57"/>
      <c r="C10" s="9" t="s">
        <v>15</v>
      </c>
      <c r="D10" s="11"/>
      <c r="E10" s="89"/>
      <c r="F10" s="12"/>
      <c r="H10" s="104"/>
      <c r="I10" s="3"/>
      <c r="J10" s="3"/>
      <c r="K10" s="3"/>
      <c r="L10" s="3"/>
    </row>
    <row r="11" spans="1:12">
      <c r="A11" s="10"/>
      <c r="C11" s="13"/>
      <c r="D11" s="13"/>
      <c r="E11" s="13"/>
    </row>
    <row r="12" spans="1:12" s="4" customFormat="1">
      <c r="A12" s="1275" t="s">
        <v>16</v>
      </c>
      <c r="B12" s="1275" t="s">
        <v>17</v>
      </c>
      <c r="C12" s="73"/>
      <c r="D12" s="1277"/>
      <c r="E12" s="15" t="s">
        <v>18</v>
      </c>
      <c r="F12" s="1279" t="s">
        <v>19</v>
      </c>
      <c r="G12" s="102"/>
      <c r="H12" s="102"/>
    </row>
    <row r="13" spans="1:12" s="4" customFormat="1">
      <c r="A13" s="1276"/>
      <c r="B13" s="1276"/>
      <c r="C13" s="74"/>
      <c r="D13" s="1278"/>
      <c r="E13" s="17" t="s">
        <v>20</v>
      </c>
      <c r="F13" s="1280"/>
      <c r="G13" s="102"/>
      <c r="H13" s="102"/>
    </row>
    <row r="14" spans="1:12">
      <c r="A14" s="18"/>
      <c r="B14" s="76" t="s">
        <v>21</v>
      </c>
      <c r="C14" s="60"/>
      <c r="D14" s="46"/>
      <c r="E14" s="20"/>
      <c r="F14" s="20"/>
    </row>
    <row r="15" spans="1:12">
      <c r="A15" s="21"/>
      <c r="B15" s="59" t="s">
        <v>22</v>
      </c>
      <c r="C15" s="62"/>
      <c r="D15" s="75"/>
      <c r="E15" s="23"/>
      <c r="F15" s="23"/>
      <c r="G15" s="99" t="s">
        <v>23</v>
      </c>
      <c r="H15" s="105" t="s">
        <v>24</v>
      </c>
    </row>
    <row r="16" spans="1:12" s="10" customFormat="1">
      <c r="A16" s="52">
        <v>1</v>
      </c>
      <c r="B16" s="93" t="str">
        <f>+'RC2_ปร.5 (ก)'!B2</f>
        <v>ส่วนที่ 1 ค่าวัสดุและแรงงานหมวดงานก่อสร้าง</v>
      </c>
      <c r="C16" s="54"/>
      <c r="D16" s="47"/>
      <c r="E16" s="78">
        <f>+'RC2_ปร.5 (ก)'!I18</f>
        <v>107696556.3045322</v>
      </c>
      <c r="F16" s="79"/>
      <c r="G16" s="103">
        <f>+'RC2_ปร.5 (ก)'!L18</f>
        <v>0</v>
      </c>
      <c r="H16" s="99">
        <f>+E16-G16</f>
        <v>107696556.3045322</v>
      </c>
    </row>
    <row r="17" spans="1:9" s="10" customFormat="1">
      <c r="A17" s="51">
        <v>2</v>
      </c>
      <c r="B17" s="61" t="str">
        <f>+'แบบ ปร.5(ข)'!B14</f>
        <v>ส่วนที่ 2 ค่าครุภัณฑ์สั่งซื้อหรือจัดซื้อ</v>
      </c>
      <c r="C17" s="54"/>
      <c r="D17" s="47"/>
      <c r="E17" s="78">
        <f>+'แบบ ปร.5(ข)'!E22</f>
        <v>33207814.055097915</v>
      </c>
      <c r="F17" s="80"/>
      <c r="G17" s="103">
        <f>+'แบบ ปร.5(ข)'!H22</f>
        <v>0</v>
      </c>
      <c r="H17" s="99">
        <f>+E17-G17</f>
        <v>33207814.055097915</v>
      </c>
      <c r="I17" s="45"/>
    </row>
    <row r="18" spans="1:9" s="10" customFormat="1">
      <c r="A18" s="81"/>
      <c r="B18" s="94"/>
      <c r="C18" s="95"/>
      <c r="D18" s="82"/>
      <c r="E18" s="83"/>
      <c r="F18" s="84"/>
      <c r="G18" s="103"/>
      <c r="H18" s="99"/>
      <c r="I18" s="45"/>
    </row>
    <row r="19" spans="1:9">
      <c r="A19" s="14" t="s">
        <v>25</v>
      </c>
      <c r="B19" s="1270" t="s">
        <v>26</v>
      </c>
      <c r="C19" s="1271"/>
      <c r="D19" s="1272"/>
      <c r="E19" s="91">
        <f>SUM(E15:E18)</f>
        <v>140904370.35963011</v>
      </c>
      <c r="F19" s="70"/>
      <c r="G19" s="99">
        <v>158619992.93705496</v>
      </c>
      <c r="H19" s="99">
        <f>+E19-G19</f>
        <v>-17715622.577424854</v>
      </c>
    </row>
    <row r="20" spans="1:9" ht="25.35" customHeight="1">
      <c r="A20" s="92"/>
      <c r="B20" s="87" t="str">
        <f>"("&amp;BAHTTEXT(E19)&amp;")"</f>
        <v>(หนึ่งร้อยสี่สิบล้านเก้าแสนสี่พันสามร้อยเจ็ดสิบบาทสามสิบหกสตางค์)</v>
      </c>
      <c r="C20" s="96"/>
      <c r="D20" s="96"/>
      <c r="E20" s="88"/>
      <c r="F20" s="71"/>
    </row>
    <row r="21" spans="1:9" ht="25.35" customHeight="1">
      <c r="A21" s="38"/>
      <c r="B21" s="39" t="s">
        <v>27</v>
      </c>
      <c r="C21" s="40"/>
      <c r="D21" s="38" t="s">
        <v>28</v>
      </c>
      <c r="E21" s="38"/>
    </row>
    <row r="22" spans="1:9" ht="25.35" customHeight="1">
      <c r="B22" s="41"/>
      <c r="C22" s="42"/>
    </row>
    <row r="23" spans="1:9" ht="25.35" customHeight="1">
      <c r="B23" s="41"/>
      <c r="C23" s="42"/>
    </row>
    <row r="24" spans="1:9" ht="19.5" customHeight="1">
      <c r="B24" s="43"/>
      <c r="C24" s="44"/>
    </row>
    <row r="25" spans="1:9" ht="19.5" customHeight="1">
      <c r="B25" s="43"/>
      <c r="C25" s="44"/>
    </row>
    <row r="26" spans="1:9" ht="19.5" customHeight="1">
      <c r="B26" s="43"/>
      <c r="C26" s="44"/>
    </row>
    <row r="27" spans="1:9" ht="19.5" customHeight="1">
      <c r="B27" s="43"/>
      <c r="C27" s="44"/>
    </row>
    <row r="28" spans="1:9" ht="19.5" customHeight="1">
      <c r="C28" s="43"/>
    </row>
    <row r="29" spans="1:9" ht="19.5" customHeight="1">
      <c r="B29" s="43"/>
      <c r="C29" s="44"/>
    </row>
    <row r="30" spans="1:9" ht="19.5" customHeight="1">
      <c r="B30" s="43"/>
      <c r="C30" s="44"/>
    </row>
    <row r="31" spans="1:9" ht="19.5" customHeight="1">
      <c r="B31" s="43"/>
      <c r="C31" s="44"/>
    </row>
    <row r="32" spans="1:9" ht="19.5" customHeight="1">
      <c r="B32" s="43"/>
      <c r="C32" s="44"/>
    </row>
    <row r="33" spans="2:3" ht="19.5" customHeight="1">
      <c r="B33" s="43"/>
      <c r="C33" s="44"/>
    </row>
    <row r="34" spans="2:3" ht="19.5" customHeight="1">
      <c r="B34" s="43"/>
      <c r="C34" s="44"/>
    </row>
    <row r="35" spans="2:3" ht="19.5" customHeight="1">
      <c r="B35" s="43"/>
      <c r="C35" s="44"/>
    </row>
    <row r="36" spans="2:3" ht="19.5" customHeight="1">
      <c r="B36" s="43"/>
      <c r="C36" s="44"/>
    </row>
  </sheetData>
  <mergeCells count="8">
    <mergeCell ref="B19:D19"/>
    <mergeCell ref="E1:F1"/>
    <mergeCell ref="A2:F2"/>
    <mergeCell ref="I7:J7"/>
    <mergeCell ref="A12:A13"/>
    <mergeCell ref="B12:B13"/>
    <mergeCell ref="D12:D13"/>
    <mergeCell ref="F12:F13"/>
  </mergeCells>
  <printOptions horizontalCentered="1"/>
  <pageMargins left="0.59055118110236227" right="0.39370078740157483" top="0.59055118110236227" bottom="0.70866141732283472" header="0.39370078740157483" footer="0.35433070866141736"/>
  <pageSetup paperSize="9" scale="7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66BA-8E7B-45CD-9904-8E54730DDDF5}">
  <dimension ref="A1:L1298"/>
  <sheetViews>
    <sheetView tabSelected="1" workbookViewId="0">
      <pane ySplit="1" topLeftCell="A662" activePane="bottomLeft" state="frozen"/>
      <selection pane="bottomLeft" activeCell="B1114" sqref="B1114"/>
    </sheetView>
  </sheetViews>
  <sheetFormatPr defaultRowHeight="23.25" outlineLevelRow="1"/>
  <cols>
    <col min="1" max="1" width="18.42578125" customWidth="1"/>
    <col min="2" max="2" width="18.28515625" customWidth="1"/>
    <col min="3" max="3" width="21.5703125" customWidth="1"/>
    <col min="4" max="4" width="24.28515625" customWidth="1"/>
    <col min="5" max="5" width="69" customWidth="1"/>
    <col min="7" max="7" width="15.28515625" customWidth="1"/>
    <col min="8" max="8" width="21.28515625" customWidth="1"/>
    <col min="9" max="9" width="19" customWidth="1"/>
    <col min="10" max="10" width="22.140625" customWidth="1"/>
    <col min="12" max="12" width="14" customWidth="1"/>
  </cols>
  <sheetData>
    <row r="1" spans="1:10">
      <c r="A1" s="1261" t="s">
        <v>29</v>
      </c>
      <c r="B1" s="1261" t="s">
        <v>30</v>
      </c>
      <c r="C1" s="1261" t="s">
        <v>31</v>
      </c>
      <c r="D1" s="1261" t="s">
        <v>32</v>
      </c>
      <c r="E1" s="1261" t="s">
        <v>33</v>
      </c>
      <c r="F1" s="1261" t="s">
        <v>34</v>
      </c>
      <c r="G1" s="1261" t="s">
        <v>35</v>
      </c>
      <c r="H1" s="1261" t="s">
        <v>36</v>
      </c>
      <c r="I1" s="1261" t="s">
        <v>37</v>
      </c>
      <c r="J1" s="1261" t="s">
        <v>38</v>
      </c>
    </row>
    <row r="2" spans="1:10" hidden="1" outlineLevel="1">
      <c r="A2" t="s">
        <v>39</v>
      </c>
      <c r="B2" t="s">
        <v>40</v>
      </c>
      <c r="E2" t="str">
        <f>IF(LEN(Str!C26)&gt;0, Str!C26, Str!B26)</f>
        <v>อาคารห้องน้ำและห้องเตรียมอาหาร</v>
      </c>
      <c r="F2" s="1260">
        <f>Str!F26</f>
        <v>0</v>
      </c>
      <c r="G2" s="1260">
        <f>Str!E26</f>
        <v>0</v>
      </c>
      <c r="H2" s="1260">
        <f>Str!I26</f>
        <v>0</v>
      </c>
      <c r="I2" s="1260">
        <f>Str!L26</f>
        <v>0</v>
      </c>
      <c r="J2" s="1260">
        <f>Str!M26</f>
        <v>0</v>
      </c>
    </row>
    <row r="3" spans="1:10" hidden="1" outlineLevel="1">
      <c r="A3" t="s">
        <v>39</v>
      </c>
      <c r="F3" s="1260">
        <f>Str!F27</f>
        <v>0</v>
      </c>
      <c r="G3" s="1260">
        <f>Str!E27</f>
        <v>0</v>
      </c>
      <c r="H3" s="1260">
        <f>Str!I27</f>
        <v>0</v>
      </c>
      <c r="I3" s="1260">
        <f>Str!L27</f>
        <v>0</v>
      </c>
      <c r="J3" s="1260">
        <f>Str!M27</f>
        <v>0</v>
      </c>
    </row>
    <row r="4" spans="1:10" hidden="1" outlineLevel="1">
      <c r="A4" t="s">
        <v>39</v>
      </c>
      <c r="B4" t="s">
        <v>40</v>
      </c>
      <c r="E4" t="str">
        <f>IF(LEN(Str!C28)&gt;0, Str!C28, Str!B28)</f>
        <v>อาคารห้องน้ำและห้องเตรียมอาหาร</v>
      </c>
      <c r="F4" s="1260">
        <f>Str!F28</f>
        <v>0</v>
      </c>
      <c r="G4" s="1260">
        <f>Str!E28</f>
        <v>0</v>
      </c>
      <c r="H4" s="1260">
        <f>Str!I28</f>
        <v>0</v>
      </c>
      <c r="I4" s="1260">
        <f>Str!L28</f>
        <v>0</v>
      </c>
      <c r="J4" s="1260">
        <f>Str!M28</f>
        <v>0</v>
      </c>
    </row>
    <row r="5" spans="1:10" hidden="1" outlineLevel="1">
      <c r="A5" t="s">
        <v>39</v>
      </c>
      <c r="B5" t="s">
        <v>40</v>
      </c>
      <c r="C5" t="s">
        <v>41</v>
      </c>
      <c r="D5" t="s">
        <v>42</v>
      </c>
      <c r="E5" t="str">
        <f>IF(LEN(Str!C29)&gt;0, Str!C29, Str!B29)</f>
        <v>งานเสาเข็ม</v>
      </c>
      <c r="F5" s="1260">
        <f>Str!F29</f>
        <v>0</v>
      </c>
      <c r="G5" s="1260">
        <f>Str!E29</f>
        <v>0</v>
      </c>
      <c r="H5" s="1260">
        <f>Str!I29</f>
        <v>0</v>
      </c>
      <c r="I5" s="1260">
        <f>Str!L29</f>
        <v>0</v>
      </c>
      <c r="J5" s="1260">
        <f>Str!M29</f>
        <v>0</v>
      </c>
    </row>
    <row r="6" spans="1:10" hidden="1" outlineLevel="1">
      <c r="A6" t="s">
        <v>39</v>
      </c>
      <c r="B6" t="s">
        <v>40</v>
      </c>
      <c r="C6" t="s">
        <v>41</v>
      </c>
      <c r="D6" t="s">
        <v>42</v>
      </c>
      <c r="E6" t="str">
        <f>IF(LEN(Str!C30)&gt;0, Str!C30, Str!B30)</f>
        <v>เสาเข็มเจาะระบบแห้งขนาด Dia. 0.35 x 21 ม.</v>
      </c>
      <c r="F6" s="1260" t="str">
        <f>Str!F30</f>
        <v>ต้น</v>
      </c>
      <c r="G6" s="1260">
        <f>Str!E30</f>
        <v>34</v>
      </c>
      <c r="H6" s="1260">
        <f>Str!I30</f>
        <v>365549.04637699999</v>
      </c>
      <c r="I6" s="1260">
        <f>Str!L30</f>
        <v>0</v>
      </c>
      <c r="J6" s="1260">
        <f>Str!M30</f>
        <v>365549.04637699999</v>
      </c>
    </row>
    <row r="7" spans="1:10" hidden="1" outlineLevel="1">
      <c r="A7" t="s">
        <v>39</v>
      </c>
      <c r="B7" t="s">
        <v>40</v>
      </c>
      <c r="C7" t="s">
        <v>41</v>
      </c>
      <c r="D7" t="s">
        <v>42</v>
      </c>
      <c r="E7" t="str">
        <f>IF(LEN(Str!C31)&gt;0, Str!C31, Str!B31)</f>
        <v>งานตัดหัวเข็ม</v>
      </c>
      <c r="F7" s="1260" t="str">
        <f>Str!F31</f>
        <v>ต้น</v>
      </c>
      <c r="G7" s="1260">
        <f>Str!E31</f>
        <v>34</v>
      </c>
      <c r="H7" s="1260">
        <f>Str!I31</f>
        <v>0</v>
      </c>
      <c r="I7" s="1260">
        <f>Str!L31</f>
        <v>11125.4057593</v>
      </c>
      <c r="J7" s="1260">
        <f>Str!M31</f>
        <v>11125.4057593</v>
      </c>
    </row>
    <row r="8" spans="1:10" hidden="1" outlineLevel="1">
      <c r="A8" t="s">
        <v>39</v>
      </c>
      <c r="B8" t="s">
        <v>40</v>
      </c>
      <c r="C8" t="s">
        <v>41</v>
      </c>
      <c r="D8" t="s">
        <v>43</v>
      </c>
      <c r="E8" t="str">
        <f>IF(LEN(Str!C32)&gt;0, Str!C32, Str!B32)</f>
        <v>งานโครงสร้างฐานราก</v>
      </c>
      <c r="F8" s="1260">
        <f>Str!F32</f>
        <v>0</v>
      </c>
      <c r="G8" s="1260">
        <f>Str!E32</f>
        <v>0</v>
      </c>
      <c r="H8" s="1260">
        <f>Str!I32</f>
        <v>0</v>
      </c>
      <c r="I8" s="1260">
        <f>Str!L32</f>
        <v>0</v>
      </c>
      <c r="J8" s="1260">
        <f>Str!M32</f>
        <v>0</v>
      </c>
    </row>
    <row r="9" spans="1:10" hidden="1" outlineLevel="1">
      <c r="A9" t="s">
        <v>39</v>
      </c>
      <c r="B9" t="s">
        <v>40</v>
      </c>
      <c r="C9" t="s">
        <v>41</v>
      </c>
      <c r="D9" t="s">
        <v>43</v>
      </c>
      <c r="E9" t="str">
        <f>IF(LEN(Str!C33)&gt;0, Str!C33, Str!B33)</f>
        <v>งานปรับระดับขุดดินทำฐานราก/ถมกลับ</v>
      </c>
      <c r="F9" s="1260" t="str">
        <f>Str!F33</f>
        <v>ลบ.ม.</v>
      </c>
      <c r="G9" s="1260">
        <f>Str!E33</f>
        <v>57.2</v>
      </c>
      <c r="H9" s="1260">
        <f>Str!I33</f>
        <v>0</v>
      </c>
      <c r="I9" s="1260">
        <f>Str!L33</f>
        <v>5989.3949123007997</v>
      </c>
      <c r="J9" s="1260">
        <f>Str!M33</f>
        <v>5989.3949123007997</v>
      </c>
    </row>
    <row r="10" spans="1:10" hidden="1" outlineLevel="1">
      <c r="A10" t="s">
        <v>39</v>
      </c>
      <c r="B10" t="s">
        <v>40</v>
      </c>
      <c r="C10" t="s">
        <v>41</v>
      </c>
      <c r="D10" t="s">
        <v>43</v>
      </c>
      <c r="E10" t="str">
        <f>IF(LEN(Str!C34)&gt;0, Str!C34, Str!B34)</f>
        <v>งานถมทรายบดอัดรองฐานราก</v>
      </c>
      <c r="F10" s="1260" t="str">
        <f>Str!F34</f>
        <v>ลบ.ม.</v>
      </c>
      <c r="G10" s="1260">
        <f>Str!E34</f>
        <v>3.3</v>
      </c>
      <c r="H10" s="1260">
        <f>Str!I34</f>
        <v>1568.2979648539826</v>
      </c>
      <c r="I10" s="1260">
        <f>Str!L34</f>
        <v>320.8604417304</v>
      </c>
      <c r="J10" s="1260">
        <f>Str!M34</f>
        <v>1889.1584065843826</v>
      </c>
    </row>
    <row r="11" spans="1:10" hidden="1" outlineLevel="1">
      <c r="A11" t="s">
        <v>39</v>
      </c>
      <c r="B11" t="s">
        <v>40</v>
      </c>
      <c r="C11" t="s">
        <v>41</v>
      </c>
      <c r="D11" t="s">
        <v>43</v>
      </c>
      <c r="E11" t="str">
        <f>IF(LEN(Str!C35)&gt;0, Str!C35, Str!B35)</f>
        <v>งานคอนกรีตหยาบรองฐานราก</v>
      </c>
      <c r="F11" s="1260" t="str">
        <f>Str!F35</f>
        <v>ลบ.ม.</v>
      </c>
      <c r="G11" s="1260">
        <f>Str!E35</f>
        <v>3.3</v>
      </c>
      <c r="H11" s="1260">
        <f>Str!I35</f>
        <v>7589.5835255459988</v>
      </c>
      <c r="I11" s="1260">
        <f>Str!L35</f>
        <v>1314.2937324725999</v>
      </c>
      <c r="J11" s="1260">
        <f>Str!M35</f>
        <v>8903.8772580185978</v>
      </c>
    </row>
    <row r="12" spans="1:10" hidden="1" outlineLevel="1">
      <c r="A12" t="s">
        <v>39</v>
      </c>
      <c r="B12" t="s">
        <v>40</v>
      </c>
      <c r="C12" t="s">
        <v>41</v>
      </c>
      <c r="D12" t="s">
        <v>43</v>
      </c>
      <c r="E12" t="str">
        <f>IF(LEN(Str!C36)&gt;0, Str!C36, Str!B36)</f>
        <v xml:space="preserve"> งานคอนกรีตโครงสร้าง (fc' 240 ksc, Cyl.) ผสมน้ำยากันซึม</v>
      </c>
      <c r="F12" s="1260" t="str">
        <f>Str!F36</f>
        <v>ลบ.ม.</v>
      </c>
      <c r="G12" s="1260">
        <f>Str!E36</f>
        <v>16.8</v>
      </c>
      <c r="H12" s="1260">
        <f>Str!I36</f>
        <v>33258.418863978004</v>
      </c>
      <c r="I12" s="1260">
        <f>Str!L36</f>
        <v>8151.6502434023996</v>
      </c>
      <c r="J12" s="1260">
        <f>Str!M36</f>
        <v>41410.069107380405</v>
      </c>
    </row>
    <row r="13" spans="1:10" hidden="1" outlineLevel="1">
      <c r="A13" t="s">
        <v>39</v>
      </c>
      <c r="B13" t="s">
        <v>40</v>
      </c>
      <c r="C13" t="s">
        <v>41</v>
      </c>
      <c r="D13" t="s">
        <v>43</v>
      </c>
      <c r="E13" t="str">
        <f>IF(LEN(Str!C37)&gt;0, Str!C37, Str!B37)</f>
        <v>เหล็กเสริม</v>
      </c>
      <c r="F13" s="1260">
        <f>Str!F37</f>
        <v>0</v>
      </c>
      <c r="G13" s="1260">
        <f>Str!E37</f>
        <v>0</v>
      </c>
      <c r="H13" s="1260">
        <f>Str!I37</f>
        <v>0</v>
      </c>
      <c r="I13" s="1260">
        <f>Str!L37</f>
        <v>0</v>
      </c>
      <c r="J13" s="1260">
        <f>Str!M37</f>
        <v>0</v>
      </c>
    </row>
    <row r="14" spans="1:10" hidden="1" outlineLevel="1">
      <c r="A14" t="s">
        <v>39</v>
      </c>
      <c r="B14" t="s">
        <v>40</v>
      </c>
      <c r="C14" t="s">
        <v>41</v>
      </c>
      <c r="D14" t="s">
        <v>43</v>
      </c>
      <c r="E14" t="str">
        <f>IF(LEN(Str!C38)&gt;0, Str!C38, Str!B38)</f>
        <v>งานเหล็กเสริมคอนกรีต RB 9  (SR-24)</v>
      </c>
      <c r="F14" s="1260" t="str">
        <f>Str!F38</f>
        <v>กก.</v>
      </c>
      <c r="G14" s="1260">
        <f>Str!E38</f>
        <v>36.9</v>
      </c>
      <c r="H14" s="1260">
        <f>Str!I38</f>
        <v>676.16289591227996</v>
      </c>
      <c r="I14" s="1260">
        <f>Str!L38</f>
        <v>151.79167051092</v>
      </c>
      <c r="J14" s="1260">
        <f>Str!M38</f>
        <v>827.95456642319994</v>
      </c>
    </row>
    <row r="15" spans="1:10" hidden="1" outlineLevel="1">
      <c r="A15" t="s">
        <v>39</v>
      </c>
      <c r="B15" t="s">
        <v>40</v>
      </c>
      <c r="C15" t="s">
        <v>41</v>
      </c>
      <c r="D15" t="s">
        <v>43</v>
      </c>
      <c r="E15" t="str">
        <f>IF(LEN(Str!C39)&gt;0, Str!C39, Str!B39)</f>
        <v>งานเหล็กเสริมคอนกรีต DB 12  (SD-40)</v>
      </c>
      <c r="F15" s="1260" t="str">
        <f>Str!F39</f>
        <v>กก.</v>
      </c>
      <c r="G15" s="1260">
        <f>Str!E39</f>
        <v>0</v>
      </c>
      <c r="H15" s="1260">
        <f>Str!I39</f>
        <v>0</v>
      </c>
      <c r="I15" s="1260">
        <f>Str!L39</f>
        <v>0</v>
      </c>
      <c r="J15" s="1260">
        <f>Str!M39</f>
        <v>0</v>
      </c>
    </row>
    <row r="16" spans="1:10" hidden="1" outlineLevel="1">
      <c r="A16" t="s">
        <v>39</v>
      </c>
      <c r="B16" t="s">
        <v>40</v>
      </c>
      <c r="C16" t="s">
        <v>41</v>
      </c>
      <c r="D16" t="s">
        <v>43</v>
      </c>
      <c r="E16" t="str">
        <f>IF(LEN(Str!C40)&gt;0, Str!C40, Str!B40)</f>
        <v>งานเหล็กเสริมคอนกรีต DB 16  (SD-40)</v>
      </c>
      <c r="F16" s="1260" t="str">
        <f>Str!F40</f>
        <v>กก.</v>
      </c>
      <c r="G16" s="1260">
        <f>Str!E40</f>
        <v>1030.0999999999999</v>
      </c>
      <c r="H16" s="1260">
        <f>Str!I40</f>
        <v>18779.451194686648</v>
      </c>
      <c r="I16" s="1260">
        <f>Str!L40</f>
        <v>3466.97560517292</v>
      </c>
      <c r="J16" s="1260">
        <f>Str!M40</f>
        <v>22246.426799859568</v>
      </c>
    </row>
    <row r="17" spans="1:10" hidden="1" outlineLevel="1">
      <c r="A17" t="s">
        <v>39</v>
      </c>
      <c r="B17" t="s">
        <v>40</v>
      </c>
      <c r="C17" t="s">
        <v>41</v>
      </c>
      <c r="D17" t="s">
        <v>43</v>
      </c>
      <c r="E17" t="str">
        <f>IF(LEN(Str!C41)&gt;0, Str!C41, Str!B41)</f>
        <v>ลวดผูกเหล็ก</v>
      </c>
      <c r="F17" s="1260" t="str">
        <f>Str!F41</f>
        <v>กก.</v>
      </c>
      <c r="G17" s="1260">
        <f>Str!E41</f>
        <v>19.100000000000001</v>
      </c>
      <c r="H17" s="1260">
        <f>Str!I41</f>
        <v>483.91775420767004</v>
      </c>
      <c r="I17" s="1260">
        <f>Str!L41</f>
        <v>0</v>
      </c>
      <c r="J17" s="1260">
        <f>Str!M41</f>
        <v>483.91775420767004</v>
      </c>
    </row>
    <row r="18" spans="1:10" hidden="1" outlineLevel="1">
      <c r="A18" t="s">
        <v>39</v>
      </c>
      <c r="B18" t="s">
        <v>40</v>
      </c>
      <c r="C18" t="s">
        <v>41</v>
      </c>
      <c r="D18" t="s">
        <v>43</v>
      </c>
      <c r="E18" t="str">
        <f>IF(LEN(Str!C42)&gt;0, Str!C42, Str!B42)</f>
        <v xml:space="preserve">ไม้แบบ ค้ำยัน นั่งร้าน </v>
      </c>
      <c r="F18" s="1260">
        <f>Str!F42</f>
        <v>0</v>
      </c>
      <c r="G18" s="1260">
        <f>Str!E42</f>
        <v>0</v>
      </c>
      <c r="H18" s="1260">
        <f>Str!I42</f>
        <v>0</v>
      </c>
      <c r="I18" s="1260">
        <f>Str!L42</f>
        <v>0</v>
      </c>
      <c r="J18" s="1260">
        <f>Str!M42</f>
        <v>0</v>
      </c>
    </row>
    <row r="19" spans="1:10" hidden="1" outlineLevel="1">
      <c r="A19" t="s">
        <v>39</v>
      </c>
      <c r="B19" t="s">
        <v>40</v>
      </c>
      <c r="C19" t="s">
        <v>41</v>
      </c>
      <c r="D19" t="s">
        <v>43</v>
      </c>
      <c r="E19" t="str">
        <f>IF(LEN(Str!C43)&gt;0, Str!C43, Str!B43)</f>
        <v>ไม้แบบ ค้ำยัน นั่งร้าน (อาคาร 3 ชั้น ใช้ 60%)</v>
      </c>
      <c r="F19" s="1260" t="str">
        <f>Str!F43</f>
        <v>ตร.ม.</v>
      </c>
      <c r="G19" s="1260">
        <f>Str!E43</f>
        <v>29.46</v>
      </c>
      <c r="H19" s="1260">
        <f>Str!I43</f>
        <v>6753.3942890448234</v>
      </c>
      <c r="I19" s="1260">
        <f>Str!L43</f>
        <v>0</v>
      </c>
      <c r="J19" s="1260">
        <f>Str!M43</f>
        <v>6753.3942890448234</v>
      </c>
    </row>
    <row r="20" spans="1:10" hidden="1" outlineLevel="1">
      <c r="A20" t="s">
        <v>39</v>
      </c>
      <c r="B20" t="s">
        <v>40</v>
      </c>
      <c r="C20" t="s">
        <v>41</v>
      </c>
      <c r="D20" t="s">
        <v>43</v>
      </c>
      <c r="E20" t="str">
        <f>IF(LEN(Str!C44)&gt;0, Str!C44, Str!B44)</f>
        <v>ค่าแรงประกอบและติดตั้งไม้แบบหล่อคอนกรีต (ใช้ 100%)</v>
      </c>
      <c r="F20" s="1260" t="str">
        <f>Str!F44</f>
        <v>ตร.ม.</v>
      </c>
      <c r="G20" s="1260">
        <f>Str!E44</f>
        <v>49.1</v>
      </c>
      <c r="H20" s="1260">
        <f>Str!I44</f>
        <v>0</v>
      </c>
      <c r="I20" s="1260">
        <f>Str!L44</f>
        <v>5554.3821980316998</v>
      </c>
      <c r="J20" s="1260">
        <f>Str!M44</f>
        <v>5554.3821980316998</v>
      </c>
    </row>
    <row r="21" spans="1:10" hidden="1" outlineLevel="1">
      <c r="A21" t="s">
        <v>39</v>
      </c>
      <c r="B21" t="s">
        <v>40</v>
      </c>
      <c r="C21" t="s">
        <v>41</v>
      </c>
      <c r="D21" t="s">
        <v>43</v>
      </c>
      <c r="E21" t="str">
        <f>IF(LEN(Str!C45)&gt;0, Str!C45, Str!B45)</f>
        <v>ไม้เคร่า (ใช้ 30% ของไม้แบบ 1 ตร.ม.)</v>
      </c>
      <c r="F21" s="1260" t="str">
        <f>Str!F45</f>
        <v>ลบ.ฟ.</v>
      </c>
      <c r="G21" s="1260">
        <f>Str!E45</f>
        <v>8.84</v>
      </c>
      <c r="H21" s="1260">
        <f>Str!I45</f>
        <v>2557.2285514602218</v>
      </c>
      <c r="I21" s="1260">
        <f>Str!L45</f>
        <v>0</v>
      </c>
      <c r="J21" s="1260">
        <f>Str!M45</f>
        <v>2557.2285514602218</v>
      </c>
    </row>
    <row r="22" spans="1:10" hidden="1" outlineLevel="1">
      <c r="A22" t="s">
        <v>39</v>
      </c>
      <c r="B22" t="s">
        <v>40</v>
      </c>
      <c r="C22" t="s">
        <v>41</v>
      </c>
      <c r="D22" t="s">
        <v>43</v>
      </c>
      <c r="E22" t="str">
        <f>IF(LEN(Str!C46)&gt;0, Str!C46, Str!B46)</f>
        <v>ตะปู (ใช้ 25% ของไม้แบบ 1 ตร.ม.)</v>
      </c>
      <c r="F22" s="1260" t="str">
        <f>Str!F46</f>
        <v>กก.</v>
      </c>
      <c r="G22" s="1260">
        <f>Str!E46</f>
        <v>7.37</v>
      </c>
      <c r="H22" s="1260">
        <f>Str!I46</f>
        <v>160.95676107727039</v>
      </c>
      <c r="I22" s="1260">
        <f>Str!L46</f>
        <v>0</v>
      </c>
      <c r="J22" s="1260">
        <f>Str!M46</f>
        <v>160.95676107727039</v>
      </c>
    </row>
    <row r="23" spans="1:10" hidden="1" outlineLevel="1">
      <c r="A23" t="s">
        <v>39</v>
      </c>
      <c r="B23" t="s">
        <v>40</v>
      </c>
      <c r="C23" t="s">
        <v>41</v>
      </c>
      <c r="D23" t="s">
        <v>44</v>
      </c>
      <c r="E23" t="str">
        <f>IF(LEN(Str!C47)&gt;0, Str!C47, Str!B47)</f>
        <v>งานเสาชั้นตอม่อ</v>
      </c>
      <c r="F23" s="1260">
        <f>Str!F47</f>
        <v>0</v>
      </c>
      <c r="G23" s="1260">
        <f>Str!E47</f>
        <v>0</v>
      </c>
      <c r="H23" s="1260">
        <f>Str!I47</f>
        <v>0</v>
      </c>
      <c r="I23" s="1260">
        <f>Str!L47</f>
        <v>0</v>
      </c>
      <c r="J23" s="1260">
        <f>Str!M47</f>
        <v>0</v>
      </c>
    </row>
    <row r="24" spans="1:10" hidden="1" outlineLevel="1">
      <c r="A24" t="s">
        <v>39</v>
      </c>
      <c r="B24" t="s">
        <v>40</v>
      </c>
      <c r="C24" t="s">
        <v>41</v>
      </c>
      <c r="D24" t="s">
        <v>44</v>
      </c>
      <c r="E24" t="str">
        <f>IF(LEN(Str!C48)&gt;0, Str!C48, Str!B48)</f>
        <v xml:space="preserve"> งานคอนกรีตโครงสร้าง (fc' 240 ksc, Cyl.)  ผสมน้ำยากันซึม</v>
      </c>
      <c r="F24" s="1260" t="str">
        <f>Str!F48</f>
        <v>ลบ.ม.</v>
      </c>
      <c r="G24" s="1260">
        <f>Str!E48</f>
        <v>0.4</v>
      </c>
      <c r="H24" s="1260">
        <f>Str!I48</f>
        <v>791.8671158090001</v>
      </c>
      <c r="I24" s="1260">
        <f>Str!L48</f>
        <v>194.08691055719999</v>
      </c>
      <c r="J24" s="1260">
        <f>Str!M48</f>
        <v>985.95402636620008</v>
      </c>
    </row>
    <row r="25" spans="1:10" hidden="1" outlineLevel="1">
      <c r="A25" t="s">
        <v>39</v>
      </c>
      <c r="B25" t="s">
        <v>40</v>
      </c>
      <c r="C25" t="s">
        <v>41</v>
      </c>
      <c r="D25" t="s">
        <v>44</v>
      </c>
      <c r="E25" t="str">
        <f>IF(LEN(Str!C49)&gt;0, Str!C49, Str!B49)</f>
        <v>เหล็กเสริม</v>
      </c>
      <c r="F25" s="1260">
        <f>Str!F49</f>
        <v>0</v>
      </c>
      <c r="G25" s="1260">
        <f>Str!E49</f>
        <v>0</v>
      </c>
      <c r="H25" s="1260">
        <f>Str!I49</f>
        <v>0</v>
      </c>
      <c r="I25" s="1260">
        <f>Str!L49</f>
        <v>0</v>
      </c>
      <c r="J25" s="1260">
        <f>Str!M49</f>
        <v>0</v>
      </c>
    </row>
    <row r="26" spans="1:10" hidden="1" outlineLevel="1">
      <c r="A26" t="s">
        <v>39</v>
      </c>
      <c r="B26" t="s">
        <v>40</v>
      </c>
      <c r="C26" t="s">
        <v>41</v>
      </c>
      <c r="D26" t="s">
        <v>44</v>
      </c>
      <c r="E26" t="str">
        <f>IF(LEN(Str!C50)&gt;0, Str!C50, Str!B50)</f>
        <v>งานเหล็กเสริมคอนกรีต RB 9  (SR-24)</v>
      </c>
      <c r="F26" s="1260" t="str">
        <f>Str!F50</f>
        <v>กก.</v>
      </c>
      <c r="G26" s="1260">
        <f>Str!E50</f>
        <v>64.2</v>
      </c>
      <c r="H26" s="1260">
        <f>Str!I50</f>
        <v>1176.4134937010401</v>
      </c>
      <c r="I26" s="1260">
        <f>Str!L50</f>
        <v>264.09282511655999</v>
      </c>
      <c r="J26" s="1260">
        <f>Str!M50</f>
        <v>1440.5063188176</v>
      </c>
    </row>
    <row r="27" spans="1:10" hidden="1" outlineLevel="1">
      <c r="A27" t="s">
        <v>39</v>
      </c>
      <c r="B27" t="s">
        <v>40</v>
      </c>
      <c r="C27" t="s">
        <v>41</v>
      </c>
      <c r="D27" t="s">
        <v>44</v>
      </c>
      <c r="E27" t="str">
        <f>IF(LEN(Str!C51)&gt;0, Str!C51, Str!B51)</f>
        <v>งานเหล็กเสริมคอนกรีต DB 12  (SD-40)</v>
      </c>
      <c r="F27" s="1260" t="str">
        <f>Str!F51</f>
        <v>กก.</v>
      </c>
      <c r="G27" s="1260">
        <f>Str!E51</f>
        <v>0</v>
      </c>
      <c r="H27" s="1260">
        <f>Str!I51</f>
        <v>0</v>
      </c>
      <c r="I27" s="1260">
        <f>Str!L51</f>
        <v>0</v>
      </c>
      <c r="J27" s="1260">
        <f>Str!M51</f>
        <v>0</v>
      </c>
    </row>
    <row r="28" spans="1:10" hidden="1" outlineLevel="1">
      <c r="A28" t="s">
        <v>39</v>
      </c>
      <c r="B28" t="s">
        <v>40</v>
      </c>
      <c r="C28" t="s">
        <v>41</v>
      </c>
      <c r="D28" t="s">
        <v>44</v>
      </c>
      <c r="E28" t="str">
        <f>IF(LEN(Str!C52)&gt;0, Str!C52, Str!B52)</f>
        <v>งานเหล็กเสริมคอนกรีต DB 16  (SD-40)</v>
      </c>
      <c r="F28" s="1260" t="str">
        <f>Str!F52</f>
        <v>กก.</v>
      </c>
      <c r="G28" s="1260">
        <f>Str!E52</f>
        <v>227.3</v>
      </c>
      <c r="H28" s="1260">
        <f>Str!I52</f>
        <v>4143.8396821204506</v>
      </c>
      <c r="I28" s="1260">
        <f>Str!L52</f>
        <v>765.01655669916011</v>
      </c>
      <c r="J28" s="1260">
        <f>Str!M52</f>
        <v>4908.8562388196106</v>
      </c>
    </row>
    <row r="29" spans="1:10" hidden="1" outlineLevel="1">
      <c r="A29" t="s">
        <v>39</v>
      </c>
      <c r="B29" t="s">
        <v>40</v>
      </c>
      <c r="C29" t="s">
        <v>41</v>
      </c>
      <c r="D29" t="s">
        <v>44</v>
      </c>
      <c r="E29" t="str">
        <f>IF(LEN(Str!C53)&gt;0, Str!C53, Str!B53)</f>
        <v>ลวดผูกเหล็ก</v>
      </c>
      <c r="F29" s="1260" t="str">
        <f>Str!F53</f>
        <v>กก.</v>
      </c>
      <c r="G29" s="1260">
        <f>Str!E53</f>
        <v>5.2</v>
      </c>
      <c r="H29" s="1260">
        <f>Str!I53</f>
        <v>131.74724198324</v>
      </c>
      <c r="I29" s="1260">
        <f>Str!L53</f>
        <v>0</v>
      </c>
      <c r="J29" s="1260">
        <f>Str!M53</f>
        <v>131.74724198324</v>
      </c>
    </row>
    <row r="30" spans="1:10" hidden="1" outlineLevel="1">
      <c r="A30" t="s">
        <v>39</v>
      </c>
      <c r="B30" t="s">
        <v>40</v>
      </c>
      <c r="C30" t="s">
        <v>41</v>
      </c>
      <c r="D30" t="s">
        <v>44</v>
      </c>
      <c r="E30" t="str">
        <f>IF(LEN(Str!C54)&gt;0, Str!C54, Str!B54)</f>
        <v xml:space="preserve">ไม้แบบ ค้ำยัน นั่งร้าน </v>
      </c>
      <c r="F30" s="1260">
        <f>Str!F54</f>
        <v>0</v>
      </c>
      <c r="G30" s="1260">
        <f>Str!E54</f>
        <v>0</v>
      </c>
      <c r="H30" s="1260">
        <f>Str!I54</f>
        <v>0</v>
      </c>
      <c r="I30" s="1260">
        <f>Str!L54</f>
        <v>0</v>
      </c>
      <c r="J30" s="1260">
        <f>Str!M54</f>
        <v>0</v>
      </c>
    </row>
    <row r="31" spans="1:10" hidden="1" outlineLevel="1">
      <c r="A31" t="s">
        <v>39</v>
      </c>
      <c r="B31" t="s">
        <v>40</v>
      </c>
      <c r="C31" t="s">
        <v>41</v>
      </c>
      <c r="D31" t="s">
        <v>44</v>
      </c>
      <c r="E31" t="str">
        <f>IF(LEN(Str!C55)&gt;0, Str!C55, Str!B55)</f>
        <v>ไม้แบบ ค้ำยัน นั่งร้าน (อาคาร 3 ชั้น ใช้ 60%)</v>
      </c>
      <c r="F31" s="1260" t="str">
        <f>Str!F55</f>
        <v>ตร.ม.</v>
      </c>
      <c r="G31" s="1260">
        <f>Str!E55</f>
        <v>7.92</v>
      </c>
      <c r="H31" s="1260">
        <f>Str!I55</f>
        <v>1815.5764687452477</v>
      </c>
      <c r="I31" s="1260">
        <f>Str!L55</f>
        <v>0</v>
      </c>
      <c r="J31" s="1260">
        <f>Str!M55</f>
        <v>1815.5764687452477</v>
      </c>
    </row>
    <row r="32" spans="1:10" hidden="1" outlineLevel="1">
      <c r="A32" t="s">
        <v>39</v>
      </c>
      <c r="B32" t="s">
        <v>40</v>
      </c>
      <c r="C32" t="s">
        <v>41</v>
      </c>
      <c r="D32" t="s">
        <v>44</v>
      </c>
      <c r="E32" t="str">
        <f>IF(LEN(Str!C56)&gt;0, Str!C56, Str!B56)</f>
        <v>ค่าแรงประกอบและติดตั้งไม้แบบหล่อคอนกรีต (ใช้ 100%)</v>
      </c>
      <c r="F32" s="1260" t="str">
        <f>Str!F56</f>
        <v>ตร.ม.</v>
      </c>
      <c r="G32" s="1260">
        <f>Str!E56</f>
        <v>13.2</v>
      </c>
      <c r="H32" s="1260">
        <f>Str!I56</f>
        <v>0</v>
      </c>
      <c r="I32" s="1260">
        <f>Str!L56</f>
        <v>1493.2351326684</v>
      </c>
      <c r="J32" s="1260">
        <f>Str!M56</f>
        <v>1493.2351326684</v>
      </c>
    </row>
    <row r="33" spans="1:10" hidden="1" outlineLevel="1">
      <c r="A33" t="s">
        <v>39</v>
      </c>
      <c r="B33" t="s">
        <v>40</v>
      </c>
      <c r="C33" t="s">
        <v>41</v>
      </c>
      <c r="D33" t="s">
        <v>44</v>
      </c>
      <c r="E33" t="str">
        <f>IF(LEN(Str!C57)&gt;0, Str!C57, Str!B57)</f>
        <v>ไม้เคร่า (ใช้ 30% ของไม้แบบ 1 ตร.ม.)</v>
      </c>
      <c r="F33" s="1260" t="str">
        <f>Str!F57</f>
        <v>ลบ.ฟ.</v>
      </c>
      <c r="G33" s="1260">
        <f>Str!E57</f>
        <v>2.38</v>
      </c>
      <c r="H33" s="1260">
        <f>Str!I57</f>
        <v>688.48461000852114</v>
      </c>
      <c r="I33" s="1260">
        <f>Str!L57</f>
        <v>0</v>
      </c>
      <c r="J33" s="1260">
        <f>Str!M57</f>
        <v>688.48461000852114</v>
      </c>
    </row>
    <row r="34" spans="1:10" hidden="1" outlineLevel="1">
      <c r="A34" t="s">
        <v>39</v>
      </c>
      <c r="B34" t="s">
        <v>40</v>
      </c>
      <c r="C34" t="s">
        <v>41</v>
      </c>
      <c r="D34" t="s">
        <v>44</v>
      </c>
      <c r="E34" t="str">
        <f>IF(LEN(Str!C58)&gt;0, Str!C58, Str!B58)</f>
        <v>ตะปู (ใช้ 25% ของไม้แบบ 1 ตร.ม.)</v>
      </c>
      <c r="F34" s="1260" t="str">
        <f>Str!F58</f>
        <v>กก.</v>
      </c>
      <c r="G34" s="1260">
        <f>Str!E58</f>
        <v>1.98</v>
      </c>
      <c r="H34" s="1260">
        <f>Str!I58</f>
        <v>43.242114916281601</v>
      </c>
      <c r="I34" s="1260">
        <f>Str!L58</f>
        <v>0</v>
      </c>
      <c r="J34" s="1260">
        <f>Str!M58</f>
        <v>43.242114916281601</v>
      </c>
    </row>
    <row r="35" spans="1:10" hidden="1" outlineLevel="1">
      <c r="A35" t="s">
        <v>39</v>
      </c>
      <c r="B35" t="s">
        <v>40</v>
      </c>
      <c r="C35" t="s">
        <v>41</v>
      </c>
      <c r="F35" s="1260"/>
      <c r="G35" s="1260"/>
      <c r="H35" s="1260"/>
      <c r="I35" s="1260"/>
      <c r="J35" s="1260"/>
    </row>
    <row r="36" spans="1:10" hidden="1" outlineLevel="1">
      <c r="A36" t="s">
        <v>39</v>
      </c>
      <c r="B36" t="s">
        <v>40</v>
      </c>
      <c r="C36" t="s">
        <v>45</v>
      </c>
      <c r="E36" t="str">
        <f>IF(LEN(Str!C60)&gt;0, Str!C60, Str!B60)</f>
        <v>งานโครงสร้าง เสา คาน พื้นชั้น 1</v>
      </c>
      <c r="F36" s="1260">
        <f>Str!F60</f>
        <v>0</v>
      </c>
      <c r="G36" s="1260">
        <f>Str!E60</f>
        <v>0</v>
      </c>
      <c r="H36" s="1260">
        <f>Str!I60</f>
        <v>0</v>
      </c>
      <c r="I36" s="1260">
        <f>Str!L60</f>
        <v>0</v>
      </c>
      <c r="J36" s="1260">
        <f>Str!M60</f>
        <v>0</v>
      </c>
    </row>
    <row r="37" spans="1:10" hidden="1" outlineLevel="1">
      <c r="A37" t="s">
        <v>39</v>
      </c>
      <c r="B37" t="s">
        <v>40</v>
      </c>
      <c r="C37" t="s">
        <v>45</v>
      </c>
      <c r="D37" t="s">
        <v>46</v>
      </c>
      <c r="E37" t="str">
        <f>IF(LEN(Str!C61)&gt;0, Str!C61, Str!B61)</f>
        <v>คาน</v>
      </c>
      <c r="F37" s="1260">
        <f>Str!F61</f>
        <v>0</v>
      </c>
      <c r="G37" s="1260">
        <f>Str!E61</f>
        <v>0</v>
      </c>
      <c r="H37" s="1260">
        <f>Str!I61</f>
        <v>0</v>
      </c>
      <c r="I37" s="1260">
        <f>Str!L61</f>
        <v>0</v>
      </c>
      <c r="J37" s="1260">
        <f>Str!M61</f>
        <v>0</v>
      </c>
    </row>
    <row r="38" spans="1:10" hidden="1" outlineLevel="1">
      <c r="A38" t="s">
        <v>39</v>
      </c>
      <c r="B38" t="s">
        <v>40</v>
      </c>
      <c r="C38" t="s">
        <v>45</v>
      </c>
      <c r="D38" t="s">
        <v>46</v>
      </c>
      <c r="E38" t="str">
        <f>IF(LEN(Str!C62)&gt;0, Str!C62, Str!B62)</f>
        <v xml:space="preserve"> งานคอนกรีตโครงสร้าง (fc' 240 ksc, Cyl.)  ผสมน้ำยากันซึม</v>
      </c>
      <c r="F38" s="1260" t="str">
        <f>Str!F62</f>
        <v>ลบ.ม.</v>
      </c>
      <c r="G38" s="1260">
        <f>Str!E62</f>
        <v>10.8</v>
      </c>
      <c r="H38" s="1260">
        <f>Str!I62</f>
        <v>21380.412126843003</v>
      </c>
      <c r="I38" s="1260">
        <f>Str!L62</f>
        <v>5240.3465850443999</v>
      </c>
      <c r="J38" s="1260">
        <f>Str!M62</f>
        <v>26620.758711887403</v>
      </c>
    </row>
    <row r="39" spans="1:10" hidden="1" outlineLevel="1">
      <c r="A39" t="s">
        <v>39</v>
      </c>
      <c r="B39" t="s">
        <v>40</v>
      </c>
      <c r="C39" t="s">
        <v>45</v>
      </c>
      <c r="D39" t="s">
        <v>46</v>
      </c>
      <c r="E39" t="str">
        <f>IF(LEN(Str!C63)&gt;0, Str!C63, Str!B63)</f>
        <v xml:space="preserve"> งานคอนกรีตหยาบรองท้องคาน (fc' 150 ksc, Cyl.)</v>
      </c>
      <c r="F39" s="1260" t="str">
        <f>Str!F63</f>
        <v>ลบ.ม.</v>
      </c>
      <c r="G39" s="1260">
        <f>Str!E63</f>
        <v>2.2000000000000002</v>
      </c>
      <c r="H39" s="1260">
        <f>Str!I63</f>
        <v>3985.0455503375001</v>
      </c>
      <c r="I39" s="1260">
        <f>Str!L63</f>
        <v>1067.4780080646001</v>
      </c>
      <c r="J39" s="1260">
        <f>Str!M63</f>
        <v>5052.5235584021002</v>
      </c>
    </row>
    <row r="40" spans="1:10" hidden="1" outlineLevel="1">
      <c r="A40" t="s">
        <v>39</v>
      </c>
      <c r="B40" t="s">
        <v>40</v>
      </c>
      <c r="C40" t="s">
        <v>45</v>
      </c>
      <c r="D40" t="s">
        <v>46</v>
      </c>
      <c r="E40" t="str">
        <f>IF(LEN(Str!C64)&gt;0, Str!C64, Str!B64)</f>
        <v>เหล็กเสริม</v>
      </c>
      <c r="F40" s="1260">
        <f>Str!F64</f>
        <v>0</v>
      </c>
      <c r="G40" s="1260">
        <f>Str!E64</f>
        <v>0</v>
      </c>
      <c r="H40" s="1260">
        <f>Str!I64</f>
        <v>0</v>
      </c>
      <c r="I40" s="1260">
        <f>Str!L64</f>
        <v>0</v>
      </c>
      <c r="J40" s="1260">
        <f>Str!M64</f>
        <v>0</v>
      </c>
    </row>
    <row r="41" spans="1:10" hidden="1" outlineLevel="1">
      <c r="A41" t="s">
        <v>39</v>
      </c>
      <c r="B41" t="s">
        <v>40</v>
      </c>
      <c r="C41" t="s">
        <v>45</v>
      </c>
      <c r="D41" t="s">
        <v>46</v>
      </c>
      <c r="E41" t="str">
        <f>IF(LEN(Str!C65)&gt;0, Str!C65, Str!B65)</f>
        <v>งานเหล็กเสริมคอนกรีต RB 9  (SR-24)</v>
      </c>
      <c r="F41" s="1260" t="str">
        <f>Str!F65</f>
        <v>กก.</v>
      </c>
      <c r="G41" s="1260">
        <f>Str!E65</f>
        <v>336.3</v>
      </c>
      <c r="H41" s="1260">
        <f>Str!I65</f>
        <v>6162.4276936395609</v>
      </c>
      <c r="I41" s="1260">
        <f>Str!L65</f>
        <v>1383.4021353068401</v>
      </c>
      <c r="J41" s="1260">
        <f>Str!M65</f>
        <v>7545.829828946401</v>
      </c>
    </row>
    <row r="42" spans="1:10" hidden="1" outlineLevel="1">
      <c r="A42" t="s">
        <v>39</v>
      </c>
      <c r="B42" t="s">
        <v>40</v>
      </c>
      <c r="C42" t="s">
        <v>45</v>
      </c>
      <c r="D42" t="s">
        <v>46</v>
      </c>
      <c r="E42" t="str">
        <f>IF(LEN(Str!C66)&gt;0, Str!C66, Str!B66)</f>
        <v>งานเหล็กเสริมคอนกรีต DB 12  (SD-40)</v>
      </c>
      <c r="F42" s="1260" t="str">
        <f>Str!F66</f>
        <v>กก.</v>
      </c>
      <c r="G42" s="1260">
        <f>Str!E66</f>
        <v>0</v>
      </c>
      <c r="H42" s="1260">
        <f>Str!I66</f>
        <v>0</v>
      </c>
      <c r="I42" s="1260">
        <f>Str!L66</f>
        <v>0</v>
      </c>
      <c r="J42" s="1260">
        <f>Str!M66</f>
        <v>0</v>
      </c>
    </row>
    <row r="43" spans="1:10" hidden="1" outlineLevel="1">
      <c r="A43" t="s">
        <v>39</v>
      </c>
      <c r="B43" t="s">
        <v>40</v>
      </c>
      <c r="C43" t="s">
        <v>45</v>
      </c>
      <c r="D43" t="s">
        <v>46</v>
      </c>
      <c r="E43" t="str">
        <f>IF(LEN(Str!C67)&gt;0, Str!C67, Str!B67)</f>
        <v>งานเหล็กเสริมคอนกรีต DB 16  (SD-40)</v>
      </c>
      <c r="F43" s="1260" t="str">
        <f>Str!F67</f>
        <v>กก.</v>
      </c>
      <c r="G43" s="1260">
        <f>Str!E67</f>
        <v>805.7</v>
      </c>
      <c r="H43" s="1260">
        <f>Str!I67</f>
        <v>14688.480562624052</v>
      </c>
      <c r="I43" s="1260">
        <f>Str!L67</f>
        <v>2711.7194884844403</v>
      </c>
      <c r="J43" s="1260">
        <f>Str!M67</f>
        <v>17400.200051108492</v>
      </c>
    </row>
    <row r="44" spans="1:10" hidden="1" outlineLevel="1">
      <c r="A44" t="s">
        <v>39</v>
      </c>
      <c r="B44" t="s">
        <v>40</v>
      </c>
      <c r="C44" t="s">
        <v>45</v>
      </c>
      <c r="D44" t="s">
        <v>46</v>
      </c>
      <c r="E44" t="str">
        <f>IF(LEN(Str!C68)&gt;0, Str!C68, Str!B68)</f>
        <v>ลวดผูกเหล็ก</v>
      </c>
      <c r="F44" s="1260" t="str">
        <f>Str!F68</f>
        <v>กก.</v>
      </c>
      <c r="G44" s="1260">
        <f>Str!E68</f>
        <v>20.6</v>
      </c>
      <c r="H44" s="1260">
        <f>Str!I68</f>
        <v>521.92176631822008</v>
      </c>
      <c r="I44" s="1260">
        <f>Str!L68</f>
        <v>0</v>
      </c>
      <c r="J44" s="1260">
        <f>Str!M68</f>
        <v>521.92176631822008</v>
      </c>
    </row>
    <row r="45" spans="1:10" hidden="1" outlineLevel="1">
      <c r="A45" t="s">
        <v>39</v>
      </c>
      <c r="B45" t="s">
        <v>40</v>
      </c>
      <c r="C45" t="s">
        <v>45</v>
      </c>
      <c r="D45" t="s">
        <v>46</v>
      </c>
      <c r="E45" t="str">
        <f>IF(LEN(Str!C69)&gt;0, Str!C69, Str!B69)</f>
        <v xml:space="preserve">ไม้แบบ ค้ำยัน นั่งร้าน </v>
      </c>
      <c r="F45" s="1260">
        <f>Str!F69</f>
        <v>0</v>
      </c>
      <c r="G45" s="1260">
        <f>Str!E69</f>
        <v>0</v>
      </c>
      <c r="H45" s="1260">
        <f>Str!I69</f>
        <v>0</v>
      </c>
      <c r="I45" s="1260">
        <f>Str!L69</f>
        <v>0</v>
      </c>
      <c r="J45" s="1260">
        <f>Str!M69</f>
        <v>0</v>
      </c>
    </row>
    <row r="46" spans="1:10" hidden="1" outlineLevel="1">
      <c r="A46" t="s">
        <v>39</v>
      </c>
      <c r="B46" t="s">
        <v>40</v>
      </c>
      <c r="C46" t="s">
        <v>45</v>
      </c>
      <c r="D46" t="s">
        <v>46</v>
      </c>
      <c r="E46" t="str">
        <f>IF(LEN(Str!C70)&gt;0, Str!C70, Str!B70)</f>
        <v>ไม้แบบ ค้ำยัน นั่งร้าน (อาคาร 3 ชั้น ใช้ 60%)</v>
      </c>
      <c r="F46" s="1260" t="str">
        <f>Str!F70</f>
        <v>ตร.ม.</v>
      </c>
      <c r="G46" s="1260">
        <f>Str!E70</f>
        <v>59.16</v>
      </c>
      <c r="H46" s="1260">
        <f>Str!I70</f>
        <v>13561.806046839502</v>
      </c>
      <c r="I46" s="1260">
        <f>Str!L70</f>
        <v>0</v>
      </c>
      <c r="J46" s="1260">
        <f>Str!M70</f>
        <v>13561.806046839502</v>
      </c>
    </row>
    <row r="47" spans="1:10" hidden="1" outlineLevel="1">
      <c r="A47" t="s">
        <v>39</v>
      </c>
      <c r="B47" t="s">
        <v>40</v>
      </c>
      <c r="C47" t="s">
        <v>45</v>
      </c>
      <c r="D47" t="s">
        <v>46</v>
      </c>
      <c r="E47" t="str">
        <f>IF(LEN(Str!C71)&gt;0, Str!C71, Str!B71)</f>
        <v>ค่าแรงประกอบและติดตั้งไม้แบบหล่อคอนกรีต (ใช้ 100%)</v>
      </c>
      <c r="F47" s="1260" t="str">
        <f>Str!F71</f>
        <v>ตร.ม.</v>
      </c>
      <c r="G47" s="1260">
        <f>Str!E71</f>
        <v>98.6</v>
      </c>
      <c r="H47" s="1260">
        <f>Str!I71</f>
        <v>0</v>
      </c>
      <c r="I47" s="1260">
        <f>Str!L71</f>
        <v>11154.0139455382</v>
      </c>
      <c r="J47" s="1260">
        <f>Str!M71</f>
        <v>11154.0139455382</v>
      </c>
    </row>
    <row r="48" spans="1:10" hidden="1" outlineLevel="1">
      <c r="A48" t="s">
        <v>39</v>
      </c>
      <c r="B48" t="s">
        <v>40</v>
      </c>
      <c r="C48" t="s">
        <v>45</v>
      </c>
      <c r="D48" t="s">
        <v>46</v>
      </c>
      <c r="E48" t="str">
        <f>IF(LEN(Str!C72)&gt;0, Str!C72, Str!B72)</f>
        <v>ไม้เคร่า (ใช้ 30% ของไม้แบบ 1 ตร.ม.)</v>
      </c>
      <c r="F48" s="1260" t="str">
        <f>Str!F72</f>
        <v>ลบ.ฟ.</v>
      </c>
      <c r="G48" s="1260">
        <f>Str!E72</f>
        <v>17.75</v>
      </c>
      <c r="H48" s="1260">
        <f>Str!I72</f>
        <v>5134.7066502736352</v>
      </c>
      <c r="I48" s="1260">
        <f>Str!L72</f>
        <v>0</v>
      </c>
      <c r="J48" s="1260">
        <f>Str!M72</f>
        <v>5134.7066502736352</v>
      </c>
    </row>
    <row r="49" spans="1:10" hidden="1" outlineLevel="1">
      <c r="A49" t="s">
        <v>39</v>
      </c>
      <c r="B49" t="s">
        <v>40</v>
      </c>
      <c r="C49" t="s">
        <v>45</v>
      </c>
      <c r="D49" t="s">
        <v>46</v>
      </c>
      <c r="E49" t="str">
        <f>IF(LEN(Str!C73)&gt;0, Str!C73, Str!B73)</f>
        <v>ตะปู (ใช้ 25% ของไม้แบบ 1 ตร.ม.)</v>
      </c>
      <c r="F49" s="1260" t="str">
        <f>Str!F73</f>
        <v>กก.</v>
      </c>
      <c r="G49" s="1260">
        <f>Str!E73</f>
        <v>14.79</v>
      </c>
      <c r="H49" s="1260">
        <f>Str!I73</f>
        <v>323.00549475343678</v>
      </c>
      <c r="I49" s="1260">
        <f>Str!L73</f>
        <v>0</v>
      </c>
      <c r="J49" s="1260">
        <f>Str!M73</f>
        <v>323.00549475343678</v>
      </c>
    </row>
    <row r="50" spans="1:10" hidden="1" outlineLevel="1">
      <c r="A50" t="s">
        <v>39</v>
      </c>
      <c r="B50" t="s">
        <v>40</v>
      </c>
      <c r="C50" t="s">
        <v>45</v>
      </c>
      <c r="D50" t="s">
        <v>47</v>
      </c>
      <c r="E50" t="str">
        <f>IF(LEN(Str!C74)&gt;0, Str!C74, Str!B74)</f>
        <v>พื้น</v>
      </c>
      <c r="F50" s="1260">
        <f>Str!F74</f>
        <v>0</v>
      </c>
      <c r="G50" s="1260">
        <f>Str!E74</f>
        <v>0</v>
      </c>
      <c r="H50" s="1260">
        <f>Str!I74</f>
        <v>0</v>
      </c>
      <c r="I50" s="1260">
        <f>Str!L74</f>
        <v>0</v>
      </c>
      <c r="J50" s="1260">
        <f>Str!M74</f>
        <v>0</v>
      </c>
    </row>
    <row r="51" spans="1:10" hidden="1" outlineLevel="1">
      <c r="A51" t="s">
        <v>39</v>
      </c>
      <c r="B51" t="s">
        <v>40</v>
      </c>
      <c r="C51" t="s">
        <v>45</v>
      </c>
      <c r="D51" t="s">
        <v>47</v>
      </c>
      <c r="E51" t="str">
        <f>IF(LEN(Str!C75)&gt;0, Str!C75, Str!B75)</f>
        <v xml:space="preserve"> งานคอนกรีตโครงสร้าง (fc' 240 ksc, Cyl.) ผสมน้ำยากันซึม</v>
      </c>
      <c r="F51" s="1260" t="str">
        <f>Str!F75</f>
        <v>ลบ.ม.</v>
      </c>
      <c r="G51" s="1260">
        <f>Str!E75</f>
        <v>11.9</v>
      </c>
      <c r="H51" s="1260">
        <f>Str!I75</f>
        <v>23558.046695317749</v>
      </c>
      <c r="I51" s="1260">
        <f>Str!L75</f>
        <v>5774.0855890766998</v>
      </c>
      <c r="J51" s="1260">
        <f>Str!M75</f>
        <v>29332.132284394451</v>
      </c>
    </row>
    <row r="52" spans="1:10" hidden="1" outlineLevel="1">
      <c r="A52" t="s">
        <v>39</v>
      </c>
      <c r="B52" t="s">
        <v>40</v>
      </c>
      <c r="C52" t="s">
        <v>45</v>
      </c>
      <c r="D52" t="s">
        <v>47</v>
      </c>
      <c r="E52" t="str">
        <f>IF(LEN(Str!C76)&gt;0, Str!C76, Str!B76)</f>
        <v>เหล็กเสริม</v>
      </c>
      <c r="F52" s="1260">
        <f>Str!F76</f>
        <v>0</v>
      </c>
      <c r="G52" s="1260">
        <f>Str!E76</f>
        <v>0</v>
      </c>
      <c r="H52" s="1260">
        <f>Str!I76</f>
        <v>0</v>
      </c>
      <c r="I52" s="1260">
        <f>Str!L76</f>
        <v>0</v>
      </c>
      <c r="J52" s="1260">
        <f>Str!M76</f>
        <v>0</v>
      </c>
    </row>
    <row r="53" spans="1:10" hidden="1" outlineLevel="1">
      <c r="A53" t="s">
        <v>39</v>
      </c>
      <c r="B53" t="s">
        <v>40</v>
      </c>
      <c r="C53" t="s">
        <v>45</v>
      </c>
      <c r="D53" t="s">
        <v>47</v>
      </c>
      <c r="E53" t="str">
        <f>IF(LEN(Str!C77)&gt;0, Str!C77, Str!B77)</f>
        <v>งานเหล็กเสริมคอนกรีต RB 9  (SR-24)</v>
      </c>
      <c r="F53" s="1260" t="str">
        <f>Str!F77</f>
        <v>กก.</v>
      </c>
      <c r="G53" s="1260">
        <f>Str!E77</f>
        <v>0</v>
      </c>
      <c r="H53" s="1260">
        <f>Str!I77</f>
        <v>0</v>
      </c>
      <c r="I53" s="1260">
        <f>Str!L77</f>
        <v>0</v>
      </c>
      <c r="J53" s="1260">
        <f>Str!M77</f>
        <v>0</v>
      </c>
    </row>
    <row r="54" spans="1:10" hidden="1" outlineLevel="1">
      <c r="A54" t="s">
        <v>39</v>
      </c>
      <c r="B54" t="s">
        <v>40</v>
      </c>
      <c r="C54" t="s">
        <v>45</v>
      </c>
      <c r="D54" t="s">
        <v>47</v>
      </c>
      <c r="E54" t="str">
        <f>IF(LEN(Str!C78)&gt;0, Str!C78, Str!B78)</f>
        <v>งานเหล็กเสริมคอนกรีต DB 12  (SD-40)</v>
      </c>
      <c r="F54" s="1260" t="str">
        <f>Str!F78</f>
        <v>กก.</v>
      </c>
      <c r="G54" s="1260">
        <f>Str!E78</f>
        <v>2565.1</v>
      </c>
      <c r="H54" s="1260">
        <f>Str!I78</f>
        <v>47243.212837786079</v>
      </c>
      <c r="I54" s="1260">
        <f>Str!L78</f>
        <v>8633.2774728949207</v>
      </c>
      <c r="J54" s="1260">
        <f>Str!M78</f>
        <v>55876.490310681002</v>
      </c>
    </row>
    <row r="55" spans="1:10" hidden="1" outlineLevel="1">
      <c r="A55" t="s">
        <v>39</v>
      </c>
      <c r="B55" t="s">
        <v>40</v>
      </c>
      <c r="C55" t="s">
        <v>45</v>
      </c>
      <c r="D55" t="s">
        <v>47</v>
      </c>
      <c r="E55" t="str">
        <f>IF(LEN(Str!C79)&gt;0, Str!C79, Str!B79)</f>
        <v>งานเหล็กเสริมคอนกรีต DB 16  (SD-40)</v>
      </c>
      <c r="F55" s="1260" t="str">
        <f>Str!F79</f>
        <v>กก.</v>
      </c>
      <c r="G55" s="1260">
        <f>Str!E79</f>
        <v>0</v>
      </c>
      <c r="H55" s="1260">
        <f>Str!I79</f>
        <v>0</v>
      </c>
      <c r="I55" s="1260">
        <f>Str!L79</f>
        <v>0</v>
      </c>
      <c r="J55" s="1260">
        <f>Str!M79</f>
        <v>0</v>
      </c>
    </row>
    <row r="56" spans="1:10" hidden="1" outlineLevel="1">
      <c r="A56" t="s">
        <v>39</v>
      </c>
      <c r="B56" t="s">
        <v>40</v>
      </c>
      <c r="C56" t="s">
        <v>45</v>
      </c>
      <c r="D56" t="s">
        <v>47</v>
      </c>
      <c r="E56" t="str">
        <f>IF(LEN(Str!C80)&gt;0, Str!C80, Str!B80)</f>
        <v>ลวดผูกเหล็ก</v>
      </c>
      <c r="F56" s="1260" t="str">
        <f>Str!F80</f>
        <v>กก.</v>
      </c>
      <c r="G56" s="1260">
        <f>Str!E80</f>
        <v>46.6</v>
      </c>
      <c r="H56" s="1260">
        <f>Str!I80</f>
        <v>1180.6579762344199</v>
      </c>
      <c r="I56" s="1260">
        <f>Str!L80</f>
        <v>0</v>
      </c>
      <c r="J56" s="1260">
        <f>Str!M80</f>
        <v>1180.6579762344199</v>
      </c>
    </row>
    <row r="57" spans="1:10" hidden="1" outlineLevel="1">
      <c r="A57" t="s">
        <v>39</v>
      </c>
      <c r="B57" t="s">
        <v>40</v>
      </c>
      <c r="C57" t="s">
        <v>45</v>
      </c>
      <c r="D57" t="s">
        <v>47</v>
      </c>
      <c r="E57" t="str">
        <f>IF(LEN(Str!C81)&gt;0, Str!C81, Str!B81)</f>
        <v xml:space="preserve">ไม้แบบ ค้ำยัน นั่งร้าน </v>
      </c>
      <c r="F57" s="1260">
        <f>Str!F81</f>
        <v>0</v>
      </c>
      <c r="G57" s="1260">
        <f>Str!E81</f>
        <v>0</v>
      </c>
      <c r="H57" s="1260">
        <f>Str!I81</f>
        <v>0</v>
      </c>
      <c r="I57" s="1260">
        <f>Str!L81</f>
        <v>0</v>
      </c>
      <c r="J57" s="1260">
        <f>Str!M81</f>
        <v>0</v>
      </c>
    </row>
    <row r="58" spans="1:10" hidden="1" outlineLevel="1">
      <c r="A58" t="s">
        <v>39</v>
      </c>
      <c r="B58" t="s">
        <v>40</v>
      </c>
      <c r="C58" t="s">
        <v>45</v>
      </c>
      <c r="D58" t="s">
        <v>47</v>
      </c>
      <c r="E58" t="str">
        <f>IF(LEN(Str!C82)&gt;0, Str!C82, Str!B82)</f>
        <v>ไม้แบบ ค้ำยัน นั่งร้าน (อาคาร 3 ชั้น ใช้ 60%)</v>
      </c>
      <c r="F58" s="1260" t="str">
        <f>Str!F82</f>
        <v>ตร.ม.</v>
      </c>
      <c r="G58" s="1260">
        <f>Str!E82</f>
        <v>56.88</v>
      </c>
      <c r="H58" s="1260">
        <f>Str!I82</f>
        <v>13039.140093715871</v>
      </c>
      <c r="I58" s="1260">
        <f>Str!L82</f>
        <v>0</v>
      </c>
      <c r="J58" s="1260">
        <f>Str!M82</f>
        <v>13039.140093715871</v>
      </c>
    </row>
    <row r="59" spans="1:10" hidden="1" outlineLevel="1">
      <c r="A59" t="s">
        <v>39</v>
      </c>
      <c r="B59" t="s">
        <v>40</v>
      </c>
      <c r="C59" t="s">
        <v>45</v>
      </c>
      <c r="D59" t="s">
        <v>47</v>
      </c>
      <c r="E59" t="str">
        <f>IF(LEN(Str!C83)&gt;0, Str!C83, Str!B83)</f>
        <v>ค่าแรงประกอบและติดตั้งไม้แบบหล่อคอนกรีต (ใช้ 100%)</v>
      </c>
      <c r="F59" s="1260" t="str">
        <f>Str!F83</f>
        <v>ตร.ม.</v>
      </c>
      <c r="G59" s="1260">
        <f>Str!E83</f>
        <v>94.8</v>
      </c>
      <c r="H59" s="1260">
        <f>Str!I83</f>
        <v>0</v>
      </c>
      <c r="I59" s="1260">
        <f>Str!L83</f>
        <v>10724.143225527599</v>
      </c>
      <c r="J59" s="1260">
        <f>Str!M83</f>
        <v>10724.143225527599</v>
      </c>
    </row>
    <row r="60" spans="1:10" hidden="1" outlineLevel="1">
      <c r="A60" t="s">
        <v>39</v>
      </c>
      <c r="B60" t="s">
        <v>40</v>
      </c>
      <c r="C60" t="s">
        <v>45</v>
      </c>
      <c r="D60" t="s">
        <v>47</v>
      </c>
      <c r="E60" t="str">
        <f>IF(LEN(Str!C84)&gt;0, Str!C84, Str!B84)</f>
        <v>ไม้เคร่า (ใช้ 30% ของไม้แบบ 1 ตร.ม.)</v>
      </c>
      <c r="F60" s="1260" t="str">
        <f>Str!F84</f>
        <v>ลบ.ฟ.</v>
      </c>
      <c r="G60" s="1260">
        <f>Str!E84</f>
        <v>17.07</v>
      </c>
      <c r="H60" s="1260">
        <f>Str!I84</f>
        <v>4937.9967616997719</v>
      </c>
      <c r="I60" s="1260">
        <f>Str!L84</f>
        <v>0</v>
      </c>
      <c r="J60" s="1260">
        <f>Str!M84</f>
        <v>4937.9967616997719</v>
      </c>
    </row>
    <row r="61" spans="1:10" hidden="1" outlineLevel="1">
      <c r="A61" t="s">
        <v>39</v>
      </c>
      <c r="B61" t="s">
        <v>40</v>
      </c>
      <c r="C61" t="s">
        <v>45</v>
      </c>
      <c r="D61" t="s">
        <v>47</v>
      </c>
      <c r="E61" t="str">
        <f>IF(LEN(Str!C85)&gt;0, Str!C85, Str!B85)</f>
        <v>ตะปู (ใช้ 25% ของไม้แบบ 1 ตร.ม.)</v>
      </c>
      <c r="F61" s="1260" t="str">
        <f>Str!F85</f>
        <v>กก.</v>
      </c>
      <c r="G61" s="1260">
        <f>Str!E85</f>
        <v>14.22</v>
      </c>
      <c r="H61" s="1260">
        <f>Str!I85</f>
        <v>310.55700712602243</v>
      </c>
      <c r="I61" s="1260">
        <f>Str!L85</f>
        <v>0</v>
      </c>
      <c r="J61" s="1260">
        <f>Str!M85</f>
        <v>310.55700712602243</v>
      </c>
    </row>
    <row r="62" spans="1:10" hidden="1" outlineLevel="1">
      <c r="A62" t="s">
        <v>39</v>
      </c>
      <c r="B62" t="s">
        <v>40</v>
      </c>
      <c r="C62" t="s">
        <v>45</v>
      </c>
      <c r="D62" t="s">
        <v>47</v>
      </c>
      <c r="E62" t="str">
        <f>IF(LEN(Str!C86)&gt;0, Str!C86, Str!B86)</f>
        <v>ทรายถมปรับระดับ</v>
      </c>
      <c r="F62" s="1260" t="str">
        <f>Str!F86</f>
        <v>ลบ.ม.</v>
      </c>
      <c r="G62" s="1260">
        <f>Str!E86</f>
        <v>9.5</v>
      </c>
      <c r="H62" s="1260">
        <f>Str!I86</f>
        <v>4514.7971715493441</v>
      </c>
      <c r="I62" s="1260">
        <f>Str!L86</f>
        <v>994.74216200799992</v>
      </c>
      <c r="J62" s="1260">
        <f>Str!M86</f>
        <v>5509.5393335573444</v>
      </c>
    </row>
    <row r="63" spans="1:10" hidden="1" outlineLevel="1">
      <c r="A63" t="s">
        <v>39</v>
      </c>
      <c r="B63" t="s">
        <v>40</v>
      </c>
      <c r="C63" t="s">
        <v>45</v>
      </c>
      <c r="D63" t="s">
        <v>47</v>
      </c>
      <c r="E63" t="str">
        <f>IF(LEN(Str!C87)&gt;0, Str!C87, Str!B87)</f>
        <v>งานแผ่นพลาสติกปูรองหนา 0.2 มม.</v>
      </c>
      <c r="F63" s="1260" t="str">
        <f>Str!F87</f>
        <v>ตร.ม.</v>
      </c>
      <c r="G63" s="1260">
        <f>Str!E87</f>
        <v>94.8</v>
      </c>
      <c r="H63" s="1260">
        <f>Str!I87</f>
        <v>1063.5513942671998</v>
      </c>
      <c r="I63" s="1260">
        <f>Str!L87</f>
        <v>319.06541828016003</v>
      </c>
      <c r="J63" s="1260">
        <f>Str!M87</f>
        <v>1382.6168125473598</v>
      </c>
    </row>
    <row r="64" spans="1:10" hidden="1" outlineLevel="1">
      <c r="A64" t="s">
        <v>39</v>
      </c>
      <c r="B64" t="s">
        <v>40</v>
      </c>
      <c r="C64" t="s">
        <v>45</v>
      </c>
      <c r="D64" t="s">
        <v>48</v>
      </c>
      <c r="E64" t="str">
        <f>IF(LEN(Str!C88)&gt;0, Str!C88, Str!B88)</f>
        <v>เสา</v>
      </c>
      <c r="F64" s="1260">
        <f>Str!F88</f>
        <v>0</v>
      </c>
      <c r="G64" s="1260">
        <f>Str!E88</f>
        <v>0</v>
      </c>
      <c r="H64" s="1260">
        <f>Str!I88</f>
        <v>0</v>
      </c>
      <c r="I64" s="1260">
        <f>Str!L88</f>
        <v>0</v>
      </c>
      <c r="J64" s="1260">
        <f>Str!M88</f>
        <v>0</v>
      </c>
    </row>
    <row r="65" spans="1:10" hidden="1" outlineLevel="1">
      <c r="A65" t="s">
        <v>39</v>
      </c>
      <c r="B65" t="s">
        <v>40</v>
      </c>
      <c r="C65" t="s">
        <v>45</v>
      </c>
      <c r="D65" t="s">
        <v>48</v>
      </c>
      <c r="E65" t="str">
        <f>IF(LEN(Str!C89)&gt;0, Str!C89, Str!B89)</f>
        <v>WF300x200x8x12 mm.-56.8 kg/m</v>
      </c>
      <c r="F65" s="1260" t="str">
        <f>Str!F89</f>
        <v>กก.</v>
      </c>
      <c r="G65" s="1260">
        <f>Str!E89</f>
        <v>2249.3000000000002</v>
      </c>
      <c r="H65" s="1260">
        <f>Str!I89</f>
        <v>66577.455295907392</v>
      </c>
      <c r="I65" s="1260">
        <f>Str!L89</f>
        <v>29440.441381639401</v>
      </c>
      <c r="J65" s="1260">
        <f>Str!M89</f>
        <v>96017.896677546785</v>
      </c>
    </row>
    <row r="66" spans="1:10" hidden="1" outlineLevel="1">
      <c r="A66" t="s">
        <v>39</v>
      </c>
      <c r="B66" t="s">
        <v>40</v>
      </c>
      <c r="C66" t="s">
        <v>45</v>
      </c>
      <c r="D66" t="s">
        <v>48</v>
      </c>
      <c r="E66" t="str">
        <f>IF(LEN(Str!C90)&gt;0, Str!C90, Str!B90)</f>
        <v>Support</v>
      </c>
      <c r="F66" s="1260">
        <f>Str!F90</f>
        <v>0</v>
      </c>
      <c r="G66" s="1260">
        <f>Str!E90</f>
        <v>0</v>
      </c>
      <c r="H66" s="1260">
        <f>Str!I90</f>
        <v>0</v>
      </c>
      <c r="I66" s="1260">
        <f>Str!L90</f>
        <v>0</v>
      </c>
      <c r="J66" s="1260">
        <f>Str!M90</f>
        <v>0</v>
      </c>
    </row>
    <row r="67" spans="1:10" hidden="1" outlineLevel="1">
      <c r="A67" t="s">
        <v>39</v>
      </c>
      <c r="B67" t="s">
        <v>40</v>
      </c>
      <c r="C67" t="s">
        <v>45</v>
      </c>
      <c r="D67" t="s">
        <v>48</v>
      </c>
      <c r="E67" t="str">
        <f>IF(LEN(Str!C91)&gt;0, Str!C91, Str!B91)</f>
        <v>Steel Plate 15 mm.Thk.</v>
      </c>
      <c r="F67" s="1260" t="str">
        <f>Str!F91</f>
        <v>กก.</v>
      </c>
      <c r="G67" s="1260">
        <f>Str!E91</f>
        <v>93.3</v>
      </c>
      <c r="H67" s="1260">
        <f>Str!I91</f>
        <v>2394.3789755509947</v>
      </c>
      <c r="I67" s="1260">
        <f>Str!L91</f>
        <v>1221.1768909913999</v>
      </c>
      <c r="J67" s="1260">
        <f>Str!M91</f>
        <v>3615.5558665423946</v>
      </c>
    </row>
    <row r="68" spans="1:10" hidden="1" outlineLevel="1">
      <c r="A68" t="s">
        <v>39</v>
      </c>
      <c r="B68" t="s">
        <v>40</v>
      </c>
      <c r="C68" t="s">
        <v>45</v>
      </c>
      <c r="D68" t="s">
        <v>48</v>
      </c>
      <c r="E68" t="str">
        <f>IF(LEN(Str!C92)&gt;0, Str!C92, Str!B92)</f>
        <v>M20 Anchor J-Bolt</v>
      </c>
      <c r="F68" s="1260" t="str">
        <f>Str!F92</f>
        <v>ชุด</v>
      </c>
      <c r="G68" s="1260">
        <f>Str!E92</f>
        <v>48</v>
      </c>
      <c r="H68" s="1260">
        <f>Str!I92</f>
        <v>4833.5493956337596</v>
      </c>
      <c r="I68" s="1260">
        <f>Str!L92</f>
        <v>1449.93019193136</v>
      </c>
      <c r="J68" s="1260">
        <f>Str!M92</f>
        <v>6283.4795875651198</v>
      </c>
    </row>
    <row r="69" spans="1:10" hidden="1" outlineLevel="1">
      <c r="A69" t="s">
        <v>39</v>
      </c>
      <c r="B69" t="s">
        <v>40</v>
      </c>
      <c r="C69" t="s">
        <v>45</v>
      </c>
      <c r="D69" t="s">
        <v>48</v>
      </c>
      <c r="E69" t="str">
        <f>IF(LEN(Str!C93)&gt;0, Str!C93, Str!B93)</f>
        <v>งานสีกันสนิม</v>
      </c>
      <c r="F69" s="1260">
        <f>Str!F93</f>
        <v>0</v>
      </c>
      <c r="G69" s="1260">
        <f>Str!E93</f>
        <v>0</v>
      </c>
      <c r="H69" s="1260">
        <f>Str!I93</f>
        <v>0</v>
      </c>
      <c r="I69" s="1260">
        <f>Str!L93</f>
        <v>0</v>
      </c>
      <c r="J69" s="1260">
        <f>Str!M93</f>
        <v>0</v>
      </c>
    </row>
    <row r="70" spans="1:10" hidden="1" outlineLevel="1">
      <c r="A70" t="s">
        <v>39</v>
      </c>
      <c r="B70" t="s">
        <v>40</v>
      </c>
      <c r="C70" t="s">
        <v>45</v>
      </c>
      <c r="D70" t="s">
        <v>48</v>
      </c>
      <c r="E70" t="str">
        <f>IF(LEN(Str!C94)&gt;0, Str!C94, Str!B94)</f>
        <v>งานสีกันสนิม   เหล็ก 1 ตัน ต่อ ทาสี 25 ตร.ม.</v>
      </c>
      <c r="F70" s="1260" t="str">
        <f>Str!F94</f>
        <v>ตร.ม.</v>
      </c>
      <c r="G70" s="1260">
        <f>Str!E94</f>
        <v>58.6</v>
      </c>
      <c r="H70" s="1260">
        <f>Str!I94</f>
        <v>1535.0928357486839</v>
      </c>
      <c r="I70" s="1260">
        <f>Str!L94</f>
        <v>1643.568346626</v>
      </c>
      <c r="J70" s="1260">
        <f>Str!M94</f>
        <v>3178.6611823746839</v>
      </c>
    </row>
    <row r="71" spans="1:10" hidden="1" outlineLevel="1">
      <c r="A71" t="s">
        <v>39</v>
      </c>
      <c r="B71" t="s">
        <v>40</v>
      </c>
      <c r="C71" t="s">
        <v>45</v>
      </c>
      <c r="D71" t="s">
        <v>48</v>
      </c>
      <c r="E71" t="str">
        <f>IF(LEN(Str!C95)&gt;0, Str!C95, Str!B95)</f>
        <v>งานสีน้ำมัน  เหล็ก 1 ตัน ต่อ ทาสี 25 ตร.ม.</v>
      </c>
      <c r="F71" s="1260" t="str">
        <f>Str!F95</f>
        <v>ตร.ม.</v>
      </c>
      <c r="G71" s="1260">
        <f>Str!E95</f>
        <v>58.6</v>
      </c>
      <c r="H71" s="1260">
        <f>Str!I95</f>
        <v>1770.670965431744</v>
      </c>
      <c r="I71" s="1260">
        <f>Str!L95</f>
        <v>1917.4964043970001</v>
      </c>
      <c r="J71" s="1260">
        <f>Str!M95</f>
        <v>3688.1673698287441</v>
      </c>
    </row>
    <row r="72" spans="1:10" hidden="1" outlineLevel="1">
      <c r="A72" t="s">
        <v>39</v>
      </c>
      <c r="B72" t="s">
        <v>40</v>
      </c>
      <c r="C72" t="s">
        <v>45</v>
      </c>
      <c r="D72" t="s">
        <v>48</v>
      </c>
      <c r="F72" s="1260">
        <f>Str!F96</f>
        <v>0</v>
      </c>
      <c r="G72" s="1260">
        <f>Str!E96</f>
        <v>0</v>
      </c>
      <c r="H72" s="1260">
        <f>Str!I96</f>
        <v>0</v>
      </c>
      <c r="I72" s="1260">
        <f>Str!L96</f>
        <v>0</v>
      </c>
      <c r="J72" s="1260">
        <f>Str!M96</f>
        <v>0</v>
      </c>
    </row>
    <row r="73" spans="1:10" hidden="1" outlineLevel="1">
      <c r="A73" t="s">
        <v>39</v>
      </c>
      <c r="B73" t="s">
        <v>40</v>
      </c>
      <c r="C73" t="s">
        <v>49</v>
      </c>
      <c r="E73" t="str">
        <f>IF(LEN(Str!C97)&gt;0, Str!C97, Str!B97)</f>
        <v>งานโครงสร้าง เสา คาน พื้นชั้นลอย</v>
      </c>
      <c r="F73" s="1260">
        <f>Str!F97</f>
        <v>0</v>
      </c>
      <c r="G73" s="1260">
        <f>Str!E97</f>
        <v>0</v>
      </c>
      <c r="H73" s="1260">
        <f>Str!I97</f>
        <v>0</v>
      </c>
      <c r="I73" s="1260">
        <f>Str!L97</f>
        <v>0</v>
      </c>
      <c r="J73" s="1260">
        <f>Str!M97</f>
        <v>0</v>
      </c>
    </row>
    <row r="74" spans="1:10" hidden="1" outlineLevel="1">
      <c r="A74" t="s">
        <v>39</v>
      </c>
      <c r="B74" t="s">
        <v>40</v>
      </c>
      <c r="C74" t="s">
        <v>49</v>
      </c>
      <c r="D74" t="s">
        <v>46</v>
      </c>
      <c r="E74" t="str">
        <f>IF(LEN(Str!C98)&gt;0, Str!C98, Str!B98)</f>
        <v>คาน</v>
      </c>
      <c r="F74" s="1260">
        <f>Str!F98</f>
        <v>0</v>
      </c>
      <c r="G74" s="1260">
        <f>Str!E98</f>
        <v>0</v>
      </c>
      <c r="H74" s="1260">
        <f>Str!I98</f>
        <v>0</v>
      </c>
      <c r="I74" s="1260">
        <f>Str!L98</f>
        <v>0</v>
      </c>
      <c r="J74" s="1260">
        <f>Str!M98</f>
        <v>0</v>
      </c>
    </row>
    <row r="75" spans="1:10" hidden="1" outlineLevel="1">
      <c r="A75" t="s">
        <v>39</v>
      </c>
      <c r="B75" t="s">
        <v>40</v>
      </c>
      <c r="C75" t="s">
        <v>49</v>
      </c>
      <c r="D75" t="s">
        <v>46</v>
      </c>
      <c r="E75" t="str">
        <f>IF(LEN(Str!C99)&gt;0, Str!C99, Str!B99)</f>
        <v>WF300x200x8x12 mm.-56.8 kg/m</v>
      </c>
      <c r="F75" s="1260" t="str">
        <f>Str!F99</f>
        <v>กก.</v>
      </c>
      <c r="G75" s="1260">
        <f>Str!E99</f>
        <v>6216.8</v>
      </c>
      <c r="H75" s="1260">
        <f>Str!I99</f>
        <v>184012.23673302674</v>
      </c>
      <c r="I75" s="1260">
        <f>Str!L99</f>
        <v>81369.90885225439</v>
      </c>
      <c r="J75" s="1260">
        <f>Str!M99</f>
        <v>265382.14558528113</v>
      </c>
    </row>
    <row r="76" spans="1:10" hidden="1" outlineLevel="1">
      <c r="A76" t="s">
        <v>39</v>
      </c>
      <c r="B76" t="s">
        <v>40</v>
      </c>
      <c r="C76" t="s">
        <v>49</v>
      </c>
      <c r="D76" t="s">
        <v>46</v>
      </c>
      <c r="E76" t="str">
        <f>IF(LEN(Str!C100)&gt;0, Str!C100, Str!B100)</f>
        <v>Steel Plate 12 mm.Thk.</v>
      </c>
      <c r="F76" s="1260" t="str">
        <f>Str!F100</f>
        <v>กก.</v>
      </c>
      <c r="G76" s="1260">
        <f>Str!E100</f>
        <v>131.80000000000001</v>
      </c>
      <c r="H76" s="1260">
        <f>Str!I100</f>
        <v>3076.8253884471624</v>
      </c>
      <c r="I76" s="1260">
        <f>Str!L100</f>
        <v>1725.0923283243999</v>
      </c>
      <c r="J76" s="1260">
        <f>Str!M100</f>
        <v>4801.9177167715625</v>
      </c>
    </row>
    <row r="77" spans="1:10" hidden="1" outlineLevel="1">
      <c r="A77" t="s">
        <v>39</v>
      </c>
      <c r="B77" t="s">
        <v>40</v>
      </c>
      <c r="C77" t="s">
        <v>49</v>
      </c>
      <c r="D77" t="s">
        <v>47</v>
      </c>
      <c r="E77" t="str">
        <f>IF(LEN(Str!C101)&gt;0, Str!C101, Str!B101)</f>
        <v>พื้น</v>
      </c>
      <c r="F77" s="1260">
        <f>Str!F101</f>
        <v>0</v>
      </c>
      <c r="G77" s="1260">
        <f>Str!E101</f>
        <v>0</v>
      </c>
      <c r="H77" s="1260">
        <f>Str!I101</f>
        <v>0</v>
      </c>
      <c r="I77" s="1260">
        <f>Str!L101</f>
        <v>0</v>
      </c>
      <c r="J77" s="1260">
        <f>Str!M101</f>
        <v>0</v>
      </c>
    </row>
    <row r="78" spans="1:10" hidden="1" outlineLevel="1">
      <c r="A78" t="s">
        <v>39</v>
      </c>
      <c r="B78" t="s">
        <v>40</v>
      </c>
      <c r="C78" t="s">
        <v>49</v>
      </c>
      <c r="D78" t="s">
        <v>47</v>
      </c>
      <c r="E78" t="str">
        <f>IF(LEN(Str!C102)&gt;0, Str!C102, Str!B102)</f>
        <v xml:space="preserve"> งานคอนกรีตโครงสร้าง (fc' 240 ksc, Cyl.)</v>
      </c>
      <c r="F78" s="1260" t="str">
        <f>Str!F102</f>
        <v>ลบ.ม.</v>
      </c>
      <c r="G78" s="1260">
        <f>Str!E102</f>
        <v>12.4</v>
      </c>
      <c r="H78" s="1260">
        <f>Str!I102</f>
        <v>29063.299475479598</v>
      </c>
      <c r="I78" s="1260">
        <f>Str!L102</f>
        <v>6016.6942272731994</v>
      </c>
      <c r="J78" s="1260">
        <f>Str!M102</f>
        <v>35079.993702752799</v>
      </c>
    </row>
    <row r="79" spans="1:10" hidden="1" outlineLevel="1">
      <c r="A79" t="s">
        <v>39</v>
      </c>
      <c r="B79" t="s">
        <v>40</v>
      </c>
      <c r="C79" t="s">
        <v>49</v>
      </c>
      <c r="D79" t="s">
        <v>47</v>
      </c>
      <c r="E79" t="str">
        <f>IF(LEN(Str!C103)&gt;0, Str!C103, Str!B103)</f>
        <v>เหล็กเสริม</v>
      </c>
      <c r="F79" s="1260">
        <f>Str!F103</f>
        <v>0</v>
      </c>
      <c r="G79" s="1260">
        <f>Str!E103</f>
        <v>0</v>
      </c>
      <c r="H79" s="1260">
        <f>Str!I103</f>
        <v>0</v>
      </c>
      <c r="I79" s="1260">
        <f>Str!L103</f>
        <v>0</v>
      </c>
      <c r="J79" s="1260">
        <f>Str!M103</f>
        <v>0</v>
      </c>
    </row>
    <row r="80" spans="1:10" hidden="1" outlineLevel="1">
      <c r="A80" t="s">
        <v>39</v>
      </c>
      <c r="B80" t="s">
        <v>40</v>
      </c>
      <c r="C80" t="s">
        <v>49</v>
      </c>
      <c r="D80" t="s">
        <v>47</v>
      </c>
      <c r="E80" t="str">
        <f>IF(LEN(Str!C104)&gt;0, Str!C104, Str!B104)</f>
        <v>งานเหล็กเสริมคอนกรีต RB 9  (SR-24)</v>
      </c>
      <c r="F80" s="1260" t="str">
        <f>Str!F104</f>
        <v>กก.</v>
      </c>
      <c r="G80" s="1260">
        <f>Str!E104</f>
        <v>0</v>
      </c>
      <c r="H80" s="1260">
        <f>Str!I104</f>
        <v>0</v>
      </c>
      <c r="I80" s="1260">
        <f>Str!L104</f>
        <v>0</v>
      </c>
      <c r="J80" s="1260">
        <f>Str!M104</f>
        <v>0</v>
      </c>
    </row>
    <row r="81" spans="1:10" hidden="1" outlineLevel="1">
      <c r="A81" t="s">
        <v>39</v>
      </c>
      <c r="B81" t="s">
        <v>40</v>
      </c>
      <c r="C81" t="s">
        <v>49</v>
      </c>
      <c r="D81" t="s">
        <v>47</v>
      </c>
      <c r="E81" t="str">
        <f>IF(LEN(Str!C105)&gt;0, Str!C105, Str!B105)</f>
        <v>งานเหล็กเสริมคอนกรีต DB 12  (SD-40)</v>
      </c>
      <c r="F81" s="1260" t="str">
        <f>Str!F105</f>
        <v>กก.</v>
      </c>
      <c r="G81" s="1260">
        <f>Str!E105</f>
        <v>0</v>
      </c>
      <c r="H81" s="1260">
        <f>Str!I105</f>
        <v>0</v>
      </c>
      <c r="I81" s="1260">
        <f>Str!L105</f>
        <v>0</v>
      </c>
      <c r="J81" s="1260">
        <f>Str!M105</f>
        <v>0</v>
      </c>
    </row>
    <row r="82" spans="1:10" hidden="1" outlineLevel="1">
      <c r="A82" t="s">
        <v>39</v>
      </c>
      <c r="B82" t="s">
        <v>40</v>
      </c>
      <c r="C82" t="s">
        <v>49</v>
      </c>
      <c r="D82" t="s">
        <v>47</v>
      </c>
      <c r="E82" t="str">
        <f>IF(LEN(Str!C106)&gt;0, Str!C106, Str!B106)</f>
        <v>งานเหล็กเสริมคอนกรีต DB 16  (SD-40)</v>
      </c>
      <c r="F82" s="1260" t="str">
        <f>Str!F106</f>
        <v>กก.</v>
      </c>
      <c r="G82" s="1260">
        <f>Str!E106</f>
        <v>2806.2</v>
      </c>
      <c r="H82" s="1260">
        <f>Str!I106</f>
        <v>51159.009749082295</v>
      </c>
      <c r="I82" s="1260">
        <f>Str!L106</f>
        <v>9444.7402613690392</v>
      </c>
      <c r="J82" s="1260">
        <f>Str!M106</f>
        <v>60603.750010451331</v>
      </c>
    </row>
    <row r="83" spans="1:10" hidden="1" outlineLevel="1">
      <c r="A83" t="s">
        <v>39</v>
      </c>
      <c r="B83" t="s">
        <v>40</v>
      </c>
      <c r="C83" t="s">
        <v>49</v>
      </c>
      <c r="D83" t="s">
        <v>47</v>
      </c>
      <c r="E83" t="str">
        <f>IF(LEN(Str!C107)&gt;0, Str!C107, Str!B107)</f>
        <v>ลวดผูกเหล็ก</v>
      </c>
      <c r="F83" s="1260" t="str">
        <f>Str!F107</f>
        <v>กก.</v>
      </c>
      <c r="G83" s="1260">
        <f>Str!E107</f>
        <v>51</v>
      </c>
      <c r="H83" s="1260">
        <f>Str!I107</f>
        <v>1292.1364117587</v>
      </c>
      <c r="I83" s="1260">
        <f>Str!L107</f>
        <v>0</v>
      </c>
      <c r="J83" s="1260">
        <f>Str!M107</f>
        <v>1292.1364117587</v>
      </c>
    </row>
    <row r="84" spans="1:10" hidden="1" outlineLevel="1">
      <c r="A84" t="s">
        <v>39</v>
      </c>
      <c r="B84" t="s">
        <v>40</v>
      </c>
      <c r="C84" t="s">
        <v>49</v>
      </c>
      <c r="D84" t="s">
        <v>47</v>
      </c>
      <c r="E84" t="str">
        <f>IF(LEN(Str!C108)&gt;0, Str!C108, Str!B108)</f>
        <v xml:space="preserve">ไม้แบบ ค้ำยัน นั่งร้าน </v>
      </c>
      <c r="F84" s="1260">
        <f>Str!F108</f>
        <v>0</v>
      </c>
      <c r="G84" s="1260">
        <f>Str!E108</f>
        <v>0</v>
      </c>
      <c r="H84" s="1260">
        <f>Str!I108</f>
        <v>0</v>
      </c>
      <c r="I84" s="1260">
        <f>Str!L108</f>
        <v>0</v>
      </c>
      <c r="J84" s="1260">
        <f>Str!M108</f>
        <v>0</v>
      </c>
    </row>
    <row r="85" spans="1:10" hidden="1" outlineLevel="1">
      <c r="A85" t="s">
        <v>39</v>
      </c>
      <c r="B85" t="s">
        <v>40</v>
      </c>
      <c r="C85" t="s">
        <v>49</v>
      </c>
      <c r="D85" t="s">
        <v>47</v>
      </c>
      <c r="E85" t="str">
        <f>IF(LEN(Str!C109)&gt;0, Str!C109, Str!B109)</f>
        <v>ไม้แบบ ค้ำยัน นั่งร้าน (อาคาร 3 ชั้น ใช้ 60%)</v>
      </c>
      <c r="F85" s="1260" t="str">
        <f>Str!F109</f>
        <v>ตร.ม.</v>
      </c>
      <c r="G85" s="1260">
        <f>Str!E109</f>
        <v>63.54</v>
      </c>
      <c r="H85" s="1260">
        <f>Str!I109</f>
        <v>14565.874851524373</v>
      </c>
      <c r="I85" s="1260">
        <f>Str!L109</f>
        <v>0</v>
      </c>
      <c r="J85" s="1260">
        <f>Str!M109</f>
        <v>14565.874851524373</v>
      </c>
    </row>
    <row r="86" spans="1:10" hidden="1" outlineLevel="1">
      <c r="A86" t="s">
        <v>39</v>
      </c>
      <c r="B86" t="s">
        <v>40</v>
      </c>
      <c r="C86" t="s">
        <v>49</v>
      </c>
      <c r="D86" t="s">
        <v>47</v>
      </c>
      <c r="E86" t="str">
        <f>IF(LEN(Str!C110)&gt;0, Str!C110, Str!B110)</f>
        <v>ค่าแรงประกอบและติดตั้งไม้แบบหล่อคอนกรีต (ใช้ 100%)</v>
      </c>
      <c r="F86" s="1260" t="str">
        <f>Str!F110</f>
        <v>ตร.ม.</v>
      </c>
      <c r="G86" s="1260">
        <f>Str!E110</f>
        <v>105.9</v>
      </c>
      <c r="H86" s="1260">
        <f>Str!I110</f>
        <v>0</v>
      </c>
      <c r="I86" s="1260">
        <f>Str!L110</f>
        <v>11979.818223453301</v>
      </c>
      <c r="J86" s="1260">
        <f>Str!M110</f>
        <v>11979.818223453301</v>
      </c>
    </row>
    <row r="87" spans="1:10" hidden="1" outlineLevel="1">
      <c r="A87" t="s">
        <v>39</v>
      </c>
      <c r="B87" t="s">
        <v>40</v>
      </c>
      <c r="C87" t="s">
        <v>49</v>
      </c>
      <c r="D87" t="s">
        <v>47</v>
      </c>
      <c r="E87" t="str">
        <f>IF(LEN(Str!C111)&gt;0, Str!C111, Str!B111)</f>
        <v>ไม้เคร่า (ใช้ 30% ของไม้แบบ 1 ตร.ม.)</v>
      </c>
      <c r="F87" s="1260" t="str">
        <f>Str!F111</f>
        <v>ลบ.ฟ.</v>
      </c>
      <c r="G87" s="1260">
        <f>Str!E111</f>
        <v>19.07</v>
      </c>
      <c r="H87" s="1260">
        <f>Str!I111</f>
        <v>5516.5552575052516</v>
      </c>
      <c r="I87" s="1260">
        <f>Str!L111</f>
        <v>0</v>
      </c>
      <c r="J87" s="1260">
        <f>Str!M111</f>
        <v>5516.5552575052516</v>
      </c>
    </row>
    <row r="88" spans="1:10" hidden="1" outlineLevel="1">
      <c r="A88" t="s">
        <v>39</v>
      </c>
      <c r="B88" t="s">
        <v>40</v>
      </c>
      <c r="C88" t="s">
        <v>49</v>
      </c>
      <c r="D88" t="s">
        <v>47</v>
      </c>
      <c r="E88" t="str">
        <f>IF(LEN(Str!C112)&gt;0, Str!C112, Str!B112)</f>
        <v>ตะปู (ใช้ 25% ของไม้แบบ 1 ตร.ม.)</v>
      </c>
      <c r="F88" s="1260" t="str">
        <f>Str!F112</f>
        <v>กก.</v>
      </c>
      <c r="G88" s="1260">
        <f>Str!E112</f>
        <v>15.89</v>
      </c>
      <c r="H88" s="1260">
        <f>Str!I112</f>
        <v>347.02889192914881</v>
      </c>
      <c r="I88" s="1260">
        <f>Str!L112</f>
        <v>0</v>
      </c>
      <c r="J88" s="1260">
        <f>Str!M112</f>
        <v>347.02889192914881</v>
      </c>
    </row>
    <row r="89" spans="1:10" hidden="1" outlineLevel="1">
      <c r="A89" t="s">
        <v>39</v>
      </c>
      <c r="B89" t="s">
        <v>40</v>
      </c>
      <c r="C89" t="s">
        <v>49</v>
      </c>
      <c r="D89" t="s">
        <v>48</v>
      </c>
      <c r="E89" t="str">
        <f>IF(LEN(Str!C113)&gt;0, Str!C113, Str!B113)</f>
        <v>เสา</v>
      </c>
      <c r="F89" s="1260">
        <f>Str!F113</f>
        <v>0</v>
      </c>
      <c r="G89" s="1260">
        <f>Str!E113</f>
        <v>0</v>
      </c>
      <c r="H89" s="1260">
        <f>Str!I113</f>
        <v>0</v>
      </c>
      <c r="I89" s="1260">
        <f>Str!L113</f>
        <v>0</v>
      </c>
      <c r="J89" s="1260">
        <f>Str!M113</f>
        <v>0</v>
      </c>
    </row>
    <row r="90" spans="1:10" hidden="1" outlineLevel="1">
      <c r="A90" t="s">
        <v>39</v>
      </c>
      <c r="B90" t="s">
        <v>40</v>
      </c>
      <c r="C90" t="s">
        <v>49</v>
      </c>
      <c r="D90" t="s">
        <v>48</v>
      </c>
      <c r="E90" t="str">
        <f>IF(LEN(Str!C114)&gt;0, Str!C114, Str!B114)</f>
        <v>WF300x200x8x12 mm.-56.8 kg/m</v>
      </c>
      <c r="F90" s="1260" t="str">
        <f>Str!F114</f>
        <v>กก.</v>
      </c>
      <c r="G90" s="1260">
        <f>Str!E114</f>
        <v>2249.3000000000002</v>
      </c>
      <c r="H90" s="1260">
        <f>Str!I114</f>
        <v>66577.455295907392</v>
      </c>
      <c r="I90" s="1260">
        <f>Str!L114</f>
        <v>29440.441381639401</v>
      </c>
      <c r="J90" s="1260">
        <f>Str!M114</f>
        <v>96017.896677546785</v>
      </c>
    </row>
    <row r="91" spans="1:10" hidden="1" outlineLevel="1">
      <c r="A91" t="s">
        <v>39</v>
      </c>
      <c r="B91" t="s">
        <v>40</v>
      </c>
      <c r="C91" t="s">
        <v>49</v>
      </c>
      <c r="D91" t="s">
        <v>48</v>
      </c>
      <c r="E91" t="str">
        <f>IF(LEN(Str!C115)&gt;0, Str!C115, Str!B115)</f>
        <v>งานสีกันสนิม</v>
      </c>
      <c r="F91" s="1260">
        <f>Str!F115</f>
        <v>0</v>
      </c>
      <c r="G91" s="1260">
        <f>Str!E115</f>
        <v>0</v>
      </c>
      <c r="H91" s="1260">
        <f>Str!I115</f>
        <v>0</v>
      </c>
      <c r="I91" s="1260">
        <f>Str!L115</f>
        <v>0</v>
      </c>
      <c r="J91" s="1260">
        <f>Str!M115</f>
        <v>0</v>
      </c>
    </row>
    <row r="92" spans="1:10" hidden="1" outlineLevel="1">
      <c r="A92" t="s">
        <v>39</v>
      </c>
      <c r="B92" t="s">
        <v>40</v>
      </c>
      <c r="C92" t="s">
        <v>49</v>
      </c>
      <c r="D92" t="s">
        <v>48</v>
      </c>
      <c r="E92" t="str">
        <f>IF(LEN(Str!C116)&gt;0, Str!C116, Str!B116)</f>
        <v>งานสีกันสนิม   เหล็ก 1 ตัน ต่อ ทาสี 25 ตร.ม.</v>
      </c>
      <c r="F92" s="1260" t="str">
        <f>Str!F116</f>
        <v>ตร.ม.</v>
      </c>
      <c r="G92" s="1260">
        <f>Str!E116</f>
        <v>214.9</v>
      </c>
      <c r="H92" s="1260">
        <f>Str!I116</f>
        <v>5629.5469351944057</v>
      </c>
      <c r="I92" s="1260">
        <f>Str!L116</f>
        <v>6027.3521790089999</v>
      </c>
      <c r="J92" s="1260">
        <f>Str!M116</f>
        <v>11656.899114203406</v>
      </c>
    </row>
    <row r="93" spans="1:10" hidden="1" outlineLevel="1">
      <c r="A93" t="s">
        <v>39</v>
      </c>
      <c r="B93" t="s">
        <v>40</v>
      </c>
      <c r="C93" t="s">
        <v>49</v>
      </c>
      <c r="D93" t="s">
        <v>48</v>
      </c>
      <c r="E93" t="str">
        <f>IF(LEN(Str!C117)&gt;0, Str!C117, Str!B117)</f>
        <v>งานสีน้ำมัน  เหล็ก 1 ตัน ต่อ ทาสี 25 ตร.ม.</v>
      </c>
      <c r="F93" s="1260" t="str">
        <f>Str!F117</f>
        <v>ตร.ม.</v>
      </c>
      <c r="G93" s="1260">
        <f>Str!E117</f>
        <v>214.9</v>
      </c>
      <c r="H93" s="1260">
        <f>Str!I117</f>
        <v>6493.4674141856958</v>
      </c>
      <c r="I93" s="1260">
        <f>Str!L117</f>
        <v>7031.9108755104999</v>
      </c>
      <c r="J93" s="1260">
        <f>Str!M117</f>
        <v>13525.378289696197</v>
      </c>
    </row>
    <row r="94" spans="1:10" hidden="1" outlineLevel="1">
      <c r="A94" t="s">
        <v>39</v>
      </c>
      <c r="F94" s="1260"/>
      <c r="G94" s="1260"/>
      <c r="H94" s="1260"/>
      <c r="I94" s="1260"/>
      <c r="J94" s="1260"/>
    </row>
    <row r="95" spans="1:10" hidden="1" outlineLevel="1">
      <c r="A95" t="s">
        <v>39</v>
      </c>
      <c r="B95" t="s">
        <v>40</v>
      </c>
      <c r="C95" t="s">
        <v>50</v>
      </c>
      <c r="E95" t="str">
        <f>IF(LEN(Str!C119)&gt;0, Str!C119, Str!B119)</f>
        <v>งานโครงสร้าง เสา คาน พื้นชั้น 2</v>
      </c>
      <c r="F95" s="1260">
        <f>Str!F119</f>
        <v>0</v>
      </c>
      <c r="G95" s="1260">
        <f>Str!E119</f>
        <v>0</v>
      </c>
      <c r="H95" s="1260">
        <f>Str!I119</f>
        <v>0</v>
      </c>
      <c r="I95" s="1260">
        <f>Str!L119</f>
        <v>0</v>
      </c>
      <c r="J95" s="1260">
        <f>Str!M119</f>
        <v>0</v>
      </c>
    </row>
    <row r="96" spans="1:10" hidden="1" outlineLevel="1">
      <c r="A96" t="s">
        <v>39</v>
      </c>
      <c r="B96" t="s">
        <v>40</v>
      </c>
      <c r="C96" t="s">
        <v>50</v>
      </c>
      <c r="D96" t="s">
        <v>46</v>
      </c>
      <c r="E96" t="str">
        <f>IF(LEN(Str!C120)&gt;0, Str!C120, Str!B120)</f>
        <v>คาน</v>
      </c>
      <c r="F96" s="1260">
        <f>Str!F120</f>
        <v>0</v>
      </c>
      <c r="G96" s="1260">
        <f>Str!E120</f>
        <v>0</v>
      </c>
      <c r="H96" s="1260">
        <f>Str!I120</f>
        <v>0</v>
      </c>
      <c r="I96" s="1260">
        <f>Str!L120</f>
        <v>0</v>
      </c>
      <c r="J96" s="1260">
        <f>Str!M120</f>
        <v>0</v>
      </c>
    </row>
    <row r="97" spans="1:10" hidden="1" outlineLevel="1">
      <c r="A97" t="s">
        <v>39</v>
      </c>
      <c r="B97" t="s">
        <v>40</v>
      </c>
      <c r="C97" t="s">
        <v>50</v>
      </c>
      <c r="D97" t="s">
        <v>46</v>
      </c>
      <c r="E97" t="str">
        <f>IF(LEN(Str!C121)&gt;0, Str!C121, Str!B121)</f>
        <v>WF300x200x8x12 mm.-56.8 kg/m</v>
      </c>
      <c r="F97" s="1260" t="str">
        <f>Str!F121</f>
        <v>กก.</v>
      </c>
      <c r="G97" s="1260">
        <f>Str!E121</f>
        <v>6154.3</v>
      </c>
      <c r="H97" s="1260">
        <f>Str!I121</f>
        <v>182162.2874350255</v>
      </c>
      <c r="I97" s="1260">
        <f>Str!L121</f>
        <v>80551.864311129393</v>
      </c>
      <c r="J97" s="1260">
        <f>Str!M121</f>
        <v>262714.15174615488</v>
      </c>
    </row>
    <row r="98" spans="1:10" hidden="1" outlineLevel="1">
      <c r="A98" t="s">
        <v>39</v>
      </c>
      <c r="B98" t="s">
        <v>40</v>
      </c>
      <c r="C98" t="s">
        <v>50</v>
      </c>
      <c r="D98" t="s">
        <v>46</v>
      </c>
      <c r="E98" t="str">
        <f>IF(LEN(Str!C122)&gt;0, Str!C122, Str!B122)</f>
        <v>Steel Plate 12 mm.Thk.</v>
      </c>
      <c r="F98" s="1260" t="str">
        <f>Str!F122</f>
        <v>กก.</v>
      </c>
      <c r="G98" s="1260">
        <f>Str!E122</f>
        <v>131.80000000000001</v>
      </c>
      <c r="H98" s="1260">
        <f>Str!I122</f>
        <v>3076.8253884471624</v>
      </c>
      <c r="I98" s="1260">
        <f>Str!L122</f>
        <v>1725.0923283243999</v>
      </c>
      <c r="J98" s="1260">
        <f>Str!M122</f>
        <v>4801.9177167715625</v>
      </c>
    </row>
    <row r="99" spans="1:10" hidden="1" outlineLevel="1">
      <c r="A99" t="s">
        <v>39</v>
      </c>
      <c r="B99" t="s">
        <v>40</v>
      </c>
      <c r="C99" t="s">
        <v>50</v>
      </c>
      <c r="D99" t="s">
        <v>47</v>
      </c>
      <c r="E99" t="str">
        <f>IF(LEN(Str!C123)&gt;0, Str!C123, Str!B123)</f>
        <v>พื้น</v>
      </c>
      <c r="F99" s="1260">
        <f>Str!F123</f>
        <v>0</v>
      </c>
      <c r="G99" s="1260">
        <f>Str!E123</f>
        <v>0</v>
      </c>
      <c r="H99" s="1260">
        <f>Str!I123</f>
        <v>0</v>
      </c>
      <c r="I99" s="1260">
        <f>Str!L123</f>
        <v>0</v>
      </c>
      <c r="J99" s="1260">
        <f>Str!M123</f>
        <v>0</v>
      </c>
    </row>
    <row r="100" spans="1:10" hidden="1" outlineLevel="1">
      <c r="A100" t="s">
        <v>39</v>
      </c>
      <c r="B100" t="s">
        <v>40</v>
      </c>
      <c r="C100" t="s">
        <v>50</v>
      </c>
      <c r="D100" t="s">
        <v>47</v>
      </c>
      <c r="E100" t="str">
        <f>IF(LEN(Str!C124)&gt;0, Str!C124, Str!B124)</f>
        <v xml:space="preserve"> งานคอนกรีตโครงสร้าง (fc' 240 ksc, Cyl.)</v>
      </c>
      <c r="F100" s="1260" t="str">
        <f>Str!F124</f>
        <v>ลบ.ม.</v>
      </c>
      <c r="G100" s="1260">
        <f>Str!E124</f>
        <v>14.1</v>
      </c>
      <c r="H100" s="1260">
        <f>Str!I124</f>
        <v>33047.784080988895</v>
      </c>
      <c r="I100" s="1260">
        <f>Str!L124</f>
        <v>6841.5635971412994</v>
      </c>
      <c r="J100" s="1260">
        <f>Str!M124</f>
        <v>39889.347678130194</v>
      </c>
    </row>
    <row r="101" spans="1:10" hidden="1" outlineLevel="1">
      <c r="A101" t="s">
        <v>39</v>
      </c>
      <c r="B101" t="s">
        <v>40</v>
      </c>
      <c r="C101" t="s">
        <v>50</v>
      </c>
      <c r="D101" t="s">
        <v>47</v>
      </c>
      <c r="E101" t="str">
        <f>IF(LEN(Str!C125)&gt;0, Str!C125, Str!B125)</f>
        <v>เหล็กเสริม</v>
      </c>
      <c r="F101" s="1260">
        <f>Str!F125</f>
        <v>0</v>
      </c>
      <c r="G101" s="1260">
        <f>Str!E125</f>
        <v>0</v>
      </c>
      <c r="H101" s="1260">
        <f>Str!I125</f>
        <v>0</v>
      </c>
      <c r="I101" s="1260">
        <f>Str!L125</f>
        <v>0</v>
      </c>
      <c r="J101" s="1260">
        <f>Str!M125</f>
        <v>0</v>
      </c>
    </row>
    <row r="102" spans="1:10" hidden="1" outlineLevel="1">
      <c r="A102" t="s">
        <v>39</v>
      </c>
      <c r="B102" t="s">
        <v>40</v>
      </c>
      <c r="C102" t="s">
        <v>50</v>
      </c>
      <c r="D102" t="s">
        <v>47</v>
      </c>
      <c r="E102" t="str">
        <f>IF(LEN(Str!C126)&gt;0, Str!C126, Str!B126)</f>
        <v>งานเหล็กเสริมคอนกรีต RB 9  (SR-24)</v>
      </c>
      <c r="F102" s="1260" t="str">
        <f>Str!F126</f>
        <v>กก.</v>
      </c>
      <c r="G102" s="1260">
        <f>Str!E126</f>
        <v>0</v>
      </c>
      <c r="H102" s="1260">
        <f>Str!I126</f>
        <v>0</v>
      </c>
      <c r="I102" s="1260">
        <f>Str!L126</f>
        <v>0</v>
      </c>
      <c r="J102" s="1260">
        <f>Str!M126</f>
        <v>0</v>
      </c>
    </row>
    <row r="103" spans="1:10" hidden="1" outlineLevel="1">
      <c r="A103" t="s">
        <v>39</v>
      </c>
      <c r="B103" t="s">
        <v>40</v>
      </c>
      <c r="C103" t="s">
        <v>50</v>
      </c>
      <c r="D103" t="s">
        <v>47</v>
      </c>
      <c r="E103" t="str">
        <f>IF(LEN(Str!C127)&gt;0, Str!C127, Str!B127)</f>
        <v>งานเหล็กเสริมคอนกรีต DB 12  (SD-40)</v>
      </c>
      <c r="F103" s="1260" t="str">
        <f>Str!F127</f>
        <v>กก.</v>
      </c>
      <c r="G103" s="1260">
        <f>Str!E127</f>
        <v>3145.8</v>
      </c>
      <c r="H103" s="1260">
        <f>Str!I127</f>
        <v>57938.364564776217</v>
      </c>
      <c r="I103" s="1260">
        <f>Str!L127</f>
        <v>10587.721443309361</v>
      </c>
      <c r="J103" s="1260">
        <f>Str!M127</f>
        <v>68526.086008085578</v>
      </c>
    </row>
    <row r="104" spans="1:10" hidden="1" outlineLevel="1">
      <c r="A104" t="s">
        <v>39</v>
      </c>
      <c r="B104" t="s">
        <v>40</v>
      </c>
      <c r="C104" t="s">
        <v>50</v>
      </c>
      <c r="D104" t="s">
        <v>47</v>
      </c>
      <c r="E104" t="str">
        <f>IF(LEN(Str!C128)&gt;0, Str!C128, Str!B128)</f>
        <v>งานเหล็กเสริมคอนกรีต DB 16  (SD-40)</v>
      </c>
      <c r="F104" s="1260" t="str">
        <f>Str!F128</f>
        <v>กก.</v>
      </c>
      <c r="G104" s="1260">
        <f>Str!E128</f>
        <v>0</v>
      </c>
      <c r="H104" s="1260">
        <f>Str!I128</f>
        <v>0</v>
      </c>
      <c r="I104" s="1260">
        <f>Str!L128</f>
        <v>0</v>
      </c>
      <c r="J104" s="1260">
        <f>Str!M128</f>
        <v>0</v>
      </c>
    </row>
    <row r="105" spans="1:10" hidden="1" outlineLevel="1">
      <c r="A105" t="s">
        <v>39</v>
      </c>
      <c r="B105" t="s">
        <v>40</v>
      </c>
      <c r="C105" t="s">
        <v>50</v>
      </c>
      <c r="D105" t="s">
        <v>47</v>
      </c>
      <c r="E105" t="str">
        <f>IF(LEN(Str!C129)&gt;0, Str!C129, Str!B129)</f>
        <v>ลวดผูกเหล็ก</v>
      </c>
      <c r="F105" s="1260" t="str">
        <f>Str!F129</f>
        <v>กก.</v>
      </c>
      <c r="G105" s="1260">
        <f>Str!E129</f>
        <v>57.1</v>
      </c>
      <c r="H105" s="1260">
        <f>Str!I129</f>
        <v>1446.6860610082701</v>
      </c>
      <c r="I105" s="1260">
        <f>Str!L129</f>
        <v>0</v>
      </c>
      <c r="J105" s="1260">
        <f>Str!M129</f>
        <v>1446.6860610082701</v>
      </c>
    </row>
    <row r="106" spans="1:10" hidden="1" outlineLevel="1">
      <c r="A106" t="s">
        <v>39</v>
      </c>
      <c r="B106" t="s">
        <v>40</v>
      </c>
      <c r="C106" t="s">
        <v>50</v>
      </c>
      <c r="D106" t="s">
        <v>47</v>
      </c>
      <c r="E106" t="str">
        <f>IF(LEN(Str!C130)&gt;0, Str!C130, Str!B130)</f>
        <v xml:space="preserve">ไม้แบบ ค้ำยัน นั่งร้าน </v>
      </c>
      <c r="F106" s="1260">
        <f>Str!F130</f>
        <v>0</v>
      </c>
      <c r="G106" s="1260">
        <f>Str!E130</f>
        <v>0</v>
      </c>
      <c r="H106" s="1260">
        <f>Str!I130</f>
        <v>0</v>
      </c>
      <c r="I106" s="1260">
        <f>Str!L130</f>
        <v>0</v>
      </c>
      <c r="J106" s="1260">
        <f>Str!M130</f>
        <v>0</v>
      </c>
    </row>
    <row r="107" spans="1:10" hidden="1" outlineLevel="1">
      <c r="A107" t="s">
        <v>39</v>
      </c>
      <c r="B107" t="s">
        <v>40</v>
      </c>
      <c r="C107" t="s">
        <v>50</v>
      </c>
      <c r="D107" t="s">
        <v>47</v>
      </c>
      <c r="E107" t="str">
        <f>IF(LEN(Str!C131)&gt;0, Str!C131, Str!B131)</f>
        <v>ไม้แบบ ค้ำยัน นั่งร้าน (อาคาร 3 ชั้น ใช้ 60%)</v>
      </c>
      <c r="F107" s="1260" t="str">
        <f>Str!F131</f>
        <v>ตร.ม.</v>
      </c>
      <c r="G107" s="1260">
        <f>Str!E131</f>
        <v>71.34</v>
      </c>
      <c r="H107" s="1260">
        <f>Str!I131</f>
        <v>16353.942585894694</v>
      </c>
      <c r="I107" s="1260">
        <f>Str!L131</f>
        <v>0</v>
      </c>
      <c r="J107" s="1260">
        <f>Str!M131</f>
        <v>16353.942585894694</v>
      </c>
    </row>
    <row r="108" spans="1:10" hidden="1" outlineLevel="1">
      <c r="A108" t="s">
        <v>39</v>
      </c>
      <c r="B108" t="s">
        <v>40</v>
      </c>
      <c r="C108" t="s">
        <v>50</v>
      </c>
      <c r="D108" t="s">
        <v>47</v>
      </c>
      <c r="E108" t="str">
        <f>IF(LEN(Str!C132)&gt;0, Str!C132, Str!B132)</f>
        <v>ค่าแรงประกอบและติดตั้งไม้แบบหล่อคอนกรีต (ใช้ 100%)</v>
      </c>
      <c r="F108" s="1260" t="str">
        <f>Str!F132</f>
        <v>ตร.ม.</v>
      </c>
      <c r="G108" s="1260">
        <f>Str!E132</f>
        <v>118.9</v>
      </c>
      <c r="H108" s="1260">
        <f>Str!I132</f>
        <v>0</v>
      </c>
      <c r="I108" s="1260">
        <f>Str!L132</f>
        <v>13450.4285813843</v>
      </c>
      <c r="J108" s="1260">
        <f>Str!M132</f>
        <v>13450.4285813843</v>
      </c>
    </row>
    <row r="109" spans="1:10" hidden="1" outlineLevel="1">
      <c r="A109" t="s">
        <v>39</v>
      </c>
      <c r="B109" t="s">
        <v>40</v>
      </c>
      <c r="C109" t="s">
        <v>50</v>
      </c>
      <c r="D109" t="s">
        <v>47</v>
      </c>
      <c r="E109" t="str">
        <f>IF(LEN(Str!C133)&gt;0, Str!C133, Str!B133)</f>
        <v>ไม้เคร่า (ใช้ 30% ของไม้แบบ 1 ตร.ม.)</v>
      </c>
      <c r="F109" s="1260" t="str">
        <f>Str!F133</f>
        <v>ลบ.ฟ.</v>
      </c>
      <c r="G109" s="1260">
        <f>Str!E133</f>
        <v>21.41</v>
      </c>
      <c r="H109" s="1260">
        <f>Str!I133</f>
        <v>6193.4686975976638</v>
      </c>
      <c r="I109" s="1260">
        <f>Str!L133</f>
        <v>0</v>
      </c>
      <c r="J109" s="1260">
        <f>Str!M133</f>
        <v>6193.4686975976638</v>
      </c>
    </row>
    <row r="110" spans="1:10" hidden="1" outlineLevel="1">
      <c r="A110" t="s">
        <v>39</v>
      </c>
      <c r="B110" t="s">
        <v>40</v>
      </c>
      <c r="C110" t="s">
        <v>50</v>
      </c>
      <c r="D110" t="s">
        <v>47</v>
      </c>
      <c r="E110" t="str">
        <f>IF(LEN(Str!C134)&gt;0, Str!C134, Str!B134)</f>
        <v>ตะปู (ใช้ 25% ของไม้แบบ 1 ตร.ม.)</v>
      </c>
      <c r="F110" s="1260" t="str">
        <f>Str!F134</f>
        <v>กก.</v>
      </c>
      <c r="G110" s="1260">
        <f>Str!E134</f>
        <v>17.84</v>
      </c>
      <c r="H110" s="1260">
        <f>Str!I134</f>
        <v>389.61582328609279</v>
      </c>
      <c r="I110" s="1260">
        <f>Str!L134</f>
        <v>0</v>
      </c>
      <c r="J110" s="1260">
        <f>Str!M134</f>
        <v>389.61582328609279</v>
      </c>
    </row>
    <row r="111" spans="1:10" hidden="1" outlineLevel="1">
      <c r="A111" t="s">
        <v>39</v>
      </c>
      <c r="B111" t="s">
        <v>40</v>
      </c>
      <c r="C111" t="s">
        <v>50</v>
      </c>
      <c r="D111" t="s">
        <v>48</v>
      </c>
      <c r="E111" t="str">
        <f>IF(LEN(Str!C135)&gt;0, Str!C135, Str!B135)</f>
        <v>เสา</v>
      </c>
      <c r="F111" s="1260">
        <f>Str!F135</f>
        <v>0</v>
      </c>
      <c r="G111" s="1260">
        <f>Str!E135</f>
        <v>0</v>
      </c>
      <c r="H111" s="1260">
        <f>Str!I135</f>
        <v>0</v>
      </c>
      <c r="I111" s="1260">
        <f>Str!L135</f>
        <v>0</v>
      </c>
      <c r="J111" s="1260">
        <f>Str!M135</f>
        <v>0</v>
      </c>
    </row>
    <row r="112" spans="1:10" hidden="1" outlineLevel="1">
      <c r="A112" t="s">
        <v>39</v>
      </c>
      <c r="B112" t="s">
        <v>40</v>
      </c>
      <c r="C112" t="s">
        <v>50</v>
      </c>
      <c r="D112" t="s">
        <v>48</v>
      </c>
      <c r="E112" t="str">
        <f>IF(LEN(Str!C136)&gt;0, Str!C136, Str!B136)</f>
        <v>WF300x200x8x12 mm.-56.8 kg/m</v>
      </c>
      <c r="F112" s="1260" t="str">
        <f>Str!F136</f>
        <v>กก.</v>
      </c>
      <c r="G112" s="1260">
        <f>Str!E136</f>
        <v>2999</v>
      </c>
      <c r="H112" s="1260">
        <f>Str!I136</f>
        <v>88767.967115291976</v>
      </c>
      <c r="I112" s="1260">
        <f>Str!L136</f>
        <v>39253.049261341999</v>
      </c>
      <c r="J112" s="1260">
        <f>Str!M136</f>
        <v>128021.01637663398</v>
      </c>
    </row>
    <row r="113" spans="1:10" hidden="1" outlineLevel="1">
      <c r="A113" t="s">
        <v>39</v>
      </c>
      <c r="B113" t="s">
        <v>40</v>
      </c>
      <c r="C113" t="s">
        <v>50</v>
      </c>
      <c r="D113" t="s">
        <v>48</v>
      </c>
      <c r="E113" t="str">
        <f>IF(LEN(Str!C137)&gt;0, Str!C137, Str!B137)</f>
        <v>งานสีกันสนิม</v>
      </c>
      <c r="F113" s="1260">
        <f>Str!F137</f>
        <v>0</v>
      </c>
      <c r="G113" s="1260">
        <f>Str!E137</f>
        <v>0</v>
      </c>
      <c r="H113" s="1260">
        <f>Str!I137</f>
        <v>0</v>
      </c>
      <c r="I113" s="1260">
        <f>Str!L137</f>
        <v>0</v>
      </c>
      <c r="J113" s="1260">
        <f>Str!M137</f>
        <v>0</v>
      </c>
    </row>
    <row r="114" spans="1:10" hidden="1" outlineLevel="1">
      <c r="A114" t="s">
        <v>39</v>
      </c>
      <c r="B114" t="s">
        <v>40</v>
      </c>
      <c r="C114" t="s">
        <v>50</v>
      </c>
      <c r="D114" t="s">
        <v>48</v>
      </c>
      <c r="E114" t="str">
        <f>IF(LEN(Str!C138)&gt;0, Str!C138, Str!B138)</f>
        <v>งานสีกันสนิม   เหล็ก 1 ตัน ต่อ ทาสี 25 ตร.ม.</v>
      </c>
      <c r="F114" s="1260" t="str">
        <f>Str!F138</f>
        <v>ตร.ม.</v>
      </c>
      <c r="G114" s="1260">
        <f>Str!E138</f>
        <v>232.1</v>
      </c>
      <c r="H114" s="1260">
        <f>Str!I138</f>
        <v>6080.1202589977738</v>
      </c>
      <c r="I114" s="1260">
        <f>Str!L138</f>
        <v>6509.7647312609997</v>
      </c>
      <c r="J114" s="1260">
        <f>Str!M138</f>
        <v>12589.884990258774</v>
      </c>
    </row>
    <row r="115" spans="1:10" hidden="1" outlineLevel="1">
      <c r="A115" t="s">
        <v>39</v>
      </c>
      <c r="B115" t="s">
        <v>40</v>
      </c>
      <c r="C115" t="s">
        <v>50</v>
      </c>
      <c r="D115" t="s">
        <v>48</v>
      </c>
      <c r="E115" t="str">
        <f>IF(LEN(Str!C139)&gt;0, Str!C139, Str!B139)</f>
        <v>งานสีน้ำมัน  เหล็ก 1 ตัน ต่อ ทาสี 25 ตร.ม.</v>
      </c>
      <c r="F115" s="1260" t="str">
        <f>Str!F139</f>
        <v>ตร.ม.</v>
      </c>
      <c r="G115" s="1260">
        <f>Str!E139</f>
        <v>232.1</v>
      </c>
      <c r="H115" s="1260">
        <f>Str!I139</f>
        <v>7013.186537145184</v>
      </c>
      <c r="I115" s="1260">
        <f>Str!L139</f>
        <v>7594.7255198044995</v>
      </c>
      <c r="J115" s="1260">
        <f>Str!M139</f>
        <v>14607.912056949684</v>
      </c>
    </row>
    <row r="116" spans="1:10" hidden="1" outlineLevel="1">
      <c r="A116" t="s">
        <v>39</v>
      </c>
      <c r="B116" t="s">
        <v>40</v>
      </c>
      <c r="C116" t="s">
        <v>51</v>
      </c>
      <c r="D116" t="s">
        <v>48</v>
      </c>
      <c r="E116" t="str">
        <f>IF(LEN(Str!C140)&gt;0, Str!C140, Str!B140)</f>
        <v>งานโครงสร้าง เสา คาน พื้นชั้น 3</v>
      </c>
      <c r="F116" s="1260">
        <f>Str!F140</f>
        <v>0</v>
      </c>
      <c r="G116" s="1260">
        <f>Str!E140</f>
        <v>0</v>
      </c>
      <c r="H116" s="1260">
        <f>Str!I140</f>
        <v>0</v>
      </c>
      <c r="I116" s="1260">
        <f>Str!L140</f>
        <v>0</v>
      </c>
      <c r="J116" s="1260">
        <f>Str!M140</f>
        <v>0</v>
      </c>
    </row>
    <row r="117" spans="1:10" hidden="1" outlineLevel="1">
      <c r="A117" t="s">
        <v>39</v>
      </c>
      <c r="B117" t="s">
        <v>40</v>
      </c>
      <c r="C117" t="s">
        <v>51</v>
      </c>
      <c r="D117" t="s">
        <v>46</v>
      </c>
      <c r="E117" t="str">
        <f>IF(LEN(Str!C141)&gt;0, Str!C141, Str!B141)</f>
        <v>คาน</v>
      </c>
      <c r="F117" s="1260">
        <f>Str!F141</f>
        <v>0</v>
      </c>
      <c r="G117" s="1260">
        <f>Str!E141</f>
        <v>0</v>
      </c>
      <c r="H117" s="1260">
        <f>Str!I141</f>
        <v>0</v>
      </c>
      <c r="I117" s="1260">
        <f>Str!L141</f>
        <v>0</v>
      </c>
      <c r="J117" s="1260">
        <f>Str!M141</f>
        <v>0</v>
      </c>
    </row>
    <row r="118" spans="1:10" hidden="1" outlineLevel="1">
      <c r="A118" t="s">
        <v>39</v>
      </c>
      <c r="B118" t="s">
        <v>40</v>
      </c>
      <c r="C118" t="s">
        <v>51</v>
      </c>
      <c r="D118" t="s">
        <v>46</v>
      </c>
      <c r="E118" t="str">
        <f>IF(LEN(Str!C142)&gt;0, Str!C142, Str!B142)</f>
        <v>WF300x200x8x12 mm.-56.8 kg/m</v>
      </c>
      <c r="F118" s="1260" t="str">
        <f>Str!F142</f>
        <v>กก.</v>
      </c>
      <c r="G118" s="1260">
        <f>Str!E142</f>
        <v>6154.3</v>
      </c>
      <c r="H118" s="1260">
        <f>Str!I142</f>
        <v>182162.2874350255</v>
      </c>
      <c r="I118" s="1260">
        <f>Str!L142</f>
        <v>80551.864311129393</v>
      </c>
      <c r="J118" s="1260">
        <f>Str!M142</f>
        <v>262714.15174615488</v>
      </c>
    </row>
    <row r="119" spans="1:10" hidden="1" outlineLevel="1">
      <c r="A119" t="s">
        <v>39</v>
      </c>
      <c r="B119" t="s">
        <v>40</v>
      </c>
      <c r="C119" t="s">
        <v>51</v>
      </c>
      <c r="D119" t="s">
        <v>46</v>
      </c>
      <c r="E119" t="str">
        <f>IF(LEN(Str!C143)&gt;0, Str!C143, Str!B143)</f>
        <v>Steel Plate 12 mm.Thk.</v>
      </c>
      <c r="F119" s="1260" t="str">
        <f>Str!F143</f>
        <v>กก.</v>
      </c>
      <c r="G119" s="1260">
        <f>Str!E143</f>
        <v>131.80000000000001</v>
      </c>
      <c r="H119" s="1260">
        <f>Str!I143</f>
        <v>3076.8253884471624</v>
      </c>
      <c r="I119" s="1260">
        <f>Str!L143</f>
        <v>1725.0923283243999</v>
      </c>
      <c r="J119" s="1260">
        <f>Str!M143</f>
        <v>4801.9177167715625</v>
      </c>
    </row>
    <row r="120" spans="1:10" hidden="1" outlineLevel="1">
      <c r="A120" t="s">
        <v>39</v>
      </c>
      <c r="B120" t="s">
        <v>40</v>
      </c>
      <c r="C120" t="s">
        <v>51</v>
      </c>
      <c r="D120" t="s">
        <v>47</v>
      </c>
      <c r="E120" t="str">
        <f>IF(LEN(Str!C144)&gt;0, Str!C144, Str!B144)</f>
        <v>พื้น</v>
      </c>
      <c r="F120" s="1260">
        <f>Str!F144</f>
        <v>0</v>
      </c>
      <c r="G120" s="1260">
        <f>Str!E144</f>
        <v>0</v>
      </c>
      <c r="H120" s="1260">
        <f>Str!I144</f>
        <v>0</v>
      </c>
      <c r="I120" s="1260">
        <f>Str!L144</f>
        <v>0</v>
      </c>
      <c r="J120" s="1260">
        <f>Str!M144</f>
        <v>0</v>
      </c>
    </row>
    <row r="121" spans="1:10" hidden="1" outlineLevel="1">
      <c r="A121" t="s">
        <v>39</v>
      </c>
      <c r="B121" t="s">
        <v>40</v>
      </c>
      <c r="C121" t="s">
        <v>51</v>
      </c>
      <c r="D121" t="s">
        <v>47</v>
      </c>
      <c r="E121" t="str">
        <f>IF(LEN(Str!C145)&gt;0, Str!C145, Str!B145)</f>
        <v xml:space="preserve"> งานคอนกรีตโครงสร้าง (fc' 240 ksc, Cyl.)</v>
      </c>
      <c r="F121" s="1260" t="str">
        <f>Str!F145</f>
        <v>ลบ.ม.</v>
      </c>
      <c r="G121" s="1260">
        <f>Str!E145</f>
        <v>14.1</v>
      </c>
      <c r="H121" s="1260">
        <f>Str!I145</f>
        <v>33047.784080988895</v>
      </c>
      <c r="I121" s="1260">
        <f>Str!L145</f>
        <v>6841.5635971412994</v>
      </c>
      <c r="J121" s="1260">
        <f>Str!M145</f>
        <v>39889.347678130194</v>
      </c>
    </row>
    <row r="122" spans="1:10" hidden="1" outlineLevel="1">
      <c r="A122" t="s">
        <v>39</v>
      </c>
      <c r="B122" t="s">
        <v>40</v>
      </c>
      <c r="C122" t="s">
        <v>51</v>
      </c>
      <c r="D122" t="s">
        <v>47</v>
      </c>
      <c r="E122" t="str">
        <f>IF(LEN(Str!C146)&gt;0, Str!C146, Str!B146)</f>
        <v>เหล็กเสริม</v>
      </c>
      <c r="F122" s="1260">
        <f>Str!F146</f>
        <v>0</v>
      </c>
      <c r="G122" s="1260">
        <f>Str!E146</f>
        <v>0</v>
      </c>
      <c r="H122" s="1260">
        <f>Str!I146</f>
        <v>0</v>
      </c>
      <c r="I122" s="1260">
        <f>Str!L146</f>
        <v>0</v>
      </c>
      <c r="J122" s="1260">
        <f>Str!M146</f>
        <v>0</v>
      </c>
    </row>
    <row r="123" spans="1:10" hidden="1" outlineLevel="1">
      <c r="A123" t="s">
        <v>39</v>
      </c>
      <c r="B123" t="s">
        <v>40</v>
      </c>
      <c r="C123" t="s">
        <v>51</v>
      </c>
      <c r="D123" t="s">
        <v>47</v>
      </c>
      <c r="E123" t="str">
        <f>IF(LEN(Str!C147)&gt;0, Str!C147, Str!B147)</f>
        <v>งานเหล็กเสริมคอนกรีต RB 9  (SR-24)</v>
      </c>
      <c r="F123" s="1260" t="str">
        <f>Str!F147</f>
        <v>กก.</v>
      </c>
      <c r="G123" s="1260">
        <f>Str!E147</f>
        <v>0</v>
      </c>
      <c r="H123" s="1260">
        <f>Str!I147</f>
        <v>0</v>
      </c>
      <c r="I123" s="1260">
        <f>Str!L147</f>
        <v>0</v>
      </c>
      <c r="J123" s="1260">
        <f>Str!M147</f>
        <v>0</v>
      </c>
    </row>
    <row r="124" spans="1:10" hidden="1" outlineLevel="1">
      <c r="A124" t="s">
        <v>39</v>
      </c>
      <c r="B124" t="s">
        <v>40</v>
      </c>
      <c r="C124" t="s">
        <v>51</v>
      </c>
      <c r="D124" t="s">
        <v>47</v>
      </c>
      <c r="E124" t="str">
        <f>IF(LEN(Str!C148)&gt;0, Str!C148, Str!B148)</f>
        <v>งานเหล็กเสริมคอนกรีต DB 12  (SD-40)</v>
      </c>
      <c r="F124" s="1260" t="str">
        <f>Str!F148</f>
        <v>กก.</v>
      </c>
      <c r="G124" s="1260">
        <f>Str!E148</f>
        <v>3145.5</v>
      </c>
      <c r="H124" s="1260">
        <f>Str!I148</f>
        <v>57932.839258218439</v>
      </c>
      <c r="I124" s="1260">
        <f>Str!L148</f>
        <v>10586.7117426186</v>
      </c>
      <c r="J124" s="1260">
        <f>Str!M148</f>
        <v>68519.551000837033</v>
      </c>
    </row>
    <row r="125" spans="1:10" hidden="1" outlineLevel="1">
      <c r="A125" t="s">
        <v>39</v>
      </c>
      <c r="B125" t="s">
        <v>40</v>
      </c>
      <c r="C125" t="s">
        <v>51</v>
      </c>
      <c r="D125" t="s">
        <v>47</v>
      </c>
      <c r="E125" t="str">
        <f>IF(LEN(Str!C149)&gt;0, Str!C149, Str!B149)</f>
        <v>งานเหล็กเสริมคอนกรีต DB 16  (SD-40)</v>
      </c>
      <c r="F125" s="1260" t="str">
        <f>Str!F149</f>
        <v>กก.</v>
      </c>
      <c r="G125" s="1260">
        <f>Str!E149</f>
        <v>0</v>
      </c>
      <c r="H125" s="1260">
        <f>Str!I149</f>
        <v>0</v>
      </c>
      <c r="I125" s="1260">
        <f>Str!L149</f>
        <v>0</v>
      </c>
      <c r="J125" s="1260">
        <f>Str!M149</f>
        <v>0</v>
      </c>
    </row>
    <row r="126" spans="1:10" hidden="1" outlineLevel="1">
      <c r="A126" t="s">
        <v>39</v>
      </c>
      <c r="B126" t="s">
        <v>40</v>
      </c>
      <c r="C126" t="s">
        <v>51</v>
      </c>
      <c r="D126" t="s">
        <v>47</v>
      </c>
      <c r="E126" t="str">
        <f>IF(LEN(Str!C150)&gt;0, Str!C150, Str!B150)</f>
        <v>ลวดผูกเหล็ก</v>
      </c>
      <c r="F126" s="1260" t="str">
        <f>Str!F150</f>
        <v>กก.</v>
      </c>
      <c r="G126" s="1260">
        <f>Str!E150</f>
        <v>57.1</v>
      </c>
      <c r="H126" s="1260">
        <f>Str!I150</f>
        <v>1446.6860610082701</v>
      </c>
      <c r="I126" s="1260">
        <f>Str!L150</f>
        <v>0</v>
      </c>
      <c r="J126" s="1260">
        <f>Str!M150</f>
        <v>1446.6860610082701</v>
      </c>
    </row>
    <row r="127" spans="1:10" hidden="1" outlineLevel="1">
      <c r="A127" t="s">
        <v>39</v>
      </c>
      <c r="B127" t="s">
        <v>40</v>
      </c>
      <c r="C127" t="s">
        <v>51</v>
      </c>
      <c r="D127" t="s">
        <v>47</v>
      </c>
      <c r="E127" t="str">
        <f>IF(LEN(Str!C151)&gt;0, Str!C151, Str!B151)</f>
        <v xml:space="preserve">ไม้แบบ ค้ำยัน นั่งร้าน </v>
      </c>
      <c r="F127" s="1260">
        <f>Str!F151</f>
        <v>0</v>
      </c>
      <c r="G127" s="1260">
        <f>Str!E151</f>
        <v>0</v>
      </c>
      <c r="H127" s="1260">
        <f>Str!I151</f>
        <v>0</v>
      </c>
      <c r="I127" s="1260">
        <f>Str!L151</f>
        <v>0</v>
      </c>
      <c r="J127" s="1260">
        <f>Str!M151</f>
        <v>0</v>
      </c>
    </row>
    <row r="128" spans="1:10" hidden="1" outlineLevel="1">
      <c r="A128" t="s">
        <v>39</v>
      </c>
      <c r="B128" t="s">
        <v>40</v>
      </c>
      <c r="C128" t="s">
        <v>51</v>
      </c>
      <c r="D128" t="s">
        <v>47</v>
      </c>
      <c r="E128" t="str">
        <f>IF(LEN(Str!C152)&gt;0, Str!C152, Str!B152)</f>
        <v>ไม้แบบ ค้ำยัน นั่งร้าน (อาคาร 3 ชั้น ใช้ 60%)</v>
      </c>
      <c r="F128" s="1260" t="str">
        <f>Str!F152</f>
        <v>ตร.ม.</v>
      </c>
      <c r="G128" s="1260">
        <f>Str!E152</f>
        <v>71.34</v>
      </c>
      <c r="H128" s="1260">
        <f>Str!I152</f>
        <v>16353.942585894694</v>
      </c>
      <c r="I128" s="1260">
        <f>Str!L152</f>
        <v>0</v>
      </c>
      <c r="J128" s="1260">
        <f>Str!M152</f>
        <v>16353.942585894694</v>
      </c>
    </row>
    <row r="129" spans="1:10" hidden="1" outlineLevel="1">
      <c r="A129" t="s">
        <v>39</v>
      </c>
      <c r="B129" t="s">
        <v>40</v>
      </c>
      <c r="C129" t="s">
        <v>51</v>
      </c>
      <c r="D129" t="s">
        <v>47</v>
      </c>
      <c r="E129" t="str">
        <f>IF(LEN(Str!C153)&gt;0, Str!C153, Str!B153)</f>
        <v>ค่าแรงประกอบและติดตั้งไม้แบบหล่อคอนกรีต (ใช้ 100%)</v>
      </c>
      <c r="F129" s="1260" t="str">
        <f>Str!F153</f>
        <v>ตร.ม.</v>
      </c>
      <c r="G129" s="1260">
        <f>Str!E153</f>
        <v>118.9</v>
      </c>
      <c r="H129" s="1260">
        <f>Str!I153</f>
        <v>0</v>
      </c>
      <c r="I129" s="1260">
        <f>Str!L153</f>
        <v>13450.4285813843</v>
      </c>
      <c r="J129" s="1260">
        <f>Str!M153</f>
        <v>13450.4285813843</v>
      </c>
    </row>
    <row r="130" spans="1:10" hidden="1" outlineLevel="1">
      <c r="A130" t="s">
        <v>39</v>
      </c>
      <c r="B130" t="s">
        <v>40</v>
      </c>
      <c r="C130" t="s">
        <v>51</v>
      </c>
      <c r="D130" t="s">
        <v>47</v>
      </c>
      <c r="E130" t="str">
        <f>IF(LEN(Str!C154)&gt;0, Str!C154, Str!B154)</f>
        <v>ไม้เคร่า (ใช้ 30% ของไม้แบบ 1 ตร.ม.)</v>
      </c>
      <c r="F130" s="1260" t="str">
        <f>Str!F154</f>
        <v>ลบ.ฟ.</v>
      </c>
      <c r="G130" s="1260">
        <f>Str!E154</f>
        <v>21.41</v>
      </c>
      <c r="H130" s="1260">
        <f>Str!I154</f>
        <v>6193.4686975976638</v>
      </c>
      <c r="I130" s="1260">
        <f>Str!L154</f>
        <v>0</v>
      </c>
      <c r="J130" s="1260">
        <f>Str!M154</f>
        <v>6193.4686975976638</v>
      </c>
    </row>
    <row r="131" spans="1:10" hidden="1" outlineLevel="1">
      <c r="A131" t="s">
        <v>39</v>
      </c>
      <c r="B131" t="s">
        <v>40</v>
      </c>
      <c r="C131" t="s">
        <v>51</v>
      </c>
      <c r="D131" t="s">
        <v>47</v>
      </c>
      <c r="E131" t="str">
        <f>IF(LEN(Str!C155)&gt;0, Str!C155, Str!B155)</f>
        <v>ตะปู (ใช้ 25% ของไม้แบบ 1 ตร.ม.)</v>
      </c>
      <c r="F131" s="1260" t="str">
        <f>Str!F155</f>
        <v>กก.</v>
      </c>
      <c r="G131" s="1260">
        <f>Str!E155</f>
        <v>17.84</v>
      </c>
      <c r="H131" s="1260">
        <f>Str!I155</f>
        <v>389.61582328609279</v>
      </c>
      <c r="I131" s="1260">
        <f>Str!L155</f>
        <v>0</v>
      </c>
      <c r="J131" s="1260">
        <f>Str!M155</f>
        <v>389.61582328609279</v>
      </c>
    </row>
    <row r="132" spans="1:10" hidden="1" outlineLevel="1">
      <c r="A132" t="s">
        <v>39</v>
      </c>
      <c r="B132" t="s">
        <v>40</v>
      </c>
      <c r="C132" t="s">
        <v>51</v>
      </c>
      <c r="D132" t="s">
        <v>48</v>
      </c>
      <c r="E132" t="str">
        <f>IF(LEN(Str!C156)&gt;0, Str!C156, Str!B156)</f>
        <v>เสา</v>
      </c>
      <c r="F132" s="1260">
        <f>Str!F156</f>
        <v>0</v>
      </c>
      <c r="G132" s="1260">
        <f>Str!E156</f>
        <v>0</v>
      </c>
      <c r="H132" s="1260">
        <f>Str!I156</f>
        <v>0</v>
      </c>
      <c r="I132" s="1260">
        <f>Str!L156</f>
        <v>0</v>
      </c>
      <c r="J132" s="1260">
        <f>Str!M156</f>
        <v>0</v>
      </c>
    </row>
    <row r="133" spans="1:10" hidden="1" outlineLevel="1">
      <c r="A133" t="s">
        <v>39</v>
      </c>
      <c r="B133" t="s">
        <v>40</v>
      </c>
      <c r="C133" t="s">
        <v>51</v>
      </c>
      <c r="D133" t="s">
        <v>48</v>
      </c>
      <c r="E133" t="str">
        <f>IF(LEN(Str!C157)&gt;0, Str!C157, Str!B157)</f>
        <v>WF300x200x8x12 mm.-56.8 kg/m</v>
      </c>
      <c r="F133" s="1260" t="str">
        <f>Str!F157</f>
        <v>กก.</v>
      </c>
      <c r="G133" s="1260">
        <f>Str!E157</f>
        <v>2436.6999999999998</v>
      </c>
      <c r="H133" s="1260">
        <f>Str!I157</f>
        <v>72124.343271034333</v>
      </c>
      <c r="I133" s="1260">
        <f>Str!L157</f>
        <v>31893.266133748595</v>
      </c>
      <c r="J133" s="1260">
        <f>Str!M157</f>
        <v>104017.60940478292</v>
      </c>
    </row>
    <row r="134" spans="1:10" hidden="1" outlineLevel="1">
      <c r="A134" t="s">
        <v>39</v>
      </c>
      <c r="B134" t="s">
        <v>40</v>
      </c>
      <c r="C134" t="s">
        <v>51</v>
      </c>
      <c r="D134" t="s">
        <v>48</v>
      </c>
      <c r="E134" t="str">
        <f>IF(LEN(Str!C158)&gt;0, Str!C158, Str!B158)</f>
        <v>งานสีกันสนิม</v>
      </c>
      <c r="F134" s="1260">
        <f>Str!F158</f>
        <v>0</v>
      </c>
      <c r="G134" s="1260">
        <f>Str!E158</f>
        <v>0</v>
      </c>
      <c r="H134" s="1260">
        <f>Str!I158</f>
        <v>0</v>
      </c>
      <c r="I134" s="1260">
        <f>Str!L158</f>
        <v>0</v>
      </c>
      <c r="J134" s="1260">
        <f>Str!M158</f>
        <v>0</v>
      </c>
    </row>
    <row r="135" spans="1:10" hidden="1" outlineLevel="1">
      <c r="A135" t="s">
        <v>39</v>
      </c>
      <c r="B135" t="s">
        <v>40</v>
      </c>
      <c r="C135" t="s">
        <v>51</v>
      </c>
      <c r="D135" t="s">
        <v>48</v>
      </c>
      <c r="E135" t="str">
        <f>IF(LEN(Str!C159)&gt;0, Str!C159, Str!B159)</f>
        <v>งานสีกันสนิม   เหล็ก 1 ตัน ต่อ ทาสี 25 ตร.ม.</v>
      </c>
      <c r="F135" s="1260" t="str">
        <f>Str!F159</f>
        <v>ตร.ม.</v>
      </c>
      <c r="G135" s="1260">
        <f>Str!E159</f>
        <v>218.1</v>
      </c>
      <c r="H135" s="1260">
        <f>Str!I159</f>
        <v>5713.3745303206133</v>
      </c>
      <c r="I135" s="1260">
        <f>Str!L159</f>
        <v>6117.1033515209992</v>
      </c>
      <c r="J135" s="1260">
        <f>Str!M159</f>
        <v>11830.477881841613</v>
      </c>
    </row>
    <row r="136" spans="1:10" hidden="1" outlineLevel="1">
      <c r="A136" t="s">
        <v>39</v>
      </c>
      <c r="B136" t="s">
        <v>40</v>
      </c>
      <c r="C136" t="s">
        <v>51</v>
      </c>
      <c r="D136" t="s">
        <v>48</v>
      </c>
      <c r="E136" t="str">
        <f>IF(LEN(Str!C160)&gt;0, Str!C160, Str!B160)</f>
        <v>งานสีน้ำมัน  เหล็ก 1 ตัน ต่อ ทาสี 25 ตร.ม.</v>
      </c>
      <c r="F136" s="1260" t="str">
        <f>Str!F160</f>
        <v>ตร.ม.</v>
      </c>
      <c r="G136" s="1260">
        <f>Str!E160</f>
        <v>218.1</v>
      </c>
      <c r="H136" s="1260">
        <f>Str!I160</f>
        <v>6590.1593440386241</v>
      </c>
      <c r="I136" s="1260">
        <f>Str!L160</f>
        <v>7136.6205767744996</v>
      </c>
      <c r="J136" s="1260">
        <f>Str!M160</f>
        <v>13726.779920813124</v>
      </c>
    </row>
    <row r="137" spans="1:10" hidden="1" outlineLevel="1">
      <c r="A137" t="s">
        <v>39</v>
      </c>
      <c r="B137" t="s">
        <v>40</v>
      </c>
      <c r="C137" t="s">
        <v>52</v>
      </c>
      <c r="E137" t="str">
        <f>IF(LEN(Str!C161)&gt;0, Str!C161, Str!B161)</f>
        <v>งานโครงสร้าง คาน พื้นชั้นดาดฟ้า</v>
      </c>
      <c r="F137" s="1260">
        <f>Str!F161</f>
        <v>0</v>
      </c>
      <c r="G137" s="1260">
        <f>Str!E161</f>
        <v>0</v>
      </c>
      <c r="H137" s="1260">
        <f>Str!I161</f>
        <v>0</v>
      </c>
      <c r="I137" s="1260">
        <f>Str!L161</f>
        <v>0</v>
      </c>
      <c r="J137" s="1260">
        <f>Str!M161</f>
        <v>0</v>
      </c>
    </row>
    <row r="138" spans="1:10" hidden="1" outlineLevel="1">
      <c r="A138" t="s">
        <v>39</v>
      </c>
      <c r="B138" t="s">
        <v>40</v>
      </c>
      <c r="C138" t="s">
        <v>52</v>
      </c>
      <c r="D138" t="s">
        <v>46</v>
      </c>
      <c r="E138" t="str">
        <f>IF(LEN(Str!C162)&gt;0, Str!C162, Str!B162)</f>
        <v>คาน</v>
      </c>
      <c r="F138" s="1260">
        <f>Str!F162</f>
        <v>0</v>
      </c>
      <c r="G138" s="1260">
        <f>Str!E162</f>
        <v>0</v>
      </c>
      <c r="H138" s="1260">
        <f>Str!I162</f>
        <v>0</v>
      </c>
      <c r="I138" s="1260">
        <f>Str!L162</f>
        <v>0</v>
      </c>
      <c r="J138" s="1260">
        <f>Str!M162</f>
        <v>0</v>
      </c>
    </row>
    <row r="139" spans="1:10" hidden="1" outlineLevel="1">
      <c r="A139" t="s">
        <v>39</v>
      </c>
      <c r="B139" t="s">
        <v>40</v>
      </c>
      <c r="C139" t="s">
        <v>52</v>
      </c>
      <c r="D139" t="s">
        <v>46</v>
      </c>
      <c r="E139" t="str">
        <f>IF(LEN(Str!C163)&gt;0, Str!C163, Str!B163)</f>
        <v>WF300x200x8x12 mm.-56.8 kg/m</v>
      </c>
      <c r="F139" s="1260" t="str">
        <f>Str!F163</f>
        <v>กก.</v>
      </c>
      <c r="G139" s="1260">
        <f>Str!E163</f>
        <v>5510.7</v>
      </c>
      <c r="H139" s="1260">
        <f>Str!I163</f>
        <v>163112.24954392781</v>
      </c>
      <c r="I139" s="1260">
        <f>Str!L163</f>
        <v>72127.968844440591</v>
      </c>
      <c r="J139" s="1260">
        <f>Str!M163</f>
        <v>235240.2183883684</v>
      </c>
    </row>
    <row r="140" spans="1:10" hidden="1" outlineLevel="1">
      <c r="A140" t="s">
        <v>39</v>
      </c>
      <c r="B140" t="s">
        <v>40</v>
      </c>
      <c r="C140" t="s">
        <v>52</v>
      </c>
      <c r="D140" t="s">
        <v>46</v>
      </c>
      <c r="E140" t="str">
        <f>IF(LEN(Str!C164)&gt;0, Str!C164, Str!B164)</f>
        <v>Steel Plate 12 mm.Thk.</v>
      </c>
      <c r="F140" s="1260" t="str">
        <f>Str!F164</f>
        <v>กก.</v>
      </c>
      <c r="G140" s="1260">
        <f>Str!E164</f>
        <v>131.80000000000001</v>
      </c>
      <c r="H140" s="1260">
        <f>Str!I164</f>
        <v>3076.8253884471624</v>
      </c>
      <c r="I140" s="1260">
        <f>Str!L164</f>
        <v>1725.0923283243999</v>
      </c>
      <c r="J140" s="1260">
        <f>Str!M164</f>
        <v>4801.9177167715625</v>
      </c>
    </row>
    <row r="141" spans="1:10" hidden="1" outlineLevel="1">
      <c r="A141" t="s">
        <v>39</v>
      </c>
      <c r="B141" t="s">
        <v>40</v>
      </c>
      <c r="C141" t="s">
        <v>52</v>
      </c>
      <c r="D141" t="s">
        <v>47</v>
      </c>
      <c r="E141" t="str">
        <f>IF(LEN(Str!C165)&gt;0, Str!C165, Str!B165)</f>
        <v>พื้น</v>
      </c>
      <c r="F141" s="1260">
        <f>Str!F165</f>
        <v>0</v>
      </c>
      <c r="G141" s="1260">
        <f>Str!E165</f>
        <v>0</v>
      </c>
      <c r="H141" s="1260">
        <f>Str!I165</f>
        <v>0</v>
      </c>
      <c r="I141" s="1260">
        <f>Str!L165</f>
        <v>0</v>
      </c>
      <c r="J141" s="1260">
        <f>Str!M165</f>
        <v>0</v>
      </c>
    </row>
    <row r="142" spans="1:10" hidden="1" outlineLevel="1">
      <c r="A142" t="s">
        <v>39</v>
      </c>
      <c r="B142" t="s">
        <v>40</v>
      </c>
      <c r="C142" t="s">
        <v>52</v>
      </c>
      <c r="D142" t="s">
        <v>47</v>
      </c>
      <c r="E142" t="str">
        <f>IF(LEN(Str!C166)&gt;0, Str!C166, Str!B166)</f>
        <v xml:space="preserve"> งานคอนกรีตโครงสร้าง (fc' 240 ksc, Cyl.) ผสมน้ำยากันซึม</v>
      </c>
      <c r="F142" s="1260" t="str">
        <f>Str!F166</f>
        <v>ลบ.ม.</v>
      </c>
      <c r="G142" s="1260">
        <f>Str!E166</f>
        <v>14.4</v>
      </c>
      <c r="H142" s="1260">
        <f>Str!I166</f>
        <v>28507.216169124</v>
      </c>
      <c r="I142" s="1260">
        <f>Str!L166</f>
        <v>6987.1287800591999</v>
      </c>
      <c r="J142" s="1260">
        <f>Str!M166</f>
        <v>35494.3449491832</v>
      </c>
    </row>
    <row r="143" spans="1:10" hidden="1" outlineLevel="1">
      <c r="A143" t="s">
        <v>39</v>
      </c>
      <c r="B143" t="s">
        <v>40</v>
      </c>
      <c r="C143" t="s">
        <v>52</v>
      </c>
      <c r="D143" t="s">
        <v>47</v>
      </c>
      <c r="E143" t="str">
        <f>IF(LEN(Str!C167)&gt;0, Str!C167, Str!B167)</f>
        <v>เหล็กเสริม</v>
      </c>
      <c r="F143" s="1260">
        <f>Str!F167</f>
        <v>0</v>
      </c>
      <c r="G143" s="1260">
        <f>Str!E167</f>
        <v>0</v>
      </c>
      <c r="H143" s="1260">
        <f>Str!I167</f>
        <v>0</v>
      </c>
      <c r="I143" s="1260">
        <f>Str!L167</f>
        <v>0</v>
      </c>
      <c r="J143" s="1260">
        <f>Str!M167</f>
        <v>0</v>
      </c>
    </row>
    <row r="144" spans="1:10" hidden="1" outlineLevel="1">
      <c r="A144" t="s">
        <v>39</v>
      </c>
      <c r="B144" t="s">
        <v>40</v>
      </c>
      <c r="C144" t="s">
        <v>52</v>
      </c>
      <c r="D144" t="s">
        <v>47</v>
      </c>
      <c r="E144" t="str">
        <f>IF(LEN(Str!C168)&gt;0, Str!C168, Str!B168)</f>
        <v>งานเหล็กเสริมคอนกรีต RB 9  (SR-24)</v>
      </c>
      <c r="F144" s="1260" t="str">
        <f>Str!F168</f>
        <v>กก.</v>
      </c>
      <c r="G144" s="1260">
        <f>Str!E168</f>
        <v>0</v>
      </c>
      <c r="H144" s="1260">
        <f>Str!I168</f>
        <v>0</v>
      </c>
      <c r="I144" s="1260">
        <f>Str!L168</f>
        <v>0</v>
      </c>
      <c r="J144" s="1260">
        <f>Str!M168</f>
        <v>0</v>
      </c>
    </row>
    <row r="145" spans="1:10" hidden="1" outlineLevel="1">
      <c r="A145" t="s">
        <v>39</v>
      </c>
      <c r="B145" t="s">
        <v>40</v>
      </c>
      <c r="C145" t="s">
        <v>52</v>
      </c>
      <c r="D145" t="s">
        <v>47</v>
      </c>
      <c r="E145" t="str">
        <f>IF(LEN(Str!C169)&gt;0, Str!C169, Str!B169)</f>
        <v>งานเหล็กเสริมคอนกรีต DB 12  (SD-40)</v>
      </c>
      <c r="F145" s="1260" t="str">
        <f>Str!F169</f>
        <v>กก.</v>
      </c>
      <c r="G145" s="1260">
        <f>Str!E169</f>
        <v>3227.5</v>
      </c>
      <c r="H145" s="1260">
        <f>Str!I169</f>
        <v>59443.089717342242</v>
      </c>
      <c r="I145" s="1260">
        <f>Str!L169</f>
        <v>10862.696598093</v>
      </c>
      <c r="J145" s="1260">
        <f>Str!M169</f>
        <v>70305.786315435238</v>
      </c>
    </row>
    <row r="146" spans="1:10" hidden="1" outlineLevel="1">
      <c r="A146" t="s">
        <v>39</v>
      </c>
      <c r="B146" t="s">
        <v>40</v>
      </c>
      <c r="C146" t="s">
        <v>52</v>
      </c>
      <c r="D146" t="s">
        <v>47</v>
      </c>
      <c r="E146" t="str">
        <f>IF(LEN(Str!C170)&gt;0, Str!C170, Str!B170)</f>
        <v>งานเหล็กเสริมคอนกรีต DB 16  (SD-40)</v>
      </c>
      <c r="F146" s="1260" t="str">
        <f>Str!F170</f>
        <v>กก.</v>
      </c>
      <c r="G146" s="1260">
        <f>Str!E170</f>
        <v>0</v>
      </c>
      <c r="H146" s="1260">
        <f>Str!I170</f>
        <v>0</v>
      </c>
      <c r="I146" s="1260">
        <f>Str!L170</f>
        <v>0</v>
      </c>
      <c r="J146" s="1260">
        <f>Str!M170</f>
        <v>0</v>
      </c>
    </row>
    <row r="147" spans="1:10" hidden="1" outlineLevel="1">
      <c r="A147" t="s">
        <v>39</v>
      </c>
      <c r="B147" t="s">
        <v>40</v>
      </c>
      <c r="C147" t="s">
        <v>52</v>
      </c>
      <c r="D147" t="s">
        <v>47</v>
      </c>
      <c r="E147" t="str">
        <f>IF(LEN(Str!C171)&gt;0, Str!C171, Str!B171)</f>
        <v>ลวดผูกเหล็ก</v>
      </c>
      <c r="F147" s="1260" t="str">
        <f>Str!F171</f>
        <v>กก.</v>
      </c>
      <c r="G147" s="1260">
        <f>Str!E171</f>
        <v>58.6</v>
      </c>
      <c r="H147" s="1260">
        <f>Str!I171</f>
        <v>1484.69007311882</v>
      </c>
      <c r="I147" s="1260">
        <f>Str!L171</f>
        <v>0</v>
      </c>
      <c r="J147" s="1260">
        <f>Str!M171</f>
        <v>1484.69007311882</v>
      </c>
    </row>
    <row r="148" spans="1:10" hidden="1" outlineLevel="1">
      <c r="A148" t="s">
        <v>39</v>
      </c>
      <c r="B148" t="s">
        <v>40</v>
      </c>
      <c r="C148" t="s">
        <v>52</v>
      </c>
      <c r="D148" t="s">
        <v>47</v>
      </c>
      <c r="E148" t="str">
        <f>IF(LEN(Str!C172)&gt;0, Str!C172, Str!B172)</f>
        <v xml:space="preserve">ไม้แบบ ค้ำยัน นั่งร้าน </v>
      </c>
      <c r="F148" s="1260">
        <f>Str!F172</f>
        <v>0</v>
      </c>
      <c r="G148" s="1260">
        <f>Str!E172</f>
        <v>0</v>
      </c>
      <c r="H148" s="1260">
        <f>Str!I172</f>
        <v>0</v>
      </c>
      <c r="I148" s="1260">
        <f>Str!L172</f>
        <v>0</v>
      </c>
      <c r="J148" s="1260">
        <f>Str!M172</f>
        <v>0</v>
      </c>
    </row>
    <row r="149" spans="1:10" hidden="1" outlineLevel="1">
      <c r="A149" t="s">
        <v>39</v>
      </c>
      <c r="B149" t="s">
        <v>40</v>
      </c>
      <c r="C149" t="s">
        <v>52</v>
      </c>
      <c r="D149" t="s">
        <v>47</v>
      </c>
      <c r="E149" t="str">
        <f>IF(LEN(Str!C173)&gt;0, Str!C173, Str!B173)</f>
        <v>ไม้แบบ ค้ำยัน นั่งร้าน (อาคาร 3 ชั้น ใช้ 60%)</v>
      </c>
      <c r="F149" s="1260" t="str">
        <f>Str!F173</f>
        <v>ตร.ม.</v>
      </c>
      <c r="G149" s="1260">
        <f>Str!E173</f>
        <v>73.2</v>
      </c>
      <c r="H149" s="1260">
        <f>Str!I173</f>
        <v>16780.327968706079</v>
      </c>
      <c r="I149" s="1260">
        <f>Str!L173</f>
        <v>0</v>
      </c>
      <c r="J149" s="1260">
        <f>Str!M173</f>
        <v>16780.327968706079</v>
      </c>
    </row>
    <row r="150" spans="1:10" hidden="1" outlineLevel="1">
      <c r="A150" t="s">
        <v>39</v>
      </c>
      <c r="B150" t="s">
        <v>40</v>
      </c>
      <c r="C150" t="s">
        <v>52</v>
      </c>
      <c r="D150" t="s">
        <v>47</v>
      </c>
      <c r="E150" t="str">
        <f>IF(LEN(Str!C174)&gt;0, Str!C174, Str!B174)</f>
        <v>ค่าแรงประกอบและติดตั้งไม้แบบหล่อคอนกรีต (ใช้ 100%)</v>
      </c>
      <c r="F150" s="1260" t="str">
        <f>Str!F174</f>
        <v>ตร.ม.</v>
      </c>
      <c r="G150" s="1260">
        <f>Str!E174</f>
        <v>122</v>
      </c>
      <c r="H150" s="1260">
        <f>Str!I174</f>
        <v>0</v>
      </c>
      <c r="I150" s="1260">
        <f>Str!L174</f>
        <v>13801.112589814</v>
      </c>
      <c r="J150" s="1260">
        <f>Str!M174</f>
        <v>13801.112589814</v>
      </c>
    </row>
    <row r="151" spans="1:10" hidden="1" outlineLevel="1">
      <c r="A151" t="s">
        <v>39</v>
      </c>
      <c r="B151" t="s">
        <v>40</v>
      </c>
      <c r="C151" t="s">
        <v>52</v>
      </c>
      <c r="D151" t="s">
        <v>47</v>
      </c>
      <c r="E151" t="str">
        <f>IF(LEN(Str!C175)&gt;0, Str!C175, Str!B175)</f>
        <v>ไม้เคร่า (ใช้ 30% ของไม้แบบ 1 ตร.ม.)</v>
      </c>
      <c r="F151" s="1260" t="str">
        <f>Str!F175</f>
        <v>ลบ.ฟ.</v>
      </c>
      <c r="G151" s="1260">
        <f>Str!E175</f>
        <v>21.96</v>
      </c>
      <c r="H151" s="1260">
        <f>Str!I175</f>
        <v>6352.5722839441705</v>
      </c>
      <c r="I151" s="1260">
        <f>Str!L175</f>
        <v>0</v>
      </c>
      <c r="J151" s="1260">
        <f>Str!M175</f>
        <v>6352.5722839441705</v>
      </c>
    </row>
    <row r="152" spans="1:10" hidden="1" outlineLevel="1">
      <c r="A152" t="s">
        <v>39</v>
      </c>
      <c r="B152" t="s">
        <v>40</v>
      </c>
      <c r="C152" t="s">
        <v>52</v>
      </c>
      <c r="D152" t="s">
        <v>47</v>
      </c>
      <c r="E152" t="str">
        <f>IF(LEN(Str!C176)&gt;0, Str!C176, Str!B176)</f>
        <v>ตะปู (ใช้ 25% ของไม้แบบ 1 ตร.ม.)</v>
      </c>
      <c r="F152" s="1260" t="str">
        <f>Str!F176</f>
        <v>กก.</v>
      </c>
      <c r="G152" s="1260">
        <f>Str!E176</f>
        <v>18.3</v>
      </c>
      <c r="H152" s="1260">
        <f>Str!I176</f>
        <v>399.66197119593602</v>
      </c>
      <c r="I152" s="1260">
        <f>Str!L176</f>
        <v>0</v>
      </c>
      <c r="J152" s="1260">
        <f>Str!M176</f>
        <v>399.66197119593602</v>
      </c>
    </row>
    <row r="153" spans="1:10" hidden="1" outlineLevel="1">
      <c r="A153" t="s">
        <v>39</v>
      </c>
      <c r="B153" t="s">
        <v>40</v>
      </c>
      <c r="C153" t="s">
        <v>52</v>
      </c>
      <c r="D153" t="s">
        <v>47</v>
      </c>
      <c r="E153" t="str">
        <f>IF(LEN(Str!C177)&gt;0, Str!C177, Str!B177)</f>
        <v>งานสีกันสนิม</v>
      </c>
      <c r="F153" s="1260">
        <f>Str!F177</f>
        <v>0</v>
      </c>
      <c r="G153" s="1260">
        <f>Str!E177</f>
        <v>0</v>
      </c>
      <c r="H153" s="1260">
        <f>Str!I177</f>
        <v>0</v>
      </c>
      <c r="I153" s="1260">
        <f>Str!L177</f>
        <v>0</v>
      </c>
      <c r="J153" s="1260">
        <f>Str!M177</f>
        <v>0</v>
      </c>
    </row>
    <row r="154" spans="1:10" hidden="1" outlineLevel="1">
      <c r="A154" t="s">
        <v>39</v>
      </c>
      <c r="B154" t="s">
        <v>40</v>
      </c>
      <c r="C154" t="s">
        <v>52</v>
      </c>
      <c r="D154" t="s">
        <v>47</v>
      </c>
      <c r="E154" t="str">
        <f>IF(LEN(Str!C178)&gt;0, Str!C178, Str!B178)</f>
        <v>งานสีกันสนิม   เหล็ก 1 ตัน ต่อ ทาสี 25 ตร.ม.</v>
      </c>
      <c r="F154" s="1260" t="str">
        <f>Str!F178</f>
        <v>ตร.ม.</v>
      </c>
      <c r="G154" s="1260">
        <f>Str!E178</f>
        <v>141.1</v>
      </c>
      <c r="H154" s="1260">
        <f>Str!I178</f>
        <v>3696.2730225962337</v>
      </c>
      <c r="I154" s="1260">
        <f>Str!L178</f>
        <v>3957.4657629509998</v>
      </c>
      <c r="J154" s="1260">
        <f>Str!M178</f>
        <v>7653.7387855472334</v>
      </c>
    </row>
    <row r="155" spans="1:10" hidden="1" outlineLevel="1">
      <c r="A155" t="s">
        <v>39</v>
      </c>
      <c r="B155" t="s">
        <v>40</v>
      </c>
      <c r="C155" t="s">
        <v>52</v>
      </c>
      <c r="D155" t="s">
        <v>47</v>
      </c>
      <c r="E155" t="str">
        <f>IF(LEN(Str!C179)&gt;0, Str!C179, Str!B179)</f>
        <v>งานสีน้ำมัน  เหล็ก 1 ตัน ต่อ ทาสี 25 ตร.ม.</v>
      </c>
      <c r="F155" s="1260" t="str">
        <f>Str!F179</f>
        <v>ตร.ม.</v>
      </c>
      <c r="G155" s="1260">
        <f>Str!E179</f>
        <v>141.1</v>
      </c>
      <c r="H155" s="1260">
        <f>Str!I179</f>
        <v>4263.5097819525436</v>
      </c>
      <c r="I155" s="1260">
        <f>Str!L179</f>
        <v>4617.0433901095003</v>
      </c>
      <c r="J155" s="1260">
        <f>Str!M179</f>
        <v>8880.5531720620438</v>
      </c>
    </row>
    <row r="156" spans="1:10" hidden="1" outlineLevel="1">
      <c r="A156" t="s">
        <v>39</v>
      </c>
      <c r="F156" s="1260">
        <f>Str!F180</f>
        <v>0</v>
      </c>
      <c r="G156" s="1260">
        <f>Str!E180</f>
        <v>0</v>
      </c>
      <c r="H156" s="1260">
        <f>Str!I180</f>
        <v>0</v>
      </c>
      <c r="I156" s="1260">
        <f>Str!L180</f>
        <v>0</v>
      </c>
      <c r="J156" s="1260">
        <f>Str!M180</f>
        <v>0</v>
      </c>
    </row>
    <row r="157" spans="1:10" hidden="1" outlineLevel="1">
      <c r="F157" s="1260"/>
      <c r="G157" s="1260"/>
      <c r="H157" s="1260"/>
      <c r="I157" s="1260"/>
      <c r="J157" s="1260"/>
    </row>
    <row r="158" spans="1:10" hidden="1" outlineLevel="1">
      <c r="A158" t="s">
        <v>39</v>
      </c>
      <c r="F158" s="1260">
        <f>Str!F182</f>
        <v>0</v>
      </c>
      <c r="G158" s="1260">
        <f>Str!E182</f>
        <v>0</v>
      </c>
      <c r="H158" s="1260">
        <f>Str!I182</f>
        <v>0</v>
      </c>
      <c r="I158" s="1260">
        <f>Str!L182</f>
        <v>0</v>
      </c>
      <c r="J158" s="1260">
        <f>Str!M182</f>
        <v>0</v>
      </c>
    </row>
    <row r="159" spans="1:10" hidden="1" outlineLevel="1">
      <c r="A159" t="s">
        <v>39</v>
      </c>
      <c r="B159" t="s">
        <v>53</v>
      </c>
      <c r="E159" t="str">
        <f>IF(LEN(Str!C183)&gt;0, Str!C183, Str!B183)</f>
        <v>อาคารโถงลิฟท์</v>
      </c>
      <c r="F159" s="1260">
        <f>Str!F183</f>
        <v>0</v>
      </c>
      <c r="G159" s="1260">
        <f>Str!E183</f>
        <v>0</v>
      </c>
      <c r="H159" s="1260">
        <f>Str!I183</f>
        <v>0</v>
      </c>
      <c r="I159" s="1260">
        <f>Str!L183</f>
        <v>0</v>
      </c>
      <c r="J159" s="1260">
        <f>Str!M183</f>
        <v>0</v>
      </c>
    </row>
    <row r="160" spans="1:10" hidden="1" outlineLevel="1">
      <c r="A160" t="s">
        <v>39</v>
      </c>
      <c r="B160" t="s">
        <v>53</v>
      </c>
      <c r="C160" t="s">
        <v>41</v>
      </c>
      <c r="D160" t="s">
        <v>42</v>
      </c>
      <c r="E160" t="str">
        <f>IF(LEN(Str!C184)&gt;0, Str!C184, Str!B184)</f>
        <v>งานเสาเข็ม</v>
      </c>
      <c r="F160" s="1260">
        <f>Str!F184</f>
        <v>0</v>
      </c>
      <c r="G160" s="1260">
        <f>Str!E184</f>
        <v>0</v>
      </c>
      <c r="H160" s="1260">
        <f>Str!I184</f>
        <v>0</v>
      </c>
      <c r="I160" s="1260">
        <f>Str!L184</f>
        <v>0</v>
      </c>
      <c r="J160" s="1260">
        <f>Str!M184</f>
        <v>0</v>
      </c>
    </row>
    <row r="161" spans="1:10" hidden="1" outlineLevel="1">
      <c r="A161" t="s">
        <v>39</v>
      </c>
      <c r="B161" t="s">
        <v>53</v>
      </c>
      <c r="C161" t="s">
        <v>41</v>
      </c>
      <c r="D161" t="s">
        <v>42</v>
      </c>
      <c r="E161" t="str">
        <f>IF(LEN(Str!C185)&gt;0, Str!C185, Str!B185)</f>
        <v>เสาเข็มเจาะระบบแห้งขนาด Dia. 0.35 x 21 ม.</v>
      </c>
      <c r="F161" s="1260" t="str">
        <f>Str!F185</f>
        <v>ต้น</v>
      </c>
      <c r="G161" s="1260">
        <f>Str!E185</f>
        <v>8</v>
      </c>
      <c r="H161" s="1260">
        <f>Str!I185</f>
        <v>86011.540324000001</v>
      </c>
      <c r="I161" s="1260">
        <f>Str!L185</f>
        <v>0</v>
      </c>
      <c r="J161" s="1260">
        <f>Str!M185</f>
        <v>86011.540324000001</v>
      </c>
    </row>
    <row r="162" spans="1:10" hidden="1" outlineLevel="1">
      <c r="A162" t="s">
        <v>39</v>
      </c>
      <c r="B162" t="s">
        <v>53</v>
      </c>
      <c r="C162" t="s">
        <v>41</v>
      </c>
      <c r="D162" t="s">
        <v>42</v>
      </c>
      <c r="E162" t="str">
        <f>IF(LEN(Str!C186)&gt;0, Str!C186, Str!B186)</f>
        <v>งานตัดหัวเข็ม</v>
      </c>
      <c r="F162" s="1260" t="str">
        <f>Str!F186</f>
        <v>ต้น</v>
      </c>
      <c r="G162" s="1260">
        <f>Str!E186</f>
        <v>8</v>
      </c>
      <c r="H162" s="1260">
        <f>Str!I186</f>
        <v>0</v>
      </c>
      <c r="I162" s="1260">
        <f>Str!L186</f>
        <v>2617.7425315999999</v>
      </c>
      <c r="J162" s="1260">
        <f>Str!M186</f>
        <v>2617.7425315999999</v>
      </c>
    </row>
    <row r="163" spans="1:10" hidden="1" outlineLevel="1">
      <c r="A163" t="s">
        <v>39</v>
      </c>
      <c r="B163" t="s">
        <v>53</v>
      </c>
      <c r="C163" t="s">
        <v>41</v>
      </c>
      <c r="D163" t="s">
        <v>43</v>
      </c>
      <c r="E163" t="str">
        <f>IF(LEN(Str!C187)&gt;0, Str!C187, Str!B187)</f>
        <v>งานโครงสร้างฐานราก</v>
      </c>
      <c r="F163" s="1260">
        <f>Str!F187</f>
        <v>0</v>
      </c>
      <c r="G163" s="1260">
        <f>Str!E187</f>
        <v>0</v>
      </c>
      <c r="H163" s="1260">
        <f>Str!I187</f>
        <v>0</v>
      </c>
      <c r="I163" s="1260">
        <f>Str!L187</f>
        <v>0</v>
      </c>
      <c r="J163" s="1260">
        <f>Str!M187</f>
        <v>0</v>
      </c>
    </row>
    <row r="164" spans="1:10" hidden="1" outlineLevel="1">
      <c r="A164" t="s">
        <v>39</v>
      </c>
      <c r="B164" t="s">
        <v>53</v>
      </c>
      <c r="C164" t="s">
        <v>41</v>
      </c>
      <c r="D164" t="s">
        <v>43</v>
      </c>
      <c r="E164" t="str">
        <f>IF(LEN(Str!C188)&gt;0, Str!C188, Str!B188)</f>
        <v>งานปรับระดับขุดดินทำฐานราก/ถมกลับ</v>
      </c>
      <c r="F164" s="1260" t="str">
        <f>Str!F188</f>
        <v>ลบ.ม.</v>
      </c>
      <c r="G164" s="1260">
        <f>Str!E188</f>
        <v>11.3</v>
      </c>
      <c r="H164" s="1260">
        <f>Str!I188</f>
        <v>0</v>
      </c>
      <c r="I164" s="1260">
        <f>Str!L188</f>
        <v>1183.2196242831999</v>
      </c>
      <c r="J164" s="1260">
        <f>Str!M188</f>
        <v>1183.2196242831999</v>
      </c>
    </row>
    <row r="165" spans="1:10" hidden="1" outlineLevel="1">
      <c r="A165" t="s">
        <v>39</v>
      </c>
      <c r="B165" t="s">
        <v>53</v>
      </c>
      <c r="C165" t="s">
        <v>41</v>
      </c>
      <c r="D165" t="s">
        <v>43</v>
      </c>
      <c r="E165" t="str">
        <f>IF(LEN(Str!C189)&gt;0, Str!C189, Str!B189)</f>
        <v>งานถมทรายบดอัดรองฐานราก</v>
      </c>
      <c r="F165" s="1260" t="str">
        <f>Str!F189</f>
        <v>ลบ.ม.</v>
      </c>
      <c r="G165" s="1260">
        <f>Str!E189</f>
        <v>0.6</v>
      </c>
      <c r="H165" s="1260">
        <f>Str!I189</f>
        <v>285.14508451890595</v>
      </c>
      <c r="I165" s="1260">
        <f>Str!L189</f>
        <v>58.338262132799997</v>
      </c>
      <c r="J165" s="1260">
        <f>Str!M189</f>
        <v>343.48334665170592</v>
      </c>
    </row>
    <row r="166" spans="1:10" hidden="1" outlineLevel="1">
      <c r="A166" t="s">
        <v>39</v>
      </c>
      <c r="B166" t="s">
        <v>53</v>
      </c>
      <c r="C166" t="s">
        <v>41</v>
      </c>
      <c r="D166" t="s">
        <v>43</v>
      </c>
      <c r="E166" t="str">
        <f>IF(LEN(Str!C190)&gt;0, Str!C190, Str!B190)</f>
        <v>งานคอนกรีตหยาบรองฐานราก</v>
      </c>
      <c r="F166" s="1260" t="str">
        <f>Str!F190</f>
        <v>ลบ.ม.</v>
      </c>
      <c r="G166" s="1260">
        <f>Str!E190</f>
        <v>0.6</v>
      </c>
      <c r="H166" s="1260">
        <f>Str!I190</f>
        <v>1379.9242773719998</v>
      </c>
      <c r="I166" s="1260">
        <f>Str!L190</f>
        <v>238.96249681319998</v>
      </c>
      <c r="J166" s="1260">
        <f>Str!M190</f>
        <v>1618.8867741851998</v>
      </c>
    </row>
    <row r="167" spans="1:10" hidden="1" outlineLevel="1">
      <c r="A167" t="s">
        <v>39</v>
      </c>
      <c r="B167" t="s">
        <v>53</v>
      </c>
      <c r="C167" t="s">
        <v>41</v>
      </c>
      <c r="D167" t="s">
        <v>43</v>
      </c>
      <c r="E167" t="str">
        <f>IF(LEN(Str!C191)&gt;0, Str!C191, Str!B191)</f>
        <v xml:space="preserve"> งานคอนกรีตโครงสร้าง (fc' 240 ksc, Cyl.) ผสมน้ำยากันซึม</v>
      </c>
      <c r="F167" s="1260" t="str">
        <f>Str!F191</f>
        <v>ลบ.ม.</v>
      </c>
      <c r="G167" s="1260">
        <f>Str!E191</f>
        <v>2.9</v>
      </c>
      <c r="H167" s="1260">
        <f>Str!I191</f>
        <v>5741.0365896152498</v>
      </c>
      <c r="I167" s="1260">
        <f>Str!L191</f>
        <v>1407.1301015396998</v>
      </c>
      <c r="J167" s="1260">
        <f>Str!M191</f>
        <v>7148.1666911549491</v>
      </c>
    </row>
    <row r="168" spans="1:10" hidden="1" outlineLevel="1">
      <c r="A168" t="s">
        <v>39</v>
      </c>
      <c r="B168" t="s">
        <v>53</v>
      </c>
      <c r="C168" t="s">
        <v>41</v>
      </c>
      <c r="D168" t="s">
        <v>43</v>
      </c>
      <c r="E168" t="str">
        <f>IF(LEN(Str!C192)&gt;0, Str!C192, Str!B192)</f>
        <v>เหล็กเสริม</v>
      </c>
      <c r="F168" s="1260">
        <f>Str!F192</f>
        <v>0</v>
      </c>
      <c r="G168" s="1260">
        <f>Str!E192</f>
        <v>0</v>
      </c>
      <c r="H168" s="1260">
        <f>Str!I192</f>
        <v>0</v>
      </c>
      <c r="I168" s="1260">
        <f>Str!L192</f>
        <v>0</v>
      </c>
      <c r="J168" s="1260">
        <f>Str!M192</f>
        <v>0</v>
      </c>
    </row>
    <row r="169" spans="1:10" hidden="1" outlineLevel="1">
      <c r="A169" t="s">
        <v>39</v>
      </c>
      <c r="B169" t="s">
        <v>53</v>
      </c>
      <c r="C169" t="s">
        <v>41</v>
      </c>
      <c r="D169" t="s">
        <v>43</v>
      </c>
      <c r="E169" t="str">
        <f>IF(LEN(Str!C193)&gt;0, Str!C193, Str!B193)</f>
        <v>งานเหล็กเสริมคอนกรีต RB 9  (SR-24)</v>
      </c>
      <c r="F169" s="1260" t="str">
        <f>Str!F193</f>
        <v>กก.</v>
      </c>
      <c r="G169" s="1260">
        <f>Str!E193</f>
        <v>11.2</v>
      </c>
      <c r="H169" s="1260">
        <f>Str!I193</f>
        <v>205.23101447744</v>
      </c>
      <c r="I169" s="1260">
        <f>Str!L193</f>
        <v>46.072268556159997</v>
      </c>
      <c r="J169" s="1260">
        <f>Str!M193</f>
        <v>251.3032830336</v>
      </c>
    </row>
    <row r="170" spans="1:10" hidden="1" outlineLevel="1">
      <c r="A170" t="s">
        <v>39</v>
      </c>
      <c r="B170" t="s">
        <v>53</v>
      </c>
      <c r="C170" t="s">
        <v>41</v>
      </c>
      <c r="D170" t="s">
        <v>43</v>
      </c>
      <c r="E170" t="str">
        <f>IF(LEN(Str!C194)&gt;0, Str!C194, Str!B194)</f>
        <v>งานเหล็กเสริมคอนกรีต DB 12  (SD-40)</v>
      </c>
      <c r="F170" s="1260" t="str">
        <f>Str!F194</f>
        <v>กก.</v>
      </c>
      <c r="G170" s="1260">
        <f>Str!E194</f>
        <v>82.8</v>
      </c>
      <c r="H170" s="1260">
        <f>Str!I194</f>
        <v>1524.9846099445197</v>
      </c>
      <c r="I170" s="1260">
        <f>Str!L194</f>
        <v>278.67739064976001</v>
      </c>
      <c r="J170" s="1260">
        <f>Str!M194</f>
        <v>1803.6620005942796</v>
      </c>
    </row>
    <row r="171" spans="1:10" hidden="1" outlineLevel="1">
      <c r="A171" t="s">
        <v>39</v>
      </c>
      <c r="B171" t="s">
        <v>53</v>
      </c>
      <c r="C171" t="s">
        <v>41</v>
      </c>
      <c r="D171" t="s">
        <v>43</v>
      </c>
      <c r="E171" t="str">
        <f>IF(LEN(Str!C195)&gt;0, Str!C195, Str!B195)</f>
        <v>งานเหล็กเสริมคอนกรีต DB 16  (SD-40)</v>
      </c>
      <c r="F171" s="1260" t="str">
        <f>Str!F195</f>
        <v>กก.</v>
      </c>
      <c r="G171" s="1260">
        <f>Str!E195</f>
        <v>115.4</v>
      </c>
      <c r="H171" s="1260">
        <f>Str!I195</f>
        <v>2103.8235781641001</v>
      </c>
      <c r="I171" s="1260">
        <f>Str!L195</f>
        <v>388.39819904568003</v>
      </c>
      <c r="J171" s="1260">
        <f>Str!M195</f>
        <v>2492.2217772097802</v>
      </c>
    </row>
    <row r="172" spans="1:10" hidden="1" outlineLevel="1">
      <c r="A172" t="s">
        <v>39</v>
      </c>
      <c r="B172" t="s">
        <v>53</v>
      </c>
      <c r="C172" t="s">
        <v>41</v>
      </c>
      <c r="D172" t="s">
        <v>43</v>
      </c>
      <c r="E172" t="str">
        <f>IF(LEN(Str!C196)&gt;0, Str!C196, Str!B196)</f>
        <v>ลวดผูกเหล็ก</v>
      </c>
      <c r="F172" s="1260" t="str">
        <f>Str!F196</f>
        <v>กก.</v>
      </c>
      <c r="G172" s="1260">
        <f>Str!E196</f>
        <v>3.8</v>
      </c>
      <c r="H172" s="1260">
        <f>Str!I196</f>
        <v>96.276830680060002</v>
      </c>
      <c r="I172" s="1260">
        <f>Str!L196</f>
        <v>0</v>
      </c>
      <c r="J172" s="1260">
        <f>Str!M196</f>
        <v>96.276830680060002</v>
      </c>
    </row>
    <row r="173" spans="1:10" hidden="1" outlineLevel="1">
      <c r="A173" t="s">
        <v>39</v>
      </c>
      <c r="B173" t="s">
        <v>53</v>
      </c>
      <c r="C173" t="s">
        <v>41</v>
      </c>
      <c r="D173" t="s">
        <v>43</v>
      </c>
      <c r="E173" t="str">
        <f>IF(LEN(Str!C197)&gt;0, Str!C197, Str!B197)</f>
        <v xml:space="preserve">ไม้แบบ ค้ำยัน นั่งร้าน </v>
      </c>
      <c r="F173" s="1260">
        <f>Str!F197</f>
        <v>0</v>
      </c>
      <c r="G173" s="1260">
        <f>Str!E197</f>
        <v>0</v>
      </c>
      <c r="H173" s="1260">
        <f>Str!I197</f>
        <v>0</v>
      </c>
      <c r="I173" s="1260">
        <f>Str!L197</f>
        <v>0</v>
      </c>
      <c r="J173" s="1260">
        <f>Str!M197</f>
        <v>0</v>
      </c>
    </row>
    <row r="174" spans="1:10" hidden="1" outlineLevel="1">
      <c r="A174" t="s">
        <v>39</v>
      </c>
      <c r="B174" t="s">
        <v>53</v>
      </c>
      <c r="C174" t="s">
        <v>41</v>
      </c>
      <c r="D174" t="s">
        <v>43</v>
      </c>
      <c r="E174" t="str">
        <f>IF(LEN(Str!C198)&gt;0, Str!C198, Str!B198)</f>
        <v>ไม้แบบ ค้ำยัน นั่งร้าน (อาคาร 3 ชั้น ใช้ 60%)</v>
      </c>
      <c r="F174" s="1260" t="str">
        <f>Str!F198</f>
        <v>ตร.ม.</v>
      </c>
      <c r="G174" s="1260">
        <f>Str!E198</f>
        <v>8.4600000000000009</v>
      </c>
      <c r="H174" s="1260">
        <f>Str!I198</f>
        <v>1939.365773432424</v>
      </c>
      <c r="I174" s="1260">
        <f>Str!L198</f>
        <v>0</v>
      </c>
      <c r="J174" s="1260">
        <f>Str!M198</f>
        <v>1939.365773432424</v>
      </c>
    </row>
    <row r="175" spans="1:10" hidden="1" outlineLevel="1">
      <c r="A175" t="s">
        <v>39</v>
      </c>
      <c r="B175" t="s">
        <v>53</v>
      </c>
      <c r="C175" t="s">
        <v>41</v>
      </c>
      <c r="D175" t="s">
        <v>43</v>
      </c>
      <c r="E175" t="str">
        <f>IF(LEN(Str!C199)&gt;0, Str!C199, Str!B199)</f>
        <v>ค่าแรงประกอบและติดตั้งไม้แบบหล่อคอนกรีต (ใช้ 100%)</v>
      </c>
      <c r="F175" s="1260" t="str">
        <f>Str!F199</f>
        <v>ตร.ม.</v>
      </c>
      <c r="G175" s="1260">
        <f>Str!E199</f>
        <v>14.1</v>
      </c>
      <c r="H175" s="1260">
        <f>Str!I199</f>
        <v>0</v>
      </c>
      <c r="I175" s="1260">
        <f>Str!L199</f>
        <v>1595.0466189867</v>
      </c>
      <c r="J175" s="1260">
        <f>Str!M199</f>
        <v>1595.0466189867</v>
      </c>
    </row>
    <row r="176" spans="1:10" hidden="1" outlineLevel="1">
      <c r="A176" t="s">
        <v>39</v>
      </c>
      <c r="B176" t="s">
        <v>53</v>
      </c>
      <c r="C176" t="s">
        <v>41</v>
      </c>
      <c r="D176" t="s">
        <v>43</v>
      </c>
      <c r="E176" t="str">
        <f>IF(LEN(Str!C200)&gt;0, Str!C200, Str!B200)</f>
        <v>ไม้เคร่า (ใช้ 30% ของไม้แบบ 1 ตร.ม.)</v>
      </c>
      <c r="F176" s="1260" t="str">
        <f>Str!F200</f>
        <v>ลบ.ฟ.</v>
      </c>
      <c r="G176" s="1260">
        <f>Str!E200</f>
        <v>2.5399999999999996</v>
      </c>
      <c r="H176" s="1260">
        <f>Str!I200</f>
        <v>734.76928967295942</v>
      </c>
      <c r="I176" s="1260">
        <f>Str!L200</f>
        <v>0</v>
      </c>
      <c r="J176" s="1260">
        <f>Str!M200</f>
        <v>734.76928967295942</v>
      </c>
    </row>
    <row r="177" spans="1:10" hidden="1" outlineLevel="1">
      <c r="A177" t="s">
        <v>39</v>
      </c>
      <c r="B177" t="s">
        <v>53</v>
      </c>
      <c r="C177" t="s">
        <v>41</v>
      </c>
      <c r="D177" t="s">
        <v>43</v>
      </c>
      <c r="E177" t="str">
        <f>IF(LEN(Str!C201)&gt;0, Str!C201, Str!B201)</f>
        <v>ตะปู (ใช้ 25% ของไม้แบบ 1 ตร.ม.)</v>
      </c>
      <c r="F177" s="1260" t="str">
        <f>Str!F201</f>
        <v>กก.</v>
      </c>
      <c r="G177" s="1260">
        <f>Str!E201</f>
        <v>2.12</v>
      </c>
      <c r="H177" s="1260">
        <f>Str!I201</f>
        <v>46.299638193190404</v>
      </c>
      <c r="I177" s="1260">
        <f>Str!L201</f>
        <v>0</v>
      </c>
      <c r="J177" s="1260">
        <f>Str!M201</f>
        <v>46.299638193190404</v>
      </c>
    </row>
    <row r="178" spans="1:10" hidden="1" outlineLevel="1">
      <c r="A178" t="s">
        <v>39</v>
      </c>
      <c r="B178" t="s">
        <v>53</v>
      </c>
      <c r="C178" t="s">
        <v>41</v>
      </c>
      <c r="D178" t="s">
        <v>43</v>
      </c>
      <c r="F178" s="1260">
        <f>Str!F202</f>
        <v>0</v>
      </c>
      <c r="G178" s="1260">
        <f>Str!E202</f>
        <v>0</v>
      </c>
      <c r="H178" s="1260">
        <f>Str!I202</f>
        <v>0</v>
      </c>
      <c r="I178" s="1260">
        <f>Str!L202</f>
        <v>0</v>
      </c>
      <c r="J178" s="1260">
        <f>Str!M202</f>
        <v>0</v>
      </c>
    </row>
    <row r="179" spans="1:10" hidden="1" outlineLevel="1">
      <c r="A179" t="s">
        <v>39</v>
      </c>
      <c r="B179" t="s">
        <v>53</v>
      </c>
      <c r="C179" t="s">
        <v>41</v>
      </c>
      <c r="D179" t="s">
        <v>54</v>
      </c>
      <c r="E179" t="str">
        <f>IF(LEN(Str!C203)&gt;0, Str!C203, Str!B203)</f>
        <v>งานปล่องลิฟท์ และตอม่อ</v>
      </c>
      <c r="F179" s="1260">
        <f>Str!F203</f>
        <v>0</v>
      </c>
      <c r="G179" s="1260">
        <f>Str!E203</f>
        <v>0</v>
      </c>
      <c r="H179" s="1260">
        <f>Str!I203</f>
        <v>0</v>
      </c>
      <c r="I179" s="1260">
        <f>Str!L203</f>
        <v>0</v>
      </c>
      <c r="J179" s="1260">
        <f>Str!M203</f>
        <v>0</v>
      </c>
    </row>
    <row r="180" spans="1:10" hidden="1" outlineLevel="1">
      <c r="A180" t="s">
        <v>39</v>
      </c>
      <c r="B180" t="s">
        <v>53</v>
      </c>
      <c r="C180" t="s">
        <v>41</v>
      </c>
      <c r="D180" t="s">
        <v>54</v>
      </c>
      <c r="E180" t="str">
        <f>IF(LEN(Str!C204)&gt;0, Str!C204, Str!B204)</f>
        <v xml:space="preserve"> งานคอนกรีตโครงสร้าง (fc' 240 ksc, Cyl.)  ผสมน้ำยากันซึม</v>
      </c>
      <c r="F180" s="1260" t="str">
        <f>Str!F204</f>
        <v>ลบ.ม.</v>
      </c>
      <c r="G180" s="1260">
        <f>Str!E204</f>
        <v>7.1</v>
      </c>
      <c r="H180" s="1260">
        <f>Str!I204</f>
        <v>14055.64130560975</v>
      </c>
      <c r="I180" s="1260">
        <f>Str!L204</f>
        <v>3445.0426623902995</v>
      </c>
      <c r="J180" s="1260">
        <f>Str!M204</f>
        <v>17500.683968000048</v>
      </c>
    </row>
    <row r="181" spans="1:10" hidden="1" outlineLevel="1">
      <c r="A181" t="s">
        <v>39</v>
      </c>
      <c r="B181" t="s">
        <v>53</v>
      </c>
      <c r="C181" t="s">
        <v>41</v>
      </c>
      <c r="D181" t="s">
        <v>54</v>
      </c>
      <c r="E181" t="str">
        <f>IF(LEN(Str!C205)&gt;0, Str!C205, Str!B205)</f>
        <v xml:space="preserve"> งานคอนกรีตหยาบรองท้องคาน (fc' 150 ksc, Cyl.)</v>
      </c>
      <c r="F181" s="1260" t="str">
        <f>Str!F205</f>
        <v>ลบ.ม.</v>
      </c>
      <c r="G181" s="1260">
        <f>Str!E205</f>
        <v>0.1</v>
      </c>
      <c r="H181" s="1260">
        <f>Str!I205</f>
        <v>181.13843410625</v>
      </c>
      <c r="I181" s="1260">
        <f>Str!L205</f>
        <v>48.521727639299996</v>
      </c>
      <c r="J181" s="1260">
        <f>Str!M205</f>
        <v>229.66016174555</v>
      </c>
    </row>
    <row r="182" spans="1:10" hidden="1" outlineLevel="1">
      <c r="A182" t="s">
        <v>39</v>
      </c>
      <c r="B182" t="s">
        <v>53</v>
      </c>
      <c r="C182" t="s">
        <v>41</v>
      </c>
      <c r="D182" t="s">
        <v>54</v>
      </c>
      <c r="E182" t="str">
        <f>IF(LEN(Str!C206)&gt;0, Str!C206, Str!B206)</f>
        <v>เหล็กเสริม</v>
      </c>
      <c r="F182" s="1260">
        <f>Str!F206</f>
        <v>0</v>
      </c>
      <c r="G182" s="1260">
        <f>Str!E206</f>
        <v>0</v>
      </c>
      <c r="H182" s="1260">
        <f>Str!I206</f>
        <v>0</v>
      </c>
      <c r="I182" s="1260">
        <f>Str!L206</f>
        <v>0</v>
      </c>
      <c r="J182" s="1260">
        <f>Str!M206</f>
        <v>0</v>
      </c>
    </row>
    <row r="183" spans="1:10" hidden="1" outlineLevel="1">
      <c r="A183" t="s">
        <v>39</v>
      </c>
      <c r="B183" t="s">
        <v>53</v>
      </c>
      <c r="C183" t="s">
        <v>41</v>
      </c>
      <c r="D183" t="s">
        <v>54</v>
      </c>
      <c r="E183" t="str">
        <f>IF(LEN(Str!C207)&gt;0, Str!C207, Str!B207)</f>
        <v>งานเหล็กเสริมคอนกรีต RB 9  (SR-24)</v>
      </c>
      <c r="F183" s="1260" t="str">
        <f>Str!F207</f>
        <v>กก.</v>
      </c>
      <c r="G183" s="1260">
        <f>Str!E207</f>
        <v>22.3</v>
      </c>
      <c r="H183" s="1260">
        <f>Str!I207</f>
        <v>408.62960918276002</v>
      </c>
      <c r="I183" s="1260">
        <f>Str!L207</f>
        <v>91.733177571639999</v>
      </c>
      <c r="J183" s="1260">
        <f>Str!M207</f>
        <v>500.36278675440002</v>
      </c>
    </row>
    <row r="184" spans="1:10" hidden="1" outlineLevel="1">
      <c r="A184" t="s">
        <v>39</v>
      </c>
      <c r="B184" t="s">
        <v>53</v>
      </c>
      <c r="C184" t="s">
        <v>41</v>
      </c>
      <c r="D184" t="s">
        <v>54</v>
      </c>
      <c r="E184" t="str">
        <f>IF(LEN(Str!C208)&gt;0, Str!C208, Str!B208)</f>
        <v>งานเหล็กเสริมคอนกรีต DB 12  (SD-40)</v>
      </c>
      <c r="F184" s="1260" t="str">
        <f>Str!F208</f>
        <v>กก.</v>
      </c>
      <c r="G184" s="1260">
        <f>Str!E208</f>
        <v>545</v>
      </c>
      <c r="H184" s="1260">
        <f>Str!I208</f>
        <v>10037.640246615498</v>
      </c>
      <c r="I184" s="1260">
        <f>Str!L208</f>
        <v>1834.2895882140001</v>
      </c>
      <c r="J184" s="1260">
        <f>Str!M208</f>
        <v>11871.929834829498</v>
      </c>
    </row>
    <row r="185" spans="1:10" hidden="1" outlineLevel="1">
      <c r="A185" t="s">
        <v>39</v>
      </c>
      <c r="B185" t="s">
        <v>53</v>
      </c>
      <c r="C185" t="s">
        <v>41</v>
      </c>
      <c r="D185" t="s">
        <v>54</v>
      </c>
      <c r="E185" t="str">
        <f>IF(LEN(Str!C209)&gt;0, Str!C209, Str!B209)</f>
        <v>งานเหล็กเสริมคอนกรีต DB 16  (SD-40)</v>
      </c>
      <c r="F185" s="1260" t="str">
        <f>Str!F209</f>
        <v>กก.</v>
      </c>
      <c r="G185" s="1260">
        <f>Str!E209</f>
        <v>56.1</v>
      </c>
      <c r="H185" s="1260">
        <f>Str!I209</f>
        <v>1022.74265801565</v>
      </c>
      <c r="I185" s="1260">
        <f>Str!L209</f>
        <v>188.81402917212</v>
      </c>
      <c r="J185" s="1260">
        <f>Str!M209</f>
        <v>1211.55668718777</v>
      </c>
    </row>
    <row r="186" spans="1:10" hidden="1" outlineLevel="1">
      <c r="A186" t="s">
        <v>39</v>
      </c>
      <c r="B186" t="s">
        <v>53</v>
      </c>
      <c r="C186" t="s">
        <v>41</v>
      </c>
      <c r="D186" t="s">
        <v>54</v>
      </c>
      <c r="E186" t="str">
        <f>IF(LEN(Str!C210)&gt;0, Str!C210, Str!B210)</f>
        <v>ลวดผูกเหล็ก</v>
      </c>
      <c r="F186" s="1260" t="str">
        <f>Str!F210</f>
        <v>กก.</v>
      </c>
      <c r="G186" s="1260">
        <f>Str!E210</f>
        <v>11.3</v>
      </c>
      <c r="H186" s="1260">
        <f>Str!I210</f>
        <v>286.29689123281003</v>
      </c>
      <c r="I186" s="1260">
        <f>Str!L210</f>
        <v>0</v>
      </c>
      <c r="J186" s="1260">
        <f>Str!M210</f>
        <v>286.29689123281003</v>
      </c>
    </row>
    <row r="187" spans="1:10" hidden="1" outlineLevel="1">
      <c r="A187" t="s">
        <v>39</v>
      </c>
      <c r="B187" t="s">
        <v>53</v>
      </c>
      <c r="C187" t="s">
        <v>41</v>
      </c>
      <c r="D187" t="s">
        <v>54</v>
      </c>
      <c r="E187" t="str">
        <f>IF(LEN(Str!C211)&gt;0, Str!C211, Str!B211)</f>
        <v xml:space="preserve">ไม้แบบ ค้ำยัน นั่งร้าน </v>
      </c>
      <c r="F187" s="1260">
        <f>Str!F211</f>
        <v>0</v>
      </c>
      <c r="G187" s="1260">
        <f>Str!E211</f>
        <v>0</v>
      </c>
      <c r="H187" s="1260">
        <f>Str!I211</f>
        <v>0</v>
      </c>
      <c r="I187" s="1260">
        <f>Str!L211</f>
        <v>0</v>
      </c>
      <c r="J187" s="1260">
        <f>Str!M211</f>
        <v>0</v>
      </c>
    </row>
    <row r="188" spans="1:10" hidden="1" outlineLevel="1">
      <c r="A188" t="s">
        <v>39</v>
      </c>
      <c r="B188" t="s">
        <v>53</v>
      </c>
      <c r="C188" t="s">
        <v>41</v>
      </c>
      <c r="D188" t="s">
        <v>54</v>
      </c>
      <c r="E188" t="str">
        <f>IF(LEN(Str!C212)&gt;0, Str!C212, Str!B212)</f>
        <v>ไม้แบบ ค้ำยัน นั่งร้าน (อาคาร 3 ชั้น ใช้ 60%)</v>
      </c>
      <c r="F188" s="1260" t="str">
        <f>Str!F212</f>
        <v>ตร.ม.</v>
      </c>
      <c r="G188" s="1260">
        <f>Str!E212</f>
        <v>16.98</v>
      </c>
      <c r="H188" s="1260">
        <f>Str!I212</f>
        <v>3892.4859140523117</v>
      </c>
      <c r="I188" s="1260">
        <f>Str!L212</f>
        <v>0</v>
      </c>
      <c r="J188" s="1260">
        <f>Str!M212</f>
        <v>3892.4859140523117</v>
      </c>
    </row>
    <row r="189" spans="1:10" hidden="1" outlineLevel="1">
      <c r="A189" t="s">
        <v>39</v>
      </c>
      <c r="B189" t="s">
        <v>53</v>
      </c>
      <c r="C189" t="s">
        <v>41</v>
      </c>
      <c r="D189" t="s">
        <v>54</v>
      </c>
      <c r="E189" t="str">
        <f>IF(LEN(Str!C213)&gt;0, Str!C213, Str!B213)</f>
        <v>ค่าแรงประกอบและติดตั้งไม้แบบหล่อคอนกรีต (ใช้ 100%)</v>
      </c>
      <c r="F189" s="1260" t="str">
        <f>Str!F213</f>
        <v>ตร.ม.</v>
      </c>
      <c r="G189" s="1260">
        <f>Str!E213</f>
        <v>28.3</v>
      </c>
      <c r="H189" s="1260">
        <f>Str!I213</f>
        <v>0</v>
      </c>
      <c r="I189" s="1260">
        <f>Str!L213</f>
        <v>3201.4056253420999</v>
      </c>
      <c r="J189" s="1260">
        <f>Str!M213</f>
        <v>3201.4056253420999</v>
      </c>
    </row>
    <row r="190" spans="1:10" hidden="1" outlineLevel="1">
      <c r="A190" t="s">
        <v>39</v>
      </c>
      <c r="B190" t="s">
        <v>53</v>
      </c>
      <c r="C190" t="s">
        <v>41</v>
      </c>
      <c r="D190" t="s">
        <v>54</v>
      </c>
      <c r="E190" t="str">
        <f>IF(LEN(Str!C214)&gt;0, Str!C214, Str!B214)</f>
        <v>ไม้เคร่า (ใช้ 30% ของไม้แบบ 1 ตร.ม.)</v>
      </c>
      <c r="F190" s="1260" t="str">
        <f>Str!F214</f>
        <v>ลบ.ฟ.</v>
      </c>
      <c r="G190" s="1260">
        <f>Str!E214</f>
        <v>5.0999999999999996</v>
      </c>
      <c r="H190" s="1260">
        <f>Str!I214</f>
        <v>1475.3241643039739</v>
      </c>
      <c r="I190" s="1260">
        <f>Str!L214</f>
        <v>0</v>
      </c>
      <c r="J190" s="1260">
        <f>Str!M214</f>
        <v>1475.3241643039739</v>
      </c>
    </row>
    <row r="191" spans="1:10" hidden="1" outlineLevel="1">
      <c r="A191" t="s">
        <v>39</v>
      </c>
      <c r="B191" t="s">
        <v>53</v>
      </c>
      <c r="C191" t="s">
        <v>41</v>
      </c>
      <c r="D191" t="s">
        <v>54</v>
      </c>
      <c r="E191" t="str">
        <f>IF(LEN(Str!C215)&gt;0, Str!C215, Str!B215)</f>
        <v>ตะปู (ใช้ 25% ของไม้แบบ 1 ตร.ม.)</v>
      </c>
      <c r="F191" s="1260" t="str">
        <f>Str!F215</f>
        <v>กก.</v>
      </c>
      <c r="G191" s="1260">
        <f>Str!E215</f>
        <v>4.25</v>
      </c>
      <c r="H191" s="1260">
        <f>Str!I215</f>
        <v>92.817670906160004</v>
      </c>
      <c r="I191" s="1260">
        <f>Str!L215</f>
        <v>0</v>
      </c>
      <c r="J191" s="1260">
        <f>Str!M215</f>
        <v>92.817670906160004</v>
      </c>
    </row>
    <row r="192" spans="1:10" hidden="1" outlineLevel="1">
      <c r="A192" t="s">
        <v>39</v>
      </c>
      <c r="B192" t="s">
        <v>53</v>
      </c>
      <c r="C192" t="s">
        <v>41</v>
      </c>
      <c r="D192" t="s">
        <v>54</v>
      </c>
      <c r="E192" t="str">
        <f>IF(LEN(Str!C216)&gt;0, Str!C216, Str!B216)</f>
        <v>เสา</v>
      </c>
      <c r="F192" s="1260">
        <f>Str!F216</f>
        <v>0</v>
      </c>
      <c r="G192" s="1260">
        <f>Str!E216</f>
        <v>0</v>
      </c>
      <c r="H192" s="1260">
        <f>Str!I216</f>
        <v>0</v>
      </c>
      <c r="I192" s="1260">
        <f>Str!L216</f>
        <v>0</v>
      </c>
      <c r="J192" s="1260">
        <f>Str!M216</f>
        <v>0</v>
      </c>
    </row>
    <row r="193" spans="1:10" hidden="1" outlineLevel="1">
      <c r="A193" t="s">
        <v>39</v>
      </c>
      <c r="B193" t="s">
        <v>53</v>
      </c>
      <c r="C193" t="s">
        <v>41</v>
      </c>
      <c r="D193" t="s">
        <v>54</v>
      </c>
      <c r="E193" t="str">
        <f>IF(LEN(Str!C217)&gt;0, Str!C217, Str!B217)</f>
        <v xml:space="preserve">WF200x200x8x12 mm.-49.9 kg/m. </v>
      </c>
      <c r="F193" s="1260" t="str">
        <f>Str!F217</f>
        <v>กก.</v>
      </c>
      <c r="G193" s="1260">
        <f>Str!E217</f>
        <v>494</v>
      </c>
      <c r="H193" s="1260">
        <f>Str!I217</f>
        <v>14621.99925140188</v>
      </c>
      <c r="I193" s="1260">
        <f>Str!L217</f>
        <v>6465.8240530519997</v>
      </c>
      <c r="J193" s="1260">
        <f>Str!M217</f>
        <v>21087.823304453879</v>
      </c>
    </row>
    <row r="194" spans="1:10" hidden="1" outlineLevel="1">
      <c r="A194" t="s">
        <v>39</v>
      </c>
      <c r="B194" t="s">
        <v>53</v>
      </c>
      <c r="C194" t="s">
        <v>41</v>
      </c>
      <c r="D194" t="s">
        <v>54</v>
      </c>
      <c r="E194" t="str">
        <f>IF(LEN(Str!C218)&gt;0, Str!C218, Str!B218)</f>
        <v>Steel Plate 12 mm.</v>
      </c>
      <c r="F194" s="1260" t="str">
        <f>Str!F218</f>
        <v>กก.</v>
      </c>
      <c r="G194" s="1260">
        <f>Str!E218</f>
        <v>16.600000000000001</v>
      </c>
      <c r="H194" s="1260">
        <f>Str!I218</f>
        <v>387.521255297594</v>
      </c>
      <c r="I194" s="1260">
        <f>Str!L218</f>
        <v>217.2726301228</v>
      </c>
      <c r="J194" s="1260">
        <f>Str!M218</f>
        <v>604.79388542039396</v>
      </c>
    </row>
    <row r="195" spans="1:10" hidden="1" outlineLevel="1">
      <c r="A195" t="s">
        <v>39</v>
      </c>
      <c r="B195" t="s">
        <v>53</v>
      </c>
      <c r="C195" t="s">
        <v>41</v>
      </c>
      <c r="D195" t="s">
        <v>54</v>
      </c>
      <c r="E195" t="str">
        <f>IF(LEN(Str!C219)&gt;0, Str!C219, Str!B219)</f>
        <v>Steel Plate 15 mm.</v>
      </c>
      <c r="F195" s="1260" t="str">
        <f>Str!F219</f>
        <v>กก.</v>
      </c>
      <c r="G195" s="1260">
        <f>Str!E219</f>
        <v>41.4</v>
      </c>
      <c r="H195" s="1260">
        <f>Str!I219</f>
        <v>1062.4575518522099</v>
      </c>
      <c r="I195" s="1260">
        <f>Str!L219</f>
        <v>541.87270404119988</v>
      </c>
      <c r="J195" s="1260">
        <f>Str!M219</f>
        <v>1604.3302558934097</v>
      </c>
    </row>
    <row r="196" spans="1:10" hidden="1" outlineLevel="1">
      <c r="A196" t="s">
        <v>39</v>
      </c>
      <c r="B196" t="s">
        <v>53</v>
      </c>
      <c r="C196" t="s">
        <v>41</v>
      </c>
      <c r="D196" t="s">
        <v>54</v>
      </c>
      <c r="E196" t="str">
        <f>IF(LEN(Str!C220)&gt;0, Str!C220, Str!B220)</f>
        <v>Anchor J Bollt M16</v>
      </c>
      <c r="F196" s="1260" t="str">
        <f>Str!F220</f>
        <v>ชุด</v>
      </c>
      <c r="G196" s="1260">
        <f>Str!E220</f>
        <v>16</v>
      </c>
      <c r="H196" s="1260">
        <f>Str!I220</f>
        <v>1504.8279924511999</v>
      </c>
      <c r="I196" s="1260">
        <f>Str!L220</f>
        <v>451.44839773536</v>
      </c>
      <c r="J196" s="1260">
        <f>Str!M220</f>
        <v>1956.2763901865599</v>
      </c>
    </row>
    <row r="197" spans="1:10" hidden="1" outlineLevel="1">
      <c r="A197" t="s">
        <v>39</v>
      </c>
      <c r="B197" t="s">
        <v>53</v>
      </c>
      <c r="C197" t="s">
        <v>41</v>
      </c>
      <c r="D197" t="s">
        <v>54</v>
      </c>
      <c r="E197" t="str">
        <f>IF(LEN(Str!C221)&gt;0, Str!C221, Str!B221)</f>
        <v xml:space="preserve">Anchor J Bollt M20 </v>
      </c>
      <c r="F197" s="1260" t="str">
        <f>Str!F221</f>
        <v>ชุด</v>
      </c>
      <c r="G197" s="1260">
        <f>Str!E221</f>
        <v>8</v>
      </c>
      <c r="H197" s="1260">
        <f>Str!I221</f>
        <v>805.59156593895989</v>
      </c>
      <c r="I197" s="1260">
        <f>Str!L221</f>
        <v>241.65503198856001</v>
      </c>
      <c r="J197" s="1260">
        <f>Str!M221</f>
        <v>1047.2465979275198</v>
      </c>
    </row>
    <row r="198" spans="1:10" hidden="1" outlineLevel="1">
      <c r="A198" t="s">
        <v>39</v>
      </c>
      <c r="B198" t="s">
        <v>53</v>
      </c>
      <c r="C198" t="s">
        <v>41</v>
      </c>
      <c r="D198" t="s">
        <v>54</v>
      </c>
      <c r="E198" t="str">
        <f>IF(LEN(Str!C222)&gt;0, Str!C222, Str!B222)</f>
        <v>งานสีกันสนิม</v>
      </c>
      <c r="F198" s="1260">
        <f>Str!F222</f>
        <v>0</v>
      </c>
      <c r="G198" s="1260">
        <f>Str!E222</f>
        <v>0</v>
      </c>
      <c r="H198" s="1260">
        <f>Str!I222</f>
        <v>0</v>
      </c>
      <c r="I198" s="1260">
        <f>Str!L222</f>
        <v>0</v>
      </c>
      <c r="J198" s="1260">
        <f>Str!M222</f>
        <v>0</v>
      </c>
    </row>
    <row r="199" spans="1:10" hidden="1" outlineLevel="1">
      <c r="A199" t="s">
        <v>39</v>
      </c>
      <c r="B199" t="s">
        <v>53</v>
      </c>
      <c r="C199" t="s">
        <v>41</v>
      </c>
      <c r="D199" t="s">
        <v>54</v>
      </c>
      <c r="E199" t="str">
        <f>IF(LEN(Str!C223)&gt;0, Str!C223, Str!B223)</f>
        <v>งานสีกันสนิม   เหล็ก 1 ตัน ต่อ ทาสี 25 ตร.ม.</v>
      </c>
      <c r="F199" s="1260" t="str">
        <f>Str!F223</f>
        <v>ตร.ม.</v>
      </c>
      <c r="G199" s="1260">
        <f>Str!E223</f>
        <v>13.8</v>
      </c>
      <c r="H199" s="1260">
        <f>Str!I223</f>
        <v>361.50650398177203</v>
      </c>
      <c r="I199" s="1260">
        <f>Str!L223</f>
        <v>387.05193145800001</v>
      </c>
      <c r="J199" s="1260">
        <f>Str!M223</f>
        <v>748.55843543977198</v>
      </c>
    </row>
    <row r="200" spans="1:10" hidden="1" outlineLevel="1">
      <c r="A200" t="s">
        <v>39</v>
      </c>
      <c r="B200" t="s">
        <v>53</v>
      </c>
      <c r="C200" t="s">
        <v>41</v>
      </c>
      <c r="D200" t="s">
        <v>54</v>
      </c>
      <c r="E200" t="str">
        <f>IF(LEN(Str!C224)&gt;0, Str!C224, Str!B224)</f>
        <v>งานสีน้ำมัน  เหล็ก 1 ตัน ต่อ ทาสี 25 ตร.ม.</v>
      </c>
      <c r="F200" s="1260" t="str">
        <f>Str!F224</f>
        <v>ตร.ม.</v>
      </c>
      <c r="G200" s="1260">
        <f>Str!E224</f>
        <v>13.8</v>
      </c>
      <c r="H200" s="1260">
        <f>Str!I224</f>
        <v>416.98394749075203</v>
      </c>
      <c r="I200" s="1260">
        <f>Str!L224</f>
        <v>451.56058670100003</v>
      </c>
      <c r="J200" s="1260">
        <f>Str!M224</f>
        <v>868.54453419175206</v>
      </c>
    </row>
    <row r="201" spans="1:10" hidden="1" outlineLevel="1">
      <c r="A201" t="s">
        <v>39</v>
      </c>
      <c r="B201" t="s">
        <v>53</v>
      </c>
      <c r="C201" t="s">
        <v>41</v>
      </c>
      <c r="D201" t="s">
        <v>54</v>
      </c>
      <c r="E201" t="str">
        <f>IF(LEN(Str!C225)&gt;0, Str!C225, Str!B225)</f>
        <v>PVC Water Stop 8 นิ้ว</v>
      </c>
      <c r="F201" s="1260" t="str">
        <f>Str!F225</f>
        <v>ม.</v>
      </c>
      <c r="G201" s="1260">
        <f>Str!E225</f>
        <v>11.4</v>
      </c>
      <c r="H201" s="1260">
        <f>Str!I225</f>
        <v>1956.7999386928798</v>
      </c>
      <c r="I201" s="1260">
        <f>Str!L225</f>
        <v>587.03998160786398</v>
      </c>
      <c r="J201" s="1260">
        <f>Str!M225</f>
        <v>2543.8399203007439</v>
      </c>
    </row>
    <row r="202" spans="1:10" hidden="1" outlineLevel="1">
      <c r="A202" t="s">
        <v>39</v>
      </c>
      <c r="B202" t="s">
        <v>53</v>
      </c>
      <c r="C202" t="s">
        <v>41</v>
      </c>
      <c r="F202" s="1260"/>
      <c r="G202" s="1260"/>
      <c r="H202" s="1260"/>
      <c r="I202" s="1260"/>
      <c r="J202" s="1260"/>
    </row>
    <row r="203" spans="1:10" hidden="1" outlineLevel="1">
      <c r="A203" t="s">
        <v>39</v>
      </c>
      <c r="B203" t="s">
        <v>53</v>
      </c>
      <c r="C203" t="s">
        <v>45</v>
      </c>
      <c r="E203" t="str">
        <f>IF(LEN(Str!C227)&gt;0, Str!C227, Str!B227)</f>
        <v>งานโครงสร้าง เสา คาน พื้นชั้น 1</v>
      </c>
      <c r="F203" s="1260">
        <f>Str!F227</f>
        <v>0</v>
      </c>
      <c r="G203" s="1260">
        <f>Str!E227</f>
        <v>0</v>
      </c>
      <c r="H203" s="1260">
        <f>Str!I227</f>
        <v>0</v>
      </c>
      <c r="I203" s="1260">
        <f>Str!L227</f>
        <v>0</v>
      </c>
      <c r="J203" s="1260">
        <f>Str!M227</f>
        <v>0</v>
      </c>
    </row>
    <row r="204" spans="1:10" hidden="1" outlineLevel="1">
      <c r="A204" t="s">
        <v>39</v>
      </c>
      <c r="B204" t="s">
        <v>53</v>
      </c>
      <c r="C204" t="s">
        <v>45</v>
      </c>
      <c r="D204" t="s">
        <v>46</v>
      </c>
      <c r="E204" t="str">
        <f>IF(LEN(Str!C228)&gt;0, Str!C228, Str!B228)</f>
        <v>คาน</v>
      </c>
      <c r="F204" s="1260">
        <f>Str!F228</f>
        <v>0</v>
      </c>
      <c r="G204" s="1260">
        <f>Str!E228</f>
        <v>0</v>
      </c>
      <c r="H204" s="1260">
        <f>Str!I228</f>
        <v>0</v>
      </c>
      <c r="I204" s="1260">
        <f>Str!L228</f>
        <v>0</v>
      </c>
      <c r="J204" s="1260">
        <f>Str!M228</f>
        <v>0</v>
      </c>
    </row>
    <row r="205" spans="1:10" hidden="1" outlineLevel="1">
      <c r="A205" t="s">
        <v>39</v>
      </c>
      <c r="B205" t="s">
        <v>53</v>
      </c>
      <c r="C205" t="s">
        <v>45</v>
      </c>
      <c r="D205" t="s">
        <v>46</v>
      </c>
      <c r="E205" t="str">
        <f>IF(LEN(Str!C229)&gt;0, Str!C229, Str!B229)</f>
        <v xml:space="preserve">WF200x200x8x12 mm.-49.9 kg/m. </v>
      </c>
      <c r="F205" s="1260" t="str">
        <f>Str!F229</f>
        <v>กก.</v>
      </c>
      <c r="G205" s="1260">
        <f>Str!E229</f>
        <v>1361.3</v>
      </c>
      <c r="H205" s="1260">
        <f>Str!I229</f>
        <v>40293.375669905625</v>
      </c>
      <c r="I205" s="1260">
        <f>Str!L229</f>
        <v>17817.664541335398</v>
      </c>
      <c r="J205" s="1260">
        <f>Str!M229</f>
        <v>58111.040211241023</v>
      </c>
    </row>
    <row r="206" spans="1:10" hidden="1" outlineLevel="1">
      <c r="A206" t="s">
        <v>39</v>
      </c>
      <c r="B206" t="s">
        <v>53</v>
      </c>
      <c r="C206" t="s">
        <v>45</v>
      </c>
      <c r="D206" t="s">
        <v>47</v>
      </c>
      <c r="E206" t="str">
        <f>IF(LEN(Str!C230)&gt;0, Str!C230, Str!B230)</f>
        <v>พื้น</v>
      </c>
      <c r="F206" s="1260">
        <f>Str!F230</f>
        <v>0</v>
      </c>
      <c r="G206" s="1260">
        <f>Str!E230</f>
        <v>0</v>
      </c>
      <c r="H206" s="1260">
        <f>Str!I230</f>
        <v>0</v>
      </c>
      <c r="I206" s="1260">
        <f>Str!L230</f>
        <v>0</v>
      </c>
      <c r="J206" s="1260">
        <f>Str!M230</f>
        <v>0</v>
      </c>
    </row>
    <row r="207" spans="1:10" hidden="1" outlineLevel="1">
      <c r="A207" t="s">
        <v>39</v>
      </c>
      <c r="B207" t="s">
        <v>53</v>
      </c>
      <c r="C207" t="s">
        <v>45</v>
      </c>
      <c r="D207" t="s">
        <v>47</v>
      </c>
      <c r="E207" t="str">
        <f>IF(LEN(Str!C231)&gt;0, Str!C231, Str!B231)</f>
        <v xml:space="preserve"> งานคอนกรีตโครงสร้าง (fc' 240 ksc, Cyl.) ผสมน้ำยากันซึม</v>
      </c>
      <c r="F207" s="1260" t="str">
        <f>Str!F231</f>
        <v>ลบ.ม.</v>
      </c>
      <c r="G207" s="1260">
        <f>Str!E231</f>
        <v>3</v>
      </c>
      <c r="H207" s="1260">
        <f>Str!I231</f>
        <v>5939.0033685674998</v>
      </c>
      <c r="I207" s="1260">
        <f>Str!L231</f>
        <v>1455.6518291789998</v>
      </c>
      <c r="J207" s="1260">
        <f>Str!M231</f>
        <v>7394.6551977464997</v>
      </c>
    </row>
    <row r="208" spans="1:10" hidden="1" outlineLevel="1">
      <c r="A208" t="s">
        <v>39</v>
      </c>
      <c r="B208" t="s">
        <v>53</v>
      </c>
      <c r="C208" t="s">
        <v>45</v>
      </c>
      <c r="D208" t="s">
        <v>47</v>
      </c>
      <c r="E208" t="str">
        <f>IF(LEN(Str!C232)&gt;0, Str!C232, Str!B232)</f>
        <v>เหล็กเสริม</v>
      </c>
      <c r="F208" s="1260">
        <f>Str!F232</f>
        <v>0</v>
      </c>
      <c r="G208" s="1260">
        <f>Str!E232</f>
        <v>0</v>
      </c>
      <c r="H208" s="1260">
        <f>Str!I232</f>
        <v>0</v>
      </c>
      <c r="I208" s="1260">
        <f>Str!L232</f>
        <v>0</v>
      </c>
      <c r="J208" s="1260">
        <f>Str!M232</f>
        <v>0</v>
      </c>
    </row>
    <row r="209" spans="1:10" hidden="1" outlineLevel="1">
      <c r="A209" t="s">
        <v>39</v>
      </c>
      <c r="B209" t="s">
        <v>53</v>
      </c>
      <c r="C209" t="s">
        <v>45</v>
      </c>
      <c r="D209" t="s">
        <v>47</v>
      </c>
      <c r="E209" t="str">
        <f>IF(LEN(Str!C233)&gt;0, Str!C233, Str!B233)</f>
        <v>งานเหล็กเสริมคอนกรีต RB 9  (SR-24)</v>
      </c>
      <c r="F209" s="1260" t="str">
        <f>Str!F233</f>
        <v>กก.</v>
      </c>
      <c r="G209" s="1260">
        <f>Str!E233</f>
        <v>0</v>
      </c>
      <c r="H209" s="1260">
        <f>Str!I233</f>
        <v>0</v>
      </c>
      <c r="I209" s="1260">
        <f>Str!L233</f>
        <v>0</v>
      </c>
      <c r="J209" s="1260">
        <f>Str!M233</f>
        <v>0</v>
      </c>
    </row>
    <row r="210" spans="1:10" hidden="1" outlineLevel="1">
      <c r="A210" t="s">
        <v>39</v>
      </c>
      <c r="B210" t="s">
        <v>53</v>
      </c>
      <c r="C210" t="s">
        <v>45</v>
      </c>
      <c r="D210" t="s">
        <v>47</v>
      </c>
      <c r="E210" t="str">
        <f>IF(LEN(Str!C234)&gt;0, Str!C234, Str!B234)</f>
        <v>งานเหล็กเสริมคอนกรีต DB 12  (SD-40)</v>
      </c>
      <c r="F210" s="1260" t="str">
        <f>Str!F234</f>
        <v>กก.</v>
      </c>
      <c r="G210" s="1260">
        <f>Str!E234</f>
        <v>319</v>
      </c>
      <c r="H210" s="1260">
        <f>Str!I234</f>
        <v>5875.2426397620993</v>
      </c>
      <c r="I210" s="1260">
        <f>Str!L234</f>
        <v>1073.6484011748</v>
      </c>
      <c r="J210" s="1260">
        <f>Str!M234</f>
        <v>6948.8910409368991</v>
      </c>
    </row>
    <row r="211" spans="1:10" hidden="1" outlineLevel="1">
      <c r="A211" t="s">
        <v>39</v>
      </c>
      <c r="B211" t="s">
        <v>53</v>
      </c>
      <c r="C211" t="s">
        <v>45</v>
      </c>
      <c r="D211" t="s">
        <v>47</v>
      </c>
      <c r="E211" t="str">
        <f>IF(LEN(Str!C235)&gt;0, Str!C235, Str!B235)</f>
        <v>งานเหล็กเสริมคอนกรีต DB 16  (SD-40)</v>
      </c>
      <c r="F211" s="1260" t="str">
        <f>Str!F235</f>
        <v>กก.</v>
      </c>
      <c r="G211" s="1260">
        <f>Str!E235</f>
        <v>0</v>
      </c>
      <c r="H211" s="1260">
        <f>Str!I235</f>
        <v>0</v>
      </c>
      <c r="I211" s="1260">
        <f>Str!L235</f>
        <v>0</v>
      </c>
      <c r="J211" s="1260">
        <f>Str!M235</f>
        <v>0</v>
      </c>
    </row>
    <row r="212" spans="1:10" hidden="1" outlineLevel="1">
      <c r="A212" t="s">
        <v>39</v>
      </c>
      <c r="B212" t="s">
        <v>53</v>
      </c>
      <c r="C212" t="s">
        <v>45</v>
      </c>
      <c r="D212" t="s">
        <v>47</v>
      </c>
      <c r="E212" t="str">
        <f>IF(LEN(Str!C236)&gt;0, Str!C236, Str!B236)</f>
        <v>ลวดผูกเหล็ก</v>
      </c>
      <c r="F212" s="1260" t="str">
        <f>Str!F236</f>
        <v>กก.</v>
      </c>
      <c r="G212" s="1260">
        <f>Str!E236</f>
        <v>5.8</v>
      </c>
      <c r="H212" s="1260">
        <f>Str!I236</f>
        <v>146.94884682745999</v>
      </c>
      <c r="I212" s="1260">
        <f>Str!L236</f>
        <v>0</v>
      </c>
      <c r="J212" s="1260">
        <f>Str!M236</f>
        <v>146.94884682745999</v>
      </c>
    </row>
    <row r="213" spans="1:10" hidden="1" outlineLevel="1">
      <c r="A213" t="s">
        <v>39</v>
      </c>
      <c r="B213" t="s">
        <v>53</v>
      </c>
      <c r="C213" t="s">
        <v>45</v>
      </c>
      <c r="D213" t="s">
        <v>47</v>
      </c>
      <c r="E213" t="str">
        <f>IF(LEN(Str!C237)&gt;0, Str!C237, Str!B237)</f>
        <v xml:space="preserve">ไม้แบบ ค้ำยัน นั่งร้าน </v>
      </c>
      <c r="F213" s="1260">
        <f>Str!F237</f>
        <v>0</v>
      </c>
      <c r="G213" s="1260">
        <f>Str!E237</f>
        <v>0</v>
      </c>
      <c r="H213" s="1260">
        <f>Str!I237</f>
        <v>0</v>
      </c>
      <c r="I213" s="1260">
        <f>Str!L237</f>
        <v>0</v>
      </c>
      <c r="J213" s="1260">
        <f>Str!M237</f>
        <v>0</v>
      </c>
    </row>
    <row r="214" spans="1:10" hidden="1" outlineLevel="1">
      <c r="A214" t="s">
        <v>39</v>
      </c>
      <c r="B214" t="s">
        <v>53</v>
      </c>
      <c r="C214" t="s">
        <v>45</v>
      </c>
      <c r="D214" t="s">
        <v>47</v>
      </c>
      <c r="E214" t="str">
        <f>IF(LEN(Str!C238)&gt;0, Str!C238, Str!B238)</f>
        <v>ไม้แบบ ค้ำยัน นั่งร้าน (อาคาร 3 ชั้น ใช้ 60%)</v>
      </c>
      <c r="F214" s="1260" t="str">
        <f>Str!F238</f>
        <v>ตร.ม.</v>
      </c>
      <c r="G214" s="1260">
        <f>Str!E238</f>
        <v>6.78</v>
      </c>
      <c r="H214" s="1260">
        <f>Str!I238</f>
        <v>1554.243492183432</v>
      </c>
      <c r="I214" s="1260">
        <f>Str!L238</f>
        <v>0</v>
      </c>
      <c r="J214" s="1260">
        <f>Str!M238</f>
        <v>1554.243492183432</v>
      </c>
    </row>
    <row r="215" spans="1:10" hidden="1" outlineLevel="1">
      <c r="A215" t="s">
        <v>39</v>
      </c>
      <c r="B215" t="s">
        <v>53</v>
      </c>
      <c r="C215" t="s">
        <v>45</v>
      </c>
      <c r="D215" t="s">
        <v>47</v>
      </c>
      <c r="E215" t="str">
        <f>IF(LEN(Str!C239)&gt;0, Str!C239, Str!B239)</f>
        <v>ค่าแรงประกอบและติดตั้งไม้แบบหล่อคอนกรีต (ใช้ 100%)</v>
      </c>
      <c r="F215" s="1260" t="str">
        <f>Str!F239</f>
        <v>ตร.ม.</v>
      </c>
      <c r="G215" s="1260">
        <f>Str!E239</f>
        <v>11.3</v>
      </c>
      <c r="H215" s="1260">
        <f>Str!I239</f>
        <v>0</v>
      </c>
      <c r="I215" s="1260">
        <f>Str!L239</f>
        <v>1278.2997726631002</v>
      </c>
      <c r="J215" s="1260">
        <f>Str!M239</f>
        <v>1278.2997726631002</v>
      </c>
    </row>
    <row r="216" spans="1:10" hidden="1" outlineLevel="1">
      <c r="A216" t="s">
        <v>39</v>
      </c>
      <c r="B216" t="s">
        <v>53</v>
      </c>
      <c r="C216" t="s">
        <v>45</v>
      </c>
      <c r="D216" t="s">
        <v>47</v>
      </c>
      <c r="E216" t="str">
        <f>IF(LEN(Str!C240)&gt;0, Str!C240, Str!B240)</f>
        <v>ไม้เคร่า (ใช้ 30% ของไม้แบบ 1 ตร.ม.)</v>
      </c>
      <c r="F216" s="1260" t="str">
        <f>Str!F240</f>
        <v>ลบ.ฟ.</v>
      </c>
      <c r="G216" s="1260">
        <f>Str!E240</f>
        <v>2.0399999999999996</v>
      </c>
      <c r="H216" s="1260">
        <f>Str!I240</f>
        <v>590.1296657215895</v>
      </c>
      <c r="I216" s="1260">
        <f>Str!L240</f>
        <v>0</v>
      </c>
      <c r="J216" s="1260">
        <f>Str!M240</f>
        <v>590.1296657215895</v>
      </c>
    </row>
    <row r="217" spans="1:10" hidden="1" outlineLevel="1">
      <c r="A217" t="s">
        <v>39</v>
      </c>
      <c r="B217" t="s">
        <v>53</v>
      </c>
      <c r="C217" t="s">
        <v>45</v>
      </c>
      <c r="D217" t="s">
        <v>47</v>
      </c>
      <c r="E217" t="str">
        <f>IF(LEN(Str!C241)&gt;0, Str!C241, Str!B241)</f>
        <v>ตะปู (ใช้ 25% ของไม้แบบ 1 ตร.ม.)</v>
      </c>
      <c r="F217" s="1260" t="str">
        <f>Str!F241</f>
        <v>กก.</v>
      </c>
      <c r="G217" s="1260">
        <f>Str!E241</f>
        <v>1.7</v>
      </c>
      <c r="H217" s="1260">
        <f>Str!I241</f>
        <v>37.127068362464001</v>
      </c>
      <c r="I217" s="1260">
        <f>Str!L241</f>
        <v>0</v>
      </c>
      <c r="J217" s="1260">
        <f>Str!M241</f>
        <v>37.127068362464001</v>
      </c>
    </row>
    <row r="218" spans="1:10" hidden="1" outlineLevel="1">
      <c r="A218" t="s">
        <v>39</v>
      </c>
      <c r="B218" t="s">
        <v>53</v>
      </c>
      <c r="C218" t="s">
        <v>45</v>
      </c>
      <c r="D218" t="s">
        <v>48</v>
      </c>
      <c r="E218" t="str">
        <f>IF(LEN(Str!C242)&gt;0, Str!C242, Str!B242)</f>
        <v>เสา</v>
      </c>
      <c r="F218" s="1260">
        <f>Str!F242</f>
        <v>0</v>
      </c>
      <c r="G218" s="1260">
        <f>Str!E242</f>
        <v>0</v>
      </c>
      <c r="H218" s="1260">
        <f>Str!I242</f>
        <v>0</v>
      </c>
      <c r="I218" s="1260">
        <f>Str!L242</f>
        <v>0</v>
      </c>
      <c r="J218" s="1260">
        <f>Str!M242</f>
        <v>0</v>
      </c>
    </row>
    <row r="219" spans="1:10" hidden="1" outlineLevel="1">
      <c r="A219" t="s">
        <v>39</v>
      </c>
      <c r="B219" t="s">
        <v>53</v>
      </c>
      <c r="C219" t="s">
        <v>45</v>
      </c>
      <c r="D219" t="s">
        <v>48</v>
      </c>
      <c r="E219" t="str">
        <f>IF(LEN(Str!C243)&gt;0, Str!C243, Str!B243)</f>
        <v xml:space="preserve">WF200x200x8x12 mm.-49.9 kg/m. </v>
      </c>
      <c r="F219" s="1260" t="str">
        <f>Str!F243</f>
        <v>กก.</v>
      </c>
      <c r="G219" s="1260">
        <f>Str!E243</f>
        <v>757.5</v>
      </c>
      <c r="H219" s="1260">
        <f>Str!I243</f>
        <v>22421.385491775149</v>
      </c>
      <c r="I219" s="1260">
        <f>Str!L243</f>
        <v>9914.699838434999</v>
      </c>
      <c r="J219" s="1260">
        <f>Str!M243</f>
        <v>32336.085330210146</v>
      </c>
    </row>
    <row r="220" spans="1:10" hidden="1" outlineLevel="1">
      <c r="A220" t="s">
        <v>39</v>
      </c>
      <c r="B220" t="s">
        <v>53</v>
      </c>
      <c r="C220" t="s">
        <v>45</v>
      </c>
      <c r="D220" t="s">
        <v>48</v>
      </c>
      <c r="E220" t="str">
        <f>IF(LEN(Str!C244)&gt;0, Str!C244, Str!B244)</f>
        <v>Steel Plate 12 mm.</v>
      </c>
      <c r="F220" s="1260" t="str">
        <f>Str!F244</f>
        <v>กก.</v>
      </c>
      <c r="G220" s="1260">
        <f>Str!E244</f>
        <v>20.6</v>
      </c>
      <c r="H220" s="1260">
        <f>Str!I244</f>
        <v>480.89987103195404</v>
      </c>
      <c r="I220" s="1260">
        <f>Str!L244</f>
        <v>269.62748075479999</v>
      </c>
      <c r="J220" s="1260">
        <f>Str!M244</f>
        <v>750.52735178675402</v>
      </c>
    </row>
    <row r="221" spans="1:10" hidden="1" outlineLevel="1">
      <c r="A221" t="s">
        <v>39</v>
      </c>
      <c r="B221" t="s">
        <v>53</v>
      </c>
      <c r="C221" t="s">
        <v>45</v>
      </c>
      <c r="D221" t="s">
        <v>48</v>
      </c>
      <c r="E221" t="str">
        <f>IF(LEN(Str!C245)&gt;0, Str!C245, Str!B245)</f>
        <v>งานสีกันสนิม</v>
      </c>
      <c r="F221" s="1260">
        <f>Str!F245</f>
        <v>0</v>
      </c>
      <c r="G221" s="1260">
        <f>Str!E245</f>
        <v>0</v>
      </c>
      <c r="H221" s="1260">
        <f>Str!I245</f>
        <v>0</v>
      </c>
      <c r="I221" s="1260">
        <f>Str!L245</f>
        <v>0</v>
      </c>
      <c r="J221" s="1260">
        <f>Str!M245</f>
        <v>0</v>
      </c>
    </row>
    <row r="222" spans="1:10" hidden="1" outlineLevel="1">
      <c r="A222" t="s">
        <v>39</v>
      </c>
      <c r="B222" t="s">
        <v>53</v>
      </c>
      <c r="C222" t="s">
        <v>45</v>
      </c>
      <c r="D222" t="s">
        <v>48</v>
      </c>
      <c r="E222" t="str">
        <f>IF(LEN(Str!C246)&gt;0, Str!C246, Str!B246)</f>
        <v>งานสีกันสนิม   เหล็ก 1 ตัน ต่อ ทาสี 25 ตร.ม.</v>
      </c>
      <c r="F222" s="1260" t="str">
        <f>Str!F246</f>
        <v>ตร.ม.</v>
      </c>
      <c r="G222" s="1260">
        <f>Str!E246</f>
        <v>53.5</v>
      </c>
      <c r="H222" s="1260">
        <f>Str!I246</f>
        <v>1401.49260601629</v>
      </c>
      <c r="I222" s="1260">
        <f>Str!L246</f>
        <v>1500.527415435</v>
      </c>
      <c r="J222" s="1260">
        <f>Str!M246</f>
        <v>2902.0200214512897</v>
      </c>
    </row>
    <row r="223" spans="1:10" hidden="1" outlineLevel="1">
      <c r="A223" t="s">
        <v>39</v>
      </c>
      <c r="B223" t="s">
        <v>53</v>
      </c>
      <c r="C223" t="s">
        <v>45</v>
      </c>
      <c r="D223" t="s">
        <v>48</v>
      </c>
      <c r="E223" t="str">
        <f>IF(LEN(Str!C247)&gt;0, Str!C247, Str!B247)</f>
        <v>งานสีน้ำมัน  เหล็ก 1 ตัน ต่อ ทาสี 25 ตร.ม.</v>
      </c>
      <c r="F223" s="1260" t="str">
        <f>Str!F247</f>
        <v>ตร.ม.</v>
      </c>
      <c r="G223" s="1260">
        <f>Str!E247</f>
        <v>53.5</v>
      </c>
      <c r="H223" s="1260">
        <f>Str!I247</f>
        <v>1616.5682022286401</v>
      </c>
      <c r="I223" s="1260">
        <f>Str!L247</f>
        <v>1750.6153180075</v>
      </c>
      <c r="J223" s="1260">
        <f>Str!M247</f>
        <v>3367.1835202361399</v>
      </c>
    </row>
    <row r="224" spans="1:10" hidden="1" outlineLevel="1">
      <c r="A224" t="s">
        <v>39</v>
      </c>
      <c r="B224" t="s">
        <v>53</v>
      </c>
      <c r="C224" t="s">
        <v>45</v>
      </c>
      <c r="D224" t="s">
        <v>48</v>
      </c>
      <c r="F224" s="1260">
        <f>Str!F248</f>
        <v>0</v>
      </c>
      <c r="G224" s="1260">
        <f>Str!E248</f>
        <v>0</v>
      </c>
      <c r="H224" s="1260">
        <f>Str!I248</f>
        <v>0</v>
      </c>
      <c r="I224" s="1260">
        <f>Str!L248</f>
        <v>0</v>
      </c>
      <c r="J224" s="1260">
        <f>Str!M248</f>
        <v>0</v>
      </c>
    </row>
    <row r="225" spans="1:10" hidden="1" outlineLevel="1">
      <c r="A225" t="s">
        <v>39</v>
      </c>
      <c r="B225" t="s">
        <v>53</v>
      </c>
      <c r="C225" t="s">
        <v>49</v>
      </c>
      <c r="E225" t="str">
        <f>IF(LEN(Str!C249)&gt;0, Str!C249, Str!B249)</f>
        <v>งานโครงสร้าง เสา คาน พื้นชั้นลอย</v>
      </c>
      <c r="F225" s="1260">
        <f>Str!F249</f>
        <v>0</v>
      </c>
      <c r="G225" s="1260">
        <f>Str!E249</f>
        <v>0</v>
      </c>
      <c r="H225" s="1260">
        <f>Str!I249</f>
        <v>0</v>
      </c>
      <c r="I225" s="1260">
        <f>Str!L249</f>
        <v>0</v>
      </c>
      <c r="J225" s="1260">
        <f>Str!M249</f>
        <v>0</v>
      </c>
    </row>
    <row r="226" spans="1:10" hidden="1" outlineLevel="1">
      <c r="A226" t="s">
        <v>39</v>
      </c>
      <c r="B226" t="s">
        <v>53</v>
      </c>
      <c r="C226" t="s">
        <v>49</v>
      </c>
      <c r="D226" t="s">
        <v>46</v>
      </c>
      <c r="E226" t="str">
        <f>IF(LEN(Str!C250)&gt;0, Str!C250, Str!B250)</f>
        <v>คาน</v>
      </c>
      <c r="F226" s="1260">
        <f>Str!F250</f>
        <v>0</v>
      </c>
      <c r="G226" s="1260">
        <f>Str!E250</f>
        <v>0</v>
      </c>
      <c r="H226" s="1260">
        <f>Str!I250</f>
        <v>0</v>
      </c>
      <c r="I226" s="1260">
        <f>Str!L250</f>
        <v>0</v>
      </c>
      <c r="J226" s="1260">
        <f>Str!M250</f>
        <v>0</v>
      </c>
    </row>
    <row r="227" spans="1:10" hidden="1" outlineLevel="1">
      <c r="A227" t="s">
        <v>39</v>
      </c>
      <c r="B227" t="s">
        <v>53</v>
      </c>
      <c r="C227" t="s">
        <v>49</v>
      </c>
      <c r="D227" t="s">
        <v>46</v>
      </c>
      <c r="E227" t="str">
        <f>IF(LEN(Str!C251)&gt;0, Str!C251, Str!B251)</f>
        <v xml:space="preserve">WF200x200x8x12 mm.-49.9 kg/m. </v>
      </c>
      <c r="F227" s="1260" t="str">
        <f>Str!F251</f>
        <v>กก.</v>
      </c>
      <c r="G227" s="1260">
        <f>Str!E251</f>
        <v>988</v>
      </c>
      <c r="H227" s="1260">
        <f>Str!I251</f>
        <v>29243.998502803759</v>
      </c>
      <c r="I227" s="1260">
        <f>Str!L251</f>
        <v>12931.648106103999</v>
      </c>
      <c r="J227" s="1260">
        <f>Str!M251</f>
        <v>42175.646608907758</v>
      </c>
    </row>
    <row r="228" spans="1:10" hidden="1" outlineLevel="1">
      <c r="A228" t="s">
        <v>39</v>
      </c>
      <c r="B228" t="s">
        <v>53</v>
      </c>
      <c r="C228" t="s">
        <v>49</v>
      </c>
      <c r="D228" t="s">
        <v>48</v>
      </c>
      <c r="E228" t="str">
        <f>IF(LEN(Str!C252)&gt;0, Str!C252, Str!B252)</f>
        <v>เสา</v>
      </c>
      <c r="F228" s="1260">
        <f>Str!F252</f>
        <v>0</v>
      </c>
      <c r="G228" s="1260">
        <f>Str!E252</f>
        <v>0</v>
      </c>
      <c r="H228" s="1260">
        <f>Str!I252</f>
        <v>0</v>
      </c>
      <c r="I228" s="1260">
        <f>Str!L252</f>
        <v>0</v>
      </c>
      <c r="J228" s="1260">
        <f>Str!M252</f>
        <v>0</v>
      </c>
    </row>
    <row r="229" spans="1:10" hidden="1" outlineLevel="1">
      <c r="A229" t="s">
        <v>39</v>
      </c>
      <c r="B229" t="s">
        <v>53</v>
      </c>
      <c r="C229" t="s">
        <v>49</v>
      </c>
      <c r="D229" t="s">
        <v>48</v>
      </c>
      <c r="E229" t="str">
        <f>IF(LEN(Str!C253)&gt;0, Str!C253, Str!B253)</f>
        <v xml:space="preserve">WF200x2008x12 mm.-49.9 kg/m. </v>
      </c>
      <c r="F229" s="1260" t="str">
        <f>Str!F253</f>
        <v>กก.</v>
      </c>
      <c r="G229" s="1260">
        <f>Str!E253</f>
        <v>1218.5999999999999</v>
      </c>
      <c r="H229" s="1260">
        <f>Str!I253</f>
        <v>36069.57143270917</v>
      </c>
      <c r="I229" s="1260">
        <f>Str!L253</f>
        <v>15949.905245038797</v>
      </c>
      <c r="J229" s="1260">
        <f>Str!M253</f>
        <v>52019.476677747967</v>
      </c>
    </row>
    <row r="230" spans="1:10" hidden="1" outlineLevel="1">
      <c r="A230" t="s">
        <v>39</v>
      </c>
      <c r="B230" t="s">
        <v>53</v>
      </c>
      <c r="C230" t="s">
        <v>49</v>
      </c>
      <c r="D230" t="s">
        <v>48</v>
      </c>
      <c r="E230" t="str">
        <f>IF(LEN(Str!C254)&gt;0, Str!C254, Str!B254)</f>
        <v>Steel Plate 12 mm.</v>
      </c>
      <c r="F230" s="1260" t="str">
        <f>Str!F254</f>
        <v>กก.</v>
      </c>
      <c r="G230" s="1260">
        <f>Str!E254</f>
        <v>20.6</v>
      </c>
      <c r="H230" s="1260">
        <f>Str!I254</f>
        <v>480.89987103195404</v>
      </c>
      <c r="I230" s="1260">
        <f>Str!L254</f>
        <v>269.62748075479999</v>
      </c>
      <c r="J230" s="1260">
        <f>Str!M254</f>
        <v>750.52735178675402</v>
      </c>
    </row>
    <row r="231" spans="1:10" hidden="1" outlineLevel="1">
      <c r="A231" t="s">
        <v>39</v>
      </c>
      <c r="B231" t="s">
        <v>53</v>
      </c>
      <c r="C231" t="s">
        <v>49</v>
      </c>
      <c r="D231" t="s">
        <v>48</v>
      </c>
      <c r="E231" t="str">
        <f>IF(LEN(Str!C255)&gt;0, Str!C255, Str!B255)</f>
        <v>งานสีกันสนิม</v>
      </c>
      <c r="F231" s="1260">
        <f>Str!F255</f>
        <v>0</v>
      </c>
      <c r="G231" s="1260">
        <f>Str!E255</f>
        <v>0</v>
      </c>
      <c r="H231" s="1260">
        <f>Str!I255</f>
        <v>0</v>
      </c>
      <c r="I231" s="1260">
        <f>Str!L255</f>
        <v>0</v>
      </c>
      <c r="J231" s="1260">
        <f>Str!M255</f>
        <v>0</v>
      </c>
    </row>
    <row r="232" spans="1:10" hidden="1" outlineLevel="1">
      <c r="A232" t="s">
        <v>39</v>
      </c>
      <c r="B232" t="s">
        <v>53</v>
      </c>
      <c r="C232" t="s">
        <v>49</v>
      </c>
      <c r="D232" t="s">
        <v>48</v>
      </c>
      <c r="E232" t="str">
        <f>IF(LEN(Str!C256)&gt;0, Str!C256, Str!B256)</f>
        <v>งานสีกันสนิม   เหล็ก 1 ตัน ต่อ ทาสี 25 ตร.ม.</v>
      </c>
      <c r="F232" s="1260" t="str">
        <f>Str!F256</f>
        <v>ตร.ม.</v>
      </c>
      <c r="G232" s="1260">
        <f>Str!E256</f>
        <v>55.7</v>
      </c>
      <c r="H232" s="1260">
        <f>Str!I256</f>
        <v>1459.1240776655579</v>
      </c>
      <c r="I232" s="1260">
        <f>Str!L256</f>
        <v>1562.231346537</v>
      </c>
      <c r="J232" s="1260">
        <f>Str!M256</f>
        <v>3021.355424202558</v>
      </c>
    </row>
    <row r="233" spans="1:10" hidden="1" outlineLevel="1">
      <c r="A233" t="s">
        <v>39</v>
      </c>
      <c r="B233" t="s">
        <v>53</v>
      </c>
      <c r="C233" t="s">
        <v>49</v>
      </c>
      <c r="D233" t="s">
        <v>48</v>
      </c>
      <c r="E233" t="str">
        <f>IF(LEN(Str!C257)&gt;0, Str!C257, Str!B257)</f>
        <v>งานสีน้ำมัน  เหล็ก 1 ตัน ต่อ ทาสี 25 ตร.ม.</v>
      </c>
      <c r="F233" s="1260" t="str">
        <f>Str!F257</f>
        <v>ตร.ม.</v>
      </c>
      <c r="G233" s="1260">
        <f>Str!E257</f>
        <v>55.7</v>
      </c>
      <c r="H233" s="1260">
        <f>Str!I257</f>
        <v>1683.0439040025281</v>
      </c>
      <c r="I233" s="1260">
        <f>Str!L257</f>
        <v>1822.6032376265</v>
      </c>
      <c r="J233" s="1260">
        <f>Str!M257</f>
        <v>3505.6471416290278</v>
      </c>
    </row>
    <row r="234" spans="1:10" hidden="1" outlineLevel="1">
      <c r="A234" t="s">
        <v>39</v>
      </c>
      <c r="B234" t="s">
        <v>53</v>
      </c>
      <c r="C234" t="s">
        <v>49</v>
      </c>
      <c r="D234" t="s">
        <v>48</v>
      </c>
      <c r="E234" t="str">
        <f>IF(LEN(Str!C258)&gt;0, Str!C258, Str!B258)</f>
        <v>งานโครงสร้าง เสา คาน พื้นชั้น 2</v>
      </c>
      <c r="F234" s="1260">
        <f>Str!F258</f>
        <v>0</v>
      </c>
      <c r="G234" s="1260">
        <f>Str!E258</f>
        <v>0</v>
      </c>
      <c r="H234" s="1260">
        <f>Str!I258</f>
        <v>0</v>
      </c>
      <c r="I234" s="1260">
        <f>Str!L258</f>
        <v>0</v>
      </c>
      <c r="J234" s="1260">
        <f>Str!M258</f>
        <v>0</v>
      </c>
    </row>
    <row r="235" spans="1:10" hidden="1" outlineLevel="1">
      <c r="A235" t="s">
        <v>39</v>
      </c>
      <c r="B235" t="s">
        <v>53</v>
      </c>
      <c r="C235" t="s">
        <v>49</v>
      </c>
      <c r="D235" t="s">
        <v>46</v>
      </c>
      <c r="E235" t="str">
        <f>IF(LEN(Str!C259)&gt;0, Str!C259, Str!B259)</f>
        <v>คาน</v>
      </c>
      <c r="F235" s="1260">
        <f>Str!F259</f>
        <v>0</v>
      </c>
      <c r="G235" s="1260">
        <f>Str!E259</f>
        <v>0</v>
      </c>
      <c r="H235" s="1260">
        <f>Str!I259</f>
        <v>0</v>
      </c>
      <c r="I235" s="1260">
        <f>Str!L259</f>
        <v>0</v>
      </c>
      <c r="J235" s="1260">
        <f>Str!M259</f>
        <v>0</v>
      </c>
    </row>
    <row r="236" spans="1:10" hidden="1" outlineLevel="1">
      <c r="A236" t="s">
        <v>39</v>
      </c>
      <c r="B236" t="s">
        <v>53</v>
      </c>
      <c r="C236" t="s">
        <v>49</v>
      </c>
      <c r="D236" t="s">
        <v>46</v>
      </c>
      <c r="E236" t="str">
        <f>IF(LEN(Str!C260)&gt;0, Str!C260, Str!B260)</f>
        <v xml:space="preserve">WF200x200x8x12 mm.-49.9 kg/m. </v>
      </c>
      <c r="F236" s="1260" t="str">
        <f>Str!F260</f>
        <v>กก.</v>
      </c>
      <c r="G236" s="1260">
        <f>Str!E260</f>
        <v>1361.3</v>
      </c>
      <c r="H236" s="1260">
        <f>Str!I260</f>
        <v>40293.375669905625</v>
      </c>
      <c r="I236" s="1260">
        <f>Str!L260</f>
        <v>17817.664541335398</v>
      </c>
      <c r="J236" s="1260">
        <f>Str!M260</f>
        <v>58111.040211241023</v>
      </c>
    </row>
    <row r="237" spans="1:10" hidden="1" outlineLevel="1">
      <c r="A237" t="s">
        <v>39</v>
      </c>
      <c r="B237" t="s">
        <v>53</v>
      </c>
      <c r="C237" t="s">
        <v>49</v>
      </c>
      <c r="D237" t="s">
        <v>47</v>
      </c>
      <c r="E237" t="str">
        <f>IF(LEN(Str!C261)&gt;0, Str!C261, Str!B261)</f>
        <v>พื้น</v>
      </c>
      <c r="F237" s="1260">
        <f>Str!F261</f>
        <v>0</v>
      </c>
      <c r="G237" s="1260">
        <f>Str!E261</f>
        <v>0</v>
      </c>
      <c r="H237" s="1260">
        <f>Str!I261</f>
        <v>0</v>
      </c>
      <c r="I237" s="1260">
        <f>Str!L261</f>
        <v>0</v>
      </c>
      <c r="J237" s="1260">
        <f>Str!M261</f>
        <v>0</v>
      </c>
    </row>
    <row r="238" spans="1:10" hidden="1" outlineLevel="1">
      <c r="A238" t="s">
        <v>39</v>
      </c>
      <c r="B238" t="s">
        <v>53</v>
      </c>
      <c r="C238" t="s">
        <v>49</v>
      </c>
      <c r="D238" t="s">
        <v>47</v>
      </c>
      <c r="E238" t="str">
        <f>IF(LEN(Str!C262)&gt;0, Str!C262, Str!B262)</f>
        <v>งานคอนกรีตโครงสร้าง (fc' 240 ksc, Cyl.)</v>
      </c>
      <c r="F238" s="1260" t="str">
        <f>Str!F262</f>
        <v>ลบ.ม.</v>
      </c>
      <c r="G238" s="1260">
        <f>Str!E262</f>
        <v>3</v>
      </c>
      <c r="H238" s="1260">
        <f>Str!I262</f>
        <v>7031.4434214869998</v>
      </c>
      <c r="I238" s="1260">
        <f>Str!L262</f>
        <v>1455.6518291789998</v>
      </c>
      <c r="J238" s="1260">
        <f>Str!M262</f>
        <v>8487.0952506659996</v>
      </c>
    </row>
    <row r="239" spans="1:10" hidden="1" outlineLevel="1">
      <c r="A239" t="s">
        <v>39</v>
      </c>
      <c r="B239" t="s">
        <v>53</v>
      </c>
      <c r="C239" t="s">
        <v>49</v>
      </c>
      <c r="D239" t="s">
        <v>47</v>
      </c>
      <c r="E239" t="str">
        <f>IF(LEN(Str!C263)&gt;0, Str!C263, Str!B263)</f>
        <v>เหล็กเสริม</v>
      </c>
      <c r="F239" s="1260">
        <f>Str!F263</f>
        <v>0</v>
      </c>
      <c r="G239" s="1260">
        <f>Str!E263</f>
        <v>0</v>
      </c>
      <c r="H239" s="1260">
        <f>Str!I263</f>
        <v>0</v>
      </c>
      <c r="I239" s="1260">
        <f>Str!L263</f>
        <v>0</v>
      </c>
      <c r="J239" s="1260">
        <f>Str!M263</f>
        <v>0</v>
      </c>
    </row>
    <row r="240" spans="1:10" hidden="1" outlineLevel="1">
      <c r="A240" t="s">
        <v>39</v>
      </c>
      <c r="B240" t="s">
        <v>53</v>
      </c>
      <c r="C240" t="s">
        <v>49</v>
      </c>
      <c r="D240" t="s">
        <v>47</v>
      </c>
      <c r="E240" t="str">
        <f>IF(LEN(Str!C264)&gt;0, Str!C264, Str!B264)</f>
        <v>งานเหล็กเสริมคอนกรีต RB 9  (SR-24)</v>
      </c>
      <c r="F240" s="1260" t="str">
        <f>Str!F264</f>
        <v>กก.</v>
      </c>
      <c r="G240" s="1260">
        <f>Str!E264</f>
        <v>0</v>
      </c>
      <c r="H240" s="1260">
        <f>Str!I264</f>
        <v>0</v>
      </c>
      <c r="I240" s="1260">
        <f>Str!L264</f>
        <v>0</v>
      </c>
      <c r="J240" s="1260">
        <f>Str!M264</f>
        <v>0</v>
      </c>
    </row>
    <row r="241" spans="1:10" hidden="1" outlineLevel="1">
      <c r="A241" t="s">
        <v>39</v>
      </c>
      <c r="B241" t="s">
        <v>53</v>
      </c>
      <c r="C241" t="s">
        <v>49</v>
      </c>
      <c r="D241" t="s">
        <v>47</v>
      </c>
      <c r="E241" t="str">
        <f>IF(LEN(Str!C265)&gt;0, Str!C265, Str!B265)</f>
        <v>งานเหล็กเสริมคอนกรีต DB 12  (SD-40)</v>
      </c>
      <c r="F241" s="1260" t="str">
        <f>Str!F265</f>
        <v>กก.</v>
      </c>
      <c r="G241" s="1260">
        <f>Str!E265</f>
        <v>319</v>
      </c>
      <c r="H241" s="1260">
        <f>Str!I265</f>
        <v>5875.2426397620993</v>
      </c>
      <c r="I241" s="1260">
        <f>Str!L265</f>
        <v>1073.6484011748</v>
      </c>
      <c r="J241" s="1260">
        <f>Str!M265</f>
        <v>6948.8910409368991</v>
      </c>
    </row>
    <row r="242" spans="1:10" hidden="1" outlineLevel="1">
      <c r="A242" t="s">
        <v>39</v>
      </c>
      <c r="B242" t="s">
        <v>53</v>
      </c>
      <c r="C242" t="s">
        <v>49</v>
      </c>
      <c r="D242" t="s">
        <v>47</v>
      </c>
      <c r="E242" t="str">
        <f>IF(LEN(Str!C266)&gt;0, Str!C266, Str!B266)</f>
        <v>งานเหล็กเสริมคอนกรีต DB 16  (SD-40)</v>
      </c>
      <c r="F242" s="1260" t="str">
        <f>Str!F266</f>
        <v>กก.</v>
      </c>
      <c r="G242" s="1260">
        <f>Str!E266</f>
        <v>0</v>
      </c>
      <c r="H242" s="1260">
        <f>Str!I266</f>
        <v>0</v>
      </c>
      <c r="I242" s="1260">
        <f>Str!L266</f>
        <v>0</v>
      </c>
      <c r="J242" s="1260">
        <f>Str!M266</f>
        <v>0</v>
      </c>
    </row>
    <row r="243" spans="1:10" hidden="1" outlineLevel="1">
      <c r="A243" t="s">
        <v>39</v>
      </c>
      <c r="B243" t="s">
        <v>53</v>
      </c>
      <c r="C243" t="s">
        <v>49</v>
      </c>
      <c r="D243" t="s">
        <v>47</v>
      </c>
      <c r="E243" t="str">
        <f>IF(LEN(Str!C267)&gt;0, Str!C267, Str!B267)</f>
        <v>ลวดผูกเหล็ก</v>
      </c>
      <c r="F243" s="1260" t="str">
        <f>Str!F267</f>
        <v>กก.</v>
      </c>
      <c r="G243" s="1260">
        <f>Str!E267</f>
        <v>5.8</v>
      </c>
      <c r="H243" s="1260">
        <f>Str!I267</f>
        <v>146.94884682745999</v>
      </c>
      <c r="I243" s="1260">
        <f>Str!L267</f>
        <v>0</v>
      </c>
      <c r="J243" s="1260">
        <f>Str!M267</f>
        <v>146.94884682745999</v>
      </c>
    </row>
    <row r="244" spans="1:10" hidden="1" outlineLevel="1">
      <c r="A244" t="s">
        <v>39</v>
      </c>
      <c r="B244" t="s">
        <v>53</v>
      </c>
      <c r="C244" t="s">
        <v>49</v>
      </c>
      <c r="D244" t="s">
        <v>47</v>
      </c>
      <c r="E244" t="str">
        <f>IF(LEN(Str!C268)&gt;0, Str!C268, Str!B268)</f>
        <v xml:space="preserve">ไม้แบบ ค้ำยัน นั่งร้าน </v>
      </c>
      <c r="F244" s="1260">
        <f>Str!F268</f>
        <v>0</v>
      </c>
      <c r="G244" s="1260">
        <f>Str!E268</f>
        <v>0</v>
      </c>
      <c r="H244" s="1260">
        <f>Str!I268</f>
        <v>0</v>
      </c>
      <c r="I244" s="1260">
        <f>Str!L268</f>
        <v>0</v>
      </c>
      <c r="J244" s="1260">
        <f>Str!M268</f>
        <v>0</v>
      </c>
    </row>
    <row r="245" spans="1:10" hidden="1" outlineLevel="1">
      <c r="A245" t="s">
        <v>39</v>
      </c>
      <c r="B245" t="s">
        <v>53</v>
      </c>
      <c r="C245" t="s">
        <v>49</v>
      </c>
      <c r="D245" t="s">
        <v>47</v>
      </c>
      <c r="E245" t="str">
        <f>IF(LEN(Str!C269)&gt;0, Str!C269, Str!B269)</f>
        <v>ไม้แบบ ค้ำยัน นั่งร้าน (อาคาร 3 ชั้น ใช้ 60%)</v>
      </c>
      <c r="F245" s="1260" t="str">
        <f>Str!F269</f>
        <v>ตร.ม.</v>
      </c>
      <c r="G245" s="1260">
        <f>Str!E269</f>
        <v>9.06</v>
      </c>
      <c r="H245" s="1260">
        <f>Str!I269</f>
        <v>2076.9094453070638</v>
      </c>
      <c r="I245" s="1260">
        <f>Str!L269</f>
        <v>0</v>
      </c>
      <c r="J245" s="1260">
        <f>Str!M269</f>
        <v>2076.9094453070638</v>
      </c>
    </row>
    <row r="246" spans="1:10" hidden="1" outlineLevel="1">
      <c r="A246" t="s">
        <v>39</v>
      </c>
      <c r="B246" t="s">
        <v>53</v>
      </c>
      <c r="C246" t="s">
        <v>49</v>
      </c>
      <c r="D246" t="s">
        <v>47</v>
      </c>
      <c r="E246" t="str">
        <f>IF(LEN(Str!C270)&gt;0, Str!C270, Str!B270)</f>
        <v>ค่าแรงประกอบและติดตั้งไม้แบบหล่อคอนกรีต (ใช้ 100%)</v>
      </c>
      <c r="F246" s="1260" t="str">
        <f>Str!F270</f>
        <v>ตร.ม.</v>
      </c>
      <c r="G246" s="1260">
        <f>Str!E270</f>
        <v>15.1</v>
      </c>
      <c r="H246" s="1260">
        <f>Str!I270</f>
        <v>0</v>
      </c>
      <c r="I246" s="1260">
        <f>Str!L270</f>
        <v>1708.1704926737</v>
      </c>
      <c r="J246" s="1260">
        <f>Str!M270</f>
        <v>1708.1704926737</v>
      </c>
    </row>
    <row r="247" spans="1:10" hidden="1" outlineLevel="1">
      <c r="A247" t="s">
        <v>39</v>
      </c>
      <c r="B247" t="s">
        <v>53</v>
      </c>
      <c r="C247" t="s">
        <v>49</v>
      </c>
      <c r="D247" t="s">
        <v>47</v>
      </c>
      <c r="E247" t="str">
        <f>IF(LEN(Str!C271)&gt;0, Str!C271, Str!B271)</f>
        <v>ไม้เคร่า (ใช้ 30% ของไม้แบบ 1 ตร.ม.)</v>
      </c>
      <c r="F247" s="1260" t="str">
        <f>Str!F271</f>
        <v>ลบ.ฟ.</v>
      </c>
      <c r="G247" s="1260">
        <f>Str!E271</f>
        <v>2.7199999999999998</v>
      </c>
      <c r="H247" s="1260">
        <f>Str!I271</f>
        <v>786.83955429545267</v>
      </c>
      <c r="I247" s="1260">
        <f>Str!L271</f>
        <v>0</v>
      </c>
      <c r="J247" s="1260">
        <f>Str!M271</f>
        <v>786.83955429545267</v>
      </c>
    </row>
    <row r="248" spans="1:10" hidden="1" outlineLevel="1">
      <c r="A248" t="s">
        <v>39</v>
      </c>
      <c r="B248" t="s">
        <v>53</v>
      </c>
      <c r="C248" t="s">
        <v>49</v>
      </c>
      <c r="D248" t="s">
        <v>47</v>
      </c>
      <c r="E248" t="str">
        <f>IF(LEN(Str!C272)&gt;0, Str!C272, Str!B272)</f>
        <v>ตะปู (ใช้ 25% ของไม้แบบ 1 ตร.ม.)</v>
      </c>
      <c r="F248" s="1260" t="str">
        <f>Str!F272</f>
        <v>กก.</v>
      </c>
      <c r="G248" s="1260">
        <f>Str!E272</f>
        <v>2.27</v>
      </c>
      <c r="H248" s="1260">
        <f>Str!I272</f>
        <v>49.575555989878403</v>
      </c>
      <c r="I248" s="1260">
        <f>Str!L272</f>
        <v>0</v>
      </c>
      <c r="J248" s="1260">
        <f>Str!M272</f>
        <v>49.575555989878403</v>
      </c>
    </row>
    <row r="249" spans="1:10" hidden="1" outlineLevel="1">
      <c r="A249" t="s">
        <v>39</v>
      </c>
      <c r="B249" t="s">
        <v>53</v>
      </c>
      <c r="C249" t="s">
        <v>49</v>
      </c>
      <c r="D249" t="s">
        <v>48</v>
      </c>
      <c r="E249" t="str">
        <f>IF(LEN(Str!C273)&gt;0, Str!C273, Str!B273)</f>
        <v>เสา</v>
      </c>
      <c r="F249" s="1260">
        <f>Str!F273</f>
        <v>0</v>
      </c>
      <c r="G249" s="1260">
        <f>Str!E273</f>
        <v>0</v>
      </c>
      <c r="H249" s="1260">
        <f>Str!I273</f>
        <v>0</v>
      </c>
      <c r="I249" s="1260">
        <f>Str!L273</f>
        <v>0</v>
      </c>
      <c r="J249" s="1260">
        <f>Str!M273</f>
        <v>0</v>
      </c>
    </row>
    <row r="250" spans="1:10" hidden="1" outlineLevel="1">
      <c r="A250" t="s">
        <v>39</v>
      </c>
      <c r="B250" t="s">
        <v>53</v>
      </c>
      <c r="C250" t="s">
        <v>49</v>
      </c>
      <c r="D250" t="s">
        <v>48</v>
      </c>
      <c r="E250" t="str">
        <f>IF(LEN(Str!C274)&gt;0, Str!C274, Str!B274)</f>
        <v xml:space="preserve">WF200x200x8x12 mm.-49.9 kg/m. </v>
      </c>
      <c r="F250" s="1260" t="str">
        <f>Str!F274</f>
        <v>กก.</v>
      </c>
      <c r="G250" s="1260">
        <f>Str!E274</f>
        <v>1317.4</v>
      </c>
      <c r="H250" s="1260">
        <f>Str!I274</f>
        <v>38993.971282989551</v>
      </c>
      <c r="I250" s="1260">
        <f>Str!L274</f>
        <v>17243.070055649201</v>
      </c>
      <c r="J250" s="1260">
        <f>Str!M274</f>
        <v>56237.041338638752</v>
      </c>
    </row>
    <row r="251" spans="1:10" hidden="1" outlineLevel="1">
      <c r="A251" t="s">
        <v>39</v>
      </c>
      <c r="B251" t="s">
        <v>53</v>
      </c>
      <c r="C251" t="s">
        <v>49</v>
      </c>
      <c r="D251" t="s">
        <v>48</v>
      </c>
      <c r="E251" t="str">
        <f>IF(LEN(Str!C275)&gt;0, Str!C275, Str!B275)</f>
        <v>Steel Plate 12 mm.</v>
      </c>
      <c r="F251" s="1260" t="str">
        <f>Str!F275</f>
        <v>กก.</v>
      </c>
      <c r="G251" s="1260">
        <f>Str!E275</f>
        <v>20.6</v>
      </c>
      <c r="H251" s="1260">
        <f>Str!I275</f>
        <v>480.89987103195404</v>
      </c>
      <c r="I251" s="1260">
        <f>Str!L275</f>
        <v>269.62748075479999</v>
      </c>
      <c r="J251" s="1260">
        <f>Str!M275</f>
        <v>750.52735178675402</v>
      </c>
    </row>
    <row r="252" spans="1:10" hidden="1" outlineLevel="1">
      <c r="A252" t="s">
        <v>39</v>
      </c>
      <c r="B252" t="s">
        <v>53</v>
      </c>
      <c r="C252" t="s">
        <v>49</v>
      </c>
      <c r="D252" t="s">
        <v>48</v>
      </c>
      <c r="E252" t="str">
        <f>IF(LEN(Str!C276)&gt;0, Str!C276, Str!B276)</f>
        <v>งานสีกันสนิม</v>
      </c>
      <c r="F252" s="1260">
        <f>Str!F276</f>
        <v>0</v>
      </c>
      <c r="G252" s="1260">
        <f>Str!E276</f>
        <v>0</v>
      </c>
      <c r="H252" s="1260">
        <f>Str!I276</f>
        <v>0</v>
      </c>
      <c r="I252" s="1260">
        <f>Str!L276</f>
        <v>0</v>
      </c>
      <c r="J252" s="1260">
        <f>Str!M276</f>
        <v>0</v>
      </c>
    </row>
    <row r="253" spans="1:10" hidden="1" outlineLevel="1">
      <c r="A253" t="s">
        <v>39</v>
      </c>
      <c r="B253" t="s">
        <v>53</v>
      </c>
      <c r="C253" t="s">
        <v>49</v>
      </c>
      <c r="D253" t="s">
        <v>48</v>
      </c>
      <c r="E253" t="str">
        <f>IF(LEN(Str!C277)&gt;0, Str!C277, Str!B277)</f>
        <v>งานสีกันสนิม   เหล็ก 1 ตัน ต่อ ทาสี 25 ตร.ม.</v>
      </c>
      <c r="F253" s="1260" t="str">
        <f>Str!F277</f>
        <v>ตร.ม.</v>
      </c>
      <c r="G253" s="1260">
        <f>Str!E277</f>
        <v>67.5</v>
      </c>
      <c r="H253" s="1260">
        <f>Str!I277</f>
        <v>1768.2383346934498</v>
      </c>
      <c r="I253" s="1260">
        <f>Str!L277</f>
        <v>1893.1887951749998</v>
      </c>
      <c r="J253" s="1260">
        <f>Str!M277</f>
        <v>3661.4271298684498</v>
      </c>
    </row>
    <row r="254" spans="1:10" hidden="1" outlineLevel="1">
      <c r="A254" t="s">
        <v>39</v>
      </c>
      <c r="B254" t="s">
        <v>53</v>
      </c>
      <c r="C254" t="s">
        <v>49</v>
      </c>
      <c r="D254" t="s">
        <v>48</v>
      </c>
      <c r="E254" t="str">
        <f>IF(LEN(Str!C278)&gt;0, Str!C278, Str!B278)</f>
        <v>งานสีน้ำมัน  เหล็ก 1 ตัน ต่อ ทาสี 25 ตร.ม.</v>
      </c>
      <c r="F254" s="1260" t="str">
        <f>Str!F278</f>
        <v>ตร.ม.</v>
      </c>
      <c r="G254" s="1260">
        <f>Str!E278</f>
        <v>67.5</v>
      </c>
      <c r="H254" s="1260">
        <f>Str!I278</f>
        <v>2039.5953953352</v>
      </c>
      <c r="I254" s="1260">
        <f>Str!L278</f>
        <v>2208.7202610375002</v>
      </c>
      <c r="J254" s="1260">
        <f>Str!M278</f>
        <v>4248.3156563727007</v>
      </c>
    </row>
    <row r="255" spans="1:10" hidden="1" outlineLevel="1">
      <c r="A255" t="s">
        <v>39</v>
      </c>
      <c r="B255" t="s">
        <v>53</v>
      </c>
      <c r="C255" t="s">
        <v>49</v>
      </c>
      <c r="D255" t="s">
        <v>48</v>
      </c>
      <c r="F255" s="1260">
        <f>Str!F279</f>
        <v>0</v>
      </c>
      <c r="G255" s="1260">
        <f>Str!E279</f>
        <v>0</v>
      </c>
      <c r="H255" s="1260">
        <f>Str!I279</f>
        <v>0</v>
      </c>
      <c r="I255" s="1260">
        <f>Str!L279</f>
        <v>0</v>
      </c>
      <c r="J255" s="1260">
        <f>Str!M279</f>
        <v>0</v>
      </c>
    </row>
    <row r="256" spans="1:10" hidden="1" outlineLevel="1">
      <c r="A256" t="s">
        <v>39</v>
      </c>
      <c r="B256" t="s">
        <v>53</v>
      </c>
      <c r="C256" t="s">
        <v>51</v>
      </c>
      <c r="E256" t="str">
        <f>IF(LEN(Str!C280)&gt;0, Str!C280, Str!B280)</f>
        <v>งานโครงสร้าง เสา คาน พื้นชั้น 3</v>
      </c>
      <c r="F256" s="1260">
        <f>Str!F280</f>
        <v>0</v>
      </c>
      <c r="G256" s="1260">
        <f>Str!E280</f>
        <v>0</v>
      </c>
      <c r="H256" s="1260">
        <f>Str!I280</f>
        <v>0</v>
      </c>
      <c r="I256" s="1260">
        <f>Str!L280</f>
        <v>0</v>
      </c>
      <c r="J256" s="1260">
        <f>Str!M280</f>
        <v>0</v>
      </c>
    </row>
    <row r="257" spans="1:10" hidden="1" outlineLevel="1">
      <c r="A257" t="s">
        <v>39</v>
      </c>
      <c r="B257" t="s">
        <v>53</v>
      </c>
      <c r="C257" t="s">
        <v>51</v>
      </c>
      <c r="D257" t="s">
        <v>46</v>
      </c>
      <c r="E257" t="str">
        <f>IF(LEN(Str!C281)&gt;0, Str!C281, Str!B281)</f>
        <v>คาน</v>
      </c>
      <c r="F257" s="1260">
        <f>Str!F281</f>
        <v>0</v>
      </c>
      <c r="G257" s="1260">
        <f>Str!E281</f>
        <v>0</v>
      </c>
      <c r="H257" s="1260">
        <f>Str!I281</f>
        <v>0</v>
      </c>
      <c r="I257" s="1260">
        <f>Str!L281</f>
        <v>0</v>
      </c>
      <c r="J257" s="1260">
        <f>Str!M281</f>
        <v>0</v>
      </c>
    </row>
    <row r="258" spans="1:10" hidden="1" outlineLevel="1">
      <c r="A258" t="s">
        <v>39</v>
      </c>
      <c r="B258" t="s">
        <v>53</v>
      </c>
      <c r="C258" t="s">
        <v>51</v>
      </c>
      <c r="D258" t="s">
        <v>46</v>
      </c>
      <c r="E258" t="str">
        <f>IF(LEN(Str!C282)&gt;0, Str!C282, Str!B282)</f>
        <v xml:space="preserve">WF200x200x8x12 mm.-49.9 kg/m. </v>
      </c>
      <c r="F258" s="1260" t="str">
        <f>Str!F282</f>
        <v>กก.</v>
      </c>
      <c r="G258" s="1260">
        <f>Str!E282</f>
        <v>1361.3</v>
      </c>
      <c r="H258" s="1260">
        <f>Str!I282</f>
        <v>40293.375669905625</v>
      </c>
      <c r="I258" s="1260">
        <f>Str!L282</f>
        <v>17817.664541335398</v>
      </c>
      <c r="J258" s="1260">
        <f>Str!M282</f>
        <v>58111.040211241023</v>
      </c>
    </row>
    <row r="259" spans="1:10" hidden="1" outlineLevel="1">
      <c r="A259" t="s">
        <v>39</v>
      </c>
      <c r="B259" t="s">
        <v>53</v>
      </c>
      <c r="C259" t="s">
        <v>51</v>
      </c>
      <c r="D259" t="s">
        <v>47</v>
      </c>
      <c r="E259" t="str">
        <f>IF(LEN(Str!C283)&gt;0, Str!C283, Str!B283)</f>
        <v>พื้น</v>
      </c>
      <c r="F259" s="1260">
        <f>Str!F283</f>
        <v>0</v>
      </c>
      <c r="G259" s="1260">
        <f>Str!E283</f>
        <v>0</v>
      </c>
      <c r="H259" s="1260">
        <f>Str!I283</f>
        <v>0</v>
      </c>
      <c r="I259" s="1260">
        <f>Str!L283</f>
        <v>0</v>
      </c>
      <c r="J259" s="1260">
        <f>Str!M283</f>
        <v>0</v>
      </c>
    </row>
    <row r="260" spans="1:10" hidden="1" outlineLevel="1">
      <c r="A260" t="s">
        <v>39</v>
      </c>
      <c r="B260" t="s">
        <v>53</v>
      </c>
      <c r="C260" t="s">
        <v>51</v>
      </c>
      <c r="D260" t="s">
        <v>47</v>
      </c>
      <c r="E260" t="str">
        <f>IF(LEN(Str!C284)&gt;0, Str!C284, Str!B284)</f>
        <v>งานคอนกรีตโครงสร้าง (fc' 240 ksc, Cyl.)</v>
      </c>
      <c r="F260" s="1260" t="str">
        <f>Str!F284</f>
        <v>ลบ.ม.</v>
      </c>
      <c r="G260" s="1260">
        <f>Str!E284</f>
        <v>3</v>
      </c>
      <c r="H260" s="1260">
        <f>Str!I284</f>
        <v>7031.4434214869998</v>
      </c>
      <c r="I260" s="1260">
        <f>Str!L284</f>
        <v>1455.6518291789998</v>
      </c>
      <c r="J260" s="1260">
        <f>Str!M284</f>
        <v>8487.0952506659996</v>
      </c>
    </row>
    <row r="261" spans="1:10" hidden="1" outlineLevel="1">
      <c r="A261" t="s">
        <v>39</v>
      </c>
      <c r="B261" t="s">
        <v>53</v>
      </c>
      <c r="C261" t="s">
        <v>51</v>
      </c>
      <c r="D261" t="s">
        <v>47</v>
      </c>
      <c r="E261" t="str">
        <f>IF(LEN(Str!C285)&gt;0, Str!C285, Str!B285)</f>
        <v>เหล็กเสริม</v>
      </c>
      <c r="F261" s="1260">
        <f>Str!F285</f>
        <v>0</v>
      </c>
      <c r="G261" s="1260">
        <f>Str!E285</f>
        <v>0</v>
      </c>
      <c r="H261" s="1260">
        <f>Str!I285</f>
        <v>0</v>
      </c>
      <c r="I261" s="1260">
        <f>Str!L285</f>
        <v>0</v>
      </c>
      <c r="J261" s="1260">
        <f>Str!M285</f>
        <v>0</v>
      </c>
    </row>
    <row r="262" spans="1:10" hidden="1" outlineLevel="1">
      <c r="A262" t="s">
        <v>39</v>
      </c>
      <c r="B262" t="s">
        <v>53</v>
      </c>
      <c r="C262" t="s">
        <v>51</v>
      </c>
      <c r="D262" t="s">
        <v>47</v>
      </c>
      <c r="E262" t="str">
        <f>IF(LEN(Str!C286)&gt;0, Str!C286, Str!B286)</f>
        <v>งานเหล็กเสริมคอนกรีต RB 9  (SR-24)</v>
      </c>
      <c r="F262" s="1260" t="str">
        <f>Str!F286</f>
        <v>กก.</v>
      </c>
      <c r="G262" s="1260">
        <f>Str!E286</f>
        <v>0</v>
      </c>
      <c r="H262" s="1260">
        <f>Str!I286</f>
        <v>0</v>
      </c>
      <c r="I262" s="1260">
        <f>Str!L286</f>
        <v>0</v>
      </c>
      <c r="J262" s="1260">
        <f>Str!M286</f>
        <v>0</v>
      </c>
    </row>
    <row r="263" spans="1:10" hidden="1" outlineLevel="1">
      <c r="A263" t="s">
        <v>39</v>
      </c>
      <c r="B263" t="s">
        <v>53</v>
      </c>
      <c r="C263" t="s">
        <v>51</v>
      </c>
      <c r="D263" t="s">
        <v>47</v>
      </c>
      <c r="E263" t="str">
        <f>IF(LEN(Str!C287)&gt;0, Str!C287, Str!B287)</f>
        <v>งานเหล็กเสริมคอนกรีต DB 12  (SD-40)</v>
      </c>
      <c r="F263" s="1260" t="str">
        <f>Str!F287</f>
        <v>กก.</v>
      </c>
      <c r="G263" s="1260">
        <f>Str!E287</f>
        <v>319</v>
      </c>
      <c r="H263" s="1260">
        <f>Str!I287</f>
        <v>5875.2426397620993</v>
      </c>
      <c r="I263" s="1260">
        <f>Str!L287</f>
        <v>1073.6484011748</v>
      </c>
      <c r="J263" s="1260">
        <f>Str!M287</f>
        <v>6948.8910409368991</v>
      </c>
    </row>
    <row r="264" spans="1:10" hidden="1" outlineLevel="1">
      <c r="A264" t="s">
        <v>39</v>
      </c>
      <c r="B264" t="s">
        <v>53</v>
      </c>
      <c r="C264" t="s">
        <v>51</v>
      </c>
      <c r="D264" t="s">
        <v>47</v>
      </c>
      <c r="E264" t="str">
        <f>IF(LEN(Str!C288)&gt;0, Str!C288, Str!B288)</f>
        <v>งานเหล็กเสริมคอนกรีต DB 16  (SD-40)</v>
      </c>
      <c r="F264" s="1260" t="str">
        <f>Str!F288</f>
        <v>กก.</v>
      </c>
      <c r="G264" s="1260">
        <f>Str!E288</f>
        <v>0</v>
      </c>
      <c r="H264" s="1260">
        <f>Str!I288</f>
        <v>0</v>
      </c>
      <c r="I264" s="1260">
        <f>Str!L288</f>
        <v>0</v>
      </c>
      <c r="J264" s="1260">
        <f>Str!M288</f>
        <v>0</v>
      </c>
    </row>
    <row r="265" spans="1:10" hidden="1" outlineLevel="1">
      <c r="A265" t="s">
        <v>39</v>
      </c>
      <c r="B265" t="s">
        <v>53</v>
      </c>
      <c r="C265" t="s">
        <v>51</v>
      </c>
      <c r="D265" t="s">
        <v>47</v>
      </c>
      <c r="E265" t="str">
        <f>IF(LEN(Str!C289)&gt;0, Str!C289, Str!B289)</f>
        <v>ลวดผูกเหล็ก</v>
      </c>
      <c r="F265" s="1260" t="str">
        <f>Str!F289</f>
        <v>กก.</v>
      </c>
      <c r="G265" s="1260">
        <f>Str!E289</f>
        <v>5.8</v>
      </c>
      <c r="H265" s="1260">
        <f>Str!I289</f>
        <v>146.94884682745999</v>
      </c>
      <c r="I265" s="1260">
        <f>Str!L289</f>
        <v>0</v>
      </c>
      <c r="J265" s="1260">
        <f>Str!M289</f>
        <v>146.94884682745999</v>
      </c>
    </row>
    <row r="266" spans="1:10" hidden="1" outlineLevel="1">
      <c r="A266" t="s">
        <v>39</v>
      </c>
      <c r="B266" t="s">
        <v>53</v>
      </c>
      <c r="C266" t="s">
        <v>51</v>
      </c>
      <c r="D266" t="s">
        <v>47</v>
      </c>
      <c r="E266" t="str">
        <f>IF(LEN(Str!C290)&gt;0, Str!C290, Str!B290)</f>
        <v xml:space="preserve">ไม้แบบ ค้ำยัน นั่งร้าน </v>
      </c>
      <c r="F266" s="1260">
        <f>Str!F290</f>
        <v>0</v>
      </c>
      <c r="G266" s="1260">
        <f>Str!E290</f>
        <v>0</v>
      </c>
      <c r="H266" s="1260">
        <f>Str!I290</f>
        <v>0</v>
      </c>
      <c r="I266" s="1260">
        <f>Str!L290</f>
        <v>0</v>
      </c>
      <c r="J266" s="1260">
        <f>Str!M290</f>
        <v>0</v>
      </c>
    </row>
    <row r="267" spans="1:10" hidden="1" outlineLevel="1">
      <c r="A267" t="s">
        <v>39</v>
      </c>
      <c r="B267" t="s">
        <v>53</v>
      </c>
      <c r="C267" t="s">
        <v>51</v>
      </c>
      <c r="D267" t="s">
        <v>47</v>
      </c>
      <c r="E267" t="str">
        <f>IF(LEN(Str!C291)&gt;0, Str!C291, Str!B291)</f>
        <v>ไม้แบบ ค้ำยัน นั่งร้าน (อาคาร 3 ชั้น ใช้ 60%)</v>
      </c>
      <c r="F267" s="1260" t="str">
        <f>Str!F291</f>
        <v>ตร.ม.</v>
      </c>
      <c r="G267" s="1260">
        <f>Str!E291</f>
        <v>9.06</v>
      </c>
      <c r="H267" s="1260">
        <f>Str!I291</f>
        <v>2076.9094453070638</v>
      </c>
      <c r="I267" s="1260">
        <f>Str!L291</f>
        <v>0</v>
      </c>
      <c r="J267" s="1260">
        <f>Str!M291</f>
        <v>2076.9094453070638</v>
      </c>
    </row>
    <row r="268" spans="1:10" hidden="1" outlineLevel="1">
      <c r="A268" t="s">
        <v>39</v>
      </c>
      <c r="B268" t="s">
        <v>53</v>
      </c>
      <c r="C268" t="s">
        <v>51</v>
      </c>
      <c r="D268" t="s">
        <v>47</v>
      </c>
      <c r="E268" t="str">
        <f>IF(LEN(Str!C292)&gt;0, Str!C292, Str!B292)</f>
        <v>ค่าแรงประกอบและติดตั้งไม้แบบหล่อคอนกรีต (ใช้ 100%)</v>
      </c>
      <c r="F268" s="1260" t="str">
        <f>Str!F292</f>
        <v>ตร.ม.</v>
      </c>
      <c r="G268" s="1260">
        <f>Str!E292</f>
        <v>15.1</v>
      </c>
      <c r="H268" s="1260">
        <f>Str!I292</f>
        <v>0</v>
      </c>
      <c r="I268" s="1260">
        <f>Str!L292</f>
        <v>1708.1704926737</v>
      </c>
      <c r="J268" s="1260">
        <f>Str!M292</f>
        <v>1708.1704926737</v>
      </c>
    </row>
    <row r="269" spans="1:10" hidden="1" outlineLevel="1">
      <c r="A269" t="s">
        <v>39</v>
      </c>
      <c r="B269" t="s">
        <v>53</v>
      </c>
      <c r="C269" t="s">
        <v>51</v>
      </c>
      <c r="D269" t="s">
        <v>47</v>
      </c>
      <c r="E269" t="str">
        <f>IF(LEN(Str!C293)&gt;0, Str!C293, Str!B293)</f>
        <v>ไม้เคร่า (ใช้ 30% ของไม้แบบ 1 ตร.ม.)</v>
      </c>
      <c r="F269" s="1260" t="str">
        <f>Str!F293</f>
        <v>ลบ.ฟ.</v>
      </c>
      <c r="G269" s="1260">
        <f>Str!E293</f>
        <v>2.7199999999999998</v>
      </c>
      <c r="H269" s="1260">
        <f>Str!I293</f>
        <v>786.83955429545267</v>
      </c>
      <c r="I269" s="1260">
        <f>Str!L293</f>
        <v>0</v>
      </c>
      <c r="J269" s="1260">
        <f>Str!M293</f>
        <v>786.83955429545267</v>
      </c>
    </row>
    <row r="270" spans="1:10" hidden="1" outlineLevel="1">
      <c r="A270" t="s">
        <v>39</v>
      </c>
      <c r="B270" t="s">
        <v>53</v>
      </c>
      <c r="C270" t="s">
        <v>51</v>
      </c>
      <c r="D270" t="s">
        <v>47</v>
      </c>
      <c r="E270" t="str">
        <f>IF(LEN(Str!C294)&gt;0, Str!C294, Str!B294)</f>
        <v>ตะปู (ใช้ 25% ของไม้แบบ 1 ตร.ม.)</v>
      </c>
      <c r="F270" s="1260" t="str">
        <f>Str!F294</f>
        <v>กก.</v>
      </c>
      <c r="G270" s="1260">
        <f>Str!E294</f>
        <v>2.27</v>
      </c>
      <c r="H270" s="1260">
        <f>Str!I294</f>
        <v>49.575555989878403</v>
      </c>
      <c r="I270" s="1260">
        <f>Str!L294</f>
        <v>0</v>
      </c>
      <c r="J270" s="1260">
        <f>Str!M294</f>
        <v>49.575555989878403</v>
      </c>
    </row>
    <row r="271" spans="1:10" hidden="1" outlineLevel="1">
      <c r="A271" t="s">
        <v>39</v>
      </c>
      <c r="B271" t="s">
        <v>53</v>
      </c>
      <c r="C271" t="s">
        <v>51</v>
      </c>
      <c r="D271" t="s">
        <v>48</v>
      </c>
      <c r="E271" t="str">
        <f>IF(LEN(Str!C295)&gt;0, Str!C295, Str!B295)</f>
        <v>เสา</v>
      </c>
      <c r="F271" s="1260">
        <f>Str!F295</f>
        <v>0</v>
      </c>
      <c r="G271" s="1260">
        <f>Str!E295</f>
        <v>0</v>
      </c>
      <c r="H271" s="1260">
        <f>Str!I295</f>
        <v>0</v>
      </c>
      <c r="I271" s="1260">
        <f>Str!L295</f>
        <v>0</v>
      </c>
      <c r="J271" s="1260">
        <f>Str!M295</f>
        <v>0</v>
      </c>
    </row>
    <row r="272" spans="1:10" hidden="1" outlineLevel="1">
      <c r="A272" t="s">
        <v>39</v>
      </c>
      <c r="B272" t="s">
        <v>53</v>
      </c>
      <c r="C272" t="s">
        <v>51</v>
      </c>
      <c r="D272" t="s">
        <v>48</v>
      </c>
      <c r="E272" t="str">
        <f>IF(LEN(Str!C296)&gt;0, Str!C296, Str!B296)</f>
        <v xml:space="preserve">WF200x200x8x12 mm.-49.9 kg/m. </v>
      </c>
      <c r="F272" s="1260" t="str">
        <f>Str!F296</f>
        <v>กก.</v>
      </c>
      <c r="G272" s="1260">
        <f>Str!E296</f>
        <v>1284.4000000000001</v>
      </c>
      <c r="H272" s="1260">
        <f>Str!I296</f>
        <v>38017.19805364489</v>
      </c>
      <c r="I272" s="1260">
        <f>Str!L296</f>
        <v>16811.1425379352</v>
      </c>
      <c r="J272" s="1260">
        <f>Str!M296</f>
        <v>54828.34059158009</v>
      </c>
    </row>
    <row r="273" spans="1:10" hidden="1" outlineLevel="1">
      <c r="A273" t="s">
        <v>39</v>
      </c>
      <c r="B273" t="s">
        <v>53</v>
      </c>
      <c r="C273" t="s">
        <v>51</v>
      </c>
      <c r="D273" t="s">
        <v>48</v>
      </c>
      <c r="E273" t="str">
        <f>IF(LEN(Str!C297)&gt;0, Str!C297, Str!B297)</f>
        <v>Steel Plate 12 mm.</v>
      </c>
      <c r="F273" s="1260" t="str">
        <f>Str!F297</f>
        <v>กก.</v>
      </c>
      <c r="G273" s="1260">
        <f>Str!E297</f>
        <v>20.6</v>
      </c>
      <c r="H273" s="1260">
        <f>Str!I297</f>
        <v>480.89987103195404</v>
      </c>
      <c r="I273" s="1260">
        <f>Str!L297</f>
        <v>269.62748075479999</v>
      </c>
      <c r="J273" s="1260">
        <f>Str!M297</f>
        <v>750.52735178675402</v>
      </c>
    </row>
    <row r="274" spans="1:10" hidden="1" outlineLevel="1">
      <c r="A274" t="s">
        <v>39</v>
      </c>
      <c r="B274" t="s">
        <v>53</v>
      </c>
      <c r="C274" t="s">
        <v>51</v>
      </c>
      <c r="D274" t="s">
        <v>48</v>
      </c>
      <c r="E274" t="str">
        <f>IF(LEN(Str!C298)&gt;0, Str!C298, Str!B298)</f>
        <v>งานสีกันสนิม</v>
      </c>
      <c r="F274" s="1260">
        <f>Str!F298</f>
        <v>0</v>
      </c>
      <c r="G274" s="1260">
        <f>Str!E298</f>
        <v>0</v>
      </c>
      <c r="H274" s="1260">
        <f>Str!I298</f>
        <v>0</v>
      </c>
      <c r="I274" s="1260">
        <f>Str!L298</f>
        <v>0</v>
      </c>
      <c r="J274" s="1260">
        <f>Str!M298</f>
        <v>0</v>
      </c>
    </row>
    <row r="275" spans="1:10" hidden="1" outlineLevel="1">
      <c r="A275" t="s">
        <v>39</v>
      </c>
      <c r="B275" t="s">
        <v>53</v>
      </c>
      <c r="C275" t="s">
        <v>51</v>
      </c>
      <c r="D275" t="s">
        <v>48</v>
      </c>
      <c r="E275" t="str">
        <f>IF(LEN(Str!C299)&gt;0, Str!C299, Str!B299)</f>
        <v>งานสีกันสนิม   เหล็ก 1 ตัน ต่อ ทาสี 25 ตร.ม.</v>
      </c>
      <c r="F275" s="1260" t="str">
        <f>Str!F299</f>
        <v>ตร.ม.</v>
      </c>
      <c r="G275" s="1260">
        <f>Str!E299</f>
        <v>66.7</v>
      </c>
      <c r="H275" s="1260">
        <f>Str!I299</f>
        <v>1747.2814359118979</v>
      </c>
      <c r="I275" s="1260">
        <f>Str!L299</f>
        <v>1870.7510020469999</v>
      </c>
      <c r="J275" s="1260">
        <f>Str!M299</f>
        <v>3618.0324379588978</v>
      </c>
    </row>
    <row r="276" spans="1:10" hidden="1" outlineLevel="1">
      <c r="A276" t="s">
        <v>39</v>
      </c>
      <c r="B276" t="s">
        <v>53</v>
      </c>
      <c r="C276" t="s">
        <v>51</v>
      </c>
      <c r="D276" t="s">
        <v>48</v>
      </c>
      <c r="E276" t="str">
        <f>IF(LEN(Str!C300)&gt;0, Str!C300, Str!B300)</f>
        <v>งานสีน้ำมัน  เหล็ก 1 ตัน ต่อ ทาสี 25 ตร.ม.</v>
      </c>
      <c r="F276" s="1260" t="str">
        <f>Str!F300</f>
        <v>ตร.ม.</v>
      </c>
      <c r="G276" s="1260">
        <f>Str!E300</f>
        <v>66.7</v>
      </c>
      <c r="H276" s="1260">
        <f>Str!I300</f>
        <v>2015.4224128719682</v>
      </c>
      <c r="I276" s="1260">
        <f>Str!L300</f>
        <v>2182.5428357215001</v>
      </c>
      <c r="J276" s="1260">
        <f>Str!M300</f>
        <v>4197.9652485934685</v>
      </c>
    </row>
    <row r="277" spans="1:10" hidden="1" outlineLevel="1">
      <c r="A277" t="s">
        <v>39</v>
      </c>
      <c r="B277" t="s">
        <v>53</v>
      </c>
      <c r="C277" t="s">
        <v>51</v>
      </c>
      <c r="D277" t="s">
        <v>48</v>
      </c>
      <c r="E277" t="str">
        <f>IF(LEN(Str!C301)&gt;0, Str!C301, Str!B301)</f>
        <v>งานโครงสร้าง คาน พื้นชั้นดาดฟ้า</v>
      </c>
      <c r="F277" s="1260">
        <f>Str!F301</f>
        <v>0</v>
      </c>
      <c r="G277" s="1260">
        <f>Str!E301</f>
        <v>0</v>
      </c>
      <c r="H277" s="1260">
        <f>Str!I301</f>
        <v>0</v>
      </c>
      <c r="I277" s="1260">
        <f>Str!L301</f>
        <v>0</v>
      </c>
      <c r="J277" s="1260">
        <f>Str!M301</f>
        <v>0</v>
      </c>
    </row>
    <row r="278" spans="1:10" hidden="1" outlineLevel="1">
      <c r="A278" t="s">
        <v>39</v>
      </c>
      <c r="B278" t="s">
        <v>53</v>
      </c>
      <c r="C278" t="s">
        <v>51</v>
      </c>
      <c r="D278" t="s">
        <v>46</v>
      </c>
      <c r="E278" t="str">
        <f>IF(LEN(Str!C302)&gt;0, Str!C302, Str!B302)</f>
        <v>คาน</v>
      </c>
      <c r="F278" s="1260">
        <f>Str!F302</f>
        <v>0</v>
      </c>
      <c r="G278" s="1260">
        <f>Str!E302</f>
        <v>0</v>
      </c>
      <c r="H278" s="1260">
        <f>Str!I302</f>
        <v>0</v>
      </c>
      <c r="I278" s="1260">
        <f>Str!L302</f>
        <v>0</v>
      </c>
      <c r="J278" s="1260">
        <f>Str!M302</f>
        <v>0</v>
      </c>
    </row>
    <row r="279" spans="1:10" hidden="1" outlineLevel="1">
      <c r="A279" t="s">
        <v>39</v>
      </c>
      <c r="B279" t="s">
        <v>53</v>
      </c>
      <c r="C279" t="s">
        <v>51</v>
      </c>
      <c r="D279" t="s">
        <v>46</v>
      </c>
      <c r="E279" t="str">
        <f>IF(LEN(Str!C303)&gt;0, Str!C303, Str!B303)</f>
        <v xml:space="preserve">WF200x200x8x12 mm.-49.9 kg/m. </v>
      </c>
      <c r="F279" s="1260" t="str">
        <f>Str!F303</f>
        <v>กก.</v>
      </c>
      <c r="G279" s="1260">
        <f>Str!E303</f>
        <v>988</v>
      </c>
      <c r="H279" s="1260">
        <f>Str!I303</f>
        <v>29243.998502803759</v>
      </c>
      <c r="I279" s="1260">
        <f>Str!L303</f>
        <v>12931.648106103999</v>
      </c>
      <c r="J279" s="1260">
        <f>Str!M303</f>
        <v>42175.646608907758</v>
      </c>
    </row>
    <row r="280" spans="1:10" hidden="1" outlineLevel="1">
      <c r="A280" t="s">
        <v>39</v>
      </c>
      <c r="B280" t="s">
        <v>53</v>
      </c>
      <c r="C280" t="s">
        <v>51</v>
      </c>
      <c r="D280" t="s">
        <v>46</v>
      </c>
      <c r="E280" t="str">
        <f>IF(LEN(Str!C304)&gt;0, Str!C304, Str!B304)</f>
        <v>งานสีกันสนิม</v>
      </c>
      <c r="F280" s="1260">
        <f>Str!F304</f>
        <v>0</v>
      </c>
      <c r="G280" s="1260">
        <f>Str!E304</f>
        <v>0</v>
      </c>
      <c r="H280" s="1260">
        <f>Str!I304</f>
        <v>0</v>
      </c>
      <c r="I280" s="1260">
        <f>Str!L304</f>
        <v>0</v>
      </c>
      <c r="J280" s="1260">
        <f>Str!M304</f>
        <v>0</v>
      </c>
    </row>
    <row r="281" spans="1:10" hidden="1" outlineLevel="1">
      <c r="A281" t="s">
        <v>39</v>
      </c>
      <c r="B281" t="s">
        <v>53</v>
      </c>
      <c r="C281" t="s">
        <v>51</v>
      </c>
      <c r="D281" t="s">
        <v>46</v>
      </c>
      <c r="E281" t="str">
        <f>IF(LEN(Str!C305)&gt;0, Str!C305, Str!B305)</f>
        <v>งานสีกันสนิม   เหล็ก 1 ตัน ต่อ ทาสี 25 ตร.ม.</v>
      </c>
      <c r="F281" s="1260" t="str">
        <f>Str!F305</f>
        <v>ตร.ม.</v>
      </c>
      <c r="G281" s="1260">
        <f>Str!E305</f>
        <v>24.7</v>
      </c>
      <c r="H281" s="1260">
        <f>Str!I305</f>
        <v>647.04424988041796</v>
      </c>
      <c r="I281" s="1260">
        <f>Str!L305</f>
        <v>692.76686282699995</v>
      </c>
      <c r="J281" s="1260">
        <f>Str!M305</f>
        <v>1339.811112707418</v>
      </c>
    </row>
    <row r="282" spans="1:10" hidden="1" outlineLevel="1">
      <c r="A282" t="s">
        <v>39</v>
      </c>
      <c r="B282" t="s">
        <v>53</v>
      </c>
      <c r="C282" t="s">
        <v>51</v>
      </c>
      <c r="D282" t="s">
        <v>46</v>
      </c>
      <c r="E282" t="str">
        <f>IF(LEN(Str!C306)&gt;0, Str!C306, Str!B306)</f>
        <v>งานสีน้ำมัน  เหล็ก 1 ตัน ต่อ ทาสี 25 ตร.ม.</v>
      </c>
      <c r="F282" s="1260" t="str">
        <f>Str!F306</f>
        <v>ตร.ม.</v>
      </c>
      <c r="G282" s="1260">
        <f>Str!E306</f>
        <v>24.7</v>
      </c>
      <c r="H282" s="1260">
        <f>Str!I306</f>
        <v>746.34083355228802</v>
      </c>
      <c r="I282" s="1260">
        <f>Str!L306</f>
        <v>808.22800663149997</v>
      </c>
      <c r="J282" s="1260">
        <f>Str!M306</f>
        <v>1554.5688401837879</v>
      </c>
    </row>
    <row r="283" spans="1:10" hidden="1" outlineLevel="1">
      <c r="F283" s="1260"/>
      <c r="G283" s="1260"/>
      <c r="H283" s="1260"/>
      <c r="I283" s="1260"/>
      <c r="J283" s="1260"/>
    </row>
    <row r="284" spans="1:10" hidden="1" outlineLevel="1">
      <c r="F284" s="1260"/>
      <c r="G284" s="1260"/>
      <c r="H284" s="1260"/>
      <c r="I284" s="1260"/>
      <c r="J284" s="1260"/>
    </row>
    <row r="285" spans="1:10" hidden="1" outlineLevel="1">
      <c r="F285" s="1260"/>
      <c r="G285" s="1260"/>
      <c r="H285" s="1260"/>
      <c r="I285" s="1260"/>
      <c r="J285" s="1260"/>
    </row>
    <row r="286" spans="1:10" hidden="1" outlineLevel="1">
      <c r="A286" t="s">
        <v>39</v>
      </c>
      <c r="B286" t="s">
        <v>55</v>
      </c>
      <c r="C286" t="s">
        <v>56</v>
      </c>
      <c r="E286" t="str">
        <f>IF(LEN(Str!C310)&gt;0, Str!C310, Str!B310)</f>
        <v>บันได ST6</v>
      </c>
      <c r="F286" s="1260">
        <f>Str!F310</f>
        <v>0</v>
      </c>
      <c r="G286" s="1260">
        <f>Str!E310</f>
        <v>0</v>
      </c>
      <c r="H286" s="1260">
        <f>Str!I310</f>
        <v>0</v>
      </c>
      <c r="I286" s="1260">
        <f>Str!L310</f>
        <v>0</v>
      </c>
      <c r="J286" s="1260">
        <f>Str!M310</f>
        <v>0</v>
      </c>
    </row>
    <row r="287" spans="1:10" hidden="1" outlineLevel="1">
      <c r="A287" t="s">
        <v>39</v>
      </c>
      <c r="B287" t="s">
        <v>55</v>
      </c>
      <c r="C287" t="s">
        <v>56</v>
      </c>
      <c r="D287" t="s">
        <v>57</v>
      </c>
      <c r="E287" t="str">
        <f>IF(LEN(Str!C311)&gt;0, Str!C311, Str!B311)</f>
        <v>Steel Plate 6 mm. Thk.</v>
      </c>
      <c r="F287" s="1260" t="str">
        <f>Str!F311</f>
        <v>กก.</v>
      </c>
      <c r="G287" s="1260">
        <f>Str!E311</f>
        <v>428.5</v>
      </c>
      <c r="H287" s="1260">
        <f>Str!I311</f>
        <v>9213.9862572085003</v>
      </c>
      <c r="I287" s="1260">
        <f>Str!L311</f>
        <v>5608.5133739529992</v>
      </c>
      <c r="J287" s="1260">
        <f>Str!M311</f>
        <v>14822.4996311615</v>
      </c>
    </row>
    <row r="288" spans="1:10" hidden="1" outlineLevel="1">
      <c r="A288" t="s">
        <v>39</v>
      </c>
      <c r="B288" t="s">
        <v>55</v>
      </c>
      <c r="C288" t="s">
        <v>56</v>
      </c>
      <c r="D288" t="s">
        <v>57</v>
      </c>
      <c r="E288" t="str">
        <f>IF(LEN(Str!C312)&gt;0, Str!C312, Str!B312)</f>
        <v>Steel Plate 16 mm. Thk.</v>
      </c>
      <c r="F288" s="1260" t="str">
        <f>Str!F312</f>
        <v>กก.</v>
      </c>
      <c r="G288" s="1260">
        <f>Str!E312</f>
        <v>157.5</v>
      </c>
      <c r="H288" s="1260">
        <f>Str!I312</f>
        <v>4520.5141342567495</v>
      </c>
      <c r="I288" s="1260">
        <f>Str!L312</f>
        <v>2061.4722436349998</v>
      </c>
      <c r="J288" s="1260">
        <f>Str!M312</f>
        <v>6581.9863778917497</v>
      </c>
    </row>
    <row r="289" spans="1:10" hidden="1" outlineLevel="1">
      <c r="A289" t="s">
        <v>39</v>
      </c>
      <c r="B289" t="s">
        <v>55</v>
      </c>
      <c r="C289" t="s">
        <v>56</v>
      </c>
      <c r="D289" t="s">
        <v>57</v>
      </c>
      <c r="E289" t="str">
        <f>IF(LEN(Str!C313)&gt;0, Str!C313, Str!B313)</f>
        <v>Steel Plate 22 mm. Thk.</v>
      </c>
      <c r="F289" s="1260" t="str">
        <f>Str!F313</f>
        <v>กก.</v>
      </c>
      <c r="G289" s="1260">
        <f>Str!E313</f>
        <v>414.4</v>
      </c>
      <c r="H289" s="1260">
        <f>Str!I313</f>
        <v>10634.84080887816</v>
      </c>
      <c r="I289" s="1260">
        <f>Str!L313</f>
        <v>5423.9625254751991</v>
      </c>
      <c r="J289" s="1260">
        <f>Str!M313</f>
        <v>16058.803334353359</v>
      </c>
    </row>
    <row r="290" spans="1:10" hidden="1" outlineLevel="1">
      <c r="A290" t="s">
        <v>39</v>
      </c>
      <c r="B290" t="s">
        <v>55</v>
      </c>
      <c r="C290" t="s">
        <v>56</v>
      </c>
      <c r="D290" t="s">
        <v>57</v>
      </c>
      <c r="E290" t="str">
        <f>IF(LEN(Str!C314)&gt;0, Str!C314, Str!B314)</f>
        <v xml:space="preserve">Support </v>
      </c>
      <c r="F290" s="1260">
        <f>Str!F314</f>
        <v>0</v>
      </c>
      <c r="G290" s="1260">
        <f>Str!E314</f>
        <v>0</v>
      </c>
      <c r="H290" s="1260">
        <f>Str!I314</f>
        <v>0</v>
      </c>
      <c r="I290" s="1260">
        <f>Str!L314</f>
        <v>0</v>
      </c>
      <c r="J290" s="1260">
        <f>Str!M314</f>
        <v>0</v>
      </c>
    </row>
    <row r="291" spans="1:10" hidden="1" outlineLevel="1">
      <c r="A291" t="s">
        <v>39</v>
      </c>
      <c r="B291" t="s">
        <v>55</v>
      </c>
      <c r="C291" t="s">
        <v>56</v>
      </c>
      <c r="D291" t="s">
        <v>57</v>
      </c>
      <c r="E291" t="str">
        <f>IF(LEN(Str!C315)&gt;0, Str!C315, Str!B315)</f>
        <v>Steel Plate 22 mm. Thk.</v>
      </c>
      <c r="F291" s="1260" t="str">
        <f>Str!F315</f>
        <v>กก.</v>
      </c>
      <c r="G291" s="1260">
        <f>Str!E315</f>
        <v>34.200000000000003</v>
      </c>
      <c r="H291" s="1260">
        <f>Str!I315</f>
        <v>877.68232544313003</v>
      </c>
      <c r="I291" s="1260">
        <f>Str!L315</f>
        <v>447.63397290360001</v>
      </c>
      <c r="J291" s="1260">
        <f>Str!M315</f>
        <v>1325.31629834673</v>
      </c>
    </row>
    <row r="292" spans="1:10" hidden="1" outlineLevel="1">
      <c r="A292" t="s">
        <v>39</v>
      </c>
      <c r="B292" t="s">
        <v>55</v>
      </c>
      <c r="C292" t="s">
        <v>56</v>
      </c>
      <c r="D292" t="s">
        <v>57</v>
      </c>
      <c r="E292" t="str">
        <f>IF(LEN(Str!C316)&gt;0, Str!C316, Str!B316)</f>
        <v>Chemical Bolt  (A325)</v>
      </c>
      <c r="F292" s="1260">
        <f>Str!F316</f>
        <v>0</v>
      </c>
      <c r="G292" s="1260">
        <f>Str!E316</f>
        <v>0</v>
      </c>
      <c r="H292" s="1260">
        <f>Str!I316</f>
        <v>0</v>
      </c>
      <c r="I292" s="1260">
        <f>Str!L316</f>
        <v>0</v>
      </c>
      <c r="J292" s="1260">
        <f>Str!M316</f>
        <v>0</v>
      </c>
    </row>
    <row r="293" spans="1:10" hidden="1" outlineLevel="1">
      <c r="A293" t="s">
        <v>39</v>
      </c>
      <c r="B293" t="s">
        <v>55</v>
      </c>
      <c r="C293" t="s">
        <v>56</v>
      </c>
      <c r="D293" t="s">
        <v>57</v>
      </c>
      <c r="E293" t="str">
        <f>IF(LEN(Str!C317)&gt;0, Str!C317, Str!B317)</f>
        <v>M16</v>
      </c>
      <c r="F293" s="1260" t="str">
        <f>Str!F317</f>
        <v>ชุด</v>
      </c>
      <c r="G293" s="1260">
        <f>Str!E317</f>
        <v>12</v>
      </c>
      <c r="H293" s="1260">
        <f>Str!I317</f>
        <v>970.43455278600004</v>
      </c>
      <c r="I293" s="1260">
        <f>Str!L317</f>
        <v>291.13036583579998</v>
      </c>
      <c r="J293" s="1260">
        <f>Str!M317</f>
        <v>1261.5649186218</v>
      </c>
    </row>
    <row r="294" spans="1:10" hidden="1" outlineLevel="1">
      <c r="A294" t="s">
        <v>39</v>
      </c>
      <c r="B294" t="s">
        <v>55</v>
      </c>
      <c r="C294" t="s">
        <v>56</v>
      </c>
      <c r="D294" t="s">
        <v>57</v>
      </c>
      <c r="E294" t="str">
        <f>IF(LEN(Str!C318)&gt;0, Str!C318, Str!B318)</f>
        <v>งานสีกันสนิม</v>
      </c>
      <c r="F294" s="1260">
        <f>Str!F318</f>
        <v>0</v>
      </c>
      <c r="G294" s="1260">
        <f>Str!E318</f>
        <v>0</v>
      </c>
      <c r="H294" s="1260">
        <f>Str!I318</f>
        <v>0</v>
      </c>
      <c r="I294" s="1260">
        <f>Str!L318</f>
        <v>0</v>
      </c>
      <c r="J294" s="1260">
        <f>Str!M318</f>
        <v>0</v>
      </c>
    </row>
    <row r="295" spans="1:10" hidden="1" outlineLevel="1">
      <c r="A295" t="s">
        <v>39</v>
      </c>
      <c r="B295" t="s">
        <v>55</v>
      </c>
      <c r="C295" t="s">
        <v>56</v>
      </c>
      <c r="D295" t="s">
        <v>57</v>
      </c>
      <c r="E295" t="str">
        <f>IF(LEN(Str!C319)&gt;0, Str!C319, Str!B319)</f>
        <v>งานสีกันสนิม   เหล็ก 1 ตัน ต่อ ทาสี 25 ตร.ม.</v>
      </c>
      <c r="F295" s="1260" t="str">
        <f>Str!F319</f>
        <v>ตร.ม.</v>
      </c>
      <c r="G295" s="1260">
        <f>Str!E319</f>
        <v>25.9</v>
      </c>
      <c r="H295" s="1260">
        <f>Str!I319</f>
        <v>678.47959805274593</v>
      </c>
      <c r="I295" s="1260">
        <f>Str!L319</f>
        <v>726.42355251899994</v>
      </c>
      <c r="J295" s="1260">
        <f>Str!M319</f>
        <v>1404.9031505717458</v>
      </c>
    </row>
    <row r="296" spans="1:10" hidden="1" outlineLevel="1">
      <c r="A296" t="s">
        <v>39</v>
      </c>
      <c r="B296" t="s">
        <v>55</v>
      </c>
      <c r="C296" t="s">
        <v>56</v>
      </c>
      <c r="D296" t="s">
        <v>57</v>
      </c>
      <c r="E296" t="str">
        <f>IF(LEN(Str!C320)&gt;0, Str!C320, Str!B320)</f>
        <v>งานสีน้ำมัน  เหล็ก 1 ตัน ต่อ ทาสี 25 ตร.ม.</v>
      </c>
      <c r="F296" s="1260" t="str">
        <f>Str!F320</f>
        <v>ตร.ม.</v>
      </c>
      <c r="G296" s="1260">
        <f>Str!E320</f>
        <v>25.9</v>
      </c>
      <c r="H296" s="1260">
        <f>Str!I320</f>
        <v>782.60030724713602</v>
      </c>
      <c r="I296" s="1260">
        <f>Str!L320</f>
        <v>847.49414460549997</v>
      </c>
      <c r="J296" s="1260">
        <f>Str!M320</f>
        <v>1630.094451852636</v>
      </c>
    </row>
    <row r="297" spans="1:10" hidden="1" outlineLevel="1">
      <c r="A297" t="s">
        <v>39</v>
      </c>
      <c r="F297" s="1260">
        <f>Str!F321</f>
        <v>0</v>
      </c>
      <c r="G297" s="1260">
        <f>Str!E321</f>
        <v>0</v>
      </c>
      <c r="H297" s="1260">
        <f>Str!I321</f>
        <v>0</v>
      </c>
      <c r="I297" s="1260">
        <f>Str!L321</f>
        <v>0</v>
      </c>
      <c r="J297" s="1260">
        <f>Str!M321</f>
        <v>0</v>
      </c>
    </row>
    <row r="298" spans="1:10" hidden="1" outlineLevel="1">
      <c r="F298" s="1260"/>
      <c r="G298" s="1260"/>
      <c r="H298" s="1260"/>
      <c r="I298" s="1260"/>
      <c r="J298" s="1260"/>
    </row>
    <row r="299" spans="1:10" hidden="1" outlineLevel="1">
      <c r="A299" t="s">
        <v>39</v>
      </c>
      <c r="F299" s="1260">
        <f>Str!F323</f>
        <v>0</v>
      </c>
      <c r="G299" s="1260">
        <f>Str!E323</f>
        <v>0</v>
      </c>
      <c r="H299" s="1260">
        <f>Str!I323</f>
        <v>0</v>
      </c>
      <c r="I299" s="1260">
        <f>Str!L323</f>
        <v>0</v>
      </c>
      <c r="J299" s="1260">
        <f>Str!M323</f>
        <v>0</v>
      </c>
    </row>
    <row r="300" spans="1:10" hidden="1" outlineLevel="1">
      <c r="A300" t="s">
        <v>39</v>
      </c>
      <c r="E300" t="str">
        <f>IF(LEN(Str!C324)&gt;0, Str!C324, Str!B324)</f>
        <v>โครงสร้างทางเข้าอาคาร</v>
      </c>
      <c r="F300" s="1260">
        <f>Str!F324</f>
        <v>0</v>
      </c>
      <c r="G300" s="1260">
        <f>Str!E324</f>
        <v>0</v>
      </c>
      <c r="H300" s="1260">
        <f>Str!I324</f>
        <v>0</v>
      </c>
      <c r="I300" s="1260">
        <f>Str!L324</f>
        <v>0</v>
      </c>
      <c r="J300" s="1260">
        <f>Str!M324</f>
        <v>0</v>
      </c>
    </row>
    <row r="301" spans="1:10" hidden="1" outlineLevel="1">
      <c r="A301" t="s">
        <v>39</v>
      </c>
      <c r="B301" t="s">
        <v>58</v>
      </c>
      <c r="C301" t="s">
        <v>59</v>
      </c>
      <c r="E301" t="str">
        <f>IF(LEN(Str!C325)&gt;0, Str!C325, Str!B325)</f>
        <v>ทางเข้าอาคาร 1</v>
      </c>
      <c r="F301" s="1260">
        <f>Str!F325</f>
        <v>0</v>
      </c>
      <c r="G301" s="1260">
        <f>Str!E325</f>
        <v>0</v>
      </c>
      <c r="H301" s="1260">
        <f>Str!I325</f>
        <v>0</v>
      </c>
      <c r="I301" s="1260">
        <f>Str!L325</f>
        <v>0</v>
      </c>
      <c r="J301" s="1260">
        <f>Str!M325</f>
        <v>0</v>
      </c>
    </row>
    <row r="302" spans="1:10" hidden="1" outlineLevel="1">
      <c r="A302" t="s">
        <v>39</v>
      </c>
      <c r="B302" t="s">
        <v>58</v>
      </c>
      <c r="C302" t="s">
        <v>59</v>
      </c>
      <c r="D302" t="s">
        <v>60</v>
      </c>
      <c r="E302" t="str">
        <f>IF(LEN(Str!C326)&gt;0, Str!C326, Str!B326)</f>
        <v>งานคอนกรีตโครงสร้าง (fc' 240 ksc, Cyl.)  ผสมน้ำยากันซึม</v>
      </c>
      <c r="F302" s="1260" t="str">
        <f>Str!F326</f>
        <v>ลบ.ม.</v>
      </c>
      <c r="G302" s="1260">
        <f>Str!E326</f>
        <v>0.9</v>
      </c>
      <c r="H302" s="1260">
        <f>Str!I326</f>
        <v>1781.70101057025</v>
      </c>
      <c r="I302" s="1260">
        <f>Str!L326</f>
        <v>436.6955487537</v>
      </c>
      <c r="J302" s="1260">
        <f>Str!M326</f>
        <v>2218.39655932395</v>
      </c>
    </row>
    <row r="303" spans="1:10" hidden="1" outlineLevel="1">
      <c r="A303" t="s">
        <v>39</v>
      </c>
      <c r="B303" t="s">
        <v>58</v>
      </c>
      <c r="C303" t="s">
        <v>59</v>
      </c>
      <c r="D303" t="s">
        <v>60</v>
      </c>
      <c r="E303" t="str">
        <f>IF(LEN(Str!C327)&gt;0, Str!C327, Str!B327)</f>
        <v>งานคอนกรีตหยาบรองท้องคาน (fc' 150 ksc, Cyl.)</v>
      </c>
      <c r="F303" s="1260" t="str">
        <f>Str!F327</f>
        <v>ลบ.ม.</v>
      </c>
      <c r="G303" s="1260">
        <f>Str!E327</f>
        <v>0.25</v>
      </c>
      <c r="H303" s="1260">
        <f>Str!I327</f>
        <v>452.84608526562499</v>
      </c>
      <c r="I303" s="1260">
        <f>Str!L327</f>
        <v>121.30431909824999</v>
      </c>
      <c r="J303" s="1260">
        <f>Str!M327</f>
        <v>574.15040436387494</v>
      </c>
    </row>
    <row r="304" spans="1:10" hidden="1" outlineLevel="1">
      <c r="A304" t="s">
        <v>39</v>
      </c>
      <c r="B304" t="s">
        <v>58</v>
      </c>
      <c r="C304" t="s">
        <v>59</v>
      </c>
      <c r="D304" t="s">
        <v>60</v>
      </c>
      <c r="E304" t="str">
        <f>IF(LEN(Str!C328)&gt;0, Str!C328, Str!B328)</f>
        <v>งานถมทรายบดอัดรองฐานราก</v>
      </c>
      <c r="F304" s="1260" t="str">
        <f>Str!F328</f>
        <v>ลบ.ม.</v>
      </c>
      <c r="G304" s="1260">
        <f>Str!E328</f>
        <v>0.25</v>
      </c>
      <c r="H304" s="1260">
        <f>Str!I328</f>
        <v>118.81045188287749</v>
      </c>
      <c r="I304" s="1260">
        <f>Str!L328</f>
        <v>24.307609222</v>
      </c>
      <c r="J304" s="1260">
        <f>Str!M328</f>
        <v>143.11806110487748</v>
      </c>
    </row>
    <row r="305" spans="1:10" hidden="1" outlineLevel="1">
      <c r="A305" t="s">
        <v>39</v>
      </c>
      <c r="B305" t="s">
        <v>58</v>
      </c>
      <c r="C305" t="s">
        <v>59</v>
      </c>
      <c r="D305" t="s">
        <v>60</v>
      </c>
      <c r="E305" t="str">
        <f>IF(LEN(Str!C329)&gt;0, Str!C329, Str!B329)</f>
        <v>งานปรับระดับขุดดินทำฐานราก/ถมกลับ</v>
      </c>
      <c r="F305" s="1260" t="str">
        <f>Str!F329</f>
        <v>ลบ.ม.</v>
      </c>
      <c r="G305" s="1260">
        <f>Str!E329</f>
        <v>20</v>
      </c>
      <c r="H305" s="1260">
        <f>Str!I329</f>
        <v>0</v>
      </c>
      <c r="I305" s="1260">
        <f>Str!L329</f>
        <v>2094.1940252799996</v>
      </c>
      <c r="J305" s="1260">
        <f>Str!M329</f>
        <v>2094.1940252799996</v>
      </c>
    </row>
    <row r="306" spans="1:10" hidden="1" outlineLevel="1">
      <c r="A306" t="s">
        <v>39</v>
      </c>
      <c r="B306" t="s">
        <v>58</v>
      </c>
      <c r="C306" t="s">
        <v>59</v>
      </c>
      <c r="D306" t="s">
        <v>60</v>
      </c>
      <c r="E306" t="str">
        <f>IF(LEN(Str!C330)&gt;0, Str!C330, Str!B330)</f>
        <v>เหล็กเสริม</v>
      </c>
      <c r="F306" s="1260">
        <f>Str!F330</f>
        <v>0</v>
      </c>
      <c r="G306" s="1260">
        <f>Str!E330</f>
        <v>0</v>
      </c>
      <c r="H306" s="1260">
        <f>Str!I330</f>
        <v>0</v>
      </c>
      <c r="I306" s="1260">
        <f>Str!L330</f>
        <v>0</v>
      </c>
      <c r="J306" s="1260">
        <f>Str!M330</f>
        <v>0</v>
      </c>
    </row>
    <row r="307" spans="1:10" hidden="1" outlineLevel="1">
      <c r="A307" t="s">
        <v>39</v>
      </c>
      <c r="B307" t="s">
        <v>58</v>
      </c>
      <c r="C307" t="s">
        <v>59</v>
      </c>
      <c r="D307" t="s">
        <v>60</v>
      </c>
      <c r="E307" t="str">
        <f>IF(LEN(Str!C331)&gt;0, Str!C331, Str!B331)</f>
        <v>งานเหล็กเสริมคอนกรีต RB 9  (SR-24)</v>
      </c>
      <c r="F307" s="1260" t="str">
        <f>Str!F331</f>
        <v>กก.</v>
      </c>
      <c r="G307" s="1260">
        <f>Str!E331</f>
        <v>90</v>
      </c>
      <c r="H307" s="1260">
        <f>Str!I331</f>
        <v>1649.1777949080001</v>
      </c>
      <c r="I307" s="1260">
        <f>Str!L331</f>
        <v>370.22358661200002</v>
      </c>
      <c r="J307" s="1260">
        <f>Str!M331</f>
        <v>2019.4013815200001</v>
      </c>
    </row>
    <row r="308" spans="1:10" hidden="1" outlineLevel="1">
      <c r="A308" t="s">
        <v>39</v>
      </c>
      <c r="B308" t="s">
        <v>58</v>
      </c>
      <c r="C308" t="s">
        <v>59</v>
      </c>
      <c r="D308" t="s">
        <v>60</v>
      </c>
      <c r="E308" t="str">
        <f>IF(LEN(Str!C332)&gt;0, Str!C332, Str!B332)</f>
        <v>งานเหล็กเสริมคอนกรีต DB 12  (SD-40)</v>
      </c>
      <c r="F308" s="1260" t="str">
        <f>Str!F332</f>
        <v>กก.</v>
      </c>
      <c r="G308" s="1260">
        <f>Str!E332</f>
        <v>26</v>
      </c>
      <c r="H308" s="1260">
        <f>Str!I332</f>
        <v>478.85990167339992</v>
      </c>
      <c r="I308" s="1260">
        <f>Str!L332</f>
        <v>87.50739319920001</v>
      </c>
      <c r="J308" s="1260">
        <f>Str!M332</f>
        <v>566.36729487259993</v>
      </c>
    </row>
    <row r="309" spans="1:10" hidden="1" outlineLevel="1">
      <c r="A309" t="s">
        <v>39</v>
      </c>
      <c r="B309" t="s">
        <v>58</v>
      </c>
      <c r="C309" t="s">
        <v>59</v>
      </c>
      <c r="D309" t="s">
        <v>60</v>
      </c>
      <c r="E309" t="str">
        <f>IF(LEN(Str!C333)&gt;0, Str!C333, Str!B333)</f>
        <v>งานเหล็กเสริมคอนกรีต DB 16  (SD-40)</v>
      </c>
      <c r="F309" s="1260" t="str">
        <f>Str!F333</f>
        <v>กก.</v>
      </c>
      <c r="G309" s="1260">
        <f>Str!E333</f>
        <v>0</v>
      </c>
      <c r="H309" s="1260">
        <f>Str!I333</f>
        <v>0</v>
      </c>
      <c r="I309" s="1260">
        <f>Str!L333</f>
        <v>0</v>
      </c>
      <c r="J309" s="1260">
        <f>Str!M333</f>
        <v>0</v>
      </c>
    </row>
    <row r="310" spans="1:10" hidden="1" outlineLevel="1">
      <c r="A310" t="s">
        <v>39</v>
      </c>
      <c r="B310" t="s">
        <v>58</v>
      </c>
      <c r="C310" t="s">
        <v>59</v>
      </c>
      <c r="D310" t="s">
        <v>60</v>
      </c>
      <c r="E310" t="str">
        <f>IF(LEN(Str!C334)&gt;0, Str!C334, Str!B334)</f>
        <v>ลวดผูกเหล็ก</v>
      </c>
      <c r="F310" s="1260" t="str">
        <f>Str!F334</f>
        <v>กก.</v>
      </c>
      <c r="G310" s="1260">
        <f>Str!E334</f>
        <v>2.9000000000000004</v>
      </c>
      <c r="H310" s="1260">
        <f>Str!I334</f>
        <v>73.474423413730008</v>
      </c>
      <c r="I310" s="1260">
        <f>Str!L334</f>
        <v>0</v>
      </c>
      <c r="J310" s="1260">
        <f>Str!M334</f>
        <v>73.474423413730008</v>
      </c>
    </row>
    <row r="311" spans="1:10" hidden="1" outlineLevel="1">
      <c r="A311" t="s">
        <v>39</v>
      </c>
      <c r="B311" t="s">
        <v>58</v>
      </c>
      <c r="C311" t="s">
        <v>59</v>
      </c>
      <c r="D311" t="s">
        <v>60</v>
      </c>
      <c r="E311" t="str">
        <f>IF(LEN(Str!C335)&gt;0, Str!C335, Str!B335)</f>
        <v xml:space="preserve">ไม้แบบ ค้ำยัน นั่งร้าน </v>
      </c>
      <c r="F311" s="1260">
        <f>Str!F335</f>
        <v>0</v>
      </c>
      <c r="G311" s="1260">
        <f>Str!E335</f>
        <v>0</v>
      </c>
      <c r="H311" s="1260">
        <f>Str!I335</f>
        <v>0</v>
      </c>
      <c r="I311" s="1260">
        <f>Str!L335</f>
        <v>0</v>
      </c>
      <c r="J311" s="1260">
        <f>Str!M335</f>
        <v>0</v>
      </c>
    </row>
    <row r="312" spans="1:10" hidden="1" outlineLevel="1">
      <c r="A312" t="s">
        <v>39</v>
      </c>
      <c r="B312" t="s">
        <v>58</v>
      </c>
      <c r="C312" t="s">
        <v>59</v>
      </c>
      <c r="D312" t="s">
        <v>60</v>
      </c>
      <c r="E312" t="str">
        <f>IF(LEN(Str!C336)&gt;0, Str!C336, Str!B336)</f>
        <v>ไม้แบบ ค้ำยัน นั่งร้าน (อาคาร 3 ชั้น ใช้ 60%)</v>
      </c>
      <c r="F312" s="1260" t="str">
        <f>Str!F336</f>
        <v>ตร.ม.</v>
      </c>
      <c r="G312" s="1260">
        <f>Str!E336</f>
        <v>1.2</v>
      </c>
      <c r="H312" s="1260">
        <f>Str!I336</f>
        <v>275.08734374927997</v>
      </c>
      <c r="I312" s="1260">
        <f>Str!L336</f>
        <v>0</v>
      </c>
      <c r="J312" s="1260">
        <f>Str!M336</f>
        <v>275.08734374927997</v>
      </c>
    </row>
    <row r="313" spans="1:10" hidden="1" outlineLevel="1">
      <c r="A313" t="s">
        <v>39</v>
      </c>
      <c r="B313" t="s">
        <v>58</v>
      </c>
      <c r="C313" t="s">
        <v>59</v>
      </c>
      <c r="D313" t="s">
        <v>60</v>
      </c>
      <c r="E313" t="str">
        <f>IF(LEN(Str!C337)&gt;0, Str!C337, Str!B337)</f>
        <v>ค่าแรงประกอบและติดตั้งไม้แบบหล่อคอนกรีต (ใช้ 100%)</v>
      </c>
      <c r="F313" s="1260" t="str">
        <f>Str!F337</f>
        <v>ตร.ม.</v>
      </c>
      <c r="G313" s="1260">
        <f>Str!E337</f>
        <v>2</v>
      </c>
      <c r="H313" s="1260">
        <f>Str!I337</f>
        <v>0</v>
      </c>
      <c r="I313" s="1260">
        <f>Str!L337</f>
        <v>226.247747374</v>
      </c>
      <c r="J313" s="1260">
        <f>Str!M337</f>
        <v>226.247747374</v>
      </c>
    </row>
    <row r="314" spans="1:10" hidden="1" outlineLevel="1">
      <c r="A314" t="s">
        <v>39</v>
      </c>
      <c r="B314" t="s">
        <v>58</v>
      </c>
      <c r="C314" t="s">
        <v>59</v>
      </c>
      <c r="D314" t="s">
        <v>60</v>
      </c>
      <c r="E314" t="str">
        <f>IF(LEN(Str!C338)&gt;0, Str!C338, Str!B338)</f>
        <v>ไม้เคร่า (ใช้ 30% ของไม้แบบ 1 ตร.ม.)</v>
      </c>
      <c r="F314" s="1260" t="str">
        <f>Str!F338</f>
        <v>ลบ.ฟ.</v>
      </c>
      <c r="G314" s="1260">
        <f>Str!E338</f>
        <v>0.36</v>
      </c>
      <c r="H314" s="1260">
        <f>Str!I338</f>
        <v>104.1405292449864</v>
      </c>
      <c r="I314" s="1260">
        <f>Str!L338</f>
        <v>0</v>
      </c>
      <c r="J314" s="1260">
        <f>Str!M338</f>
        <v>104.1405292449864</v>
      </c>
    </row>
    <row r="315" spans="1:10" hidden="1" outlineLevel="1">
      <c r="A315" t="s">
        <v>39</v>
      </c>
      <c r="B315" t="s">
        <v>58</v>
      </c>
      <c r="C315" t="s">
        <v>59</v>
      </c>
      <c r="D315" t="s">
        <v>60</v>
      </c>
      <c r="E315" t="str">
        <f>IF(LEN(Str!C339)&gt;0, Str!C339, Str!B339)</f>
        <v>ตะปู (ใช้ 25% ของไม้แบบ 1 ตร.ม.)</v>
      </c>
      <c r="F315" s="1260" t="str">
        <f>Str!F339</f>
        <v>กก.</v>
      </c>
      <c r="G315" s="1260">
        <f>Str!E339</f>
        <v>0.3</v>
      </c>
      <c r="H315" s="1260">
        <f>Str!I339</f>
        <v>6.5518355933759995</v>
      </c>
      <c r="I315" s="1260">
        <f>Str!L339</f>
        <v>0</v>
      </c>
      <c r="J315" s="1260">
        <f>Str!M339</f>
        <v>6.5518355933759995</v>
      </c>
    </row>
    <row r="316" spans="1:10" hidden="1" outlineLevel="1">
      <c r="F316" s="1260"/>
      <c r="G316" s="1260"/>
      <c r="H316" s="1260"/>
      <c r="I316" s="1260"/>
      <c r="J316" s="1260"/>
    </row>
    <row r="317" spans="1:10" hidden="1" outlineLevel="1">
      <c r="A317" t="s">
        <v>39</v>
      </c>
      <c r="F317" s="1260">
        <f>Str!F341</f>
        <v>0</v>
      </c>
      <c r="G317" s="1260">
        <f>Str!E341</f>
        <v>0</v>
      </c>
      <c r="H317" s="1260">
        <f>Str!I341</f>
        <v>0</v>
      </c>
      <c r="I317" s="1260">
        <f>Str!L341</f>
        <v>0</v>
      </c>
      <c r="J317" s="1260">
        <f>Str!M341</f>
        <v>0</v>
      </c>
    </row>
    <row r="318" spans="1:10" hidden="1" outlineLevel="1">
      <c r="A318" t="s">
        <v>39</v>
      </c>
      <c r="B318" t="s">
        <v>58</v>
      </c>
      <c r="C318" t="s">
        <v>61</v>
      </c>
      <c r="E318" t="str">
        <f>IF(LEN(Str!C342)&gt;0, Str!C342, Str!B342)</f>
        <v>ทางเข้าอาคาร 2</v>
      </c>
      <c r="F318" s="1260">
        <f>Str!F342</f>
        <v>0</v>
      </c>
      <c r="G318" s="1260">
        <f>Str!E342</f>
        <v>0</v>
      </c>
      <c r="H318" s="1260">
        <f>Str!I342</f>
        <v>0</v>
      </c>
      <c r="I318" s="1260">
        <f>Str!L342</f>
        <v>0</v>
      </c>
      <c r="J318" s="1260">
        <f>Str!M342</f>
        <v>0</v>
      </c>
    </row>
    <row r="319" spans="1:10" hidden="1" outlineLevel="1">
      <c r="A319" t="s">
        <v>39</v>
      </c>
      <c r="B319" t="s">
        <v>58</v>
      </c>
      <c r="C319" t="s">
        <v>61</v>
      </c>
      <c r="D319" t="s">
        <v>60</v>
      </c>
      <c r="E319" t="str">
        <f>IF(LEN(Str!C343)&gt;0, Str!C343, Str!B343)</f>
        <v>งานคอนกรีตโครงสร้าง (fc' 240 ksc, Cyl.)  ผสมน้ำยากันซึม</v>
      </c>
      <c r="F319" s="1260" t="str">
        <f>Str!F343</f>
        <v>ลบ.ม.</v>
      </c>
      <c r="G319" s="1260">
        <f>Str!E343</f>
        <v>0.9</v>
      </c>
      <c r="H319" s="1260">
        <f>Str!I343</f>
        <v>1781.70101057025</v>
      </c>
      <c r="I319" s="1260">
        <f>Str!L343</f>
        <v>436.6955487537</v>
      </c>
      <c r="J319" s="1260">
        <f>Str!M343</f>
        <v>2218.39655932395</v>
      </c>
    </row>
    <row r="320" spans="1:10" hidden="1" outlineLevel="1">
      <c r="A320" t="s">
        <v>39</v>
      </c>
      <c r="B320" t="s">
        <v>58</v>
      </c>
      <c r="C320" t="s">
        <v>61</v>
      </c>
      <c r="D320" t="s">
        <v>60</v>
      </c>
      <c r="E320" t="str">
        <f>IF(LEN(Str!C344)&gt;0, Str!C344, Str!B344)</f>
        <v>งานคอนกรีตหยาบรองท้องคาน (fc' 150 ksc, Cyl.)</v>
      </c>
      <c r="F320" s="1260" t="str">
        <f>Str!F344</f>
        <v>ลบ.ม.</v>
      </c>
      <c r="G320" s="1260">
        <f>Str!E344</f>
        <v>0.25</v>
      </c>
      <c r="H320" s="1260">
        <f>Str!I344</f>
        <v>452.84608526562499</v>
      </c>
      <c r="I320" s="1260">
        <f>Str!L344</f>
        <v>121.30431909824999</v>
      </c>
      <c r="J320" s="1260">
        <f>Str!M344</f>
        <v>574.15040436387494</v>
      </c>
    </row>
    <row r="321" spans="1:10" hidden="1" outlineLevel="1">
      <c r="A321" t="s">
        <v>39</v>
      </c>
      <c r="B321" t="s">
        <v>58</v>
      </c>
      <c r="C321" t="s">
        <v>61</v>
      </c>
      <c r="D321" t="s">
        <v>60</v>
      </c>
      <c r="E321" t="str">
        <f>IF(LEN(Str!C345)&gt;0, Str!C345, Str!B345)</f>
        <v>งานถมทรายบดอัดรองฐานราก</v>
      </c>
      <c r="F321" s="1260" t="str">
        <f>Str!F345</f>
        <v>ลบ.ม.</v>
      </c>
      <c r="G321" s="1260">
        <f>Str!E345</f>
        <v>0.25</v>
      </c>
      <c r="H321" s="1260">
        <f>Str!I345</f>
        <v>118.81045188287749</v>
      </c>
      <c r="I321" s="1260">
        <f>Str!L345</f>
        <v>24.307609222</v>
      </c>
      <c r="J321" s="1260">
        <f>Str!M345</f>
        <v>143.11806110487748</v>
      </c>
    </row>
    <row r="322" spans="1:10" hidden="1" outlineLevel="1">
      <c r="A322" t="s">
        <v>39</v>
      </c>
      <c r="B322" t="s">
        <v>58</v>
      </c>
      <c r="C322" t="s">
        <v>61</v>
      </c>
      <c r="D322" t="s">
        <v>60</v>
      </c>
      <c r="E322" t="str">
        <f>IF(LEN(Str!C346)&gt;0, Str!C346, Str!B346)</f>
        <v>งานปรับระดับขุดดินทำฐานราก/ถมกลับ</v>
      </c>
      <c r="F322" s="1260" t="str">
        <f>Str!F346</f>
        <v>ลบ.ม.</v>
      </c>
      <c r="G322" s="1260">
        <f>Str!E346</f>
        <v>20</v>
      </c>
      <c r="H322" s="1260">
        <f>Str!I346</f>
        <v>0</v>
      </c>
      <c r="I322" s="1260">
        <f>Str!L346</f>
        <v>2094.1940252799996</v>
      </c>
      <c r="J322" s="1260">
        <f>Str!M346</f>
        <v>2094.1940252799996</v>
      </c>
    </row>
    <row r="323" spans="1:10" hidden="1" outlineLevel="1">
      <c r="A323" t="s">
        <v>39</v>
      </c>
      <c r="B323" t="s">
        <v>58</v>
      </c>
      <c r="C323" t="s">
        <v>61</v>
      </c>
      <c r="D323" t="s">
        <v>60</v>
      </c>
      <c r="E323" t="str">
        <f>IF(LEN(Str!C347)&gt;0, Str!C347, Str!B347)</f>
        <v>เหล็กเสริม</v>
      </c>
      <c r="F323" s="1260">
        <f>Str!F347</f>
        <v>0</v>
      </c>
      <c r="G323" s="1260">
        <f>Str!E347</f>
        <v>0</v>
      </c>
      <c r="H323" s="1260">
        <f>Str!I347</f>
        <v>0</v>
      </c>
      <c r="I323" s="1260">
        <f>Str!L347</f>
        <v>0</v>
      </c>
      <c r="J323" s="1260">
        <f>Str!M347</f>
        <v>0</v>
      </c>
    </row>
    <row r="324" spans="1:10" hidden="1" outlineLevel="1">
      <c r="A324" t="s">
        <v>39</v>
      </c>
      <c r="B324" t="s">
        <v>58</v>
      </c>
      <c r="C324" t="s">
        <v>61</v>
      </c>
      <c r="D324" t="s">
        <v>60</v>
      </c>
      <c r="E324" t="str">
        <f>IF(LEN(Str!C348)&gt;0, Str!C348, Str!B348)</f>
        <v>งานเหล็กเสริมคอนกรีต RB 9  (SR-24)</v>
      </c>
      <c r="F324" s="1260" t="str">
        <f>Str!F348</f>
        <v>กก.</v>
      </c>
      <c r="G324" s="1260">
        <f>Str!E348</f>
        <v>90</v>
      </c>
      <c r="H324" s="1260">
        <f>Str!I348</f>
        <v>1649.1777949080001</v>
      </c>
      <c r="I324" s="1260">
        <f>Str!L348</f>
        <v>370.22358661200002</v>
      </c>
      <c r="J324" s="1260">
        <f>Str!M348</f>
        <v>2019.4013815200001</v>
      </c>
    </row>
    <row r="325" spans="1:10" hidden="1" outlineLevel="1">
      <c r="A325" t="s">
        <v>39</v>
      </c>
      <c r="B325" t="s">
        <v>58</v>
      </c>
      <c r="C325" t="s">
        <v>61</v>
      </c>
      <c r="D325" t="s">
        <v>60</v>
      </c>
      <c r="E325" t="str">
        <f>IF(LEN(Str!C349)&gt;0, Str!C349, Str!B349)</f>
        <v>งานเหล็กเสริมคอนกรีต DB 12  (SD-40)</v>
      </c>
      <c r="F325" s="1260" t="str">
        <f>Str!F349</f>
        <v>กก.</v>
      </c>
      <c r="G325" s="1260">
        <f>Str!E349</f>
        <v>26</v>
      </c>
      <c r="H325" s="1260">
        <f>Str!I349</f>
        <v>478.85990167339992</v>
      </c>
      <c r="I325" s="1260">
        <f>Str!L349</f>
        <v>87.50739319920001</v>
      </c>
      <c r="J325" s="1260">
        <f>Str!M349</f>
        <v>566.36729487259993</v>
      </c>
    </row>
    <row r="326" spans="1:10" hidden="1" outlineLevel="1">
      <c r="A326" t="s">
        <v>39</v>
      </c>
      <c r="B326" t="s">
        <v>58</v>
      </c>
      <c r="C326" t="s">
        <v>61</v>
      </c>
      <c r="D326" t="s">
        <v>60</v>
      </c>
      <c r="E326" t="str">
        <f>IF(LEN(Str!C350)&gt;0, Str!C350, Str!B350)</f>
        <v>งานเหล็กเสริมคอนกรีต DB 16  (SD-40)</v>
      </c>
      <c r="F326" s="1260" t="str">
        <f>Str!F350</f>
        <v>กก.</v>
      </c>
      <c r="G326" s="1260">
        <f>Str!E350</f>
        <v>0</v>
      </c>
      <c r="H326" s="1260">
        <f>Str!I350</f>
        <v>0</v>
      </c>
      <c r="I326" s="1260">
        <f>Str!L350</f>
        <v>0</v>
      </c>
      <c r="J326" s="1260">
        <f>Str!M350</f>
        <v>0</v>
      </c>
    </row>
    <row r="327" spans="1:10" hidden="1" outlineLevel="1">
      <c r="A327" t="s">
        <v>39</v>
      </c>
      <c r="B327" t="s">
        <v>58</v>
      </c>
      <c r="C327" t="s">
        <v>61</v>
      </c>
      <c r="D327" t="s">
        <v>60</v>
      </c>
      <c r="E327" t="str">
        <f>IF(LEN(Str!C351)&gt;0, Str!C351, Str!B351)</f>
        <v>ลวดผูกเหล็ก</v>
      </c>
      <c r="F327" s="1260" t="str">
        <f>Str!F351</f>
        <v>กก.</v>
      </c>
      <c r="G327" s="1260">
        <f>Str!E351</f>
        <v>2.9000000000000004</v>
      </c>
      <c r="H327" s="1260">
        <f>Str!I351</f>
        <v>73.474423413730008</v>
      </c>
      <c r="I327" s="1260">
        <f>Str!L351</f>
        <v>0</v>
      </c>
      <c r="J327" s="1260">
        <f>Str!M351</f>
        <v>73.474423413730008</v>
      </c>
    </row>
    <row r="328" spans="1:10" hidden="1" outlineLevel="1">
      <c r="A328" t="s">
        <v>39</v>
      </c>
      <c r="B328" t="s">
        <v>58</v>
      </c>
      <c r="C328" t="s">
        <v>61</v>
      </c>
      <c r="D328" t="s">
        <v>60</v>
      </c>
      <c r="E328" t="str">
        <f>IF(LEN(Str!C352)&gt;0, Str!C352, Str!B352)</f>
        <v xml:space="preserve">ไม้แบบ ค้ำยัน นั่งร้าน </v>
      </c>
      <c r="F328" s="1260">
        <f>Str!F352</f>
        <v>0</v>
      </c>
      <c r="G328" s="1260">
        <f>Str!E352</f>
        <v>0</v>
      </c>
      <c r="H328" s="1260">
        <f>Str!I352</f>
        <v>0</v>
      </c>
      <c r="I328" s="1260">
        <f>Str!L352</f>
        <v>0</v>
      </c>
      <c r="J328" s="1260">
        <f>Str!M352</f>
        <v>0</v>
      </c>
    </row>
    <row r="329" spans="1:10" hidden="1" outlineLevel="1">
      <c r="A329" t="s">
        <v>39</v>
      </c>
      <c r="B329" t="s">
        <v>58</v>
      </c>
      <c r="C329" t="s">
        <v>61</v>
      </c>
      <c r="D329" t="s">
        <v>60</v>
      </c>
      <c r="E329" t="str">
        <f>IF(LEN(Str!C353)&gt;0, Str!C353, Str!B353)</f>
        <v>ไม้แบบ ค้ำยัน นั่งร้าน (อาคาร 3 ชั้น ใช้ 60%)</v>
      </c>
      <c r="F329" s="1260" t="str">
        <f>Str!F353</f>
        <v>ตร.ม.</v>
      </c>
      <c r="G329" s="1260">
        <f>Str!E353</f>
        <v>1.2</v>
      </c>
      <c r="H329" s="1260">
        <f>Str!I353</f>
        <v>275.08734374927997</v>
      </c>
      <c r="I329" s="1260">
        <f>Str!L353</f>
        <v>0</v>
      </c>
      <c r="J329" s="1260">
        <f>Str!M353</f>
        <v>275.08734374927997</v>
      </c>
    </row>
    <row r="330" spans="1:10" hidden="1" outlineLevel="1">
      <c r="A330" t="s">
        <v>39</v>
      </c>
      <c r="B330" t="s">
        <v>58</v>
      </c>
      <c r="C330" t="s">
        <v>61</v>
      </c>
      <c r="D330" t="s">
        <v>60</v>
      </c>
      <c r="E330" t="str">
        <f>IF(LEN(Str!C354)&gt;0, Str!C354, Str!B354)</f>
        <v>ค่าแรงประกอบและติดตั้งไม้แบบหล่อคอนกรีต (ใช้ 100%)</v>
      </c>
      <c r="F330" s="1260" t="str">
        <f>Str!F354</f>
        <v>ตร.ม.</v>
      </c>
      <c r="G330" s="1260">
        <f>Str!E354</f>
        <v>2</v>
      </c>
      <c r="H330" s="1260">
        <f>Str!I354</f>
        <v>0</v>
      </c>
      <c r="I330" s="1260">
        <f>Str!L354</f>
        <v>226.247747374</v>
      </c>
      <c r="J330" s="1260">
        <f>Str!M354</f>
        <v>226.247747374</v>
      </c>
    </row>
    <row r="331" spans="1:10" hidden="1" outlineLevel="1">
      <c r="A331" t="s">
        <v>39</v>
      </c>
      <c r="B331" t="s">
        <v>58</v>
      </c>
      <c r="C331" t="s">
        <v>61</v>
      </c>
      <c r="D331" t="s">
        <v>60</v>
      </c>
      <c r="E331" t="str">
        <f>IF(LEN(Str!C355)&gt;0, Str!C355, Str!B355)</f>
        <v>ไม้เคร่า (ใช้ 30% ของไม้แบบ 1 ตร.ม.)</v>
      </c>
      <c r="F331" s="1260" t="str">
        <f>Str!F355</f>
        <v>ลบ.ฟ.</v>
      </c>
      <c r="G331" s="1260">
        <f>Str!E355</f>
        <v>0.36</v>
      </c>
      <c r="H331" s="1260">
        <f>Str!I355</f>
        <v>104.1405292449864</v>
      </c>
      <c r="I331" s="1260">
        <f>Str!L355</f>
        <v>0</v>
      </c>
      <c r="J331" s="1260">
        <f>Str!M355</f>
        <v>104.1405292449864</v>
      </c>
    </row>
    <row r="332" spans="1:10" hidden="1" outlineLevel="1">
      <c r="A332" t="s">
        <v>39</v>
      </c>
      <c r="B332" t="s">
        <v>58</v>
      </c>
      <c r="C332" t="s">
        <v>61</v>
      </c>
      <c r="D332" t="s">
        <v>60</v>
      </c>
      <c r="E332" t="str">
        <f>IF(LEN(Str!C356)&gt;0, Str!C356, Str!B356)</f>
        <v>ตะปู (ใช้ 25% ของไม้แบบ 1 ตร.ม.)</v>
      </c>
      <c r="F332" s="1260" t="str">
        <f>Str!F356</f>
        <v>กก.</v>
      </c>
      <c r="G332" s="1260">
        <f>Str!E356</f>
        <v>0.3</v>
      </c>
      <c r="H332" s="1260">
        <f>Str!I356</f>
        <v>6.5518355933759995</v>
      </c>
      <c r="I332" s="1260">
        <f>Str!L356</f>
        <v>0</v>
      </c>
      <c r="J332" s="1260">
        <f>Str!M356</f>
        <v>6.5518355933759995</v>
      </c>
    </row>
    <row r="333" spans="1:10" hidden="1" outlineLevel="1">
      <c r="F333" s="1260"/>
      <c r="G333" s="1260"/>
      <c r="H333" s="1260"/>
      <c r="I333" s="1260"/>
      <c r="J333" s="1260"/>
    </row>
    <row r="334" spans="1:10" hidden="1" outlineLevel="1">
      <c r="A334" t="s">
        <v>39</v>
      </c>
      <c r="F334" s="1260">
        <f>Str!F358</f>
        <v>0</v>
      </c>
      <c r="G334" s="1260">
        <f>Str!E358</f>
        <v>0</v>
      </c>
      <c r="H334" s="1260">
        <f>Str!I358</f>
        <v>0</v>
      </c>
      <c r="I334" s="1260">
        <f>Str!L358</f>
        <v>0</v>
      </c>
      <c r="J334" s="1260">
        <f>Str!M358</f>
        <v>0</v>
      </c>
    </row>
    <row r="335" spans="1:10" hidden="1" outlineLevel="1">
      <c r="A335" t="s">
        <v>39</v>
      </c>
      <c r="B335" t="s">
        <v>58</v>
      </c>
      <c r="C335" t="s">
        <v>62</v>
      </c>
      <c r="E335" t="str">
        <f>IF(LEN(Str!C359)&gt;0, Str!C359, Str!B359)</f>
        <v>ทางเข้าอาคาร 3</v>
      </c>
      <c r="F335" s="1260">
        <f>Str!F359</f>
        <v>0</v>
      </c>
      <c r="G335" s="1260">
        <f>Str!E359</f>
        <v>0</v>
      </c>
      <c r="H335" s="1260">
        <f>Str!I359</f>
        <v>0</v>
      </c>
      <c r="I335" s="1260">
        <f>Str!L359</f>
        <v>0</v>
      </c>
      <c r="J335" s="1260">
        <f>Str!M359</f>
        <v>0</v>
      </c>
    </row>
    <row r="336" spans="1:10" hidden="1" outlineLevel="1">
      <c r="A336" t="s">
        <v>39</v>
      </c>
      <c r="B336" t="s">
        <v>58</v>
      </c>
      <c r="C336" t="s">
        <v>62</v>
      </c>
      <c r="D336" t="s">
        <v>60</v>
      </c>
      <c r="E336" t="str">
        <f>IF(LEN(Str!C360)&gt;0, Str!C360, Str!B360)</f>
        <v>งานคอนกรีตโครงสร้าง (fc' 240 ksc, Cyl.)  ผสมน้ำยากันซึม</v>
      </c>
      <c r="F336" s="1260" t="str">
        <f>Str!F360</f>
        <v>ลบ.ม.</v>
      </c>
      <c r="G336" s="1260">
        <f>Str!E360</f>
        <v>4.7</v>
      </c>
      <c r="H336" s="1260">
        <f>Str!I360</f>
        <v>9304.4386107557511</v>
      </c>
      <c r="I336" s="1260">
        <f>Str!L360</f>
        <v>2280.5211990470998</v>
      </c>
      <c r="J336" s="1260">
        <f>Str!M360</f>
        <v>11584.959809802851</v>
      </c>
    </row>
    <row r="337" spans="1:10" hidden="1" outlineLevel="1">
      <c r="A337" t="s">
        <v>39</v>
      </c>
      <c r="B337" t="s">
        <v>58</v>
      </c>
      <c r="C337" t="s">
        <v>62</v>
      </c>
      <c r="D337" t="s">
        <v>60</v>
      </c>
      <c r="E337" t="str">
        <f>IF(LEN(Str!C361)&gt;0, Str!C361, Str!B361)</f>
        <v>งานคอนกรีตหยาบรองท้องคาน (fc' 150 ksc, Cyl.)</v>
      </c>
      <c r="F337" s="1260" t="str">
        <f>Str!F361</f>
        <v>ลบ.ม.</v>
      </c>
      <c r="G337" s="1260">
        <f>Str!E361</f>
        <v>1.3</v>
      </c>
      <c r="H337" s="1260">
        <f>Str!I361</f>
        <v>2354.79964338125</v>
      </c>
      <c r="I337" s="1260">
        <f>Str!L361</f>
        <v>630.78245931089998</v>
      </c>
      <c r="J337" s="1260">
        <f>Str!M361</f>
        <v>2985.5821026921499</v>
      </c>
    </row>
    <row r="338" spans="1:10" hidden="1" outlineLevel="1">
      <c r="A338" t="s">
        <v>39</v>
      </c>
      <c r="B338" t="s">
        <v>58</v>
      </c>
      <c r="C338" t="s">
        <v>62</v>
      </c>
      <c r="D338" t="s">
        <v>60</v>
      </c>
      <c r="E338" t="str">
        <f>IF(LEN(Str!C362)&gt;0, Str!C362, Str!B362)</f>
        <v>งานถมทรายบดอัดรองฐานราก/คาน/พื้น</v>
      </c>
      <c r="F338" s="1260" t="str">
        <f>Str!F362</f>
        <v>ลบ.ม.</v>
      </c>
      <c r="G338" s="1260">
        <f>Str!E362</f>
        <v>1.3</v>
      </c>
      <c r="H338" s="1260">
        <f>Str!I362</f>
        <v>617.81434979096298</v>
      </c>
      <c r="I338" s="1260">
        <f>Str!L362</f>
        <v>126.3995679544</v>
      </c>
      <c r="J338" s="1260">
        <f>Str!M362</f>
        <v>744.21391774536301</v>
      </c>
    </row>
    <row r="339" spans="1:10" hidden="1" outlineLevel="1">
      <c r="A339" t="s">
        <v>39</v>
      </c>
      <c r="B339" t="s">
        <v>58</v>
      </c>
      <c r="C339" t="s">
        <v>62</v>
      </c>
      <c r="D339" t="s">
        <v>60</v>
      </c>
      <c r="E339" t="str">
        <f>IF(LEN(Str!C363)&gt;0, Str!C363, Str!B363)</f>
        <v>งานปรับระดับขุดดินทำฐานราก/ถมกลับ</v>
      </c>
      <c r="F339" s="1260" t="str">
        <f>Str!F363</f>
        <v>ลบ.ม.</v>
      </c>
      <c r="G339" s="1260">
        <f>Str!E363</f>
        <v>60</v>
      </c>
      <c r="H339" s="1260">
        <f>Str!I363</f>
        <v>0</v>
      </c>
      <c r="I339" s="1260">
        <f>Str!L363</f>
        <v>6282.5820758399996</v>
      </c>
      <c r="J339" s="1260">
        <f>Str!M363</f>
        <v>6282.5820758399996</v>
      </c>
    </row>
    <row r="340" spans="1:10" hidden="1" outlineLevel="1">
      <c r="A340" t="s">
        <v>39</v>
      </c>
      <c r="B340" t="s">
        <v>58</v>
      </c>
      <c r="C340" t="s">
        <v>62</v>
      </c>
      <c r="D340" t="s">
        <v>60</v>
      </c>
      <c r="E340" t="str">
        <f>IF(LEN(Str!C364)&gt;0, Str!C364, Str!B364)</f>
        <v>งานเสาเข็มรูปตัวไอขนาด 0.15x0.15x6.00 ม. ติดตั้ง Dowel 1-DB12</v>
      </c>
      <c r="F340" s="1260" t="str">
        <f>Str!F364</f>
        <v>ต้น</v>
      </c>
      <c r="G340" s="1260">
        <f>Str!E364</f>
        <v>16</v>
      </c>
      <c r="H340" s="1260">
        <f>Str!I364</f>
        <v>8750.7393199199996</v>
      </c>
      <c r="I340" s="1260">
        <f>Str!L364</f>
        <v>3929.1567472878401</v>
      </c>
      <c r="J340" s="1260">
        <f>Str!M364</f>
        <v>12679.896067207839</v>
      </c>
    </row>
    <row r="341" spans="1:10" hidden="1" outlineLevel="1">
      <c r="A341" t="s">
        <v>39</v>
      </c>
      <c r="B341" t="s">
        <v>58</v>
      </c>
      <c r="C341" t="s">
        <v>62</v>
      </c>
      <c r="D341" t="s">
        <v>60</v>
      </c>
      <c r="E341" t="str">
        <f>IF(LEN(Str!C365)&gt;0, Str!C365, Str!B365)</f>
        <v>เหล็กเสริม</v>
      </c>
      <c r="F341" s="1260">
        <f>Str!F365</f>
        <v>0</v>
      </c>
      <c r="G341" s="1260">
        <f>Str!E365</f>
        <v>0</v>
      </c>
      <c r="H341" s="1260">
        <f>Str!I365</f>
        <v>0</v>
      </c>
      <c r="I341" s="1260">
        <f>Str!L365</f>
        <v>0</v>
      </c>
      <c r="J341" s="1260">
        <f>Str!M365</f>
        <v>0</v>
      </c>
    </row>
    <row r="342" spans="1:10" hidden="1" outlineLevel="1">
      <c r="A342" t="s">
        <v>39</v>
      </c>
      <c r="B342" t="s">
        <v>58</v>
      </c>
      <c r="C342" t="s">
        <v>62</v>
      </c>
      <c r="D342" t="s">
        <v>60</v>
      </c>
      <c r="E342" t="str">
        <f>IF(LEN(Str!C366)&gt;0, Str!C366, Str!B366)</f>
        <v>งานเหล็กเสริมคอนกรีต RB 9  (SR-24)</v>
      </c>
      <c r="F342" s="1260" t="str">
        <f>Str!F366</f>
        <v>กก.</v>
      </c>
      <c r="G342" s="1260">
        <f>Str!E366</f>
        <v>286</v>
      </c>
      <c r="H342" s="1260">
        <f>Str!I366</f>
        <v>5240.7205482631998</v>
      </c>
      <c r="I342" s="1260">
        <f>Str!L366</f>
        <v>1176.4882863447999</v>
      </c>
      <c r="J342" s="1260">
        <f>Str!M366</f>
        <v>6417.208834608</v>
      </c>
    </row>
    <row r="343" spans="1:10" hidden="1" outlineLevel="1">
      <c r="A343" t="s">
        <v>39</v>
      </c>
      <c r="B343" t="s">
        <v>58</v>
      </c>
      <c r="C343" t="s">
        <v>62</v>
      </c>
      <c r="D343" t="s">
        <v>60</v>
      </c>
      <c r="E343" t="str">
        <f>IF(LEN(Str!C367)&gt;0, Str!C367, Str!B367)</f>
        <v>งานเหล็กเสริมคอนกรีต DB 12  (SD-40)</v>
      </c>
      <c r="F343" s="1260" t="str">
        <f>Str!F367</f>
        <v>กก.</v>
      </c>
      <c r="G343" s="1260">
        <f>Str!E367</f>
        <v>20</v>
      </c>
      <c r="H343" s="1260">
        <f>Str!I367</f>
        <v>368.35377051799992</v>
      </c>
      <c r="I343" s="1260">
        <f>Str!L367</f>
        <v>67.313379384000001</v>
      </c>
      <c r="J343" s="1260">
        <f>Str!M367</f>
        <v>435.66714990199989</v>
      </c>
    </row>
    <row r="344" spans="1:10" hidden="1" outlineLevel="1">
      <c r="A344" t="s">
        <v>39</v>
      </c>
      <c r="B344" t="s">
        <v>58</v>
      </c>
      <c r="C344" t="s">
        <v>62</v>
      </c>
      <c r="D344" t="s">
        <v>60</v>
      </c>
      <c r="E344" t="str">
        <f>IF(LEN(Str!C368)&gt;0, Str!C368, Str!B368)</f>
        <v>งานเหล็กเสริมคอนกรีต DB 16  (SD-40)</v>
      </c>
      <c r="F344" s="1260" t="str">
        <f>Str!F368</f>
        <v>กก.</v>
      </c>
      <c r="G344" s="1260">
        <f>Str!E368</f>
        <v>58</v>
      </c>
      <c r="H344" s="1260">
        <f>Str!I368</f>
        <v>1057.3810011570001</v>
      </c>
      <c r="I344" s="1260">
        <f>Str!L368</f>
        <v>195.2088002136</v>
      </c>
      <c r="J344" s="1260">
        <f>Str!M368</f>
        <v>1252.5898013706001</v>
      </c>
    </row>
    <row r="345" spans="1:10" hidden="1" outlineLevel="1">
      <c r="A345" t="s">
        <v>39</v>
      </c>
      <c r="B345" t="s">
        <v>58</v>
      </c>
      <c r="C345" t="s">
        <v>62</v>
      </c>
      <c r="D345" t="s">
        <v>60</v>
      </c>
      <c r="E345" t="str">
        <f>IF(LEN(Str!C369)&gt;0, Str!C369, Str!B369)</f>
        <v>ลวดผูกเหล็ก</v>
      </c>
      <c r="F345" s="1260" t="str">
        <f>Str!F369</f>
        <v>กก.</v>
      </c>
      <c r="G345" s="1260">
        <f>Str!E369</f>
        <v>9.1</v>
      </c>
      <c r="H345" s="1260">
        <f>Str!I369</f>
        <v>230.55767347066998</v>
      </c>
      <c r="I345" s="1260">
        <f>Str!L369</f>
        <v>0</v>
      </c>
      <c r="J345" s="1260">
        <f>Str!M369</f>
        <v>230.55767347066998</v>
      </c>
    </row>
    <row r="346" spans="1:10" hidden="1" outlineLevel="1">
      <c r="A346" t="s">
        <v>39</v>
      </c>
      <c r="B346" t="s">
        <v>58</v>
      </c>
      <c r="C346" t="s">
        <v>62</v>
      </c>
      <c r="D346" t="s">
        <v>60</v>
      </c>
      <c r="E346" t="str">
        <f>IF(LEN(Str!C370)&gt;0, Str!C370, Str!B370)</f>
        <v xml:space="preserve">ไม้แบบ ค้ำยัน นั่งร้าน </v>
      </c>
      <c r="F346" s="1260">
        <f>Str!F370</f>
        <v>0</v>
      </c>
      <c r="G346" s="1260">
        <f>Str!E370</f>
        <v>0</v>
      </c>
      <c r="H346" s="1260">
        <f>Str!I370</f>
        <v>0</v>
      </c>
      <c r="I346" s="1260">
        <f>Str!L370</f>
        <v>0</v>
      </c>
      <c r="J346" s="1260">
        <f>Str!M370</f>
        <v>0</v>
      </c>
    </row>
    <row r="347" spans="1:10" hidden="1" outlineLevel="1">
      <c r="A347" t="s">
        <v>39</v>
      </c>
      <c r="B347" t="s">
        <v>58</v>
      </c>
      <c r="C347" t="s">
        <v>62</v>
      </c>
      <c r="D347" t="s">
        <v>60</v>
      </c>
      <c r="E347" t="str">
        <f>IF(LEN(Str!C371)&gt;0, Str!C371, Str!B371)</f>
        <v>ไม้แบบ ค้ำยัน นั่งร้าน (อาคาร 3 ชั้น ใช้ 60%)</v>
      </c>
      <c r="F347" s="1260" t="str">
        <f>Str!F371</f>
        <v>ตร.ม.</v>
      </c>
      <c r="G347" s="1260">
        <f>Str!E371</f>
        <v>2.4</v>
      </c>
      <c r="H347" s="1260">
        <f>Str!I371</f>
        <v>550.17468749855993</v>
      </c>
      <c r="I347" s="1260">
        <f>Str!L371</f>
        <v>0</v>
      </c>
      <c r="J347" s="1260">
        <f>Str!M371</f>
        <v>550.17468749855993</v>
      </c>
    </row>
    <row r="348" spans="1:10" hidden="1" outlineLevel="1">
      <c r="A348" t="s">
        <v>39</v>
      </c>
      <c r="B348" t="s">
        <v>58</v>
      </c>
      <c r="C348" t="s">
        <v>62</v>
      </c>
      <c r="D348" t="s">
        <v>60</v>
      </c>
      <c r="E348" t="str">
        <f>IF(LEN(Str!C372)&gt;0, Str!C372, Str!B372)</f>
        <v>ค่าแรงประกอบและติดตั้งไม้แบบหล่อคอนกรีต (ใช้ 100%)</v>
      </c>
      <c r="F348" s="1260" t="str">
        <f>Str!F372</f>
        <v>ตร.ม.</v>
      </c>
      <c r="G348" s="1260">
        <f>Str!E372</f>
        <v>4</v>
      </c>
      <c r="H348" s="1260">
        <f>Str!I372</f>
        <v>0</v>
      </c>
      <c r="I348" s="1260">
        <f>Str!L372</f>
        <v>452.495494748</v>
      </c>
      <c r="J348" s="1260">
        <f>Str!M372</f>
        <v>452.495494748</v>
      </c>
    </row>
    <row r="349" spans="1:10" hidden="1" outlineLevel="1">
      <c r="A349" t="s">
        <v>39</v>
      </c>
      <c r="B349" t="s">
        <v>58</v>
      </c>
      <c r="C349" t="s">
        <v>62</v>
      </c>
      <c r="D349" t="s">
        <v>60</v>
      </c>
      <c r="E349" t="str">
        <f>IF(LEN(Str!C373)&gt;0, Str!C373, Str!B373)</f>
        <v>ไม้เคร่า (ใช้ 30% ของไม้แบบ 1 ตร.ม.)</v>
      </c>
      <c r="F349" s="1260" t="str">
        <f>Str!F373</f>
        <v>ลบ.ฟ.</v>
      </c>
      <c r="G349" s="1260">
        <f>Str!E373</f>
        <v>0.72</v>
      </c>
      <c r="H349" s="1260">
        <f>Str!I373</f>
        <v>208.28105848997279</v>
      </c>
      <c r="I349" s="1260">
        <f>Str!L373</f>
        <v>0</v>
      </c>
      <c r="J349" s="1260">
        <f>Str!M373</f>
        <v>208.28105848997279</v>
      </c>
    </row>
    <row r="350" spans="1:10" hidden="1" outlineLevel="1">
      <c r="A350" t="s">
        <v>39</v>
      </c>
      <c r="B350" t="s">
        <v>58</v>
      </c>
      <c r="C350" t="s">
        <v>62</v>
      </c>
      <c r="D350" t="s">
        <v>60</v>
      </c>
      <c r="E350" t="str">
        <f>IF(LEN(Str!C374)&gt;0, Str!C374, Str!B374)</f>
        <v>ตะปู (ใช้ 25% ของไม้แบบ 1 ตร.ม.)</v>
      </c>
      <c r="F350" s="1260" t="str">
        <f>Str!F374</f>
        <v>กก.</v>
      </c>
      <c r="G350" s="1260">
        <f>Str!E374</f>
        <v>0.6</v>
      </c>
      <c r="H350" s="1260">
        <f>Str!I374</f>
        <v>13.103671186751999</v>
      </c>
      <c r="I350" s="1260">
        <f>Str!L374</f>
        <v>0</v>
      </c>
      <c r="J350" s="1260">
        <f>Str!M374</f>
        <v>13.103671186751999</v>
      </c>
    </row>
    <row r="351" spans="1:10" hidden="1" outlineLevel="1">
      <c r="F351" s="1260"/>
      <c r="G351" s="1260"/>
      <c r="H351" s="1260"/>
      <c r="I351" s="1260"/>
      <c r="J351" s="1260"/>
    </row>
    <row r="352" spans="1:10" hidden="1" outlineLevel="1">
      <c r="A352" t="s">
        <v>39</v>
      </c>
      <c r="F352" s="1260">
        <f>Str!F376</f>
        <v>0</v>
      </c>
      <c r="G352" s="1260">
        <f>Str!E376</f>
        <v>0</v>
      </c>
      <c r="H352" s="1260">
        <f>Str!I376</f>
        <v>0</v>
      </c>
      <c r="I352" s="1260">
        <f>Str!L376</f>
        <v>0</v>
      </c>
      <c r="J352" s="1260">
        <f>Str!M376</f>
        <v>0</v>
      </c>
    </row>
    <row r="353" spans="1:10" hidden="1" outlineLevel="1">
      <c r="A353" t="s">
        <v>39</v>
      </c>
      <c r="B353" t="s">
        <v>58</v>
      </c>
      <c r="C353" t="s">
        <v>63</v>
      </c>
      <c r="E353" t="str">
        <f>IF(LEN(Str!C377)&gt;0, Str!C377, Str!B377)</f>
        <v>ทางเข้าอาคาร 4</v>
      </c>
      <c r="F353" s="1260">
        <f>Str!F377</f>
        <v>0</v>
      </c>
      <c r="G353" s="1260">
        <f>Str!E377</f>
        <v>0</v>
      </c>
      <c r="H353" s="1260">
        <f>Str!I377</f>
        <v>0</v>
      </c>
      <c r="I353" s="1260">
        <f>Str!L377</f>
        <v>0</v>
      </c>
      <c r="J353" s="1260">
        <f>Str!M377</f>
        <v>0</v>
      </c>
    </row>
    <row r="354" spans="1:10" hidden="1" outlineLevel="1">
      <c r="A354" t="s">
        <v>39</v>
      </c>
      <c r="B354" t="s">
        <v>58</v>
      </c>
      <c r="C354" t="s">
        <v>63</v>
      </c>
      <c r="D354" t="s">
        <v>60</v>
      </c>
      <c r="E354" t="str">
        <f>IF(LEN(Str!C378)&gt;0, Str!C378, Str!B378)</f>
        <v>งานคอนกรีตโครงสร้าง (fc' 240 ksc, Cyl.)  ผสมน้ำยากันซึม</v>
      </c>
      <c r="F354" s="1260" t="str">
        <f>Str!F378</f>
        <v>ลบ.ม.</v>
      </c>
      <c r="G354" s="1260">
        <f>Str!E378</f>
        <v>4.7</v>
      </c>
      <c r="H354" s="1260">
        <f>Str!I378</f>
        <v>9304.4386107557511</v>
      </c>
      <c r="I354" s="1260">
        <f>Str!L378</f>
        <v>2280.5211990470998</v>
      </c>
      <c r="J354" s="1260">
        <f>Str!M378</f>
        <v>11584.959809802851</v>
      </c>
    </row>
    <row r="355" spans="1:10" hidden="1" outlineLevel="1">
      <c r="A355" t="s">
        <v>39</v>
      </c>
      <c r="B355" t="s">
        <v>58</v>
      </c>
      <c r="C355" t="s">
        <v>63</v>
      </c>
      <c r="D355" t="s">
        <v>60</v>
      </c>
      <c r="E355" t="str">
        <f>IF(LEN(Str!C379)&gt;0, Str!C379, Str!B379)</f>
        <v>งานคอนกรีตหยาบรองท้องคาน (fc' 150 ksc, Cyl.)</v>
      </c>
      <c r="F355" s="1260" t="str">
        <f>Str!F379</f>
        <v>ลบ.ม.</v>
      </c>
      <c r="G355" s="1260">
        <f>Str!E379</f>
        <v>1.3</v>
      </c>
      <c r="H355" s="1260">
        <f>Str!I379</f>
        <v>2354.79964338125</v>
      </c>
      <c r="I355" s="1260">
        <f>Str!L379</f>
        <v>630.78245931089998</v>
      </c>
      <c r="J355" s="1260">
        <f>Str!M379</f>
        <v>2985.5821026921499</v>
      </c>
    </row>
    <row r="356" spans="1:10" hidden="1" outlineLevel="1">
      <c r="A356" t="s">
        <v>39</v>
      </c>
      <c r="B356" t="s">
        <v>58</v>
      </c>
      <c r="C356" t="s">
        <v>63</v>
      </c>
      <c r="D356" t="s">
        <v>60</v>
      </c>
      <c r="E356" t="str">
        <f>IF(LEN(Str!C380)&gt;0, Str!C380, Str!B380)</f>
        <v>งานถมทรายบดอัดรองฐานราก/คาน/พื้น</v>
      </c>
      <c r="F356" s="1260" t="str">
        <f>Str!F380</f>
        <v>ลบ.ม.</v>
      </c>
      <c r="G356" s="1260">
        <f>Str!E380</f>
        <v>1.3</v>
      </c>
      <c r="H356" s="1260">
        <f>Str!I380</f>
        <v>617.81434979096298</v>
      </c>
      <c r="I356" s="1260">
        <f>Str!L380</f>
        <v>126.3995679544</v>
      </c>
      <c r="J356" s="1260">
        <f>Str!M380</f>
        <v>744.21391774536301</v>
      </c>
    </row>
    <row r="357" spans="1:10" hidden="1" outlineLevel="1">
      <c r="A357" t="s">
        <v>39</v>
      </c>
      <c r="B357" t="s">
        <v>58</v>
      </c>
      <c r="C357" t="s">
        <v>63</v>
      </c>
      <c r="D357" t="s">
        <v>60</v>
      </c>
      <c r="E357" t="str">
        <f>IF(LEN(Str!C381)&gt;0, Str!C381, Str!B381)</f>
        <v>งานปรับระดับขุดดินทำฐานราก/ถมกลับ</v>
      </c>
      <c r="F357" s="1260" t="str">
        <f>Str!F381</f>
        <v>ลบ.ม.</v>
      </c>
      <c r="G357" s="1260">
        <f>Str!E381</f>
        <v>60</v>
      </c>
      <c r="H357" s="1260">
        <f>Str!I381</f>
        <v>0</v>
      </c>
      <c r="I357" s="1260">
        <f>Str!L381</f>
        <v>6282.5820758399996</v>
      </c>
      <c r="J357" s="1260">
        <f>Str!M381</f>
        <v>6282.5820758399996</v>
      </c>
    </row>
    <row r="358" spans="1:10" hidden="1" outlineLevel="1">
      <c r="A358" t="s">
        <v>39</v>
      </c>
      <c r="B358" t="s">
        <v>58</v>
      </c>
      <c r="C358" t="s">
        <v>63</v>
      </c>
      <c r="D358" t="s">
        <v>60</v>
      </c>
      <c r="E358" t="str">
        <f>IF(LEN(Str!C382)&gt;0, Str!C382, Str!B382)</f>
        <v>งานเสาเข็มรูปตัวไอขนาด 0.15x0.15x6.00 ม. ติดตั้ง Dowel 1-DB12</v>
      </c>
      <c r="F358" s="1260" t="str">
        <f>Str!F382</f>
        <v>ต้น</v>
      </c>
      <c r="G358" s="1260">
        <f>Str!E382</f>
        <v>34</v>
      </c>
      <c r="H358" s="1260">
        <f>Str!I382</f>
        <v>18595.321054829998</v>
      </c>
      <c r="I358" s="1260">
        <f>Str!L382</f>
        <v>8349.4580879866608</v>
      </c>
      <c r="J358" s="1260">
        <f>Str!M382</f>
        <v>26944.77914281666</v>
      </c>
    </row>
    <row r="359" spans="1:10" hidden="1" outlineLevel="1">
      <c r="A359" t="s">
        <v>39</v>
      </c>
      <c r="B359" t="s">
        <v>58</v>
      </c>
      <c r="C359" t="s">
        <v>63</v>
      </c>
      <c r="D359" t="s">
        <v>60</v>
      </c>
      <c r="E359" t="str">
        <f>IF(LEN(Str!C383)&gt;0, Str!C383, Str!B383)</f>
        <v>เหล็กเสริม</v>
      </c>
      <c r="F359" s="1260">
        <f>Str!F383</f>
        <v>0</v>
      </c>
      <c r="G359" s="1260">
        <f>Str!E383</f>
        <v>0</v>
      </c>
      <c r="H359" s="1260">
        <f>Str!I383</f>
        <v>0</v>
      </c>
      <c r="I359" s="1260">
        <f>Str!L383</f>
        <v>0</v>
      </c>
      <c r="J359" s="1260">
        <f>Str!M383</f>
        <v>0</v>
      </c>
    </row>
    <row r="360" spans="1:10" hidden="1" outlineLevel="1">
      <c r="A360" t="s">
        <v>39</v>
      </c>
      <c r="B360" t="s">
        <v>58</v>
      </c>
      <c r="C360" t="s">
        <v>63</v>
      </c>
      <c r="D360" t="s">
        <v>60</v>
      </c>
      <c r="E360" t="str">
        <f>IF(LEN(Str!C384)&gt;0, Str!C384, Str!B384)</f>
        <v>งานเหล็กเสริมคอนกรีต RB 9  (SR-24)</v>
      </c>
      <c r="F360" s="1260" t="str">
        <f>Str!F384</f>
        <v>กก.</v>
      </c>
      <c r="G360" s="1260">
        <f>Str!E384</f>
        <v>286</v>
      </c>
      <c r="H360" s="1260">
        <f>Str!I384</f>
        <v>5240.7205482631998</v>
      </c>
      <c r="I360" s="1260">
        <f>Str!L384</f>
        <v>1176.4882863447999</v>
      </c>
      <c r="J360" s="1260">
        <f>Str!M384</f>
        <v>6417.208834608</v>
      </c>
    </row>
    <row r="361" spans="1:10" hidden="1" outlineLevel="1">
      <c r="A361" t="s">
        <v>39</v>
      </c>
      <c r="B361" t="s">
        <v>58</v>
      </c>
      <c r="C361" t="s">
        <v>63</v>
      </c>
      <c r="D361" t="s">
        <v>60</v>
      </c>
      <c r="E361" t="str">
        <f>IF(LEN(Str!C385)&gt;0, Str!C385, Str!B385)</f>
        <v>งานเหล็กเสริมคอนกรีต DB 12  (SD-40)</v>
      </c>
      <c r="F361" s="1260" t="str">
        <f>Str!F385</f>
        <v>กก.</v>
      </c>
      <c r="G361" s="1260">
        <f>Str!E385</f>
        <v>20</v>
      </c>
      <c r="H361" s="1260">
        <f>Str!I385</f>
        <v>368.35377051799992</v>
      </c>
      <c r="I361" s="1260">
        <f>Str!L385</f>
        <v>67.313379384000001</v>
      </c>
      <c r="J361" s="1260">
        <f>Str!M385</f>
        <v>435.66714990199989</v>
      </c>
    </row>
    <row r="362" spans="1:10" hidden="1" outlineLevel="1">
      <c r="A362" t="s">
        <v>39</v>
      </c>
      <c r="B362" t="s">
        <v>58</v>
      </c>
      <c r="C362" t="s">
        <v>63</v>
      </c>
      <c r="D362" t="s">
        <v>60</v>
      </c>
      <c r="E362" t="str">
        <f>IF(LEN(Str!C386)&gt;0, Str!C386, Str!B386)</f>
        <v>งานเหล็กเสริมคอนกรีต DB 16  (SD-40)</v>
      </c>
      <c r="F362" s="1260" t="str">
        <f>Str!F386</f>
        <v>กก.</v>
      </c>
      <c r="G362" s="1260">
        <f>Str!E386</f>
        <v>58</v>
      </c>
      <c r="H362" s="1260">
        <f>Str!I386</f>
        <v>1057.3810011570001</v>
      </c>
      <c r="I362" s="1260">
        <f>Str!L386</f>
        <v>195.2088002136</v>
      </c>
      <c r="J362" s="1260">
        <f>Str!M386</f>
        <v>1252.5898013706001</v>
      </c>
    </row>
    <row r="363" spans="1:10" hidden="1" outlineLevel="1">
      <c r="A363" t="s">
        <v>39</v>
      </c>
      <c r="B363" t="s">
        <v>58</v>
      </c>
      <c r="C363" t="s">
        <v>63</v>
      </c>
      <c r="D363" t="s">
        <v>60</v>
      </c>
      <c r="E363" t="str">
        <f>IF(LEN(Str!C387)&gt;0, Str!C387, Str!B387)</f>
        <v>ลวดผูกเหล็ก</v>
      </c>
      <c r="F363" s="1260" t="str">
        <f>Str!F387</f>
        <v>กก.</v>
      </c>
      <c r="G363" s="1260">
        <f>Str!E387</f>
        <v>9.1</v>
      </c>
      <c r="H363" s="1260">
        <f>Str!I387</f>
        <v>230.55767347066998</v>
      </c>
      <c r="I363" s="1260">
        <f>Str!L387</f>
        <v>0</v>
      </c>
      <c r="J363" s="1260">
        <f>Str!M387</f>
        <v>230.55767347066998</v>
      </c>
    </row>
    <row r="364" spans="1:10" hidden="1" outlineLevel="1">
      <c r="A364" t="s">
        <v>39</v>
      </c>
      <c r="B364" t="s">
        <v>58</v>
      </c>
      <c r="C364" t="s">
        <v>63</v>
      </c>
      <c r="D364" t="s">
        <v>60</v>
      </c>
      <c r="E364" t="str">
        <f>IF(LEN(Str!C388)&gt;0, Str!C388, Str!B388)</f>
        <v xml:space="preserve">ไม้แบบ ค้ำยัน นั่งร้าน </v>
      </c>
      <c r="F364" s="1260">
        <f>Str!F388</f>
        <v>0</v>
      </c>
      <c r="G364" s="1260">
        <f>Str!E388</f>
        <v>0</v>
      </c>
      <c r="H364" s="1260">
        <f>Str!I388</f>
        <v>0</v>
      </c>
      <c r="I364" s="1260">
        <f>Str!L388</f>
        <v>0</v>
      </c>
      <c r="J364" s="1260">
        <f>Str!M388</f>
        <v>0</v>
      </c>
    </row>
    <row r="365" spans="1:10" hidden="1" outlineLevel="1">
      <c r="A365" t="s">
        <v>39</v>
      </c>
      <c r="B365" t="s">
        <v>58</v>
      </c>
      <c r="C365" t="s">
        <v>63</v>
      </c>
      <c r="D365" t="s">
        <v>60</v>
      </c>
      <c r="E365" t="str">
        <f>IF(LEN(Str!C389)&gt;0, Str!C389, Str!B389)</f>
        <v>ไม้แบบ ค้ำยัน นั่งร้าน (อาคาร 3 ชั้น ใช้ 60%)</v>
      </c>
      <c r="F365" s="1260" t="str">
        <f>Str!F389</f>
        <v>ตร.ม.</v>
      </c>
      <c r="G365" s="1260">
        <f>Str!E389</f>
        <v>2.4</v>
      </c>
      <c r="H365" s="1260">
        <f>Str!I389</f>
        <v>550.17468749855993</v>
      </c>
      <c r="I365" s="1260">
        <f>Str!L389</f>
        <v>0</v>
      </c>
      <c r="J365" s="1260">
        <f>Str!M389</f>
        <v>550.17468749855993</v>
      </c>
    </row>
    <row r="366" spans="1:10" hidden="1" outlineLevel="1">
      <c r="A366" t="s">
        <v>39</v>
      </c>
      <c r="B366" t="s">
        <v>58</v>
      </c>
      <c r="C366" t="s">
        <v>63</v>
      </c>
      <c r="D366" t="s">
        <v>60</v>
      </c>
      <c r="E366" t="str">
        <f>IF(LEN(Str!C390)&gt;0, Str!C390, Str!B390)</f>
        <v>ค่าแรงประกอบและติดตั้งไม้แบบหล่อคอนกรีต (ใช้ 100%)</v>
      </c>
      <c r="F366" s="1260" t="str">
        <f>Str!F390</f>
        <v>ตร.ม.</v>
      </c>
      <c r="G366" s="1260">
        <f>Str!E390</f>
        <v>4</v>
      </c>
      <c r="H366" s="1260">
        <f>Str!I390</f>
        <v>0</v>
      </c>
      <c r="I366" s="1260">
        <f>Str!L390</f>
        <v>452.495494748</v>
      </c>
      <c r="J366" s="1260">
        <f>Str!M390</f>
        <v>452.495494748</v>
      </c>
    </row>
    <row r="367" spans="1:10" hidden="1" outlineLevel="1">
      <c r="A367" t="s">
        <v>39</v>
      </c>
      <c r="B367" t="s">
        <v>58</v>
      </c>
      <c r="C367" t="s">
        <v>63</v>
      </c>
      <c r="D367" t="s">
        <v>60</v>
      </c>
      <c r="E367" t="str">
        <f>IF(LEN(Str!C391)&gt;0, Str!C391, Str!B391)</f>
        <v>ไม้เคร่า (ใช้ 30% ของไม้แบบ 1 ตร.ม.)</v>
      </c>
      <c r="F367" s="1260" t="str">
        <f>Str!F391</f>
        <v>ลบ.ฟ.</v>
      </c>
      <c r="G367" s="1260">
        <f>Str!E391</f>
        <v>0.72</v>
      </c>
      <c r="H367" s="1260">
        <f>Str!I391</f>
        <v>208.28105848997279</v>
      </c>
      <c r="I367" s="1260">
        <f>Str!L391</f>
        <v>0</v>
      </c>
      <c r="J367" s="1260">
        <f>Str!M391</f>
        <v>208.28105848997279</v>
      </c>
    </row>
    <row r="368" spans="1:10" hidden="1" outlineLevel="1">
      <c r="A368" t="s">
        <v>39</v>
      </c>
      <c r="B368" t="s">
        <v>58</v>
      </c>
      <c r="C368" t="s">
        <v>63</v>
      </c>
      <c r="D368" t="s">
        <v>60</v>
      </c>
      <c r="E368" t="str">
        <f>IF(LEN(Str!C392)&gt;0, Str!C392, Str!B392)</f>
        <v>ตะปู (ใช้ 25% ของไม้แบบ 1 ตร.ม.)</v>
      </c>
      <c r="F368" s="1260" t="str">
        <f>Str!F392</f>
        <v>กก.</v>
      </c>
      <c r="G368" s="1260">
        <f>Str!E392</f>
        <v>0.6</v>
      </c>
      <c r="H368" s="1260">
        <f>Str!I392</f>
        <v>13.103671186751999</v>
      </c>
      <c r="I368" s="1260">
        <f>Str!L392</f>
        <v>0</v>
      </c>
      <c r="J368" s="1260">
        <f>Str!M392</f>
        <v>13.103671186751999</v>
      </c>
    </row>
    <row r="369" spans="1:10" hidden="1" outlineLevel="1">
      <c r="F369" s="1260"/>
      <c r="G369" s="1260"/>
      <c r="H369" s="1260"/>
      <c r="I369" s="1260"/>
      <c r="J369" s="1260"/>
    </row>
    <row r="370" spans="1:10" hidden="1" outlineLevel="1">
      <c r="A370" t="s">
        <v>39</v>
      </c>
      <c r="F370" s="1260">
        <f>Str!F394</f>
        <v>0</v>
      </c>
      <c r="G370" s="1260">
        <f>Str!E394</f>
        <v>0</v>
      </c>
      <c r="H370" s="1260">
        <f>Str!I394</f>
        <v>0</v>
      </c>
      <c r="I370" s="1260">
        <f>Str!L394</f>
        <v>0</v>
      </c>
      <c r="J370" s="1260">
        <f>Str!M394</f>
        <v>0</v>
      </c>
    </row>
    <row r="371" spans="1:10" hidden="1" outlineLevel="1">
      <c r="A371" t="s">
        <v>39</v>
      </c>
      <c r="B371" t="s">
        <v>58</v>
      </c>
      <c r="C371" t="s">
        <v>64</v>
      </c>
      <c r="E371" t="str">
        <f>IF(LEN(Str!C395)&gt;0, Str!C395, Str!B395)</f>
        <v>ทางเข้าอาคาร 5</v>
      </c>
      <c r="F371" s="1260">
        <f>Str!F395</f>
        <v>0</v>
      </c>
      <c r="G371" s="1260">
        <f>Str!E395</f>
        <v>0</v>
      </c>
      <c r="H371" s="1260">
        <f>Str!I395</f>
        <v>0</v>
      </c>
      <c r="I371" s="1260">
        <f>Str!L395</f>
        <v>0</v>
      </c>
      <c r="J371" s="1260">
        <f>Str!M395</f>
        <v>0</v>
      </c>
    </row>
    <row r="372" spans="1:10" hidden="1" outlineLevel="1">
      <c r="A372" t="s">
        <v>39</v>
      </c>
      <c r="B372" t="s">
        <v>58</v>
      </c>
      <c r="C372" t="s">
        <v>64</v>
      </c>
      <c r="D372" t="s">
        <v>60</v>
      </c>
      <c r="E372" t="str">
        <f>IF(LEN(Str!C396)&gt;0, Str!C396, Str!B396)</f>
        <v>งานคอนกรีตโครงสร้าง (fc' 240 ksc, Cyl.)  ผสมน้ำยากันซึม</v>
      </c>
      <c r="F372" s="1260" t="str">
        <f>Str!F396</f>
        <v>ลบ.ม.</v>
      </c>
      <c r="G372" s="1260">
        <f>Str!E396</f>
        <v>0.9</v>
      </c>
      <c r="H372" s="1260">
        <f>Str!I396</f>
        <v>1781.70101057025</v>
      </c>
      <c r="I372" s="1260">
        <f>Str!L396</f>
        <v>436.6955487537</v>
      </c>
      <c r="J372" s="1260">
        <f>Str!M396</f>
        <v>2218.39655932395</v>
      </c>
    </row>
    <row r="373" spans="1:10" hidden="1" outlineLevel="1">
      <c r="A373" t="s">
        <v>39</v>
      </c>
      <c r="B373" t="s">
        <v>58</v>
      </c>
      <c r="C373" t="s">
        <v>64</v>
      </c>
      <c r="D373" t="s">
        <v>60</v>
      </c>
      <c r="E373" t="str">
        <f>IF(LEN(Str!C397)&gt;0, Str!C397, Str!B397)</f>
        <v>งานคอนกรีตหยาบรองท้องคาน (fc' 150 ksc, Cyl.)</v>
      </c>
      <c r="F373" s="1260" t="str">
        <f>Str!F397</f>
        <v>ลบ.ม.</v>
      </c>
      <c r="G373" s="1260">
        <f>Str!E397</f>
        <v>0.25</v>
      </c>
      <c r="H373" s="1260">
        <f>Str!I397</f>
        <v>452.84608526562499</v>
      </c>
      <c r="I373" s="1260">
        <f>Str!L397</f>
        <v>121.30431909824999</v>
      </c>
      <c r="J373" s="1260">
        <f>Str!M397</f>
        <v>574.15040436387494</v>
      </c>
    </row>
    <row r="374" spans="1:10" hidden="1" outlineLevel="1">
      <c r="A374" t="s">
        <v>39</v>
      </c>
      <c r="B374" t="s">
        <v>58</v>
      </c>
      <c r="C374" t="s">
        <v>64</v>
      </c>
      <c r="D374" t="s">
        <v>60</v>
      </c>
      <c r="E374" t="str">
        <f>IF(LEN(Str!C398)&gt;0, Str!C398, Str!B398)</f>
        <v>งานถมทรายบดอัดรองคาน/พื้น</v>
      </c>
      <c r="F374" s="1260" t="str">
        <f>Str!F398</f>
        <v>ลบ.ม.</v>
      </c>
      <c r="G374" s="1260">
        <f>Str!E398</f>
        <v>0.25</v>
      </c>
      <c r="H374" s="1260">
        <f>Str!I398</f>
        <v>118.81045188287749</v>
      </c>
      <c r="I374" s="1260">
        <f>Str!L398</f>
        <v>24.307609222</v>
      </c>
      <c r="J374" s="1260">
        <f>Str!M398</f>
        <v>143.11806110487748</v>
      </c>
    </row>
    <row r="375" spans="1:10" hidden="1" outlineLevel="1">
      <c r="A375" t="s">
        <v>39</v>
      </c>
      <c r="B375" t="s">
        <v>58</v>
      </c>
      <c r="C375" t="s">
        <v>64</v>
      </c>
      <c r="D375" t="s">
        <v>60</v>
      </c>
      <c r="E375" t="str">
        <f>IF(LEN(Str!C399)&gt;0, Str!C399, Str!B399)</f>
        <v>งานปรับระดับขุดดินทำฐานราก/ถมกลับ</v>
      </c>
      <c r="F375" s="1260" t="str">
        <f>Str!F399</f>
        <v>ลบ.ม.</v>
      </c>
      <c r="G375" s="1260">
        <f>Str!E399</f>
        <v>20</v>
      </c>
      <c r="H375" s="1260">
        <f>Str!I399</f>
        <v>0</v>
      </c>
      <c r="I375" s="1260">
        <f>Str!L399</f>
        <v>2094.1940252799996</v>
      </c>
      <c r="J375" s="1260">
        <f>Str!M399</f>
        <v>2094.1940252799996</v>
      </c>
    </row>
    <row r="376" spans="1:10" hidden="1" outlineLevel="1">
      <c r="A376" t="s">
        <v>39</v>
      </c>
      <c r="B376" t="s">
        <v>58</v>
      </c>
      <c r="C376" t="s">
        <v>64</v>
      </c>
      <c r="D376" t="s">
        <v>60</v>
      </c>
      <c r="E376" t="str">
        <f>IF(LEN(Str!C400)&gt;0, Str!C400, Str!B400)</f>
        <v>เหล็กเสริม</v>
      </c>
      <c r="F376" s="1260">
        <f>Str!F400</f>
        <v>0</v>
      </c>
      <c r="G376" s="1260">
        <f>Str!E400</f>
        <v>0</v>
      </c>
      <c r="H376" s="1260">
        <f>Str!I400</f>
        <v>0</v>
      </c>
      <c r="I376" s="1260">
        <f>Str!L400</f>
        <v>0</v>
      </c>
      <c r="J376" s="1260">
        <f>Str!M400</f>
        <v>0</v>
      </c>
    </row>
    <row r="377" spans="1:10" hidden="1" outlineLevel="1">
      <c r="A377" t="s">
        <v>39</v>
      </c>
      <c r="B377" t="s">
        <v>58</v>
      </c>
      <c r="C377" t="s">
        <v>64</v>
      </c>
      <c r="D377" t="s">
        <v>60</v>
      </c>
      <c r="E377" t="str">
        <f>IF(LEN(Str!C401)&gt;0, Str!C401, Str!B401)</f>
        <v>งานเหล็กเสริมคอนกรีต RB 9  (SR-24)</v>
      </c>
      <c r="F377" s="1260" t="str">
        <f>Str!F401</f>
        <v>กก.</v>
      </c>
      <c r="G377" s="1260">
        <f>Str!E401</f>
        <v>90</v>
      </c>
      <c r="H377" s="1260">
        <f>Str!I401</f>
        <v>1649.1777949080001</v>
      </c>
      <c r="I377" s="1260">
        <f>Str!L401</f>
        <v>370.22358661200002</v>
      </c>
      <c r="J377" s="1260">
        <f>Str!M401</f>
        <v>2019.4013815200001</v>
      </c>
    </row>
    <row r="378" spans="1:10" hidden="1" outlineLevel="1">
      <c r="A378" t="s">
        <v>39</v>
      </c>
      <c r="B378" t="s">
        <v>58</v>
      </c>
      <c r="C378" t="s">
        <v>64</v>
      </c>
      <c r="D378" t="s">
        <v>60</v>
      </c>
      <c r="E378" t="str">
        <f>IF(LEN(Str!C402)&gt;0, Str!C402, Str!B402)</f>
        <v>งานเหล็กเสริมคอนกรีต DB 12  (SD-40)</v>
      </c>
      <c r="F378" s="1260" t="str">
        <f>Str!F402</f>
        <v>กก.</v>
      </c>
      <c r="G378" s="1260">
        <f>Str!E402</f>
        <v>26</v>
      </c>
      <c r="H378" s="1260">
        <f>Str!I402</f>
        <v>478.85990167339992</v>
      </c>
      <c r="I378" s="1260">
        <f>Str!L402</f>
        <v>87.50739319920001</v>
      </c>
      <c r="J378" s="1260">
        <f>Str!M402</f>
        <v>566.36729487259993</v>
      </c>
    </row>
    <row r="379" spans="1:10" hidden="1" outlineLevel="1">
      <c r="A379" t="s">
        <v>39</v>
      </c>
      <c r="B379" t="s">
        <v>58</v>
      </c>
      <c r="C379" t="s">
        <v>64</v>
      </c>
      <c r="D379" t="s">
        <v>60</v>
      </c>
      <c r="E379" t="str">
        <f>IF(LEN(Str!C403)&gt;0, Str!C403, Str!B403)</f>
        <v>งานเหล็กเสริมคอนกรีต DB 16  (SD-40)</v>
      </c>
      <c r="F379" s="1260" t="str">
        <f>Str!F403</f>
        <v>กก.</v>
      </c>
      <c r="G379" s="1260">
        <f>Str!E403</f>
        <v>0</v>
      </c>
      <c r="H379" s="1260">
        <f>Str!I403</f>
        <v>0</v>
      </c>
      <c r="I379" s="1260">
        <f>Str!L403</f>
        <v>0</v>
      </c>
      <c r="J379" s="1260">
        <f>Str!M403</f>
        <v>0</v>
      </c>
    </row>
    <row r="380" spans="1:10" hidden="1" outlineLevel="1">
      <c r="A380" t="s">
        <v>39</v>
      </c>
      <c r="B380" t="s">
        <v>58</v>
      </c>
      <c r="C380" t="s">
        <v>64</v>
      </c>
      <c r="D380" t="s">
        <v>60</v>
      </c>
      <c r="E380" t="str">
        <f>IF(LEN(Str!C404)&gt;0, Str!C404, Str!B404)</f>
        <v>ลวดผูกเหล็ก</v>
      </c>
      <c r="F380" s="1260" t="str">
        <f>Str!F404</f>
        <v>กก.</v>
      </c>
      <c r="G380" s="1260">
        <f>Str!E404</f>
        <v>2.9000000000000004</v>
      </c>
      <c r="H380" s="1260">
        <f>Str!I404</f>
        <v>73.474423413730008</v>
      </c>
      <c r="I380" s="1260">
        <f>Str!L404</f>
        <v>0</v>
      </c>
      <c r="J380" s="1260">
        <f>Str!M404</f>
        <v>73.474423413730008</v>
      </c>
    </row>
    <row r="381" spans="1:10" hidden="1" outlineLevel="1">
      <c r="A381" t="s">
        <v>39</v>
      </c>
      <c r="B381" t="s">
        <v>58</v>
      </c>
      <c r="C381" t="s">
        <v>64</v>
      </c>
      <c r="D381" t="s">
        <v>60</v>
      </c>
      <c r="E381" t="str">
        <f>IF(LEN(Str!C405)&gt;0, Str!C405, Str!B405)</f>
        <v xml:space="preserve">ไม้แบบ ค้ำยัน นั่งร้าน </v>
      </c>
      <c r="F381" s="1260">
        <f>Str!F405</f>
        <v>0</v>
      </c>
      <c r="G381" s="1260">
        <f>Str!E405</f>
        <v>0</v>
      </c>
      <c r="H381" s="1260">
        <f>Str!I405</f>
        <v>0</v>
      </c>
      <c r="I381" s="1260">
        <f>Str!L405</f>
        <v>0</v>
      </c>
      <c r="J381" s="1260">
        <f>Str!M405</f>
        <v>0</v>
      </c>
    </row>
    <row r="382" spans="1:10" hidden="1" outlineLevel="1">
      <c r="A382" t="s">
        <v>39</v>
      </c>
      <c r="B382" t="s">
        <v>58</v>
      </c>
      <c r="C382" t="s">
        <v>64</v>
      </c>
      <c r="D382" t="s">
        <v>60</v>
      </c>
      <c r="E382" t="str">
        <f>IF(LEN(Str!C406)&gt;0, Str!C406, Str!B406)</f>
        <v>ไม้แบบ ค้ำยัน นั่งร้าน (อาคาร 3 ชั้น ใช้ 60%)</v>
      </c>
      <c r="F382" s="1260" t="str">
        <f>Str!F406</f>
        <v>ตร.ม.</v>
      </c>
      <c r="G382" s="1260">
        <f>Str!E406</f>
        <v>1.2</v>
      </c>
      <c r="H382" s="1260">
        <f>Str!I406</f>
        <v>275.08734374927997</v>
      </c>
      <c r="I382" s="1260">
        <f>Str!L406</f>
        <v>0</v>
      </c>
      <c r="J382" s="1260">
        <f>Str!M406</f>
        <v>275.08734374927997</v>
      </c>
    </row>
    <row r="383" spans="1:10" hidden="1" outlineLevel="1">
      <c r="A383" t="s">
        <v>39</v>
      </c>
      <c r="B383" t="s">
        <v>58</v>
      </c>
      <c r="C383" t="s">
        <v>64</v>
      </c>
      <c r="D383" t="s">
        <v>60</v>
      </c>
      <c r="E383" t="str">
        <f>IF(LEN(Str!C407)&gt;0, Str!C407, Str!B407)</f>
        <v>ค่าแรงประกอบและติดตั้งไม้แบบหล่อคอนกรีต (ใช้ 100%)</v>
      </c>
      <c r="F383" s="1260" t="str">
        <f>Str!F407</f>
        <v>ตร.ม.</v>
      </c>
      <c r="G383" s="1260">
        <f>Str!E407</f>
        <v>2</v>
      </c>
      <c r="H383" s="1260">
        <f>Str!I407</f>
        <v>0</v>
      </c>
      <c r="I383" s="1260">
        <f>Str!L407</f>
        <v>226.247747374</v>
      </c>
      <c r="J383" s="1260">
        <f>Str!M407</f>
        <v>226.247747374</v>
      </c>
    </row>
    <row r="384" spans="1:10" hidden="1" outlineLevel="1">
      <c r="A384" t="s">
        <v>39</v>
      </c>
      <c r="B384" t="s">
        <v>58</v>
      </c>
      <c r="C384" t="s">
        <v>64</v>
      </c>
      <c r="D384" t="s">
        <v>60</v>
      </c>
      <c r="E384" t="str">
        <f>IF(LEN(Str!C408)&gt;0, Str!C408, Str!B408)</f>
        <v>ไม้เคร่า (ใช้ 30% ของไม้แบบ 1 ตร.ม.)</v>
      </c>
      <c r="F384" s="1260" t="str">
        <f>Str!F408</f>
        <v>ลบ.ฟ.</v>
      </c>
      <c r="G384" s="1260">
        <f>Str!E408</f>
        <v>0.36</v>
      </c>
      <c r="H384" s="1260">
        <f>Str!I408</f>
        <v>104.1405292449864</v>
      </c>
      <c r="I384" s="1260">
        <f>Str!L408</f>
        <v>0</v>
      </c>
      <c r="J384" s="1260">
        <f>Str!M408</f>
        <v>104.1405292449864</v>
      </c>
    </row>
    <row r="385" spans="1:10" hidden="1" outlineLevel="1">
      <c r="A385" t="s">
        <v>39</v>
      </c>
      <c r="B385" t="s">
        <v>58</v>
      </c>
      <c r="C385" t="s">
        <v>64</v>
      </c>
      <c r="D385" t="s">
        <v>60</v>
      </c>
      <c r="E385" t="str">
        <f>IF(LEN(Str!C409)&gt;0, Str!C409, Str!B409)</f>
        <v>ตะปู (ใช้ 25% ของไม้แบบ 1 ตร.ม.)</v>
      </c>
      <c r="F385" s="1260" t="str">
        <f>Str!F409</f>
        <v>กก.</v>
      </c>
      <c r="G385" s="1260">
        <f>Str!E409</f>
        <v>0.3</v>
      </c>
      <c r="H385" s="1260">
        <f>Str!I409</f>
        <v>6.5518355933759995</v>
      </c>
      <c r="I385" s="1260">
        <f>Str!L409</f>
        <v>0</v>
      </c>
      <c r="J385" s="1260">
        <f>Str!M409</f>
        <v>6.5518355933759995</v>
      </c>
    </row>
    <row r="386" spans="1:10" hidden="1" outlineLevel="1">
      <c r="F386" s="1260"/>
      <c r="G386" s="1260"/>
      <c r="H386" s="1260"/>
      <c r="I386" s="1260"/>
      <c r="J386" s="1260"/>
    </row>
    <row r="387" spans="1:10" hidden="1" outlineLevel="1">
      <c r="A387" t="s">
        <v>39</v>
      </c>
      <c r="F387" s="1260">
        <f>Str!F411</f>
        <v>0</v>
      </c>
      <c r="G387" s="1260">
        <f>Str!E411</f>
        <v>0</v>
      </c>
      <c r="H387" s="1260">
        <f>Str!I411</f>
        <v>0</v>
      </c>
      <c r="I387" s="1260">
        <f>Str!L411</f>
        <v>0</v>
      </c>
      <c r="J387" s="1260">
        <f>Str!M411</f>
        <v>0</v>
      </c>
    </row>
    <row r="388" spans="1:10" hidden="1" outlineLevel="1">
      <c r="A388" t="s">
        <v>39</v>
      </c>
      <c r="B388" t="s">
        <v>58</v>
      </c>
      <c r="C388" t="s">
        <v>65</v>
      </c>
      <c r="E388" t="str">
        <f>IF(LEN(Str!C412)&gt;0, Str!C412, Str!B412)</f>
        <v>ทางเข้าอาคาร 6</v>
      </c>
      <c r="F388" s="1260">
        <f>Str!F412</f>
        <v>0</v>
      </c>
      <c r="G388" s="1260">
        <f>Str!E412</f>
        <v>0</v>
      </c>
      <c r="H388" s="1260">
        <f>Str!I412</f>
        <v>0</v>
      </c>
      <c r="I388" s="1260">
        <f>Str!L412</f>
        <v>0</v>
      </c>
      <c r="J388" s="1260">
        <f>Str!M412</f>
        <v>0</v>
      </c>
    </row>
    <row r="389" spans="1:10" hidden="1" outlineLevel="1">
      <c r="A389" t="s">
        <v>39</v>
      </c>
      <c r="B389" t="s">
        <v>58</v>
      </c>
      <c r="C389" t="s">
        <v>65</v>
      </c>
      <c r="D389" t="s">
        <v>60</v>
      </c>
      <c r="E389" t="str">
        <f>IF(LEN(Str!C413)&gt;0, Str!C413, Str!B413)</f>
        <v>งานคอนกรีตโครงสร้าง (fc' 240 ksc, Cyl.)  ผสมน้ำยากันซึม</v>
      </c>
      <c r="F389" s="1260" t="str">
        <f>Str!F413</f>
        <v>ลบ.ม.</v>
      </c>
      <c r="G389" s="1260">
        <f>Str!E413</f>
        <v>0.4</v>
      </c>
      <c r="H389" s="1260">
        <f>Str!I413</f>
        <v>791.8671158090001</v>
      </c>
      <c r="I389" s="1260">
        <f>Str!L413</f>
        <v>194.08691055719999</v>
      </c>
      <c r="J389" s="1260">
        <f>Str!M413</f>
        <v>985.95402636620008</v>
      </c>
    </row>
    <row r="390" spans="1:10" hidden="1" outlineLevel="1">
      <c r="A390" t="s">
        <v>39</v>
      </c>
      <c r="B390" t="s">
        <v>58</v>
      </c>
      <c r="C390" t="s">
        <v>65</v>
      </c>
      <c r="D390" t="s">
        <v>60</v>
      </c>
      <c r="E390" t="str">
        <f>IF(LEN(Str!C414)&gt;0, Str!C414, Str!B414)</f>
        <v>งานคอนกรีตหยาบรองท้องคาน (fc' 150 ksc, Cyl.)</v>
      </c>
      <c r="F390" s="1260" t="str">
        <f>Str!F414</f>
        <v>ลบ.ม.</v>
      </c>
      <c r="G390" s="1260">
        <f>Str!E414</f>
        <v>0.2</v>
      </c>
      <c r="H390" s="1260">
        <f>Str!I414</f>
        <v>362.27686821250001</v>
      </c>
      <c r="I390" s="1260">
        <f>Str!L414</f>
        <v>97.043455278599993</v>
      </c>
      <c r="J390" s="1260">
        <f>Str!M414</f>
        <v>459.3203234911</v>
      </c>
    </row>
    <row r="391" spans="1:10" hidden="1" outlineLevel="1">
      <c r="A391" t="s">
        <v>39</v>
      </c>
      <c r="B391" t="s">
        <v>58</v>
      </c>
      <c r="C391" t="s">
        <v>65</v>
      </c>
      <c r="D391" t="s">
        <v>60</v>
      </c>
      <c r="E391" t="str">
        <f>IF(LEN(Str!C415)&gt;0, Str!C415, Str!B415)</f>
        <v>งานถมทรายบดอัดรองคาน/พื้น</v>
      </c>
      <c r="F391" s="1260" t="str">
        <f>Str!F415</f>
        <v>ลบ.ม.</v>
      </c>
      <c r="G391" s="1260">
        <f>Str!E415</f>
        <v>0.2</v>
      </c>
      <c r="H391" s="1260">
        <f>Str!I415</f>
        <v>95.048361506302001</v>
      </c>
      <c r="I391" s="1260">
        <f>Str!L415</f>
        <v>19.446087377600001</v>
      </c>
      <c r="J391" s="1260">
        <f>Str!M415</f>
        <v>114.49444888390201</v>
      </c>
    </row>
    <row r="392" spans="1:10" hidden="1" outlineLevel="1">
      <c r="A392" t="s">
        <v>39</v>
      </c>
      <c r="B392" t="s">
        <v>58</v>
      </c>
      <c r="C392" t="s">
        <v>65</v>
      </c>
      <c r="D392" t="s">
        <v>60</v>
      </c>
      <c r="E392" t="str">
        <f>IF(LEN(Str!C416)&gt;0, Str!C416, Str!B416)</f>
        <v>งานปรับระดับขุดดินทำฐานราก/ถมกลับ</v>
      </c>
      <c r="F392" s="1260" t="str">
        <f>Str!F416</f>
        <v>ลบ.ม.</v>
      </c>
      <c r="G392" s="1260">
        <f>Str!E416</f>
        <v>2.2999999999999998</v>
      </c>
      <c r="H392" s="1260">
        <f>Str!I416</f>
        <v>0</v>
      </c>
      <c r="I392" s="1260">
        <f>Str!L416</f>
        <v>240.83231290719996</v>
      </c>
      <c r="J392" s="1260">
        <f>Str!M416</f>
        <v>240.83231290719996</v>
      </c>
    </row>
    <row r="393" spans="1:10" hidden="1" outlineLevel="1">
      <c r="A393" t="s">
        <v>39</v>
      </c>
      <c r="B393" t="s">
        <v>58</v>
      </c>
      <c r="C393" t="s">
        <v>65</v>
      </c>
      <c r="D393" t="s">
        <v>60</v>
      </c>
      <c r="E393" t="str">
        <f>IF(LEN(Str!C417)&gt;0, Str!C417, Str!B417)</f>
        <v>เหล็กเสริม</v>
      </c>
      <c r="F393" s="1260">
        <f>Str!F417</f>
        <v>0</v>
      </c>
      <c r="G393" s="1260">
        <f>Str!E417</f>
        <v>0</v>
      </c>
      <c r="H393" s="1260">
        <f>Str!I417</f>
        <v>0</v>
      </c>
      <c r="I393" s="1260">
        <f>Str!L417</f>
        <v>0</v>
      </c>
      <c r="J393" s="1260">
        <f>Str!M417</f>
        <v>0</v>
      </c>
    </row>
    <row r="394" spans="1:10" hidden="1" outlineLevel="1">
      <c r="A394" t="s">
        <v>39</v>
      </c>
      <c r="B394" t="s">
        <v>58</v>
      </c>
      <c r="C394" t="s">
        <v>65</v>
      </c>
      <c r="D394" t="s">
        <v>60</v>
      </c>
      <c r="E394" t="str">
        <f>IF(LEN(Str!C418)&gt;0, Str!C418, Str!B418)</f>
        <v>งานเหล็กเสริมคอนกรีต RB 9  (SR-24)</v>
      </c>
      <c r="F394" s="1260" t="str">
        <f>Str!F418</f>
        <v>กก.</v>
      </c>
      <c r="G394" s="1260">
        <f>Str!E418</f>
        <v>21</v>
      </c>
      <c r="H394" s="1260">
        <f>Str!I418</f>
        <v>384.80815214520004</v>
      </c>
      <c r="I394" s="1260">
        <f>Str!L418</f>
        <v>86.385503542799995</v>
      </c>
      <c r="J394" s="1260">
        <f>Str!M418</f>
        <v>471.19365568800004</v>
      </c>
    </row>
    <row r="395" spans="1:10" hidden="1" outlineLevel="1">
      <c r="A395" t="s">
        <v>39</v>
      </c>
      <c r="B395" t="s">
        <v>58</v>
      </c>
      <c r="C395" t="s">
        <v>65</v>
      </c>
      <c r="D395" t="s">
        <v>60</v>
      </c>
      <c r="E395" t="str">
        <f>IF(LEN(Str!C419)&gt;0, Str!C419, Str!B419)</f>
        <v>งานเหล็กเสริมคอนกรีต DB 12  (SD-40)</v>
      </c>
      <c r="F395" s="1260" t="str">
        <f>Str!F419</f>
        <v>กก.</v>
      </c>
      <c r="G395" s="1260">
        <f>Str!E419</f>
        <v>14</v>
      </c>
      <c r="H395" s="1260">
        <f>Str!I419</f>
        <v>257.84763936259998</v>
      </c>
      <c r="I395" s="1260">
        <f>Str!L419</f>
        <v>47.119365568799999</v>
      </c>
      <c r="J395" s="1260">
        <f>Str!M419</f>
        <v>304.96700493139997</v>
      </c>
    </row>
    <row r="396" spans="1:10" hidden="1" outlineLevel="1">
      <c r="A396" t="s">
        <v>39</v>
      </c>
      <c r="B396" t="s">
        <v>58</v>
      </c>
      <c r="C396" t="s">
        <v>65</v>
      </c>
      <c r="D396" t="s">
        <v>60</v>
      </c>
      <c r="E396" t="str">
        <f>IF(LEN(Str!C420)&gt;0, Str!C420, Str!B420)</f>
        <v>งานเหล็กเสริมคอนกรีต DB 16  (SD-40)</v>
      </c>
      <c r="F396" s="1260" t="str">
        <f>Str!F420</f>
        <v>กก.</v>
      </c>
      <c r="G396" s="1260">
        <f>Str!E420</f>
        <v>0</v>
      </c>
      <c r="H396" s="1260">
        <f>Str!I420</f>
        <v>0</v>
      </c>
      <c r="I396" s="1260">
        <f>Str!L420</f>
        <v>0</v>
      </c>
      <c r="J396" s="1260">
        <f>Str!M420</f>
        <v>0</v>
      </c>
    </row>
    <row r="397" spans="1:10" hidden="1" outlineLevel="1">
      <c r="A397" t="s">
        <v>39</v>
      </c>
      <c r="B397" t="s">
        <v>58</v>
      </c>
      <c r="C397" t="s">
        <v>65</v>
      </c>
      <c r="D397" t="s">
        <v>60</v>
      </c>
      <c r="E397" t="str">
        <f>IF(LEN(Str!C421)&gt;0, Str!C421, Str!B421)</f>
        <v>ลวดผูกเหล็ก</v>
      </c>
      <c r="F397" s="1260" t="str">
        <f>Str!F421</f>
        <v>กก.</v>
      </c>
      <c r="G397" s="1260">
        <f>Str!E421</f>
        <v>0.875</v>
      </c>
      <c r="H397" s="1260">
        <f>Str!I421</f>
        <v>22.169007064487502</v>
      </c>
      <c r="I397" s="1260">
        <f>Str!L421</f>
        <v>0</v>
      </c>
      <c r="J397" s="1260">
        <f>Str!M421</f>
        <v>22.169007064487502</v>
      </c>
    </row>
    <row r="398" spans="1:10" hidden="1" outlineLevel="1">
      <c r="A398" t="s">
        <v>39</v>
      </c>
      <c r="B398" t="s">
        <v>58</v>
      </c>
      <c r="C398" t="s">
        <v>65</v>
      </c>
      <c r="D398" t="s">
        <v>60</v>
      </c>
      <c r="E398" t="str">
        <f>IF(LEN(Str!C422)&gt;0, Str!C422, Str!B422)</f>
        <v xml:space="preserve">ไม้แบบ ค้ำยัน นั่งร้าน </v>
      </c>
      <c r="F398" s="1260">
        <f>Str!F422</f>
        <v>0</v>
      </c>
      <c r="G398" s="1260">
        <f>Str!E422</f>
        <v>0</v>
      </c>
      <c r="H398" s="1260">
        <f>Str!I422</f>
        <v>0</v>
      </c>
      <c r="I398" s="1260">
        <f>Str!L422</f>
        <v>0</v>
      </c>
      <c r="J398" s="1260">
        <f>Str!M422</f>
        <v>0</v>
      </c>
    </row>
    <row r="399" spans="1:10" hidden="1" outlineLevel="1">
      <c r="A399" t="s">
        <v>39</v>
      </c>
      <c r="B399" t="s">
        <v>58</v>
      </c>
      <c r="C399" t="s">
        <v>65</v>
      </c>
      <c r="D399" t="s">
        <v>60</v>
      </c>
      <c r="E399" t="str">
        <f>IF(LEN(Str!C423)&gt;0, Str!C423, Str!B423)</f>
        <v>ไม้แบบ ค้ำยัน นั่งร้าน (อาคาร 3 ชั้น ใช้ 60%)</v>
      </c>
      <c r="F399" s="1260" t="str">
        <f>Str!F423</f>
        <v>ตร.ม.</v>
      </c>
      <c r="G399" s="1260">
        <f>Str!E423</f>
        <v>0.9</v>
      </c>
      <c r="H399" s="1260">
        <f>Str!I423</f>
        <v>206.31550781195998</v>
      </c>
      <c r="I399" s="1260">
        <f>Str!L423</f>
        <v>0</v>
      </c>
      <c r="J399" s="1260">
        <f>Str!M423</f>
        <v>206.31550781195998</v>
      </c>
    </row>
    <row r="400" spans="1:10" hidden="1" outlineLevel="1">
      <c r="A400" t="s">
        <v>39</v>
      </c>
      <c r="B400" t="s">
        <v>58</v>
      </c>
      <c r="C400" t="s">
        <v>65</v>
      </c>
      <c r="D400" t="s">
        <v>60</v>
      </c>
      <c r="E400" t="str">
        <f>IF(LEN(Str!C424)&gt;0, Str!C424, Str!B424)</f>
        <v>ค่าแรงประกอบและติดตั้งไม้แบบหล่อคอนกรีต (ใช้ 100%)</v>
      </c>
      <c r="F400" s="1260" t="str">
        <f>Str!F424</f>
        <v>ตร.ม.</v>
      </c>
      <c r="G400" s="1260">
        <f>Str!E424</f>
        <v>1.5</v>
      </c>
      <c r="H400" s="1260">
        <f>Str!I424</f>
        <v>0</v>
      </c>
      <c r="I400" s="1260">
        <f>Str!L424</f>
        <v>169.68581053049999</v>
      </c>
      <c r="J400" s="1260">
        <f>Str!M424</f>
        <v>169.68581053049999</v>
      </c>
    </row>
    <row r="401" spans="1:10" hidden="1" outlineLevel="1">
      <c r="A401" t="s">
        <v>39</v>
      </c>
      <c r="B401" t="s">
        <v>58</v>
      </c>
      <c r="C401" t="s">
        <v>65</v>
      </c>
      <c r="D401" t="s">
        <v>60</v>
      </c>
      <c r="E401" t="str">
        <f>IF(LEN(Str!C425)&gt;0, Str!C425, Str!B425)</f>
        <v>ไม้เคร่า (ใช้ 30% ของไม้แบบ 1 ตร.ม.)</v>
      </c>
      <c r="F401" s="1260" t="str">
        <f>Str!F425</f>
        <v>ลบ.ฟ.</v>
      </c>
      <c r="G401" s="1260">
        <f>Str!E425</f>
        <v>0.27</v>
      </c>
      <c r="H401" s="1260">
        <f>Str!I425</f>
        <v>78.105396933739797</v>
      </c>
      <c r="I401" s="1260">
        <f>Str!L425</f>
        <v>0</v>
      </c>
      <c r="J401" s="1260">
        <f>Str!M425</f>
        <v>78.105396933739797</v>
      </c>
    </row>
    <row r="402" spans="1:10" hidden="1" outlineLevel="1">
      <c r="A402" t="s">
        <v>39</v>
      </c>
      <c r="B402" t="s">
        <v>58</v>
      </c>
      <c r="C402" t="s">
        <v>65</v>
      </c>
      <c r="D402" t="s">
        <v>60</v>
      </c>
      <c r="E402" t="str">
        <f>IF(LEN(Str!C426)&gt;0, Str!C426, Str!B426)</f>
        <v>ตะปู (ใช้ 25% ของไม้แบบ 1 ตร.ม.)</v>
      </c>
      <c r="F402" s="1260" t="str">
        <f>Str!F426</f>
        <v>กก.</v>
      </c>
      <c r="G402" s="1260">
        <f>Str!E426</f>
        <v>0.23</v>
      </c>
      <c r="H402" s="1260">
        <f>Str!I426</f>
        <v>5.0230739549215997</v>
      </c>
      <c r="I402" s="1260">
        <f>Str!L426</f>
        <v>0</v>
      </c>
      <c r="J402" s="1260">
        <f>Str!M426</f>
        <v>5.0230739549215997</v>
      </c>
    </row>
    <row r="403" spans="1:10" hidden="1" outlineLevel="1">
      <c r="F403" s="1260"/>
      <c r="G403" s="1260"/>
      <c r="H403" s="1260"/>
      <c r="I403" s="1260"/>
      <c r="J403" s="1260"/>
    </row>
    <row r="404" spans="1:10" hidden="1" outlineLevel="1">
      <c r="A404" t="s">
        <v>39</v>
      </c>
      <c r="F404" s="1260">
        <f>Str!F428</f>
        <v>0</v>
      </c>
      <c r="G404" s="1260">
        <f>Str!E428</f>
        <v>0</v>
      </c>
      <c r="H404" s="1260">
        <f>Str!I428</f>
        <v>0</v>
      </c>
      <c r="I404" s="1260">
        <f>Str!L428</f>
        <v>0</v>
      </c>
      <c r="J404" s="1260">
        <f>Str!M428</f>
        <v>0</v>
      </c>
    </row>
    <row r="405" spans="1:10" hidden="1" outlineLevel="1">
      <c r="A405" t="s">
        <v>39</v>
      </c>
      <c r="B405" t="s">
        <v>58</v>
      </c>
      <c r="C405" t="s">
        <v>66</v>
      </c>
      <c r="E405" t="str">
        <f>IF(LEN(Str!C429)&gt;0, Str!C429, Str!B429)</f>
        <v>ทางเข้าอาคาร 7</v>
      </c>
      <c r="F405" s="1260">
        <f>Str!F429</f>
        <v>0</v>
      </c>
      <c r="G405" s="1260">
        <f>Str!E429</f>
        <v>0</v>
      </c>
      <c r="H405" s="1260">
        <f>Str!I429</f>
        <v>0</v>
      </c>
      <c r="I405" s="1260">
        <f>Str!L429</f>
        <v>0</v>
      </c>
      <c r="J405" s="1260">
        <f>Str!M429</f>
        <v>0</v>
      </c>
    </row>
    <row r="406" spans="1:10" hidden="1" outlineLevel="1">
      <c r="A406" t="s">
        <v>39</v>
      </c>
      <c r="B406" t="s">
        <v>58</v>
      </c>
      <c r="C406" t="s">
        <v>66</v>
      </c>
      <c r="D406" t="s">
        <v>60</v>
      </c>
      <c r="E406" t="str">
        <f>IF(LEN(Str!C430)&gt;0, Str!C430, Str!B430)</f>
        <v>งานคอนกรีตโครงสร้าง (fc' 240 ksc, Cyl.)  ผสมน้ำยากันซึม</v>
      </c>
      <c r="F406" s="1260" t="str">
        <f>Str!F430</f>
        <v>ลบ.ม.</v>
      </c>
      <c r="G406" s="1260">
        <f>Str!E430</f>
        <v>0.4</v>
      </c>
      <c r="H406" s="1260">
        <f>Str!I430</f>
        <v>791.8671158090001</v>
      </c>
      <c r="I406" s="1260">
        <f>Str!L430</f>
        <v>194.08691055719999</v>
      </c>
      <c r="J406" s="1260">
        <f>Str!M430</f>
        <v>985.95402636620008</v>
      </c>
    </row>
    <row r="407" spans="1:10" hidden="1" outlineLevel="1">
      <c r="A407" t="s">
        <v>39</v>
      </c>
      <c r="B407" t="s">
        <v>58</v>
      </c>
      <c r="C407" t="s">
        <v>66</v>
      </c>
      <c r="D407" t="s">
        <v>60</v>
      </c>
      <c r="E407" t="str">
        <f>IF(LEN(Str!C431)&gt;0, Str!C431, Str!B431)</f>
        <v>งานคอนกรีตหยาบรองท้องคาน (fc' 150 ksc, Cyl.)</v>
      </c>
      <c r="F407" s="1260" t="str">
        <f>Str!F431</f>
        <v>ลบ.ม.</v>
      </c>
      <c r="G407" s="1260">
        <f>Str!E431</f>
        <v>0.2</v>
      </c>
      <c r="H407" s="1260">
        <f>Str!I431</f>
        <v>362.27686821250001</v>
      </c>
      <c r="I407" s="1260">
        <f>Str!L431</f>
        <v>97.043455278599993</v>
      </c>
      <c r="J407" s="1260">
        <f>Str!M431</f>
        <v>459.3203234911</v>
      </c>
    </row>
    <row r="408" spans="1:10" hidden="1" outlineLevel="1">
      <c r="A408" t="s">
        <v>39</v>
      </c>
      <c r="B408" t="s">
        <v>58</v>
      </c>
      <c r="C408" t="s">
        <v>66</v>
      </c>
      <c r="D408" t="s">
        <v>60</v>
      </c>
      <c r="E408" t="str">
        <f>IF(LEN(Str!C432)&gt;0, Str!C432, Str!B432)</f>
        <v>งานถมทรายบดอัดรองคาน/พื้น</v>
      </c>
      <c r="F408" s="1260" t="str">
        <f>Str!F432</f>
        <v>ลบ.ม.</v>
      </c>
      <c r="G408" s="1260">
        <f>Str!E432</f>
        <v>0.2</v>
      </c>
      <c r="H408" s="1260">
        <f>Str!I432</f>
        <v>95.048361506302001</v>
      </c>
      <c r="I408" s="1260">
        <f>Str!L432</f>
        <v>19.446087377600001</v>
      </c>
      <c r="J408" s="1260">
        <f>Str!M432</f>
        <v>114.49444888390201</v>
      </c>
    </row>
    <row r="409" spans="1:10" hidden="1" outlineLevel="1">
      <c r="A409" t="s">
        <v>39</v>
      </c>
      <c r="B409" t="s">
        <v>58</v>
      </c>
      <c r="C409" t="s">
        <v>66</v>
      </c>
      <c r="D409" t="s">
        <v>60</v>
      </c>
      <c r="E409" t="str">
        <f>IF(LEN(Str!C433)&gt;0, Str!C433, Str!B433)</f>
        <v>งานปรับระดับขุดดินทำฐานราก/ถมกลับ</v>
      </c>
      <c r="F409" s="1260" t="str">
        <f>Str!F433</f>
        <v>ลบ.ม.</v>
      </c>
      <c r="G409" s="1260">
        <f>Str!E433</f>
        <v>2.2999999999999998</v>
      </c>
      <c r="H409" s="1260">
        <f>Str!I433</f>
        <v>0</v>
      </c>
      <c r="I409" s="1260">
        <f>Str!L433</f>
        <v>240.83231290719996</v>
      </c>
      <c r="J409" s="1260">
        <f>Str!M433</f>
        <v>240.83231290719996</v>
      </c>
    </row>
    <row r="410" spans="1:10" hidden="1" outlineLevel="1">
      <c r="A410" t="s">
        <v>39</v>
      </c>
      <c r="B410" t="s">
        <v>58</v>
      </c>
      <c r="C410" t="s">
        <v>66</v>
      </c>
      <c r="D410" t="s">
        <v>60</v>
      </c>
      <c r="E410" t="str">
        <f>IF(LEN(Str!C434)&gt;0, Str!C434, Str!B434)</f>
        <v>เหล็กเสริม</v>
      </c>
      <c r="F410" s="1260">
        <f>Str!F434</f>
        <v>0</v>
      </c>
      <c r="G410" s="1260">
        <f>Str!E434</f>
        <v>0</v>
      </c>
      <c r="H410" s="1260">
        <f>Str!I434</f>
        <v>0</v>
      </c>
      <c r="I410" s="1260">
        <f>Str!L434</f>
        <v>0</v>
      </c>
      <c r="J410" s="1260">
        <f>Str!M434</f>
        <v>0</v>
      </c>
    </row>
    <row r="411" spans="1:10" hidden="1" outlineLevel="1">
      <c r="A411" t="s">
        <v>39</v>
      </c>
      <c r="B411" t="s">
        <v>58</v>
      </c>
      <c r="C411" t="s">
        <v>66</v>
      </c>
      <c r="D411" t="s">
        <v>60</v>
      </c>
      <c r="E411" t="str">
        <f>IF(LEN(Str!C435)&gt;0, Str!C435, Str!B435)</f>
        <v>งานเหล็กเสริมคอนกรีต RB 9  (SR-24)</v>
      </c>
      <c r="F411" s="1260" t="str">
        <f>Str!F435</f>
        <v>กก.</v>
      </c>
      <c r="G411" s="1260">
        <f>Str!E435</f>
        <v>21</v>
      </c>
      <c r="H411" s="1260">
        <f>Str!I435</f>
        <v>384.80815214520004</v>
      </c>
      <c r="I411" s="1260">
        <f>Str!L435</f>
        <v>86.385503542799995</v>
      </c>
      <c r="J411" s="1260">
        <f>Str!M435</f>
        <v>471.19365568800004</v>
      </c>
    </row>
    <row r="412" spans="1:10" hidden="1" outlineLevel="1">
      <c r="A412" t="s">
        <v>39</v>
      </c>
      <c r="B412" t="s">
        <v>58</v>
      </c>
      <c r="C412" t="s">
        <v>66</v>
      </c>
      <c r="D412" t="s">
        <v>60</v>
      </c>
      <c r="E412" t="str">
        <f>IF(LEN(Str!C436)&gt;0, Str!C436, Str!B436)</f>
        <v>งานเหล็กเสริมคอนกรีต DB 12  (SD-40)</v>
      </c>
      <c r="F412" s="1260" t="str">
        <f>Str!F436</f>
        <v>กก.</v>
      </c>
      <c r="G412" s="1260">
        <f>Str!E436</f>
        <v>14</v>
      </c>
      <c r="H412" s="1260">
        <f>Str!I436</f>
        <v>257.84763936259998</v>
      </c>
      <c r="I412" s="1260">
        <f>Str!L436</f>
        <v>47.119365568799999</v>
      </c>
      <c r="J412" s="1260">
        <f>Str!M436</f>
        <v>304.96700493139997</v>
      </c>
    </row>
    <row r="413" spans="1:10" hidden="1" outlineLevel="1">
      <c r="A413" t="s">
        <v>39</v>
      </c>
      <c r="B413" t="s">
        <v>58</v>
      </c>
      <c r="C413" t="s">
        <v>66</v>
      </c>
      <c r="D413" t="s">
        <v>60</v>
      </c>
      <c r="E413" t="str">
        <f>IF(LEN(Str!C437)&gt;0, Str!C437, Str!B437)</f>
        <v>งานเหล็กเสริมคอนกรีต DB 16  (SD-40)</v>
      </c>
      <c r="F413" s="1260" t="str">
        <f>Str!F437</f>
        <v>กก.</v>
      </c>
      <c r="G413" s="1260">
        <f>Str!E437</f>
        <v>0</v>
      </c>
      <c r="H413" s="1260">
        <f>Str!I437</f>
        <v>0</v>
      </c>
      <c r="I413" s="1260">
        <f>Str!L437</f>
        <v>0</v>
      </c>
      <c r="J413" s="1260">
        <f>Str!M437</f>
        <v>0</v>
      </c>
    </row>
    <row r="414" spans="1:10" hidden="1" outlineLevel="1">
      <c r="A414" t="s">
        <v>39</v>
      </c>
      <c r="B414" t="s">
        <v>58</v>
      </c>
      <c r="C414" t="s">
        <v>66</v>
      </c>
      <c r="D414" t="s">
        <v>60</v>
      </c>
      <c r="E414" t="str">
        <f>IF(LEN(Str!C438)&gt;0, Str!C438, Str!B438)</f>
        <v>ลวดผูกเหล็ก</v>
      </c>
      <c r="F414" s="1260" t="str">
        <f>Str!F438</f>
        <v>กก.</v>
      </c>
      <c r="G414" s="1260">
        <f>Str!E438</f>
        <v>0.875</v>
      </c>
      <c r="H414" s="1260">
        <f>Str!I438</f>
        <v>22.169007064487502</v>
      </c>
      <c r="I414" s="1260">
        <f>Str!L438</f>
        <v>0</v>
      </c>
      <c r="J414" s="1260">
        <f>Str!M438</f>
        <v>22.169007064487502</v>
      </c>
    </row>
    <row r="415" spans="1:10" hidden="1" outlineLevel="1">
      <c r="A415" t="s">
        <v>39</v>
      </c>
      <c r="B415" t="s">
        <v>58</v>
      </c>
      <c r="C415" t="s">
        <v>66</v>
      </c>
      <c r="D415" t="s">
        <v>60</v>
      </c>
      <c r="E415" t="str">
        <f>IF(LEN(Str!C439)&gt;0, Str!C439, Str!B439)</f>
        <v xml:space="preserve">ไม้แบบ ค้ำยัน นั่งร้าน </v>
      </c>
      <c r="F415" s="1260">
        <f>Str!F439</f>
        <v>0</v>
      </c>
      <c r="G415" s="1260">
        <f>Str!E439</f>
        <v>0</v>
      </c>
      <c r="H415" s="1260">
        <f>Str!I439</f>
        <v>0</v>
      </c>
      <c r="I415" s="1260">
        <f>Str!L439</f>
        <v>0</v>
      </c>
      <c r="J415" s="1260">
        <f>Str!M439</f>
        <v>0</v>
      </c>
    </row>
    <row r="416" spans="1:10" hidden="1" outlineLevel="1">
      <c r="A416" t="s">
        <v>39</v>
      </c>
      <c r="B416" t="s">
        <v>58</v>
      </c>
      <c r="C416" t="s">
        <v>66</v>
      </c>
      <c r="D416" t="s">
        <v>60</v>
      </c>
      <c r="E416" t="str">
        <f>IF(LEN(Str!C440)&gt;0, Str!C440, Str!B440)</f>
        <v>ไม้แบบ ค้ำยัน นั่งร้าน (อาคาร 3 ชั้น ใช้ 60%)</v>
      </c>
      <c r="F416" s="1260" t="str">
        <f>Str!F440</f>
        <v>ตร.ม.</v>
      </c>
      <c r="G416" s="1260">
        <f>Str!E440</f>
        <v>0.9</v>
      </c>
      <c r="H416" s="1260">
        <f>Str!I440</f>
        <v>206.31550781195998</v>
      </c>
      <c r="I416" s="1260">
        <f>Str!L440</f>
        <v>0</v>
      </c>
      <c r="J416" s="1260">
        <f>Str!M440</f>
        <v>206.31550781195998</v>
      </c>
    </row>
    <row r="417" spans="1:10" hidden="1" outlineLevel="1">
      <c r="A417" t="s">
        <v>39</v>
      </c>
      <c r="B417" t="s">
        <v>58</v>
      </c>
      <c r="C417" t="s">
        <v>66</v>
      </c>
      <c r="D417" t="s">
        <v>60</v>
      </c>
      <c r="E417" t="str">
        <f>IF(LEN(Str!C441)&gt;0, Str!C441, Str!B441)</f>
        <v>ค่าแรงประกอบและติดตั้งไม้แบบหล่อคอนกรีต (ใช้ 100%)</v>
      </c>
      <c r="F417" s="1260" t="str">
        <f>Str!F441</f>
        <v>ตร.ม.</v>
      </c>
      <c r="G417" s="1260">
        <f>Str!E441</f>
        <v>1.5</v>
      </c>
      <c r="H417" s="1260">
        <f>Str!I441</f>
        <v>0</v>
      </c>
      <c r="I417" s="1260">
        <f>Str!L441</f>
        <v>169.68581053049999</v>
      </c>
      <c r="J417" s="1260">
        <f>Str!M441</f>
        <v>169.68581053049999</v>
      </c>
    </row>
    <row r="418" spans="1:10" hidden="1" outlineLevel="1">
      <c r="A418" t="s">
        <v>39</v>
      </c>
      <c r="B418" t="s">
        <v>58</v>
      </c>
      <c r="C418" t="s">
        <v>66</v>
      </c>
      <c r="D418" t="s">
        <v>60</v>
      </c>
      <c r="E418" t="str">
        <f>IF(LEN(Str!C442)&gt;0, Str!C442, Str!B442)</f>
        <v>ไม้เคร่า (ใช้ 30% ของไม้แบบ 1 ตร.ม.)</v>
      </c>
      <c r="F418" s="1260" t="str">
        <f>Str!F442</f>
        <v>ลบ.ฟ.</v>
      </c>
      <c r="G418" s="1260">
        <f>Str!E442</f>
        <v>0.27</v>
      </c>
      <c r="H418" s="1260">
        <f>Str!I442</f>
        <v>78.105396933739797</v>
      </c>
      <c r="I418" s="1260">
        <f>Str!L442</f>
        <v>0</v>
      </c>
      <c r="J418" s="1260">
        <f>Str!M442</f>
        <v>78.105396933739797</v>
      </c>
    </row>
    <row r="419" spans="1:10" hidden="1" outlineLevel="1">
      <c r="A419" t="s">
        <v>39</v>
      </c>
      <c r="B419" t="s">
        <v>58</v>
      </c>
      <c r="C419" t="s">
        <v>66</v>
      </c>
      <c r="D419" t="s">
        <v>60</v>
      </c>
      <c r="E419" t="str">
        <f>IF(LEN(Str!C443)&gt;0, Str!C443, Str!B443)</f>
        <v>ตะปู (ใช้ 25% ของไม้แบบ 1 ตร.ม.)</v>
      </c>
      <c r="F419" s="1260" t="str">
        <f>Str!F443</f>
        <v>กก.</v>
      </c>
      <c r="G419" s="1260">
        <f>Str!E443</f>
        <v>0.23</v>
      </c>
      <c r="H419" s="1260">
        <f>Str!I443</f>
        <v>5.0230739549215997</v>
      </c>
      <c r="I419" s="1260">
        <f>Str!L443</f>
        <v>0</v>
      </c>
      <c r="J419" s="1260">
        <f>Str!M443</f>
        <v>5.0230739549215997</v>
      </c>
    </row>
    <row r="420" spans="1:10" hidden="1" outlineLevel="1">
      <c r="F420" s="1260"/>
      <c r="G420" s="1260"/>
      <c r="H420" s="1260"/>
      <c r="I420" s="1260"/>
      <c r="J420" s="1260"/>
    </row>
    <row r="421" spans="1:10" hidden="1" outlineLevel="1">
      <c r="F421" s="1260"/>
      <c r="G421" s="1260"/>
      <c r="H421" s="1260"/>
      <c r="I421" s="1260"/>
      <c r="J421" s="1260"/>
    </row>
    <row r="422" spans="1:10" hidden="1" outlineLevel="1">
      <c r="F422" s="1260"/>
      <c r="G422" s="1260"/>
      <c r="H422" s="1260"/>
      <c r="I422" s="1260"/>
      <c r="J422" s="1260"/>
    </row>
    <row r="423" spans="1:10" hidden="1" outlineLevel="1">
      <c r="F423" s="1260"/>
      <c r="G423" s="1260"/>
      <c r="H423" s="1260"/>
      <c r="I423" s="1260"/>
      <c r="J423" s="1260"/>
    </row>
    <row r="424" spans="1:10" hidden="1" outlineLevel="1">
      <c r="A424" t="s">
        <v>39</v>
      </c>
      <c r="B424" t="s">
        <v>49</v>
      </c>
      <c r="E424" t="str">
        <f>IF(LEN(Str!C448)&gt;0, Str!C448, Str!B448)</f>
        <v>โครงสร้างชั้นลอย</v>
      </c>
      <c r="F424" s="1260">
        <f>Str!F448</f>
        <v>0</v>
      </c>
      <c r="G424" s="1260">
        <f>Str!E448</f>
        <v>0</v>
      </c>
      <c r="H424" s="1260">
        <f>Str!I448</f>
        <v>0</v>
      </c>
      <c r="I424" s="1260">
        <f>Str!L448</f>
        <v>0</v>
      </c>
      <c r="J424" s="1260">
        <f>Str!M448</f>
        <v>0</v>
      </c>
    </row>
    <row r="425" spans="1:10" hidden="1" outlineLevel="1">
      <c r="A425" t="s">
        <v>39</v>
      </c>
      <c r="B425" t="s">
        <v>49</v>
      </c>
      <c r="C425" t="s">
        <v>48</v>
      </c>
      <c r="E425" t="str">
        <f>IF(LEN(Str!C449)&gt;0, Str!C449, Str!B449)</f>
        <v>เสา</v>
      </c>
      <c r="F425" s="1260">
        <f>Str!F449</f>
        <v>0</v>
      </c>
      <c r="G425" s="1260">
        <f>Str!E449</f>
        <v>0</v>
      </c>
      <c r="H425" s="1260">
        <f>Str!I449</f>
        <v>0</v>
      </c>
      <c r="I425" s="1260">
        <f>Str!L449</f>
        <v>0</v>
      </c>
      <c r="J425" s="1260">
        <f>Str!M449</f>
        <v>0</v>
      </c>
    </row>
    <row r="426" spans="1:10" hidden="1" outlineLevel="1">
      <c r="A426" t="s">
        <v>39</v>
      </c>
      <c r="B426" t="s">
        <v>49</v>
      </c>
      <c r="C426" t="s">
        <v>48</v>
      </c>
      <c r="D426" t="s">
        <v>48</v>
      </c>
      <c r="E426" t="str">
        <f>IF(LEN(Str!C450)&gt;0, Str!C450, Str!B450)</f>
        <v>CS1 : WF125x125x6.5x9 mm.-23.8 kg/m.</v>
      </c>
      <c r="F426" s="1260" t="str">
        <f>Str!F450</f>
        <v>กก.</v>
      </c>
      <c r="G426" s="1260">
        <f>Str!E450</f>
        <v>320.7</v>
      </c>
      <c r="H426" s="1260">
        <f>Str!I450</f>
        <v>9492.4598379040126</v>
      </c>
      <c r="I426" s="1260">
        <f>Str!L450</f>
        <v>4197.5501494205992</v>
      </c>
      <c r="J426" s="1260">
        <f>Str!M450</f>
        <v>13690.009987324611</v>
      </c>
    </row>
    <row r="427" spans="1:10" hidden="1" outlineLevel="1">
      <c r="A427" t="s">
        <v>39</v>
      </c>
      <c r="B427" t="s">
        <v>49</v>
      </c>
      <c r="C427" t="s">
        <v>48</v>
      </c>
      <c r="D427" t="s">
        <v>48</v>
      </c>
      <c r="E427" t="str">
        <f>IF(LEN(Str!C451)&gt;0, Str!C451, Str!B451)</f>
        <v>CS2 : T-SECTION</v>
      </c>
      <c r="F427" s="1260" t="str">
        <f>Str!F451</f>
        <v>กก.</v>
      </c>
      <c r="G427" s="1260">
        <f>Str!E451</f>
        <v>186.6</v>
      </c>
      <c r="H427" s="1260">
        <f>Str!I451</f>
        <v>5718.5969266711563</v>
      </c>
      <c r="I427" s="1260">
        <f>Str!L451</f>
        <v>2442.3537819827998</v>
      </c>
      <c r="J427" s="1260">
        <f>Str!M451</f>
        <v>8160.9507086539561</v>
      </c>
    </row>
    <row r="428" spans="1:10" hidden="1" outlineLevel="1">
      <c r="A428" t="s">
        <v>39</v>
      </c>
      <c r="B428" t="s">
        <v>49</v>
      </c>
      <c r="C428" t="s">
        <v>48</v>
      </c>
      <c r="D428" t="s">
        <v>48</v>
      </c>
      <c r="E428" t="str">
        <f>IF(LEN(Str!C452)&gt;0, Str!C452, Str!B452)</f>
        <v>CS3 : WF250x250x9x14mm.-72.4 kg./m.</v>
      </c>
      <c r="F428" s="1260" t="str">
        <f>Str!F452</f>
        <v>กก.</v>
      </c>
      <c r="G428" s="1260">
        <f>Str!E452</f>
        <v>215</v>
      </c>
      <c r="H428" s="1260">
        <f>Str!I452</f>
        <v>6363.8255851243002</v>
      </c>
      <c r="I428" s="1260">
        <f>Str!L452</f>
        <v>2814.0732214699997</v>
      </c>
      <c r="J428" s="1260">
        <f>Str!M452</f>
        <v>9177.8988065942995</v>
      </c>
    </row>
    <row r="429" spans="1:10" hidden="1" outlineLevel="1">
      <c r="A429" t="s">
        <v>39</v>
      </c>
      <c r="B429" t="s">
        <v>49</v>
      </c>
      <c r="C429" t="s">
        <v>48</v>
      </c>
      <c r="D429" t="s">
        <v>48</v>
      </c>
      <c r="E429" t="str">
        <f>IF(LEN(Str!C453)&gt;0, Str!C453, Str!B453)</f>
        <v>Steel Plate 10 mm.</v>
      </c>
      <c r="F429" s="1260" t="str">
        <f>Str!F453</f>
        <v>กก.</v>
      </c>
      <c r="G429" s="1260">
        <f>Str!E453</f>
        <v>17.3</v>
      </c>
      <c r="H429" s="1260">
        <f>Str!I453</f>
        <v>403.86251305110699</v>
      </c>
      <c r="I429" s="1260">
        <f>Str!L453</f>
        <v>226.43472898339999</v>
      </c>
      <c r="J429" s="1260">
        <f>Str!M453</f>
        <v>630.29724203450701</v>
      </c>
    </row>
    <row r="430" spans="1:10" hidden="1" outlineLevel="1">
      <c r="A430" t="s">
        <v>39</v>
      </c>
      <c r="B430" t="s">
        <v>49</v>
      </c>
      <c r="C430" t="s">
        <v>48</v>
      </c>
      <c r="D430" t="s">
        <v>48</v>
      </c>
      <c r="E430" t="str">
        <f>IF(LEN(Str!C454)&gt;0, Str!C454, Str!B454)</f>
        <v>Steel Plate 15 mm.</v>
      </c>
      <c r="F430" s="1260" t="str">
        <f>Str!F454</f>
        <v>กก.</v>
      </c>
      <c r="G430" s="1260">
        <f>Str!E454</f>
        <v>62.2</v>
      </c>
      <c r="H430" s="1260">
        <f>Str!I454</f>
        <v>1596.25265036733</v>
      </c>
      <c r="I430" s="1260">
        <f>Str!L454</f>
        <v>814.1179273276</v>
      </c>
      <c r="J430" s="1260">
        <f>Str!M454</f>
        <v>2410.37057769493</v>
      </c>
    </row>
    <row r="431" spans="1:10" hidden="1" outlineLevel="1">
      <c r="A431" t="s">
        <v>39</v>
      </c>
      <c r="B431" t="s">
        <v>49</v>
      </c>
      <c r="C431" t="s">
        <v>48</v>
      </c>
      <c r="D431" t="s">
        <v>48</v>
      </c>
      <c r="E431" t="str">
        <f>IF(LEN(Str!C455)&gt;0, Str!C455, Str!B455)</f>
        <v>Chemical Bolt  (A325)</v>
      </c>
      <c r="F431" s="1260">
        <f>Str!F455</f>
        <v>0</v>
      </c>
      <c r="G431" s="1260">
        <f>Str!E455</f>
        <v>0</v>
      </c>
      <c r="H431" s="1260">
        <f>Str!I455</f>
        <v>0</v>
      </c>
      <c r="I431" s="1260">
        <f>Str!L455</f>
        <v>0</v>
      </c>
      <c r="J431" s="1260">
        <f>Str!M455</f>
        <v>0</v>
      </c>
    </row>
    <row r="432" spans="1:10" hidden="1" outlineLevel="1">
      <c r="A432" t="s">
        <v>39</v>
      </c>
      <c r="B432" t="s">
        <v>49</v>
      </c>
      <c r="C432" t="s">
        <v>48</v>
      </c>
      <c r="D432" t="s">
        <v>48</v>
      </c>
      <c r="E432" t="str">
        <f>IF(LEN(Str!C456)&gt;0, Str!C456, Str!B456)</f>
        <v>M16</v>
      </c>
      <c r="F432" s="1260" t="str">
        <f>Str!F456</f>
        <v>ชุด</v>
      </c>
      <c r="G432" s="1260">
        <f>Str!E456</f>
        <v>32</v>
      </c>
      <c r="H432" s="1260">
        <f>Str!I456</f>
        <v>2587.8254740960001</v>
      </c>
      <c r="I432" s="1260">
        <f>Str!L456</f>
        <v>776.34764222879994</v>
      </c>
      <c r="J432" s="1260">
        <f>Str!M456</f>
        <v>3364.1731163248</v>
      </c>
    </row>
    <row r="433" spans="1:10" hidden="1" outlineLevel="1">
      <c r="A433" t="s">
        <v>39</v>
      </c>
      <c r="B433" t="s">
        <v>49</v>
      </c>
      <c r="C433" t="s">
        <v>46</v>
      </c>
      <c r="E433" t="str">
        <f>IF(LEN(Str!C457)&gt;0, Str!C457, Str!B457)</f>
        <v>คาน</v>
      </c>
      <c r="F433" s="1260">
        <f>Str!F457</f>
        <v>0</v>
      </c>
      <c r="G433" s="1260">
        <f>Str!E457</f>
        <v>0</v>
      </c>
      <c r="H433" s="1260">
        <f>Str!I457</f>
        <v>0</v>
      </c>
      <c r="I433" s="1260">
        <f>Str!L457</f>
        <v>0</v>
      </c>
      <c r="J433" s="1260">
        <f>Str!M457</f>
        <v>0</v>
      </c>
    </row>
    <row r="434" spans="1:10" hidden="1" outlineLevel="1">
      <c r="A434" t="s">
        <v>39</v>
      </c>
      <c r="B434" t="s">
        <v>49</v>
      </c>
      <c r="C434" t="s">
        <v>46</v>
      </c>
      <c r="D434" t="s">
        <v>46</v>
      </c>
      <c r="E434" t="str">
        <f>IF(LEN(Str!C458)&gt;0, Str!C458, Str!B458)</f>
        <v>Steel Plate150x16 mm. Thk.</v>
      </c>
      <c r="F434" s="1260" t="str">
        <f>Str!F458</f>
        <v>กก.</v>
      </c>
      <c r="G434" s="1260">
        <f>Str!E458</f>
        <v>12859</v>
      </c>
      <c r="H434" s="1260">
        <f>Str!I458</f>
        <v>369074.86509465106</v>
      </c>
      <c r="I434" s="1260">
        <f>Str!L458</f>
        <v>168307.75606922197</v>
      </c>
      <c r="J434" s="1260">
        <f>Str!M458</f>
        <v>537382.621163873</v>
      </c>
    </row>
    <row r="435" spans="1:10" hidden="1" outlineLevel="1">
      <c r="A435" t="s">
        <v>39</v>
      </c>
      <c r="B435" t="s">
        <v>49</v>
      </c>
      <c r="C435" t="s">
        <v>46</v>
      </c>
      <c r="D435" t="s">
        <v>46</v>
      </c>
      <c r="E435" t="str">
        <f>IF(LEN(Str!C459)&gt;0, Str!C459, Str!B459)</f>
        <v>Steel Plate 250x22 mm. Thk.</v>
      </c>
      <c r="F435" s="1260" t="str">
        <f>Str!F459</f>
        <v>กก.</v>
      </c>
      <c r="G435" s="1260">
        <f>Str!E459</f>
        <v>25043</v>
      </c>
      <c r="H435" s="1260">
        <f>Str!I459</f>
        <v>642684.16596702638</v>
      </c>
      <c r="I435" s="1260">
        <f>Str!L459</f>
        <v>327780.63109429396</v>
      </c>
      <c r="J435" s="1260">
        <f>Str!M459</f>
        <v>970464.79706132039</v>
      </c>
    </row>
    <row r="436" spans="1:10" hidden="1" outlineLevel="1">
      <c r="A436" t="s">
        <v>39</v>
      </c>
      <c r="B436" t="s">
        <v>49</v>
      </c>
      <c r="C436" t="s">
        <v>46</v>
      </c>
      <c r="D436" t="s">
        <v>46</v>
      </c>
      <c r="E436" t="str">
        <f>IF(LEN(Str!C460)&gt;0, Str!C460, Str!B460)</f>
        <v>Steel Plate 350x22 mm. Thk.</v>
      </c>
      <c r="F436" s="1260" t="str">
        <f>Str!F460</f>
        <v>กก.</v>
      </c>
      <c r="G436" s="1260">
        <f>Str!E460</f>
        <v>11303.2</v>
      </c>
      <c r="H436" s="1260">
        <f>Str!I460</f>
        <v>290076.57488154346</v>
      </c>
      <c r="I436" s="1260">
        <f>Str!L460</f>
        <v>147944.33691590559</v>
      </c>
      <c r="J436" s="1260">
        <f>Str!M460</f>
        <v>438020.91179744905</v>
      </c>
    </row>
    <row r="437" spans="1:10" hidden="1" outlineLevel="1">
      <c r="A437" t="s">
        <v>39</v>
      </c>
      <c r="B437" t="s">
        <v>49</v>
      </c>
      <c r="C437" t="s">
        <v>46</v>
      </c>
      <c r="D437" t="s">
        <v>46</v>
      </c>
      <c r="E437" t="str">
        <f>IF(LEN(Str!C461)&gt;0, Str!C461, Str!B461)</f>
        <v>Beam Support</v>
      </c>
      <c r="F437" s="1260">
        <f>Str!F461</f>
        <v>0</v>
      </c>
      <c r="G437" s="1260">
        <f>Str!E461</f>
        <v>0</v>
      </c>
      <c r="H437" s="1260">
        <f>Str!I461</f>
        <v>0</v>
      </c>
      <c r="I437" s="1260">
        <f>Str!L461</f>
        <v>0</v>
      </c>
      <c r="J437" s="1260">
        <f>Str!M461</f>
        <v>0</v>
      </c>
    </row>
    <row r="438" spans="1:10" hidden="1" outlineLevel="1">
      <c r="A438" t="s">
        <v>39</v>
      </c>
      <c r="B438" t="s">
        <v>49</v>
      </c>
      <c r="C438" t="s">
        <v>46</v>
      </c>
      <c r="D438" t="s">
        <v>46</v>
      </c>
      <c r="E438" t="str">
        <f>IF(LEN(Str!C462)&gt;0, Str!C462, Str!B462)</f>
        <v>Steel Plate 9 mm. Thk.</v>
      </c>
      <c r="F438" s="1260" t="str">
        <f>Str!F462</f>
        <v>กก.</v>
      </c>
      <c r="G438" s="1260">
        <f>Str!E462</f>
        <v>17.100000000000001</v>
      </c>
      <c r="H438" s="1260">
        <f>Str!I462</f>
        <v>367.69933488510003</v>
      </c>
      <c r="I438" s="1260">
        <f>Str!L462</f>
        <v>223.81698645180001</v>
      </c>
      <c r="J438" s="1260">
        <f>Str!M462</f>
        <v>591.51632133690009</v>
      </c>
    </row>
    <row r="439" spans="1:10" hidden="1" outlineLevel="1">
      <c r="A439" t="s">
        <v>39</v>
      </c>
      <c r="B439" t="s">
        <v>49</v>
      </c>
      <c r="C439" t="s">
        <v>46</v>
      </c>
      <c r="D439" t="s">
        <v>46</v>
      </c>
      <c r="E439" t="str">
        <f>IF(LEN(Str!C463)&gt;0, Str!C463, Str!B463)</f>
        <v>Steel Plate 10 mm. Thk.</v>
      </c>
      <c r="F439" s="1260" t="str">
        <f>Str!F463</f>
        <v>กก.</v>
      </c>
      <c r="G439" s="1260">
        <f>Str!E463</f>
        <v>559.5</v>
      </c>
      <c r="H439" s="1260">
        <f>Str!I463</f>
        <v>13061.333875843604</v>
      </c>
      <c r="I439" s="1260">
        <f>Str!L463</f>
        <v>7323.1347321509993</v>
      </c>
      <c r="J439" s="1260">
        <f>Str!M463</f>
        <v>20384.468607994604</v>
      </c>
    </row>
    <row r="440" spans="1:10" hidden="1" outlineLevel="1">
      <c r="A440" t="s">
        <v>39</v>
      </c>
      <c r="B440" t="s">
        <v>49</v>
      </c>
      <c r="C440" t="s">
        <v>46</v>
      </c>
      <c r="D440" t="s">
        <v>46</v>
      </c>
      <c r="E440" t="str">
        <f>IF(LEN(Str!C464)&gt;0, Str!C464, Str!B464)</f>
        <v xml:space="preserve">Chemical Bolt  (A325) </v>
      </c>
      <c r="F440" s="1260">
        <f>Str!F464</f>
        <v>0</v>
      </c>
      <c r="G440" s="1260">
        <f>Str!E464</f>
        <v>0</v>
      </c>
      <c r="H440" s="1260">
        <f>Str!I464</f>
        <v>0</v>
      </c>
      <c r="I440" s="1260">
        <f>Str!L464</f>
        <v>0</v>
      </c>
      <c r="J440" s="1260">
        <f>Str!M464</f>
        <v>0</v>
      </c>
    </row>
    <row r="441" spans="1:10" hidden="1" outlineLevel="1">
      <c r="A441" t="s">
        <v>39</v>
      </c>
      <c r="B441" t="s">
        <v>49</v>
      </c>
      <c r="C441" t="s">
        <v>46</v>
      </c>
      <c r="D441" t="s">
        <v>46</v>
      </c>
      <c r="E441" t="str">
        <f>IF(LEN(Str!C465)&gt;0, Str!C465, Str!B465)</f>
        <v>M16</v>
      </c>
      <c r="F441" s="1260" t="str">
        <f>Str!F465</f>
        <v>ชุด</v>
      </c>
      <c r="G441" s="1260">
        <f>Str!E465</f>
        <v>300</v>
      </c>
      <c r="H441" s="1260">
        <f>Str!I465</f>
        <v>24260.86381965</v>
      </c>
      <c r="I441" s="1260">
        <f>Str!L465</f>
        <v>7278.2591458949992</v>
      </c>
      <c r="J441" s="1260">
        <f>Str!M465</f>
        <v>31539.122965545001</v>
      </c>
    </row>
    <row r="442" spans="1:10" hidden="1" outlineLevel="1">
      <c r="A442" t="s">
        <v>39</v>
      </c>
      <c r="B442" t="s">
        <v>49</v>
      </c>
      <c r="C442" t="s">
        <v>47</v>
      </c>
      <c r="E442" t="str">
        <f>IF(LEN(Str!C466)&gt;0, Str!C466, Str!B466)</f>
        <v>พื้น</v>
      </c>
      <c r="F442" s="1260">
        <f>Str!F466</f>
        <v>0</v>
      </c>
      <c r="G442" s="1260">
        <f>Str!E466</f>
        <v>0</v>
      </c>
      <c r="H442" s="1260">
        <f>Str!I466</f>
        <v>0</v>
      </c>
      <c r="I442" s="1260">
        <f>Str!L466</f>
        <v>0</v>
      </c>
      <c r="J442" s="1260">
        <f>Str!M466</f>
        <v>0</v>
      </c>
    </row>
    <row r="443" spans="1:10" hidden="1" outlineLevel="1">
      <c r="A443" t="s">
        <v>39</v>
      </c>
      <c r="B443" t="s">
        <v>49</v>
      </c>
      <c r="C443" t="s">
        <v>47</v>
      </c>
      <c r="D443" t="s">
        <v>47</v>
      </c>
      <c r="E443" t="str">
        <f>IF(LEN(Str!C467)&gt;0, Str!C467, Str!B467)</f>
        <v>Steel Plate 6 mm. Thk.</v>
      </c>
      <c r="F443" s="1260" t="str">
        <f>Str!F467</f>
        <v>กก.</v>
      </c>
      <c r="G443" s="1260">
        <f>Str!E467</f>
        <v>22796.400000000001</v>
      </c>
      <c r="H443" s="1260">
        <f>Str!I467</f>
        <v>490188.3694605084</v>
      </c>
      <c r="I443" s="1260">
        <f>Str!L467</f>
        <v>298375.52923683118</v>
      </c>
      <c r="J443" s="1260">
        <f>Str!M467</f>
        <v>788563.89869733958</v>
      </c>
    </row>
    <row r="444" spans="1:10" hidden="1" outlineLevel="1">
      <c r="A444" t="s">
        <v>39</v>
      </c>
      <c r="B444" t="s">
        <v>49</v>
      </c>
      <c r="C444" t="s">
        <v>47</v>
      </c>
      <c r="D444" t="s">
        <v>47</v>
      </c>
      <c r="E444" t="str">
        <f>IF(LEN(Str!C468)&gt;0, Str!C468, Str!B468)</f>
        <v>งานคอนกรีตโครงสร้าง (fc' 240 ksc, Cyl.)</v>
      </c>
      <c r="F444" s="1260" t="str">
        <f>Str!F468</f>
        <v>ลบ.ม.</v>
      </c>
      <c r="G444" s="1260">
        <f>Str!E468</f>
        <v>29.4</v>
      </c>
      <c r="H444" s="1260">
        <f>Str!I468</f>
        <v>68908.145530572583</v>
      </c>
      <c r="I444" s="1260">
        <f>Str!L468</f>
        <v>14265.387925954199</v>
      </c>
      <c r="J444" s="1260">
        <f>Str!M468</f>
        <v>83173.533456526784</v>
      </c>
    </row>
    <row r="445" spans="1:10" hidden="1" outlineLevel="1">
      <c r="A445" t="s">
        <v>39</v>
      </c>
      <c r="B445" t="s">
        <v>49</v>
      </c>
      <c r="C445" t="s">
        <v>47</v>
      </c>
      <c r="D445" t="s">
        <v>47</v>
      </c>
      <c r="E445" t="str">
        <f>IF(LEN(Str!C469)&gt;0, Str!C469, Str!B469)</f>
        <v>เหล็กเสริม</v>
      </c>
      <c r="F445" s="1260">
        <f>Str!F469</f>
        <v>0</v>
      </c>
      <c r="G445" s="1260">
        <f>Str!E469</f>
        <v>0</v>
      </c>
      <c r="H445" s="1260">
        <f>Str!I469</f>
        <v>0</v>
      </c>
      <c r="I445" s="1260">
        <f>Str!L469</f>
        <v>0</v>
      </c>
      <c r="J445" s="1260">
        <f>Str!M469</f>
        <v>0</v>
      </c>
    </row>
    <row r="446" spans="1:10" hidden="1" outlineLevel="1">
      <c r="A446" t="s">
        <v>39</v>
      </c>
      <c r="B446" t="s">
        <v>49</v>
      </c>
      <c r="C446" t="s">
        <v>47</v>
      </c>
      <c r="D446" t="s">
        <v>47</v>
      </c>
      <c r="E446" t="str">
        <f>IF(LEN(Str!C470)&gt;0, Str!C470, Str!B470)</f>
        <v>งานเหล็กเสริมคอนกรีต RB 9  (SR-24)</v>
      </c>
      <c r="F446" s="1260" t="str">
        <f>Str!F470</f>
        <v>กก.</v>
      </c>
      <c r="G446" s="1260">
        <f>Str!E470</f>
        <v>2904</v>
      </c>
      <c r="H446" s="1260">
        <f>Str!I470</f>
        <v>53213.470182364799</v>
      </c>
      <c r="I446" s="1260">
        <f>Str!L470</f>
        <v>11945.8810613472</v>
      </c>
      <c r="J446" s="1260">
        <f>Str!M470</f>
        <v>65159.351243712001</v>
      </c>
    </row>
    <row r="447" spans="1:10" hidden="1" outlineLevel="1">
      <c r="A447" t="s">
        <v>39</v>
      </c>
      <c r="B447" t="s">
        <v>49</v>
      </c>
      <c r="C447" t="s">
        <v>47</v>
      </c>
      <c r="D447" t="s">
        <v>47</v>
      </c>
      <c r="E447" t="str">
        <f>IF(LEN(Str!C471)&gt;0, Str!C471, Str!B471)</f>
        <v>ลวดผูกเหล็ก</v>
      </c>
      <c r="F447" s="1260" t="str">
        <f>Str!F471</f>
        <v>กก.</v>
      </c>
      <c r="G447" s="1260">
        <f>Str!E471</f>
        <v>52.3</v>
      </c>
      <c r="H447" s="1260">
        <f>Str!I471</f>
        <v>1325.07322225451</v>
      </c>
      <c r="I447" s="1260">
        <f>Str!L471</f>
        <v>0</v>
      </c>
      <c r="J447" s="1260">
        <f>Str!M471</f>
        <v>1325.07322225451</v>
      </c>
    </row>
    <row r="448" spans="1:10" hidden="1" outlineLevel="1">
      <c r="A448" t="s">
        <v>39</v>
      </c>
      <c r="B448" t="s">
        <v>49</v>
      </c>
      <c r="C448" t="s">
        <v>47</v>
      </c>
      <c r="D448" t="s">
        <v>47</v>
      </c>
      <c r="E448" t="str">
        <f>IF(LEN(Str!C472)&gt;0, Str!C472, Str!B472)</f>
        <v>งานสีกันสนิม</v>
      </c>
      <c r="F448" s="1260">
        <f>Str!F472</f>
        <v>0</v>
      </c>
      <c r="G448" s="1260">
        <f>Str!E472</f>
        <v>0</v>
      </c>
      <c r="H448" s="1260">
        <f>Str!I472</f>
        <v>0</v>
      </c>
      <c r="I448" s="1260">
        <f>Str!L472</f>
        <v>0</v>
      </c>
      <c r="J448" s="1260">
        <f>Str!M472</f>
        <v>0</v>
      </c>
    </row>
    <row r="449" spans="1:10" hidden="1" outlineLevel="1">
      <c r="A449" t="s">
        <v>39</v>
      </c>
      <c r="B449" t="s">
        <v>49</v>
      </c>
      <c r="C449" t="s">
        <v>47</v>
      </c>
      <c r="D449" t="s">
        <v>47</v>
      </c>
      <c r="E449" t="str">
        <f>IF(LEN(Str!C473)&gt;0, Str!C473, Str!B473)</f>
        <v>งานสีกันสนิม   เหล็ก 1 ตัน ต่อ ทาสี 25 ตร.ม.</v>
      </c>
      <c r="F449" s="1260" t="str">
        <f>Str!F473</f>
        <v>ตร.ม.</v>
      </c>
      <c r="G449" s="1260">
        <f>Str!E473</f>
        <v>1663.7</v>
      </c>
      <c r="H449" s="1260">
        <f>Str!I473</f>
        <v>43582.490628585074</v>
      </c>
      <c r="I449" s="1260">
        <f>Str!L473</f>
        <v>46662.195533817001</v>
      </c>
      <c r="J449" s="1260">
        <f>Str!M473</f>
        <v>90244.686162402068</v>
      </c>
    </row>
    <row r="450" spans="1:10" hidden="1" outlineLevel="1">
      <c r="A450" t="s">
        <v>39</v>
      </c>
      <c r="B450" t="s">
        <v>49</v>
      </c>
      <c r="C450" t="s">
        <v>47</v>
      </c>
      <c r="D450" t="s">
        <v>47</v>
      </c>
      <c r="E450" t="str">
        <f>IF(LEN(Str!C474)&gt;0, Str!C474, Str!B474)</f>
        <v>งานสีน้ำมัน  เหล็ก 1 ตัน ต่อ ทาสี 25 ตร.ม.</v>
      </c>
      <c r="F450" s="1260" t="str">
        <f>Str!F474</f>
        <v>ตร.ม.</v>
      </c>
      <c r="G450" s="1260">
        <f>Str!E474</f>
        <v>1663.7</v>
      </c>
      <c r="H450" s="1260">
        <f>Str!I474</f>
        <v>50270.738655098852</v>
      </c>
      <c r="I450" s="1260">
        <f>Str!L474</f>
        <v>54439.228122786502</v>
      </c>
      <c r="J450" s="1260">
        <f>Str!M474</f>
        <v>104709.96677788536</v>
      </c>
    </row>
    <row r="451" spans="1:10" hidden="1" outlineLevel="1">
      <c r="F451" s="1260"/>
      <c r="G451" s="1260"/>
      <c r="H451" s="1260"/>
      <c r="I451" s="1260"/>
      <c r="J451" s="1260"/>
    </row>
    <row r="452" spans="1:10" hidden="1" outlineLevel="1">
      <c r="A452" t="s">
        <v>39</v>
      </c>
      <c r="B452" t="s">
        <v>67</v>
      </c>
      <c r="E452" t="str">
        <f>IF(LEN(Str!C476)&gt;0, Str!C476, Str!B476)</f>
        <v>โครงสร้างเพดานห้อง Workshop</v>
      </c>
      <c r="F452" s="1260">
        <f>Str!F476</f>
        <v>0</v>
      </c>
      <c r="G452" s="1260">
        <f>Str!E476</f>
        <v>0</v>
      </c>
      <c r="H452" s="1260">
        <f>Str!I476</f>
        <v>0</v>
      </c>
      <c r="I452" s="1260">
        <f>Str!L476</f>
        <v>0</v>
      </c>
      <c r="J452" s="1260">
        <f>Str!M476</f>
        <v>0</v>
      </c>
    </row>
    <row r="453" spans="1:10" hidden="1" outlineLevel="1">
      <c r="A453" t="s">
        <v>39</v>
      </c>
      <c r="B453" t="s">
        <v>67</v>
      </c>
      <c r="C453" t="s">
        <v>48</v>
      </c>
      <c r="D453" t="s">
        <v>48</v>
      </c>
      <c r="E453" t="str">
        <f>IF(LEN(Str!C477)&gt;0, Str!C477, Str!B477)</f>
        <v>เสา</v>
      </c>
      <c r="F453" s="1260">
        <f>Str!F477</f>
        <v>0</v>
      </c>
      <c r="G453" s="1260">
        <f>Str!E477</f>
        <v>0</v>
      </c>
      <c r="H453" s="1260">
        <f>Str!I477</f>
        <v>0</v>
      </c>
      <c r="I453" s="1260">
        <f>Str!L477</f>
        <v>0</v>
      </c>
      <c r="J453" s="1260">
        <f>Str!M477</f>
        <v>0</v>
      </c>
    </row>
    <row r="454" spans="1:10" hidden="1" outlineLevel="1">
      <c r="A454" t="s">
        <v>39</v>
      </c>
      <c r="B454" t="s">
        <v>67</v>
      </c>
      <c r="C454" t="s">
        <v>48</v>
      </c>
      <c r="D454" t="s">
        <v>48</v>
      </c>
      <c r="E454" t="str">
        <f>IF(LEN(Str!C478)&gt;0, Str!C478, Str!B478)</f>
        <v>CS3 : WF250x250x9x14mm.-72.4 kg./m.</v>
      </c>
      <c r="F454" s="1260" t="str">
        <f>Str!F478</f>
        <v>กก.</v>
      </c>
      <c r="G454" s="1260">
        <f>Str!E478</f>
        <v>258.8</v>
      </c>
      <c r="H454" s="1260">
        <f>Str!I478</f>
        <v>7660.2700531635764</v>
      </c>
      <c r="I454" s="1260">
        <f>Str!L478</f>
        <v>3387.3588358903999</v>
      </c>
      <c r="J454" s="1260">
        <f>Str!M478</f>
        <v>11047.628889053976</v>
      </c>
    </row>
    <row r="455" spans="1:10" hidden="1" outlineLevel="1">
      <c r="A455" t="s">
        <v>39</v>
      </c>
      <c r="B455" t="s">
        <v>67</v>
      </c>
      <c r="C455" t="s">
        <v>48</v>
      </c>
      <c r="D455" t="s">
        <v>48</v>
      </c>
      <c r="E455" t="str">
        <f>IF(LEN(Str!C479)&gt;0, Str!C479, Str!B479)</f>
        <v>Steel Plate 15 mm.</v>
      </c>
      <c r="F455" s="1260" t="str">
        <f>Str!F479</f>
        <v>กก.</v>
      </c>
      <c r="G455" s="1260">
        <f>Str!E479</f>
        <v>20.7</v>
      </c>
      <c r="H455" s="1260">
        <f>Str!I479</f>
        <v>531.22877592610496</v>
      </c>
      <c r="I455" s="1260">
        <f>Str!L479</f>
        <v>270.93635202059994</v>
      </c>
      <c r="J455" s="1260">
        <f>Str!M479</f>
        <v>802.16512794670484</v>
      </c>
    </row>
    <row r="456" spans="1:10" hidden="1" outlineLevel="1">
      <c r="A456" t="s">
        <v>39</v>
      </c>
      <c r="B456" t="s">
        <v>67</v>
      </c>
      <c r="C456" t="s">
        <v>48</v>
      </c>
      <c r="D456" t="s">
        <v>48</v>
      </c>
      <c r="E456" t="str">
        <f>IF(LEN(Str!C480)&gt;0, Str!C480, Str!B480)</f>
        <v xml:space="preserve">Chemical Bolt  (A325) </v>
      </c>
      <c r="F456" s="1260">
        <f>Str!F480</f>
        <v>0</v>
      </c>
      <c r="G456" s="1260">
        <f>Str!E480</f>
        <v>0</v>
      </c>
      <c r="H456" s="1260">
        <f>Str!I480</f>
        <v>0</v>
      </c>
      <c r="I456" s="1260">
        <f>Str!L480</f>
        <v>0</v>
      </c>
      <c r="J456" s="1260">
        <f>Str!M480</f>
        <v>0</v>
      </c>
    </row>
    <row r="457" spans="1:10" hidden="1" outlineLevel="1">
      <c r="A457" t="s">
        <v>39</v>
      </c>
      <c r="B457" t="s">
        <v>67</v>
      </c>
      <c r="C457" t="s">
        <v>48</v>
      </c>
      <c r="D457" t="s">
        <v>48</v>
      </c>
      <c r="E457" t="str">
        <f>IF(LEN(Str!C481)&gt;0, Str!C481, Str!B481)</f>
        <v>M16</v>
      </c>
      <c r="F457" s="1260" t="str">
        <f>Str!F481</f>
        <v>ชุด</v>
      </c>
      <c r="G457" s="1260">
        <f>Str!E481</f>
        <v>4</v>
      </c>
      <c r="H457" s="1260">
        <f>Str!I481</f>
        <v>323.47818426200001</v>
      </c>
      <c r="I457" s="1260">
        <f>Str!L481</f>
        <v>97.043455278599993</v>
      </c>
      <c r="J457" s="1260">
        <f>Str!M481</f>
        <v>420.52163954060001</v>
      </c>
    </row>
    <row r="458" spans="1:10" hidden="1" outlineLevel="1">
      <c r="A458" t="s">
        <v>39</v>
      </c>
      <c r="B458" t="s">
        <v>67</v>
      </c>
      <c r="C458" t="s">
        <v>46</v>
      </c>
      <c r="D458" t="s">
        <v>46</v>
      </c>
      <c r="E458" t="str">
        <f>IF(LEN(Str!C482)&gt;0, Str!C482, Str!B482)</f>
        <v>คาน</v>
      </c>
      <c r="F458" s="1260">
        <f>Str!F482</f>
        <v>0</v>
      </c>
      <c r="G458" s="1260">
        <f>Str!E482</f>
        <v>0</v>
      </c>
      <c r="H458" s="1260">
        <f>Str!I482</f>
        <v>0</v>
      </c>
      <c r="I458" s="1260">
        <f>Str!L482</f>
        <v>0</v>
      </c>
      <c r="J458" s="1260">
        <f>Str!M482</f>
        <v>0</v>
      </c>
    </row>
    <row r="459" spans="1:10" hidden="1" outlineLevel="1">
      <c r="A459" t="s">
        <v>39</v>
      </c>
      <c r="B459" t="s">
        <v>67</v>
      </c>
      <c r="C459" t="s">
        <v>46</v>
      </c>
      <c r="D459" t="s">
        <v>46</v>
      </c>
      <c r="E459" t="str">
        <f>IF(LEN(Str!C483)&gt;0, Str!C483, Str!B483)</f>
        <v>LLC100x50x20x3.2 mm.</v>
      </c>
      <c r="F459" s="1260" t="str">
        <f>Str!F483</f>
        <v>กก.</v>
      </c>
      <c r="G459" s="1260">
        <f>Str!E483</f>
        <v>54.1</v>
      </c>
      <c r="H459" s="1260">
        <f>Str!I483</f>
        <v>1263.4515630606459</v>
      </c>
      <c r="I459" s="1260">
        <f>Str!L483</f>
        <v>708.09935479779995</v>
      </c>
      <c r="J459" s="1260">
        <f>Str!M483</f>
        <v>1971.5509178584457</v>
      </c>
    </row>
    <row r="460" spans="1:10" hidden="1" outlineLevel="1">
      <c r="A460" t="s">
        <v>39</v>
      </c>
      <c r="B460" t="s">
        <v>67</v>
      </c>
      <c r="C460" t="s">
        <v>46</v>
      </c>
      <c r="D460" t="s">
        <v>46</v>
      </c>
      <c r="E460" t="str">
        <f>IF(LEN(Str!C484)&gt;0, Str!C484, Str!B484)</f>
        <v>WF250x250x9x14 mm.-72.4 kg/m</v>
      </c>
      <c r="F460" s="1260" t="str">
        <f>Str!F484</f>
        <v>กก.</v>
      </c>
      <c r="G460" s="1260">
        <f>Str!E484</f>
        <v>2468.8000000000002</v>
      </c>
      <c r="H460" s="1260">
        <f>Str!I484</f>
        <v>73074.477230487784</v>
      </c>
      <c r="I460" s="1260">
        <f>Str!L484</f>
        <v>32313.4138100704</v>
      </c>
      <c r="J460" s="1260">
        <f>Str!M484</f>
        <v>105387.89104055818</v>
      </c>
    </row>
    <row r="461" spans="1:10" hidden="1" outlineLevel="1">
      <c r="A461" t="s">
        <v>39</v>
      </c>
      <c r="B461" t="s">
        <v>67</v>
      </c>
      <c r="C461" t="s">
        <v>46</v>
      </c>
      <c r="D461" t="s">
        <v>46</v>
      </c>
      <c r="E461" t="str">
        <f>IF(LEN(Str!C485)&gt;0, Str!C485, Str!B485)</f>
        <v>Steel Plate 15 mm. Thk.</v>
      </c>
      <c r="F461" s="1260" t="str">
        <f>Str!F485</f>
        <v>กก.</v>
      </c>
      <c r="G461" s="1260">
        <f>Str!E485</f>
        <v>106.1</v>
      </c>
      <c r="H461" s="1260">
        <f>Str!I485</f>
        <v>2722.8682669449149</v>
      </c>
      <c r="I461" s="1260">
        <f>Str!L485</f>
        <v>1388.7124130137997</v>
      </c>
      <c r="J461" s="1260">
        <f>Str!M485</f>
        <v>4111.5806799587144</v>
      </c>
    </row>
    <row r="462" spans="1:10" hidden="1" outlineLevel="1">
      <c r="A462" t="s">
        <v>39</v>
      </c>
      <c r="B462" t="s">
        <v>67</v>
      </c>
      <c r="C462" t="s">
        <v>46</v>
      </c>
      <c r="D462" t="s">
        <v>46</v>
      </c>
      <c r="E462" t="str">
        <f>IF(LEN(Str!C486)&gt;0, Str!C486, Str!B486)</f>
        <v xml:space="preserve">Chemical Bolt  (A325) </v>
      </c>
      <c r="F462" s="1260">
        <f>Str!F486</f>
        <v>0</v>
      </c>
      <c r="G462" s="1260">
        <f>Str!E486</f>
        <v>0</v>
      </c>
      <c r="H462" s="1260">
        <f>Str!I486</f>
        <v>0</v>
      </c>
      <c r="I462" s="1260">
        <f>Str!L486</f>
        <v>0</v>
      </c>
      <c r="J462" s="1260">
        <f>Str!M486</f>
        <v>0</v>
      </c>
    </row>
    <row r="463" spans="1:10" hidden="1" outlineLevel="1">
      <c r="A463" t="s">
        <v>39</v>
      </c>
      <c r="B463" t="s">
        <v>67</v>
      </c>
      <c r="C463" t="s">
        <v>46</v>
      </c>
      <c r="D463" t="s">
        <v>46</v>
      </c>
      <c r="E463" t="str">
        <f>IF(LEN(Str!C487)&gt;0, Str!C487, Str!B487)</f>
        <v>M16</v>
      </c>
      <c r="F463" s="1260" t="str">
        <f>Str!F487</f>
        <v>ชุด</v>
      </c>
      <c r="G463" s="1260">
        <f>Str!E487</f>
        <v>44</v>
      </c>
      <c r="H463" s="1260">
        <f>Str!I487</f>
        <v>3558.2600268820001</v>
      </c>
      <c r="I463" s="1260">
        <f>Str!L487</f>
        <v>1067.4780080645999</v>
      </c>
      <c r="J463" s="1260">
        <f>Str!M487</f>
        <v>4625.7380349466002</v>
      </c>
    </row>
    <row r="464" spans="1:10" hidden="1" outlineLevel="1">
      <c r="A464" t="s">
        <v>39</v>
      </c>
      <c r="B464" t="s">
        <v>67</v>
      </c>
      <c r="C464" t="s">
        <v>47</v>
      </c>
      <c r="D464" t="s">
        <v>47</v>
      </c>
      <c r="E464" t="str">
        <f>IF(LEN(Str!C488)&gt;0, Str!C488, Str!B488)</f>
        <v>พื้น</v>
      </c>
      <c r="F464" s="1260">
        <f>Str!F488</f>
        <v>0</v>
      </c>
      <c r="G464" s="1260">
        <f>Str!E488</f>
        <v>0</v>
      </c>
      <c r="H464" s="1260">
        <f>Str!I488</f>
        <v>0</v>
      </c>
      <c r="I464" s="1260">
        <f>Str!L488</f>
        <v>0</v>
      </c>
      <c r="J464" s="1260">
        <f>Str!M488</f>
        <v>0</v>
      </c>
    </row>
    <row r="465" spans="1:10" hidden="1" outlineLevel="1">
      <c r="A465" t="s">
        <v>39</v>
      </c>
      <c r="B465" t="s">
        <v>67</v>
      </c>
      <c r="C465" t="s">
        <v>47</v>
      </c>
      <c r="D465" t="s">
        <v>47</v>
      </c>
      <c r="E465" t="str">
        <f>IF(LEN(Str!C489)&gt;0, Str!C489, Str!B489)</f>
        <v>Fiber Cement Board 24 mm. thk.</v>
      </c>
      <c r="F465" s="1260" t="str">
        <f>Str!F489</f>
        <v>ตร.ม.</v>
      </c>
      <c r="G465" s="1260">
        <f>Str!E489</f>
        <v>23.1</v>
      </c>
      <c r="H465" s="1260">
        <f>Str!I489</f>
        <v>6602.6599995350616</v>
      </c>
      <c r="I465" s="1260">
        <f>Str!L489</f>
        <v>1943.673829713</v>
      </c>
      <c r="J465" s="1260">
        <f>Str!M489</f>
        <v>8546.3338292480621</v>
      </c>
    </row>
    <row r="466" spans="1:10" hidden="1" outlineLevel="1">
      <c r="A466" t="s">
        <v>39</v>
      </c>
      <c r="B466" t="s">
        <v>67</v>
      </c>
      <c r="C466" t="s">
        <v>47</v>
      </c>
      <c r="D466" t="s">
        <v>47</v>
      </c>
      <c r="E466" t="str">
        <f>IF(LEN(Str!C490)&gt;0, Str!C490, Str!B490)</f>
        <v>งานสีกันสนิม</v>
      </c>
      <c r="F466" s="1260">
        <f>Str!F490</f>
        <v>0</v>
      </c>
      <c r="G466" s="1260">
        <f>Str!E490</f>
        <v>0</v>
      </c>
      <c r="H466" s="1260">
        <f>Str!I490</f>
        <v>0</v>
      </c>
      <c r="I466" s="1260">
        <f>Str!L490</f>
        <v>0</v>
      </c>
      <c r="J466" s="1260">
        <f>Str!M490</f>
        <v>0</v>
      </c>
    </row>
    <row r="467" spans="1:10" hidden="1" outlineLevel="1">
      <c r="A467" t="s">
        <v>39</v>
      </c>
      <c r="B467" t="s">
        <v>67</v>
      </c>
      <c r="C467" t="s">
        <v>47</v>
      </c>
      <c r="D467" t="s">
        <v>47</v>
      </c>
      <c r="E467" t="str">
        <f>IF(LEN(Str!C491)&gt;0, Str!C491, Str!B491)</f>
        <v>งานสีกันสนิม   เหล็ก 1 ตัน ต่อ ทาสี 25 ตร.ม.</v>
      </c>
      <c r="F467" s="1260" t="str">
        <f>Str!F491</f>
        <v>ตร.ม.</v>
      </c>
      <c r="G467" s="1260">
        <f>Str!E491</f>
        <v>72.7</v>
      </c>
      <c r="H467" s="1260">
        <f>Str!I491</f>
        <v>1904.4581767735381</v>
      </c>
      <c r="I467" s="1260">
        <f>Str!L491</f>
        <v>2039.034450507</v>
      </c>
      <c r="J467" s="1260">
        <f>Str!M491</f>
        <v>3943.4926272805378</v>
      </c>
    </row>
    <row r="468" spans="1:10" hidden="1" outlineLevel="1">
      <c r="A468" t="s">
        <v>39</v>
      </c>
      <c r="B468" t="s">
        <v>67</v>
      </c>
      <c r="C468" t="s">
        <v>47</v>
      </c>
      <c r="D468" t="s">
        <v>47</v>
      </c>
      <c r="E468" t="str">
        <f>IF(LEN(Str!C492)&gt;0, Str!C492, Str!B492)</f>
        <v>งานสีน้ำมัน  เหล็ก 1 ตัน ต่อ ทาสี 25 ตร.ม.</v>
      </c>
      <c r="F468" s="1260" t="str">
        <f>Str!F492</f>
        <v>ตร.ม.</v>
      </c>
      <c r="G468" s="1260">
        <f>Str!E492</f>
        <v>72.7</v>
      </c>
      <c r="H468" s="1260">
        <f>Str!I492</f>
        <v>2196.719781346208</v>
      </c>
      <c r="I468" s="1260">
        <f>Str!L492</f>
        <v>2378.8735255915003</v>
      </c>
      <c r="J468" s="1260">
        <f>Str!M492</f>
        <v>4575.5933069377079</v>
      </c>
    </row>
    <row r="469" spans="1:10" hidden="1" outlineLevel="1">
      <c r="A469" t="s">
        <v>39</v>
      </c>
      <c r="F469" s="1260">
        <f>Str!F493</f>
        <v>0</v>
      </c>
      <c r="G469" s="1260">
        <f>Str!E493</f>
        <v>0</v>
      </c>
      <c r="H469" s="1260">
        <f>Str!I493</f>
        <v>0</v>
      </c>
      <c r="I469" s="1260">
        <f>Str!L493</f>
        <v>0</v>
      </c>
      <c r="J469" s="1260">
        <f>Str!M493</f>
        <v>0</v>
      </c>
    </row>
    <row r="470" spans="1:10" hidden="1" outlineLevel="1">
      <c r="F470" s="1260"/>
      <c r="G470" s="1260"/>
      <c r="H470" s="1260"/>
      <c r="I470" s="1260"/>
      <c r="J470" s="1260"/>
    </row>
    <row r="471" spans="1:10" hidden="1" outlineLevel="1">
      <c r="A471" t="s">
        <v>39</v>
      </c>
      <c r="F471" s="1260">
        <f>Str!F495</f>
        <v>0</v>
      </c>
      <c r="G471" s="1260">
        <f>Str!E495</f>
        <v>0</v>
      </c>
      <c r="H471" s="1260">
        <f>Str!I495</f>
        <v>0</v>
      </c>
      <c r="I471" s="1260">
        <f>Str!L495</f>
        <v>0</v>
      </c>
      <c r="J471" s="1260">
        <f>Str!M495</f>
        <v>0</v>
      </c>
    </row>
    <row r="472" spans="1:10" hidden="1" outlineLevel="1">
      <c r="A472" t="s">
        <v>39</v>
      </c>
      <c r="B472" t="s">
        <v>50</v>
      </c>
      <c r="E472" t="str">
        <f>IF(LEN(Str!C496)&gt;0, Str!C496, Str!B496)</f>
        <v>โครงสร้างพื้นชั้น2</v>
      </c>
      <c r="F472" s="1260">
        <f>Str!F496</f>
        <v>0</v>
      </c>
      <c r="G472" s="1260">
        <f>Str!E496</f>
        <v>0</v>
      </c>
      <c r="H472" s="1260">
        <f>Str!I496</f>
        <v>0</v>
      </c>
      <c r="I472" s="1260">
        <f>Str!L496</f>
        <v>0</v>
      </c>
      <c r="J472" s="1260">
        <f>Str!M496</f>
        <v>0</v>
      </c>
    </row>
    <row r="473" spans="1:10" hidden="1" outlineLevel="1">
      <c r="A473" t="s">
        <v>39</v>
      </c>
      <c r="B473" t="s">
        <v>50</v>
      </c>
      <c r="C473" t="s">
        <v>68</v>
      </c>
      <c r="E473" t="str">
        <f>IF(LEN(Str!C497)&gt;0, Str!C497, Str!B497)</f>
        <v>ห้องผู้อำนวยการตรวสอบภายใน</v>
      </c>
      <c r="F473" s="1260">
        <f>Str!F497</f>
        <v>0</v>
      </c>
      <c r="G473" s="1260">
        <f>Str!E497</f>
        <v>0</v>
      </c>
      <c r="H473" s="1260">
        <f>Str!I497</f>
        <v>0</v>
      </c>
      <c r="I473" s="1260">
        <f>Str!L497</f>
        <v>0</v>
      </c>
      <c r="J473" s="1260">
        <f>Str!M497</f>
        <v>0</v>
      </c>
    </row>
    <row r="474" spans="1:10" hidden="1" outlineLevel="1">
      <c r="A474" t="s">
        <v>39</v>
      </c>
      <c r="B474" t="s">
        <v>50</v>
      </c>
      <c r="C474" t="s">
        <v>68</v>
      </c>
      <c r="D474" t="s">
        <v>46</v>
      </c>
      <c r="E474" t="str">
        <f>IF(LEN(Str!C498)&gt;0, Str!C498, Str!B498)</f>
        <v>คาน</v>
      </c>
      <c r="F474" s="1260">
        <f>Str!F498</f>
        <v>0</v>
      </c>
      <c r="G474" s="1260">
        <f>Str!E498</f>
        <v>0</v>
      </c>
      <c r="H474" s="1260">
        <f>Str!I498</f>
        <v>0</v>
      </c>
      <c r="I474" s="1260">
        <f>Str!L498</f>
        <v>0</v>
      </c>
      <c r="J474" s="1260">
        <f>Str!M498</f>
        <v>0</v>
      </c>
    </row>
    <row r="475" spans="1:10" hidden="1" outlineLevel="1">
      <c r="A475" t="s">
        <v>39</v>
      </c>
      <c r="B475" t="s">
        <v>50</v>
      </c>
      <c r="C475" t="s">
        <v>68</v>
      </c>
      <c r="D475" t="s">
        <v>46</v>
      </c>
      <c r="E475" t="str">
        <f>IF(LEN(Str!C499)&gt;0, Str!C499, Str!B499)</f>
        <v>Steel Plate150x16 mm. Thk.</v>
      </c>
      <c r="F475" s="1260" t="str">
        <f>Str!F499</f>
        <v>กก.</v>
      </c>
      <c r="G475" s="1260">
        <f>Str!E499</f>
        <v>1144</v>
      </c>
      <c r="H475" s="1260">
        <f>Str!I499</f>
        <v>32834.718537077599</v>
      </c>
      <c r="I475" s="1260">
        <f>Str!L499</f>
        <v>14973.487280751999</v>
      </c>
      <c r="J475" s="1260">
        <f>Str!M499</f>
        <v>47808.205817829599</v>
      </c>
    </row>
    <row r="476" spans="1:10" hidden="1" outlineLevel="1">
      <c r="A476" t="s">
        <v>39</v>
      </c>
      <c r="B476" t="s">
        <v>50</v>
      </c>
      <c r="C476" t="s">
        <v>68</v>
      </c>
      <c r="D476" t="s">
        <v>46</v>
      </c>
      <c r="E476" t="str">
        <f>IF(LEN(Str!C500)&gt;0, Str!C500, Str!B500)</f>
        <v>Steel Plate 300x22 mm. Thk.</v>
      </c>
      <c r="F476" s="1260" t="str">
        <f>Str!F500</f>
        <v>กก.</v>
      </c>
      <c r="G476" s="1260">
        <f>Str!E500</f>
        <v>2579.5</v>
      </c>
      <c r="H476" s="1260">
        <f>Str!I500</f>
        <v>66198.291183641923</v>
      </c>
      <c r="I476" s="1260">
        <f>Str!L500</f>
        <v>33762.334301310999</v>
      </c>
      <c r="J476" s="1260">
        <f>Str!M500</f>
        <v>99960.625484952921</v>
      </c>
    </row>
    <row r="477" spans="1:10" hidden="1" outlineLevel="1">
      <c r="A477" t="s">
        <v>39</v>
      </c>
      <c r="B477" t="s">
        <v>50</v>
      </c>
      <c r="C477" t="s">
        <v>68</v>
      </c>
      <c r="D477" t="s">
        <v>46</v>
      </c>
      <c r="E477" t="str">
        <f>IF(LEN(Str!C501)&gt;0, Str!C501, Str!B501)</f>
        <v>Support</v>
      </c>
      <c r="F477" s="1260">
        <f>Str!F501</f>
        <v>0</v>
      </c>
      <c r="G477" s="1260">
        <f>Str!E501</f>
        <v>0</v>
      </c>
      <c r="H477" s="1260">
        <f>Str!I501</f>
        <v>0</v>
      </c>
      <c r="I477" s="1260">
        <f>Str!L501</f>
        <v>0</v>
      </c>
      <c r="J477" s="1260">
        <f>Str!M501</f>
        <v>0</v>
      </c>
    </row>
    <row r="478" spans="1:10" hidden="1" outlineLevel="1">
      <c r="A478" t="s">
        <v>39</v>
      </c>
      <c r="B478" t="s">
        <v>50</v>
      </c>
      <c r="C478" t="s">
        <v>68</v>
      </c>
      <c r="D478" t="s">
        <v>46</v>
      </c>
      <c r="E478" t="str">
        <f>IF(LEN(Str!C502)&gt;0, Str!C502, Str!B502)</f>
        <v>Steel Plate 10 mm. Thk.</v>
      </c>
      <c r="F478" s="1260" t="str">
        <f>Str!F502</f>
        <v>กก.</v>
      </c>
      <c r="G478" s="1260">
        <f>Str!E502</f>
        <v>57</v>
      </c>
      <c r="H478" s="1260">
        <f>Str!I502</f>
        <v>1330.64527421463</v>
      </c>
      <c r="I478" s="1260">
        <f>Str!L502</f>
        <v>746.05662150599994</v>
      </c>
      <c r="J478" s="1260">
        <f>Str!M502</f>
        <v>2076.7018957206301</v>
      </c>
    </row>
    <row r="479" spans="1:10" hidden="1" outlineLevel="1">
      <c r="A479" t="s">
        <v>39</v>
      </c>
      <c r="B479" t="s">
        <v>50</v>
      </c>
      <c r="C479" t="s">
        <v>68</v>
      </c>
      <c r="D479" t="s">
        <v>46</v>
      </c>
      <c r="E479" t="str">
        <f>IF(LEN(Str!C503)&gt;0, Str!C503, Str!B503)</f>
        <v xml:space="preserve">Chemical Bolt  (A325) </v>
      </c>
      <c r="F479" s="1260">
        <f>Str!F503</f>
        <v>0</v>
      </c>
      <c r="G479" s="1260">
        <f>Str!E503</f>
        <v>0</v>
      </c>
      <c r="H479" s="1260">
        <f>Str!I503</f>
        <v>0</v>
      </c>
      <c r="I479" s="1260">
        <f>Str!L503</f>
        <v>0</v>
      </c>
      <c r="J479" s="1260">
        <f>Str!M503</f>
        <v>0</v>
      </c>
    </row>
    <row r="480" spans="1:10" hidden="1" outlineLevel="1">
      <c r="A480" t="s">
        <v>39</v>
      </c>
      <c r="B480" t="s">
        <v>50</v>
      </c>
      <c r="C480" t="s">
        <v>68</v>
      </c>
      <c r="D480" t="s">
        <v>46</v>
      </c>
      <c r="E480" t="str">
        <f>IF(LEN(Str!C504)&gt;0, Str!C504, Str!B504)</f>
        <v>M16</v>
      </c>
      <c r="F480" s="1260" t="str">
        <f>Str!F504</f>
        <v>ชุด</v>
      </c>
      <c r="G480" s="1260">
        <f>Str!E504</f>
        <v>36</v>
      </c>
      <c r="H480" s="1260">
        <f>Str!I504</f>
        <v>2911.3036583580001</v>
      </c>
      <c r="I480" s="1260">
        <f>Str!L504</f>
        <v>873.39109750739999</v>
      </c>
      <c r="J480" s="1260">
        <f>Str!M504</f>
        <v>3784.6947558654001</v>
      </c>
    </row>
    <row r="481" spans="1:10" hidden="1" outlineLevel="1">
      <c r="A481" t="s">
        <v>39</v>
      </c>
      <c r="B481" t="s">
        <v>50</v>
      </c>
      <c r="C481" t="s">
        <v>68</v>
      </c>
      <c r="D481" t="s">
        <v>47</v>
      </c>
      <c r="E481" t="str">
        <f>IF(LEN(Str!C505)&gt;0, Str!C505, Str!B505)</f>
        <v>พื้น</v>
      </c>
      <c r="F481" s="1260">
        <f>Str!F505</f>
        <v>0</v>
      </c>
      <c r="G481" s="1260">
        <f>Str!E505</f>
        <v>0</v>
      </c>
      <c r="H481" s="1260">
        <f>Str!I505</f>
        <v>0</v>
      </c>
      <c r="I481" s="1260">
        <f>Str!L505</f>
        <v>0</v>
      </c>
      <c r="J481" s="1260">
        <f>Str!M505</f>
        <v>0</v>
      </c>
    </row>
    <row r="482" spans="1:10" hidden="1" outlineLevel="1">
      <c r="A482" t="s">
        <v>39</v>
      </c>
      <c r="B482" t="s">
        <v>50</v>
      </c>
      <c r="C482" t="s">
        <v>68</v>
      </c>
      <c r="D482" t="s">
        <v>47</v>
      </c>
      <c r="E482" t="str">
        <f>IF(LEN(Str!C506)&gt;0, Str!C506, Str!B506)</f>
        <v>Steel Plate 6 mm. Thk.</v>
      </c>
      <c r="F482" s="1260" t="str">
        <f>Str!F506</f>
        <v>กก.</v>
      </c>
      <c r="G482" s="1260">
        <f>Str!E506</f>
        <v>1253.8</v>
      </c>
      <c r="H482" s="1260">
        <f>Str!I506</f>
        <v>26960.317314557797</v>
      </c>
      <c r="I482" s="1260">
        <f>Str!L506</f>
        <v>16410.627930600396</v>
      </c>
      <c r="J482" s="1260">
        <f>Str!M506</f>
        <v>43370.945245158189</v>
      </c>
    </row>
    <row r="483" spans="1:10" hidden="1" outlineLevel="1">
      <c r="A483" t="s">
        <v>39</v>
      </c>
      <c r="B483" t="s">
        <v>50</v>
      </c>
      <c r="C483" t="s">
        <v>68</v>
      </c>
      <c r="D483" t="s">
        <v>47</v>
      </c>
      <c r="E483" t="str">
        <f>IF(LEN(Str!C507)&gt;0, Str!C507, Str!B507)</f>
        <v>งานคอนกรีตโครงสร้าง (fc' 240 ksc, Cyl.)</v>
      </c>
      <c r="F483" s="1260" t="str">
        <f>Str!F507</f>
        <v>ลบ.ม.</v>
      </c>
      <c r="G483" s="1260">
        <f>Str!E507</f>
        <v>1.6</v>
      </c>
      <c r="H483" s="1260">
        <f>Str!I507</f>
        <v>3750.1031581263996</v>
      </c>
      <c r="I483" s="1260">
        <f>Str!L507</f>
        <v>776.34764222879994</v>
      </c>
      <c r="J483" s="1260">
        <f>Str!M507</f>
        <v>4526.4508003552</v>
      </c>
    </row>
    <row r="484" spans="1:10" hidden="1" outlineLevel="1">
      <c r="A484" t="s">
        <v>39</v>
      </c>
      <c r="B484" t="s">
        <v>50</v>
      </c>
      <c r="C484" t="s">
        <v>68</v>
      </c>
      <c r="D484" t="s">
        <v>47</v>
      </c>
      <c r="E484" t="str">
        <f>IF(LEN(Str!C508)&gt;0, Str!C508, Str!B508)</f>
        <v>เหล็กเสริม</v>
      </c>
      <c r="F484" s="1260">
        <f>Str!F508</f>
        <v>0</v>
      </c>
      <c r="G484" s="1260">
        <f>Str!E508</f>
        <v>0</v>
      </c>
      <c r="H484" s="1260">
        <f>Str!I508</f>
        <v>0</v>
      </c>
      <c r="I484" s="1260">
        <f>Str!L508</f>
        <v>0</v>
      </c>
      <c r="J484" s="1260">
        <f>Str!M508</f>
        <v>0</v>
      </c>
    </row>
    <row r="485" spans="1:10" hidden="1" outlineLevel="1">
      <c r="A485" t="s">
        <v>39</v>
      </c>
      <c r="B485" t="s">
        <v>50</v>
      </c>
      <c r="C485" t="s">
        <v>68</v>
      </c>
      <c r="D485" t="s">
        <v>47</v>
      </c>
      <c r="E485" t="str">
        <f>IF(LEN(Str!C509)&gt;0, Str!C509, Str!B509)</f>
        <v>งานเหล็กเสริมคอนกรีต RB 9  (SR-24)</v>
      </c>
      <c r="F485" s="1260" t="str">
        <f>Str!F509</f>
        <v>กก.</v>
      </c>
      <c r="G485" s="1260">
        <f>Str!E509</f>
        <v>155.4</v>
      </c>
      <c r="H485" s="1260">
        <f>Str!I509</f>
        <v>2847.5803258744804</v>
      </c>
      <c r="I485" s="1260">
        <f>Str!L509</f>
        <v>639.25272621672002</v>
      </c>
      <c r="J485" s="1260">
        <f>Str!M509</f>
        <v>3486.8330520912004</v>
      </c>
    </row>
    <row r="486" spans="1:10" hidden="1" outlineLevel="1">
      <c r="A486" t="s">
        <v>39</v>
      </c>
      <c r="B486" t="s">
        <v>50</v>
      </c>
      <c r="C486" t="s">
        <v>68</v>
      </c>
      <c r="D486" t="s">
        <v>47</v>
      </c>
      <c r="E486" t="str">
        <f>IF(LEN(Str!C510)&gt;0, Str!C510, Str!B510)</f>
        <v>ลวดผูกเหล็ก</v>
      </c>
      <c r="F486" s="1260" t="str">
        <f>Str!F510</f>
        <v>กก.</v>
      </c>
      <c r="G486" s="1260">
        <f>Str!E510</f>
        <v>2.9</v>
      </c>
      <c r="H486" s="1260">
        <f>Str!I510</f>
        <v>73.474423413729994</v>
      </c>
      <c r="I486" s="1260">
        <f>Str!L510</f>
        <v>0</v>
      </c>
      <c r="J486" s="1260">
        <f>Str!M510</f>
        <v>73.474423413729994</v>
      </c>
    </row>
    <row r="487" spans="1:10" hidden="1" outlineLevel="1">
      <c r="A487" t="s">
        <v>39</v>
      </c>
      <c r="B487" t="s">
        <v>50</v>
      </c>
      <c r="C487" t="s">
        <v>68</v>
      </c>
      <c r="D487" t="s">
        <v>47</v>
      </c>
      <c r="E487" t="str">
        <f>IF(LEN(Str!C511)&gt;0, Str!C511, Str!B511)</f>
        <v>งานสีกันสนิม</v>
      </c>
      <c r="F487" s="1260">
        <f>Str!F511</f>
        <v>0</v>
      </c>
      <c r="G487" s="1260">
        <f>Str!E511</f>
        <v>0</v>
      </c>
      <c r="H487" s="1260">
        <f>Str!I511</f>
        <v>0</v>
      </c>
      <c r="I487" s="1260">
        <f>Str!L511</f>
        <v>0</v>
      </c>
      <c r="J487" s="1260">
        <f>Str!M511</f>
        <v>0</v>
      </c>
    </row>
    <row r="488" spans="1:10" hidden="1" outlineLevel="1">
      <c r="A488" t="s">
        <v>39</v>
      </c>
      <c r="B488" t="s">
        <v>50</v>
      </c>
      <c r="C488" t="s">
        <v>68</v>
      </c>
      <c r="D488" t="s">
        <v>47</v>
      </c>
      <c r="E488" t="str">
        <f>IF(LEN(Str!C512)&gt;0, Str!C512, Str!B512)</f>
        <v>งานสีกันสนิม   เหล็ก 1 ตัน ต่อ ทาสี 25 ตร.ม.</v>
      </c>
      <c r="F488" s="1260" t="str">
        <f>Str!F512</f>
        <v>ตร.ม.</v>
      </c>
      <c r="G488" s="1260">
        <f>Str!E512</f>
        <v>125.9</v>
      </c>
      <c r="H488" s="1260">
        <f>Str!I512</f>
        <v>3298.0919457467462</v>
      </c>
      <c r="I488" s="1260">
        <f>Str!L512</f>
        <v>3531.1476935189999</v>
      </c>
      <c r="J488" s="1260">
        <f>Str!M512</f>
        <v>6829.2396392657465</v>
      </c>
    </row>
    <row r="489" spans="1:10" hidden="1" outlineLevel="1">
      <c r="A489" t="s">
        <v>39</v>
      </c>
      <c r="B489" t="s">
        <v>50</v>
      </c>
      <c r="C489" t="s">
        <v>68</v>
      </c>
      <c r="D489" t="s">
        <v>47</v>
      </c>
      <c r="E489" t="str">
        <f>IF(LEN(Str!C513)&gt;0, Str!C513, Str!B513)</f>
        <v>งานสีน้ำมัน  เหล็ก 1 ตัน ต่อ ทาสี 25 ตร.ม.</v>
      </c>
      <c r="F489" s="1260" t="str">
        <f>Str!F513</f>
        <v>ตร.ม.</v>
      </c>
      <c r="G489" s="1260">
        <f>Str!E513</f>
        <v>125.9</v>
      </c>
      <c r="H489" s="1260">
        <f>Str!I513</f>
        <v>3804.2231151511364</v>
      </c>
      <c r="I489" s="1260">
        <f>Str!L513</f>
        <v>4119.6723091055001</v>
      </c>
      <c r="J489" s="1260">
        <f>Str!M513</f>
        <v>7923.895424256636</v>
      </c>
    </row>
    <row r="490" spans="1:10" hidden="1" outlineLevel="1">
      <c r="A490" t="s">
        <v>39</v>
      </c>
      <c r="B490" t="s">
        <v>50</v>
      </c>
      <c r="F490" s="1260">
        <f>Str!F514</f>
        <v>0</v>
      </c>
      <c r="G490" s="1260">
        <f>Str!E514</f>
        <v>0</v>
      </c>
      <c r="H490" s="1260">
        <f>Str!I514</f>
        <v>0</v>
      </c>
      <c r="I490" s="1260">
        <f>Str!L514</f>
        <v>0</v>
      </c>
      <c r="J490" s="1260">
        <f>Str!M514</f>
        <v>0</v>
      </c>
    </row>
    <row r="491" spans="1:10" hidden="1" outlineLevel="1">
      <c r="A491" t="s">
        <v>39</v>
      </c>
      <c r="B491" t="s">
        <v>50</v>
      </c>
      <c r="C491" t="s">
        <v>69</v>
      </c>
      <c r="E491" t="str">
        <f>IF(LEN(Str!C515)&gt;0, Str!C515, Str!B515)</f>
        <v>ห้อง DIGITAL LAB</v>
      </c>
      <c r="F491" s="1260">
        <f>Str!F515</f>
        <v>0</v>
      </c>
      <c r="G491" s="1260">
        <f>Str!E515</f>
        <v>0</v>
      </c>
      <c r="H491" s="1260">
        <f>Str!I515</f>
        <v>0</v>
      </c>
      <c r="I491" s="1260">
        <f>Str!L515</f>
        <v>0</v>
      </c>
      <c r="J491" s="1260">
        <f>Str!M515</f>
        <v>0</v>
      </c>
    </row>
    <row r="492" spans="1:10" hidden="1" outlineLevel="1">
      <c r="A492" t="s">
        <v>39</v>
      </c>
      <c r="B492" t="s">
        <v>50</v>
      </c>
      <c r="C492" t="s">
        <v>69</v>
      </c>
      <c r="D492" t="s">
        <v>46</v>
      </c>
      <c r="E492" t="str">
        <f>IF(LEN(Str!C516)&gt;0, Str!C516, Str!B516)</f>
        <v>คาน</v>
      </c>
      <c r="F492" s="1260">
        <f>Str!F516</f>
        <v>0</v>
      </c>
      <c r="G492" s="1260">
        <f>Str!E516</f>
        <v>0</v>
      </c>
      <c r="H492" s="1260">
        <f>Str!I516</f>
        <v>0</v>
      </c>
      <c r="I492" s="1260">
        <f>Str!L516</f>
        <v>0</v>
      </c>
      <c r="J492" s="1260">
        <f>Str!M516</f>
        <v>0</v>
      </c>
    </row>
    <row r="493" spans="1:10" hidden="1" outlineLevel="1">
      <c r="A493" t="s">
        <v>39</v>
      </c>
      <c r="B493" t="s">
        <v>50</v>
      </c>
      <c r="C493" t="s">
        <v>69</v>
      </c>
      <c r="D493" t="s">
        <v>46</v>
      </c>
      <c r="E493" t="str">
        <f>IF(LEN(Str!C517)&gt;0, Str!C517, Str!B517)</f>
        <v>Steel Plate150x16 mm. Thk.</v>
      </c>
      <c r="F493" s="1260" t="str">
        <f>Str!F517</f>
        <v>กก.</v>
      </c>
      <c r="G493" s="1260">
        <f>Str!E517</f>
        <v>466.4</v>
      </c>
      <c r="H493" s="1260">
        <f>Str!I517</f>
        <v>13386.462172808559</v>
      </c>
      <c r="I493" s="1260">
        <f>Str!L517</f>
        <v>6104.5755836911994</v>
      </c>
      <c r="J493" s="1260">
        <f>Str!M517</f>
        <v>19491.037756499758</v>
      </c>
    </row>
    <row r="494" spans="1:10" hidden="1" outlineLevel="1">
      <c r="A494" t="s">
        <v>39</v>
      </c>
      <c r="B494" t="s">
        <v>50</v>
      </c>
      <c r="C494" t="s">
        <v>69</v>
      </c>
      <c r="D494" t="s">
        <v>46</v>
      </c>
      <c r="E494" t="str">
        <f>IF(LEN(Str!C518)&gt;0, Str!C518, Str!B518)</f>
        <v>Steel Plate 300x22 mm. Thk.</v>
      </c>
      <c r="F494" s="1260" t="str">
        <f>Str!F518</f>
        <v>กก.</v>
      </c>
      <c r="G494" s="1260">
        <f>Str!E518</f>
        <v>1798.5</v>
      </c>
      <c r="H494" s="1260">
        <f>Str!I518</f>
        <v>46155.311763434773</v>
      </c>
      <c r="I494" s="1260">
        <f>Str!L518</f>
        <v>23540.049715412999</v>
      </c>
      <c r="J494" s="1260">
        <f>Str!M518</f>
        <v>69695.361478847772</v>
      </c>
    </row>
    <row r="495" spans="1:10" hidden="1" outlineLevel="1">
      <c r="A495" t="s">
        <v>39</v>
      </c>
      <c r="B495" t="s">
        <v>50</v>
      </c>
      <c r="C495" t="s">
        <v>69</v>
      </c>
      <c r="D495" t="s">
        <v>46</v>
      </c>
      <c r="E495" t="str">
        <f>IF(LEN(Str!C519)&gt;0, Str!C519, Str!B519)</f>
        <v>Support</v>
      </c>
      <c r="F495" s="1260">
        <f>Str!F519</f>
        <v>0</v>
      </c>
      <c r="G495" s="1260">
        <f>Str!E519</f>
        <v>0</v>
      </c>
      <c r="H495" s="1260">
        <f>Str!I519</f>
        <v>0</v>
      </c>
      <c r="I495" s="1260">
        <f>Str!L519</f>
        <v>0</v>
      </c>
      <c r="J495" s="1260">
        <f>Str!M519</f>
        <v>0</v>
      </c>
    </row>
    <row r="496" spans="1:10" hidden="1" outlineLevel="1">
      <c r="A496" t="s">
        <v>39</v>
      </c>
      <c r="B496" t="s">
        <v>50</v>
      </c>
      <c r="C496" t="s">
        <v>69</v>
      </c>
      <c r="D496" t="s">
        <v>46</v>
      </c>
      <c r="E496" t="str">
        <f>IF(LEN(Str!C520)&gt;0, Str!C520, Str!B520)</f>
        <v>Steel Plate 10 mm. Thk.</v>
      </c>
      <c r="F496" s="1260" t="str">
        <f>Str!F520</f>
        <v>กก.</v>
      </c>
      <c r="G496" s="1260">
        <f>Str!E520</f>
        <v>57</v>
      </c>
      <c r="H496" s="1260">
        <f>Str!I520</f>
        <v>1330.64527421463</v>
      </c>
      <c r="I496" s="1260">
        <f>Str!L520</f>
        <v>746.05662150599994</v>
      </c>
      <c r="J496" s="1260">
        <f>Str!M520</f>
        <v>2076.7018957206301</v>
      </c>
    </row>
    <row r="497" spans="1:10" hidden="1" outlineLevel="1">
      <c r="A497" t="s">
        <v>39</v>
      </c>
      <c r="B497" t="s">
        <v>50</v>
      </c>
      <c r="C497" t="s">
        <v>69</v>
      </c>
      <c r="D497" t="s">
        <v>46</v>
      </c>
      <c r="E497" t="str">
        <f>IF(LEN(Str!C521)&gt;0, Str!C521, Str!B521)</f>
        <v xml:space="preserve">Chemical Bolt  (A325) </v>
      </c>
      <c r="F497" s="1260">
        <f>Str!F521</f>
        <v>0</v>
      </c>
      <c r="G497" s="1260">
        <f>Str!E521</f>
        <v>0</v>
      </c>
      <c r="H497" s="1260">
        <f>Str!I521</f>
        <v>0</v>
      </c>
      <c r="I497" s="1260">
        <f>Str!L521</f>
        <v>0</v>
      </c>
      <c r="J497" s="1260">
        <f>Str!M521</f>
        <v>0</v>
      </c>
    </row>
    <row r="498" spans="1:10" hidden="1" outlineLevel="1">
      <c r="A498" t="s">
        <v>39</v>
      </c>
      <c r="B498" t="s">
        <v>50</v>
      </c>
      <c r="C498" t="s">
        <v>69</v>
      </c>
      <c r="D498" t="s">
        <v>46</v>
      </c>
      <c r="E498" t="str">
        <f>IF(LEN(Str!C522)&gt;0, Str!C522, Str!B522)</f>
        <v>M16</v>
      </c>
      <c r="F498" s="1260" t="str">
        <f>Str!F522</f>
        <v>ชุด</v>
      </c>
      <c r="G498" s="1260">
        <f>Str!E522</f>
        <v>36</v>
      </c>
      <c r="H498" s="1260">
        <f>Str!I522</f>
        <v>2911.3036583580001</v>
      </c>
      <c r="I498" s="1260">
        <f>Str!L522</f>
        <v>873.39109750739999</v>
      </c>
      <c r="J498" s="1260">
        <f>Str!M522</f>
        <v>3784.6947558654001</v>
      </c>
    </row>
    <row r="499" spans="1:10" hidden="1" outlineLevel="1">
      <c r="A499" t="s">
        <v>39</v>
      </c>
      <c r="B499" t="s">
        <v>50</v>
      </c>
      <c r="C499" t="s">
        <v>69</v>
      </c>
      <c r="F499" s="1260">
        <f>Str!F523</f>
        <v>0</v>
      </c>
      <c r="G499" s="1260">
        <f>Str!E523</f>
        <v>0</v>
      </c>
      <c r="H499" s="1260">
        <f>Str!I523</f>
        <v>0</v>
      </c>
      <c r="I499" s="1260">
        <f>Str!L523</f>
        <v>0</v>
      </c>
      <c r="J499" s="1260">
        <f>Str!M523</f>
        <v>0</v>
      </c>
    </row>
    <row r="500" spans="1:10" hidden="1" outlineLevel="1">
      <c r="A500" t="s">
        <v>39</v>
      </c>
      <c r="B500" t="s">
        <v>50</v>
      </c>
      <c r="C500" t="s">
        <v>69</v>
      </c>
      <c r="D500" t="s">
        <v>47</v>
      </c>
      <c r="E500" t="str">
        <f>IF(LEN(Str!C524)&gt;0, Str!C524, Str!B524)</f>
        <v>พื้น</v>
      </c>
      <c r="F500" s="1260">
        <f>Str!F524</f>
        <v>0</v>
      </c>
      <c r="G500" s="1260">
        <f>Str!E524</f>
        <v>0</v>
      </c>
      <c r="H500" s="1260">
        <f>Str!I524</f>
        <v>0</v>
      </c>
      <c r="I500" s="1260">
        <f>Str!L524</f>
        <v>0</v>
      </c>
      <c r="J500" s="1260">
        <f>Str!M524</f>
        <v>0</v>
      </c>
    </row>
    <row r="501" spans="1:10" hidden="1" outlineLevel="1">
      <c r="A501" t="s">
        <v>39</v>
      </c>
      <c r="B501" t="s">
        <v>50</v>
      </c>
      <c r="C501" t="s">
        <v>69</v>
      </c>
      <c r="D501" t="s">
        <v>47</v>
      </c>
      <c r="E501" t="str">
        <f>IF(LEN(Str!C525)&gt;0, Str!C525, Str!B525)</f>
        <v>Steel Plate 6 mm. Thk.</v>
      </c>
      <c r="F501" s="1260" t="str">
        <f>Str!F525</f>
        <v>กก.</v>
      </c>
      <c r="G501" s="1260">
        <f>Str!E525</f>
        <v>1253.8</v>
      </c>
      <c r="H501" s="1260">
        <f>Str!I525</f>
        <v>26960.317314557797</v>
      </c>
      <c r="I501" s="1260">
        <f>Str!L525</f>
        <v>16410.627930600396</v>
      </c>
      <c r="J501" s="1260">
        <f>Str!M525</f>
        <v>43370.945245158189</v>
      </c>
    </row>
    <row r="502" spans="1:10" hidden="1" outlineLevel="1">
      <c r="A502" t="s">
        <v>39</v>
      </c>
      <c r="B502" t="s">
        <v>50</v>
      </c>
      <c r="C502" t="s">
        <v>69</v>
      </c>
      <c r="D502" t="s">
        <v>47</v>
      </c>
      <c r="E502" t="str">
        <f>IF(LEN(Str!C526)&gt;0, Str!C526, Str!B526)</f>
        <v>งานคอนกรีตโครงสร้าง (fc' 240 ksc, Cyl.)</v>
      </c>
      <c r="F502" s="1260" t="str">
        <f>Str!F526</f>
        <v>ลบ.ม.</v>
      </c>
      <c r="G502" s="1260">
        <f>Str!E526</f>
        <v>1.6</v>
      </c>
      <c r="H502" s="1260">
        <f>Str!I526</f>
        <v>3750.1031581263996</v>
      </c>
      <c r="I502" s="1260">
        <f>Str!L526</f>
        <v>776.34764222879994</v>
      </c>
      <c r="J502" s="1260">
        <f>Str!M526</f>
        <v>4526.4508003552</v>
      </c>
    </row>
    <row r="503" spans="1:10" hidden="1" outlineLevel="1">
      <c r="A503" t="s">
        <v>39</v>
      </c>
      <c r="B503" t="s">
        <v>50</v>
      </c>
      <c r="C503" t="s">
        <v>69</v>
      </c>
      <c r="D503" t="s">
        <v>47</v>
      </c>
      <c r="E503" t="str">
        <f>IF(LEN(Str!C527)&gt;0, Str!C527, Str!B527)</f>
        <v>เหล็กเสริม</v>
      </c>
      <c r="F503" s="1260">
        <f>Str!F527</f>
        <v>0</v>
      </c>
      <c r="G503" s="1260">
        <f>Str!E527</f>
        <v>0</v>
      </c>
      <c r="H503" s="1260">
        <f>Str!I527</f>
        <v>0</v>
      </c>
      <c r="I503" s="1260">
        <f>Str!L527</f>
        <v>0</v>
      </c>
      <c r="J503" s="1260">
        <f>Str!M527</f>
        <v>0</v>
      </c>
    </row>
    <row r="504" spans="1:10" hidden="1" outlineLevel="1">
      <c r="A504" t="s">
        <v>39</v>
      </c>
      <c r="B504" t="s">
        <v>50</v>
      </c>
      <c r="C504" t="s">
        <v>69</v>
      </c>
      <c r="D504" t="s">
        <v>47</v>
      </c>
      <c r="E504" t="str">
        <f>IF(LEN(Str!C528)&gt;0, Str!C528, Str!B528)</f>
        <v>งานเหล็กเสริมคอนกรีต RB 9  (SR-24)</v>
      </c>
      <c r="F504" s="1260" t="str">
        <f>Str!F528</f>
        <v>กก.</v>
      </c>
      <c r="G504" s="1260">
        <f>Str!E528</f>
        <v>155.4</v>
      </c>
      <c r="H504" s="1260">
        <f>Str!I528</f>
        <v>2847.5803258744804</v>
      </c>
      <c r="I504" s="1260">
        <f>Str!L528</f>
        <v>639.25272621672002</v>
      </c>
      <c r="J504" s="1260">
        <f>Str!M528</f>
        <v>3486.8330520912004</v>
      </c>
    </row>
    <row r="505" spans="1:10" hidden="1" outlineLevel="1">
      <c r="A505" t="s">
        <v>39</v>
      </c>
      <c r="B505" t="s">
        <v>50</v>
      </c>
      <c r="C505" t="s">
        <v>69</v>
      </c>
      <c r="D505" t="s">
        <v>47</v>
      </c>
      <c r="E505" t="str">
        <f>IF(LEN(Str!C529)&gt;0, Str!C529, Str!B529)</f>
        <v>ลวดผูกเหล็ก</v>
      </c>
      <c r="F505" s="1260" t="str">
        <f>Str!F529</f>
        <v>กก.</v>
      </c>
      <c r="G505" s="1260">
        <f>Str!E529</f>
        <v>2.9</v>
      </c>
      <c r="H505" s="1260">
        <f>Str!I529</f>
        <v>73.474423413729994</v>
      </c>
      <c r="I505" s="1260">
        <f>Str!L529</f>
        <v>0</v>
      </c>
      <c r="J505" s="1260">
        <f>Str!M529</f>
        <v>73.474423413729994</v>
      </c>
    </row>
    <row r="506" spans="1:10" hidden="1" outlineLevel="1">
      <c r="A506" t="s">
        <v>39</v>
      </c>
      <c r="B506" t="s">
        <v>50</v>
      </c>
      <c r="C506" t="s">
        <v>69</v>
      </c>
      <c r="D506" t="s">
        <v>47</v>
      </c>
      <c r="E506" t="str">
        <f>IF(LEN(Str!C530)&gt;0, Str!C530, Str!B530)</f>
        <v>งานสีกันสนิม</v>
      </c>
      <c r="F506" s="1260">
        <f>Str!F530</f>
        <v>0</v>
      </c>
      <c r="G506" s="1260">
        <f>Str!E530</f>
        <v>0</v>
      </c>
      <c r="H506" s="1260">
        <f>Str!I530</f>
        <v>0</v>
      </c>
      <c r="I506" s="1260">
        <f>Str!L530</f>
        <v>0</v>
      </c>
      <c r="J506" s="1260">
        <f>Str!M530</f>
        <v>0</v>
      </c>
    </row>
    <row r="507" spans="1:10" hidden="1" outlineLevel="1">
      <c r="A507" t="s">
        <v>39</v>
      </c>
      <c r="B507" t="s">
        <v>50</v>
      </c>
      <c r="C507" t="s">
        <v>69</v>
      </c>
      <c r="D507" t="s">
        <v>47</v>
      </c>
      <c r="E507" t="str">
        <f>IF(LEN(Str!C531)&gt;0, Str!C531, Str!B531)</f>
        <v>งานสีกันสนิม   เหล็ก 1 ตัน ต่อ ทาสี 25 ตร.ม.</v>
      </c>
      <c r="F507" s="1260" t="str">
        <f>Str!F531</f>
        <v>ตร.ม.</v>
      </c>
      <c r="G507" s="1260">
        <f>Str!E531</f>
        <v>89.4</v>
      </c>
      <c r="H507" s="1260">
        <f>Str!I531</f>
        <v>2341.9334388384359</v>
      </c>
      <c r="I507" s="1260">
        <f>Str!L531</f>
        <v>2507.4233820539998</v>
      </c>
      <c r="J507" s="1260">
        <f>Str!M531</f>
        <v>4849.3568208924353</v>
      </c>
    </row>
    <row r="508" spans="1:10" hidden="1" outlineLevel="1">
      <c r="A508" t="s">
        <v>39</v>
      </c>
      <c r="B508" t="s">
        <v>50</v>
      </c>
      <c r="C508" t="s">
        <v>69</v>
      </c>
      <c r="D508" t="s">
        <v>47</v>
      </c>
      <c r="E508" t="str">
        <f>IF(LEN(Str!C532)&gt;0, Str!C532, Str!B532)</f>
        <v>งานสีน้ำมัน  เหล็ก 1 ตัน ต่อ ทาสี 25 ตร.ม.</v>
      </c>
      <c r="F508" s="1260" t="str">
        <f>Str!F532</f>
        <v>ตร.ม.</v>
      </c>
      <c r="G508" s="1260">
        <f>Str!E532</f>
        <v>89.4</v>
      </c>
      <c r="H508" s="1260">
        <f>Str!I532</f>
        <v>2701.3307902661763</v>
      </c>
      <c r="I508" s="1260">
        <f>Str!L532</f>
        <v>2925.3272790630003</v>
      </c>
      <c r="J508" s="1260">
        <f>Str!M532</f>
        <v>5626.6580693291762</v>
      </c>
    </row>
    <row r="509" spans="1:10" hidden="1" outlineLevel="1">
      <c r="A509" t="s">
        <v>39</v>
      </c>
      <c r="F509" s="1260">
        <f>Str!F533</f>
        <v>0</v>
      </c>
      <c r="G509" s="1260">
        <f>Str!E533</f>
        <v>0</v>
      </c>
      <c r="H509" s="1260">
        <f>Str!I533</f>
        <v>0</v>
      </c>
      <c r="I509" s="1260">
        <f>Str!L533</f>
        <v>0</v>
      </c>
      <c r="J509" s="1260">
        <f>Str!M533</f>
        <v>0</v>
      </c>
    </row>
    <row r="510" spans="1:10" hidden="1" outlineLevel="1">
      <c r="F510" s="1260"/>
      <c r="G510" s="1260"/>
      <c r="H510" s="1260"/>
      <c r="I510" s="1260"/>
      <c r="J510" s="1260"/>
    </row>
    <row r="511" spans="1:10" hidden="1" outlineLevel="1">
      <c r="A511" t="s">
        <v>39</v>
      </c>
      <c r="F511" s="1260">
        <f>Str!F535</f>
        <v>0</v>
      </c>
      <c r="G511" s="1260">
        <f>Str!E535</f>
        <v>0</v>
      </c>
      <c r="H511" s="1260">
        <f>Str!I535</f>
        <v>0</v>
      </c>
      <c r="I511" s="1260">
        <f>Str!L535</f>
        <v>0</v>
      </c>
      <c r="J511" s="1260">
        <f>Str!M535</f>
        <v>0</v>
      </c>
    </row>
    <row r="512" spans="1:10" hidden="1" outlineLevel="1">
      <c r="A512" t="s">
        <v>39</v>
      </c>
      <c r="B512" t="s">
        <v>70</v>
      </c>
      <c r="E512" t="str">
        <f>IF(LEN(Str!C536)&gt;0, Str!C536, Str!B536)</f>
        <v>โครงสร้างโครงหลังคาดาดฟ้า ห้องสนามหลวง/ห้องศาสนา</v>
      </c>
      <c r="F512" s="1260">
        <f>Str!F536</f>
        <v>0</v>
      </c>
      <c r="G512" s="1260">
        <f>Str!E536</f>
        <v>0</v>
      </c>
      <c r="H512" s="1260">
        <f>Str!I536</f>
        <v>0</v>
      </c>
      <c r="I512" s="1260">
        <f>Str!L536</f>
        <v>0</v>
      </c>
      <c r="J512" s="1260">
        <f>Str!M536</f>
        <v>0</v>
      </c>
    </row>
    <row r="513" spans="1:10" hidden="1" outlineLevel="1">
      <c r="A513" t="s">
        <v>39</v>
      </c>
      <c r="B513" t="s">
        <v>70</v>
      </c>
      <c r="C513" t="s">
        <v>71</v>
      </c>
      <c r="E513" t="str">
        <f>IF(LEN(Str!C537)&gt;0, Str!C537, Str!B537)</f>
        <v>โครงสร้างหลังคาห้องสนามหลวง</v>
      </c>
      <c r="F513" s="1260">
        <f>Str!F537</f>
        <v>0</v>
      </c>
      <c r="G513" s="1260">
        <f>Str!E537</f>
        <v>0</v>
      </c>
      <c r="H513" s="1260">
        <f>Str!I537</f>
        <v>0</v>
      </c>
      <c r="I513" s="1260">
        <f>Str!L537</f>
        <v>0</v>
      </c>
      <c r="J513" s="1260">
        <f>Str!M537</f>
        <v>0</v>
      </c>
    </row>
    <row r="514" spans="1:10" hidden="1" outlineLevel="1">
      <c r="A514" t="s">
        <v>39</v>
      </c>
      <c r="B514" t="s">
        <v>70</v>
      </c>
      <c r="C514" t="s">
        <v>71</v>
      </c>
      <c r="D514" t="s">
        <v>48</v>
      </c>
      <c r="E514" t="str">
        <f>IF(LEN(Str!C538)&gt;0, Str!C538, Str!B538)</f>
        <v>เสา</v>
      </c>
      <c r="F514" s="1260">
        <f>Str!F538</f>
        <v>0</v>
      </c>
      <c r="G514" s="1260">
        <f>Str!E538</f>
        <v>0</v>
      </c>
      <c r="H514" s="1260">
        <f>Str!I538</f>
        <v>0</v>
      </c>
      <c r="I514" s="1260">
        <f>Str!L538</f>
        <v>0</v>
      </c>
      <c r="J514" s="1260">
        <f>Str!M538</f>
        <v>0</v>
      </c>
    </row>
    <row r="515" spans="1:10" hidden="1" outlineLevel="1">
      <c r="A515" t="s">
        <v>39</v>
      </c>
      <c r="B515" t="s">
        <v>70</v>
      </c>
      <c r="C515" t="s">
        <v>71</v>
      </c>
      <c r="D515" t="s">
        <v>48</v>
      </c>
      <c r="E515" t="str">
        <f>IF(LEN(Str!C539)&gt;0, Str!C539, Str!B539)</f>
        <v>เหล็กกล่อง 150x50x3.0 mm.-8.96 kg/m</v>
      </c>
      <c r="F515" s="1260" t="str">
        <f>Str!F539</f>
        <v>กก.</v>
      </c>
      <c r="G515" s="1260">
        <f>Str!E539</f>
        <v>37.200000000000003</v>
      </c>
      <c r="H515" s="1260">
        <f>Str!I539</f>
        <v>923.02349590653603</v>
      </c>
      <c r="I515" s="1260">
        <f>Str!L539</f>
        <v>486.90011087760001</v>
      </c>
      <c r="J515" s="1260">
        <f>Str!M539</f>
        <v>1409.9236067841362</v>
      </c>
    </row>
    <row r="516" spans="1:10" hidden="1" outlineLevel="1">
      <c r="A516" t="s">
        <v>39</v>
      </c>
      <c r="B516" t="s">
        <v>70</v>
      </c>
      <c r="C516" t="s">
        <v>71</v>
      </c>
      <c r="D516" t="s">
        <v>48</v>
      </c>
      <c r="E516" t="str">
        <f>IF(LEN(Str!C540)&gt;0, Str!C540, Str!B540)</f>
        <v>Steel Plate 6 mm.</v>
      </c>
      <c r="F516" s="1260" t="str">
        <f>Str!F540</f>
        <v>กก.</v>
      </c>
      <c r="G516" s="1260">
        <f>Str!E540</f>
        <v>26.9</v>
      </c>
      <c r="H516" s="1260">
        <f>Str!I540</f>
        <v>578.4276086788999</v>
      </c>
      <c r="I516" s="1260">
        <f>Str!L540</f>
        <v>352.08637050019996</v>
      </c>
      <c r="J516" s="1260">
        <f>Str!M540</f>
        <v>930.51397917909981</v>
      </c>
    </row>
    <row r="517" spans="1:10" hidden="1" outlineLevel="1">
      <c r="A517" t="s">
        <v>39</v>
      </c>
      <c r="B517" t="s">
        <v>70</v>
      </c>
      <c r="C517" t="s">
        <v>71</v>
      </c>
      <c r="D517" t="s">
        <v>48</v>
      </c>
      <c r="E517" t="str">
        <f>IF(LEN(Str!C541)&gt;0, Str!C541, Str!B541)</f>
        <v xml:space="preserve">Chemical Bolt  (A325) </v>
      </c>
      <c r="F517" s="1260">
        <f>Str!F541</f>
        <v>0</v>
      </c>
      <c r="G517" s="1260">
        <f>Str!E541</f>
        <v>0</v>
      </c>
      <c r="H517" s="1260">
        <f>Str!I541</f>
        <v>0</v>
      </c>
      <c r="I517" s="1260">
        <f>Str!L541</f>
        <v>0</v>
      </c>
      <c r="J517" s="1260">
        <f>Str!M541</f>
        <v>0</v>
      </c>
    </row>
    <row r="518" spans="1:10" hidden="1" outlineLevel="1">
      <c r="A518" t="s">
        <v>39</v>
      </c>
      <c r="B518" t="s">
        <v>70</v>
      </c>
      <c r="C518" t="s">
        <v>71</v>
      </c>
      <c r="D518" t="s">
        <v>48</v>
      </c>
      <c r="E518" t="str">
        <f>IF(LEN(Str!C542)&gt;0, Str!C542, Str!B542)</f>
        <v>M12</v>
      </c>
      <c r="F518" s="1260" t="str">
        <f>Str!F542</f>
        <v>ชุด</v>
      </c>
      <c r="G518" s="1260">
        <f>Str!E542</f>
        <v>52</v>
      </c>
      <c r="H518" s="1260">
        <f>Str!I542</f>
        <v>3062.7587619719998</v>
      </c>
      <c r="I518" s="1260">
        <f>Str!L542</f>
        <v>918.82762859159982</v>
      </c>
      <c r="J518" s="1260">
        <f>Str!M542</f>
        <v>3981.5863905635997</v>
      </c>
    </row>
    <row r="519" spans="1:10" hidden="1" outlineLevel="1">
      <c r="A519" t="s">
        <v>39</v>
      </c>
      <c r="B519" t="s">
        <v>70</v>
      </c>
      <c r="C519" t="s">
        <v>71</v>
      </c>
      <c r="D519" t="s">
        <v>46</v>
      </c>
      <c r="E519" t="str">
        <f>IF(LEN(Str!C543)&gt;0, Str!C543, Str!B543)</f>
        <v>คาน</v>
      </c>
      <c r="F519" s="1260">
        <f>Str!F543</f>
        <v>0</v>
      </c>
      <c r="G519" s="1260">
        <f>Str!E543</f>
        <v>0</v>
      </c>
      <c r="H519" s="1260">
        <f>Str!I543</f>
        <v>0</v>
      </c>
      <c r="I519" s="1260">
        <f>Str!L543</f>
        <v>0</v>
      </c>
      <c r="J519" s="1260">
        <f>Str!M543</f>
        <v>0</v>
      </c>
    </row>
    <row r="520" spans="1:10" hidden="1" outlineLevel="1">
      <c r="A520" t="s">
        <v>39</v>
      </c>
      <c r="B520" t="s">
        <v>70</v>
      </c>
      <c r="C520" t="s">
        <v>71</v>
      </c>
      <c r="D520" t="s">
        <v>46</v>
      </c>
      <c r="E520" t="str">
        <f>IF(LEN(Str!C544)&gt;0, Str!C544, Str!B544)</f>
        <v>เหล็กกล่อง 50x50x2.3 mm.-3.34 kg/m</v>
      </c>
      <c r="F520" s="1260" t="str">
        <f>Str!F544</f>
        <v>กก.</v>
      </c>
      <c r="G520" s="1260">
        <f>Str!E544</f>
        <v>323.39999999999998</v>
      </c>
      <c r="H520" s="1260">
        <f>Str!I544</f>
        <v>8024.3494240906912</v>
      </c>
      <c r="I520" s="1260">
        <f>Str!L544</f>
        <v>4232.8896735971994</v>
      </c>
      <c r="J520" s="1260">
        <f>Str!M544</f>
        <v>12257.239097687891</v>
      </c>
    </row>
    <row r="521" spans="1:10" hidden="1" outlineLevel="1">
      <c r="A521" t="s">
        <v>39</v>
      </c>
      <c r="B521" t="s">
        <v>70</v>
      </c>
      <c r="C521" t="s">
        <v>71</v>
      </c>
      <c r="D521" t="s">
        <v>46</v>
      </c>
      <c r="E521" t="str">
        <f>IF(LEN(Str!C545)&gt;0, Str!C545, Str!B545)</f>
        <v>เหล็กกล่อง 100x50x3.0 mm.-6.6 kg/m</v>
      </c>
      <c r="F521" s="1260" t="str">
        <f>Str!F545</f>
        <v>กก.</v>
      </c>
      <c r="G521" s="1260">
        <f>Str!E545</f>
        <v>1626.9</v>
      </c>
      <c r="H521" s="1260">
        <f>Str!I545</f>
        <v>40367.390470170525</v>
      </c>
      <c r="I521" s="1260">
        <f>Str!L545</f>
        <v>21294.0266233002</v>
      </c>
      <c r="J521" s="1260">
        <f>Str!M545</f>
        <v>61661.417093470722</v>
      </c>
    </row>
    <row r="522" spans="1:10" hidden="1" outlineLevel="1">
      <c r="A522" t="s">
        <v>39</v>
      </c>
      <c r="B522" t="s">
        <v>70</v>
      </c>
      <c r="C522" t="s">
        <v>71</v>
      </c>
      <c r="D522" t="s">
        <v>46</v>
      </c>
      <c r="E522" t="str">
        <f>IF(LEN(Str!C546)&gt;0, Str!C546, Str!B546)</f>
        <v>เหล็กกล่อง 150x50x3.0 mm.-8.96 kg/m</v>
      </c>
      <c r="F522" s="1260" t="str">
        <f>Str!F546</f>
        <v>กก.</v>
      </c>
      <c r="G522" s="1260">
        <f>Str!E546</f>
        <v>2208.8000000000002</v>
      </c>
      <c r="H522" s="1260">
        <f>Str!I546</f>
        <v>54805.76069242895</v>
      </c>
      <c r="I522" s="1260">
        <f>Str!L546</f>
        <v>28910.348518990399</v>
      </c>
      <c r="J522" s="1260">
        <f>Str!M546</f>
        <v>83716.109211419345</v>
      </c>
    </row>
    <row r="523" spans="1:10" hidden="1" outlineLevel="1">
      <c r="A523" t="s">
        <v>39</v>
      </c>
      <c r="B523" t="s">
        <v>70</v>
      </c>
      <c r="C523" t="s">
        <v>71</v>
      </c>
      <c r="D523" t="s">
        <v>46</v>
      </c>
      <c r="E523" t="str">
        <f>IF(LEN(Str!C547)&gt;0, Str!C547, Str!B547)</f>
        <v>เหล็กกล่อง 150x100x3.2 mm.-12.03 kg/m</v>
      </c>
      <c r="F523" s="1260" t="str">
        <f>Str!F547</f>
        <v>กก.</v>
      </c>
      <c r="G523" s="1260">
        <f>Str!E547</f>
        <v>293.7</v>
      </c>
      <c r="H523" s="1260">
        <f>Str!I547</f>
        <v>7402.744022169144</v>
      </c>
      <c r="I523" s="1260">
        <f>Str!L547</f>
        <v>3844.1549076545994</v>
      </c>
      <c r="J523" s="1260">
        <f>Str!M547</f>
        <v>11246.898929823743</v>
      </c>
    </row>
    <row r="524" spans="1:10" hidden="1" outlineLevel="1">
      <c r="A524" t="s">
        <v>39</v>
      </c>
      <c r="B524" t="s">
        <v>70</v>
      </c>
      <c r="C524" t="s">
        <v>71</v>
      </c>
      <c r="D524" t="s">
        <v>46</v>
      </c>
      <c r="E524" t="str">
        <f>IF(LEN(Str!C548)&gt;0, Str!C548, Str!B548)</f>
        <v>เหล็กกล่อง 150x150x3.2 mm.-14.54 kg/m</v>
      </c>
      <c r="F524" s="1260" t="str">
        <f>Str!F548</f>
        <v>กก.</v>
      </c>
      <c r="G524" s="1260">
        <f>Str!E548</f>
        <v>354.2</v>
      </c>
      <c r="H524" s="1260">
        <f>Str!I548</f>
        <v>8927.6538394699037</v>
      </c>
      <c r="I524" s="1260">
        <f>Str!L548</f>
        <v>4636.022023463599</v>
      </c>
      <c r="J524" s="1260">
        <f>Str!M548</f>
        <v>13563.675862933502</v>
      </c>
    </row>
    <row r="525" spans="1:10" hidden="1" outlineLevel="1">
      <c r="A525" t="s">
        <v>39</v>
      </c>
      <c r="B525" t="s">
        <v>70</v>
      </c>
      <c r="C525" t="s">
        <v>71</v>
      </c>
      <c r="D525" t="s">
        <v>72</v>
      </c>
      <c r="E525" t="str">
        <f>IF(LEN(Str!C549)&gt;0, Str!C549, Str!B549)</f>
        <v>งานสีกันสนิม</v>
      </c>
      <c r="F525" s="1260">
        <f>Str!F549</f>
        <v>0</v>
      </c>
      <c r="G525" s="1260">
        <f>Str!E549</f>
        <v>0</v>
      </c>
      <c r="H525" s="1260">
        <f>Str!I549</f>
        <v>0</v>
      </c>
      <c r="I525" s="1260">
        <f>Str!L549</f>
        <v>0</v>
      </c>
      <c r="J525" s="1260">
        <f>Str!M549</f>
        <v>0</v>
      </c>
    </row>
    <row r="526" spans="1:10" hidden="1" outlineLevel="1">
      <c r="A526" t="s">
        <v>39</v>
      </c>
      <c r="B526" t="s">
        <v>70</v>
      </c>
      <c r="C526" t="s">
        <v>71</v>
      </c>
      <c r="D526" t="s">
        <v>72</v>
      </c>
      <c r="E526" t="str">
        <f>IF(LEN(Str!C550)&gt;0, Str!C550, Str!B550)</f>
        <v>งานสีกันสนิม   เหล็ก 1 ตัน ต่อ ทาสี 25 ตร.ม.</v>
      </c>
      <c r="F526" s="1260" t="str">
        <f>Str!F550</f>
        <v>ตร.ม.</v>
      </c>
      <c r="G526" s="1260">
        <f>Str!E550</f>
        <v>121.8</v>
      </c>
      <c r="H526" s="1260">
        <f>Str!I550</f>
        <v>3190.6878394912919</v>
      </c>
      <c r="I526" s="1260">
        <f>Str!L550</f>
        <v>3416.1540037379996</v>
      </c>
      <c r="J526" s="1260">
        <f>Str!M550</f>
        <v>6606.841843229291</v>
      </c>
    </row>
    <row r="527" spans="1:10" hidden="1" outlineLevel="1">
      <c r="A527" t="s">
        <v>39</v>
      </c>
      <c r="B527" t="s">
        <v>70</v>
      </c>
      <c r="C527" t="s">
        <v>71</v>
      </c>
      <c r="D527" t="s">
        <v>72</v>
      </c>
      <c r="E527" t="str">
        <f>IF(LEN(Str!C551)&gt;0, Str!C551, Str!B551)</f>
        <v>งานสีน้ำมัน  เหล็ก 1 ตัน ต่อ ทาสี 25 ตร.ม.</v>
      </c>
      <c r="F527" s="1260" t="str">
        <f>Str!F551</f>
        <v>ตร.ม.</v>
      </c>
      <c r="G527" s="1260">
        <f>Str!E551</f>
        <v>121.8</v>
      </c>
      <c r="H527" s="1260">
        <f>Str!I551</f>
        <v>3680.3365800270722</v>
      </c>
      <c r="I527" s="1260">
        <f>Str!L551</f>
        <v>3985.5130043609997</v>
      </c>
      <c r="J527" s="1260">
        <f>Str!M551</f>
        <v>7665.8495843880719</v>
      </c>
    </row>
    <row r="528" spans="1:10" hidden="1" outlineLevel="1">
      <c r="A528" t="s">
        <v>39</v>
      </c>
      <c r="B528" t="s">
        <v>70</v>
      </c>
      <c r="C528" t="s">
        <v>71</v>
      </c>
      <c r="F528" s="1260">
        <f>Str!F552</f>
        <v>0</v>
      </c>
      <c r="G528" s="1260">
        <f>Str!E552</f>
        <v>0</v>
      </c>
      <c r="H528" s="1260">
        <f>Str!I552</f>
        <v>0</v>
      </c>
      <c r="I528" s="1260">
        <f>Str!L552</f>
        <v>0</v>
      </c>
      <c r="J528" s="1260">
        <f>Str!M552</f>
        <v>0</v>
      </c>
    </row>
    <row r="529" spans="1:10" hidden="1" outlineLevel="1">
      <c r="A529" t="s">
        <v>39</v>
      </c>
      <c r="B529" t="s">
        <v>70</v>
      </c>
      <c r="C529" t="s">
        <v>73</v>
      </c>
      <c r="E529" t="str">
        <f>IF(LEN(Str!C553)&gt;0, Str!C553, Str!B553)</f>
        <v>โครงสร้างหลังคาห้องศาสนา</v>
      </c>
      <c r="F529" s="1260">
        <f>Str!F553</f>
        <v>0</v>
      </c>
      <c r="G529" s="1260">
        <f>Str!E553</f>
        <v>0</v>
      </c>
      <c r="H529" s="1260">
        <f>Str!I553</f>
        <v>0</v>
      </c>
      <c r="I529" s="1260">
        <f>Str!L553</f>
        <v>0</v>
      </c>
      <c r="J529" s="1260">
        <f>Str!M553</f>
        <v>0</v>
      </c>
    </row>
    <row r="530" spans="1:10" hidden="1" outlineLevel="1">
      <c r="A530" t="s">
        <v>39</v>
      </c>
      <c r="B530" t="s">
        <v>70</v>
      </c>
      <c r="C530" t="s">
        <v>73</v>
      </c>
      <c r="D530" t="s">
        <v>48</v>
      </c>
      <c r="E530" t="str">
        <f>IF(LEN(Str!C554)&gt;0, Str!C554, Str!B554)</f>
        <v>เสา</v>
      </c>
      <c r="F530" s="1260">
        <f>Str!F554</f>
        <v>0</v>
      </c>
      <c r="G530" s="1260">
        <f>Str!E554</f>
        <v>0</v>
      </c>
      <c r="H530" s="1260">
        <f>Str!I554</f>
        <v>0</v>
      </c>
      <c r="I530" s="1260">
        <f>Str!L554</f>
        <v>0</v>
      </c>
      <c r="J530" s="1260">
        <f>Str!M554</f>
        <v>0</v>
      </c>
    </row>
    <row r="531" spans="1:10" hidden="1" outlineLevel="1">
      <c r="A531" t="s">
        <v>39</v>
      </c>
      <c r="B531" t="s">
        <v>70</v>
      </c>
      <c r="C531" t="s">
        <v>73</v>
      </c>
      <c r="D531" t="s">
        <v>48</v>
      </c>
      <c r="E531" t="str">
        <f>IF(LEN(Str!C555)&gt;0, Str!C555, Str!B555)</f>
        <v>เหล็กกล่อง 150x50x3.0 mm.-8.96 kg/m</v>
      </c>
      <c r="F531" s="1260" t="str">
        <f>Str!F555</f>
        <v>กก.</v>
      </c>
      <c r="G531" s="1260">
        <f>Str!E555</f>
        <v>37.200000000000003</v>
      </c>
      <c r="H531" s="1260">
        <f>Str!I555</f>
        <v>923.02349590653603</v>
      </c>
      <c r="I531" s="1260">
        <f>Str!L555</f>
        <v>486.90011087760001</v>
      </c>
      <c r="J531" s="1260">
        <f>Str!M555</f>
        <v>1409.9236067841362</v>
      </c>
    </row>
    <row r="532" spans="1:10" hidden="1" outlineLevel="1">
      <c r="A532" t="s">
        <v>39</v>
      </c>
      <c r="B532" t="s">
        <v>70</v>
      </c>
      <c r="C532" t="s">
        <v>73</v>
      </c>
      <c r="D532" t="s">
        <v>48</v>
      </c>
      <c r="E532" t="str">
        <f>IF(LEN(Str!C556)&gt;0, Str!C556, Str!B556)</f>
        <v>Steel Plate 6 mm.</v>
      </c>
      <c r="F532" s="1260" t="str">
        <f>Str!F556</f>
        <v>กก.</v>
      </c>
      <c r="G532" s="1260">
        <f>Str!E556</f>
        <v>26.9</v>
      </c>
      <c r="H532" s="1260">
        <f>Str!I556</f>
        <v>578.4276086788999</v>
      </c>
      <c r="I532" s="1260">
        <f>Str!L556</f>
        <v>352.08637050019996</v>
      </c>
      <c r="J532" s="1260">
        <f>Str!M556</f>
        <v>930.51397917909981</v>
      </c>
    </row>
    <row r="533" spans="1:10" hidden="1" outlineLevel="1">
      <c r="A533" t="s">
        <v>39</v>
      </c>
      <c r="B533" t="s">
        <v>70</v>
      </c>
      <c r="C533" t="s">
        <v>73</v>
      </c>
      <c r="D533" t="s">
        <v>48</v>
      </c>
      <c r="E533" t="str">
        <f>IF(LEN(Str!C557)&gt;0, Str!C557, Str!B557)</f>
        <v xml:space="preserve">Chemical Bolt  (A325) </v>
      </c>
      <c r="F533" s="1260">
        <f>Str!F557</f>
        <v>0</v>
      </c>
      <c r="G533" s="1260">
        <f>Str!E557</f>
        <v>0</v>
      </c>
      <c r="H533" s="1260">
        <f>Str!I557</f>
        <v>0</v>
      </c>
      <c r="I533" s="1260">
        <f>Str!L557</f>
        <v>0</v>
      </c>
      <c r="J533" s="1260">
        <f>Str!M557</f>
        <v>0</v>
      </c>
    </row>
    <row r="534" spans="1:10" hidden="1" outlineLevel="1">
      <c r="A534" t="s">
        <v>39</v>
      </c>
      <c r="B534" t="s">
        <v>70</v>
      </c>
      <c r="C534" t="s">
        <v>73</v>
      </c>
      <c r="D534" t="s">
        <v>48</v>
      </c>
      <c r="E534" t="str">
        <f>IF(LEN(Str!C558)&gt;0, Str!C558, Str!B558)</f>
        <v>M12</v>
      </c>
      <c r="F534" s="1260" t="str">
        <f>Str!F558</f>
        <v>ชุด</v>
      </c>
      <c r="G534" s="1260">
        <f>Str!E558</f>
        <v>52</v>
      </c>
      <c r="H534" s="1260">
        <f>Str!I558</f>
        <v>3062.7587619719998</v>
      </c>
      <c r="I534" s="1260">
        <f>Str!L558</f>
        <v>918.82762859159982</v>
      </c>
      <c r="J534" s="1260">
        <f>Str!M558</f>
        <v>3981.5863905635997</v>
      </c>
    </row>
    <row r="535" spans="1:10" hidden="1" outlineLevel="1">
      <c r="A535" t="s">
        <v>39</v>
      </c>
      <c r="B535" t="s">
        <v>70</v>
      </c>
      <c r="C535" t="s">
        <v>73</v>
      </c>
      <c r="D535" t="s">
        <v>46</v>
      </c>
      <c r="E535" t="str">
        <f>IF(LEN(Str!C559)&gt;0, Str!C559, Str!B559)</f>
        <v>คาน</v>
      </c>
      <c r="F535" s="1260">
        <f>Str!F559</f>
        <v>0</v>
      </c>
      <c r="G535" s="1260">
        <f>Str!E559</f>
        <v>0</v>
      </c>
      <c r="H535" s="1260">
        <f>Str!I559</f>
        <v>0</v>
      </c>
      <c r="I535" s="1260">
        <f>Str!L559</f>
        <v>0</v>
      </c>
      <c r="J535" s="1260">
        <f>Str!M559</f>
        <v>0</v>
      </c>
    </row>
    <row r="536" spans="1:10" hidden="1" outlineLevel="1">
      <c r="A536" t="s">
        <v>39</v>
      </c>
      <c r="B536" t="s">
        <v>70</v>
      </c>
      <c r="C536" t="s">
        <v>73</v>
      </c>
      <c r="D536" t="s">
        <v>46</v>
      </c>
      <c r="E536" t="str">
        <f>IF(LEN(Str!C560)&gt;0, Str!C560, Str!B560)</f>
        <v>เหล็กกล่อง 50x50x2.3 mm.-3.34 kg/m</v>
      </c>
      <c r="F536" s="1260" t="str">
        <f>Str!F560</f>
        <v>กก.</v>
      </c>
      <c r="G536" s="1260">
        <f>Str!E560</f>
        <v>323.39999999999998</v>
      </c>
      <c r="H536" s="1260">
        <f>Str!I560</f>
        <v>8024.3494240906912</v>
      </c>
      <c r="I536" s="1260">
        <f>Str!L560</f>
        <v>4232.8896735971994</v>
      </c>
      <c r="J536" s="1260">
        <f>Str!M560</f>
        <v>12257.239097687891</v>
      </c>
    </row>
    <row r="537" spans="1:10" hidden="1" outlineLevel="1">
      <c r="A537" t="s">
        <v>39</v>
      </c>
      <c r="B537" t="s">
        <v>70</v>
      </c>
      <c r="C537" t="s">
        <v>73</v>
      </c>
      <c r="D537" t="s">
        <v>46</v>
      </c>
      <c r="E537" t="str">
        <f>IF(LEN(Str!C561)&gt;0, Str!C561, Str!B561)</f>
        <v>เหล็กกล่อง 100x50x3.0 mm.-6.6 kg/m</v>
      </c>
      <c r="F537" s="1260" t="str">
        <f>Str!F561</f>
        <v>กก.</v>
      </c>
      <c r="G537" s="1260">
        <f>Str!E561</f>
        <v>1626.9</v>
      </c>
      <c r="H537" s="1260">
        <f>Str!I561</f>
        <v>40367.390470170525</v>
      </c>
      <c r="I537" s="1260">
        <f>Str!L561</f>
        <v>21294.0266233002</v>
      </c>
      <c r="J537" s="1260">
        <f>Str!M561</f>
        <v>61661.417093470722</v>
      </c>
    </row>
    <row r="538" spans="1:10" hidden="1" outlineLevel="1">
      <c r="A538" t="s">
        <v>39</v>
      </c>
      <c r="B538" t="s">
        <v>70</v>
      </c>
      <c r="C538" t="s">
        <v>73</v>
      </c>
      <c r="D538" t="s">
        <v>46</v>
      </c>
      <c r="E538" t="str">
        <f>IF(LEN(Str!C562)&gt;0, Str!C562, Str!B562)</f>
        <v>เหล็กกล่อง 150x50x3.0 mm.-8.96 kg/m</v>
      </c>
      <c r="F538" s="1260" t="str">
        <f>Str!F562</f>
        <v>กก.</v>
      </c>
      <c r="G538" s="1260">
        <f>Str!E562</f>
        <v>2208.8000000000002</v>
      </c>
      <c r="H538" s="1260">
        <f>Str!I562</f>
        <v>54805.76069242895</v>
      </c>
      <c r="I538" s="1260">
        <f>Str!L562</f>
        <v>28910.348518990399</v>
      </c>
      <c r="J538" s="1260">
        <f>Str!M562</f>
        <v>83716.109211419345</v>
      </c>
    </row>
    <row r="539" spans="1:10" hidden="1" outlineLevel="1">
      <c r="A539" t="s">
        <v>39</v>
      </c>
      <c r="B539" t="s">
        <v>70</v>
      </c>
      <c r="C539" t="s">
        <v>73</v>
      </c>
      <c r="D539" t="s">
        <v>46</v>
      </c>
      <c r="E539" t="str">
        <f>IF(LEN(Str!C563)&gt;0, Str!C563, Str!B563)</f>
        <v>เหล็กกล่อง 150x100x3.2 mm.-12.03 kg/m</v>
      </c>
      <c r="F539" s="1260" t="str">
        <f>Str!F563</f>
        <v>กก.</v>
      </c>
      <c r="G539" s="1260">
        <f>Str!E563</f>
        <v>293.7</v>
      </c>
      <c r="H539" s="1260">
        <f>Str!I563</f>
        <v>7402.744022169144</v>
      </c>
      <c r="I539" s="1260">
        <f>Str!L563</f>
        <v>3844.1549076545994</v>
      </c>
      <c r="J539" s="1260">
        <f>Str!M563</f>
        <v>11246.898929823743</v>
      </c>
    </row>
    <row r="540" spans="1:10" hidden="1" outlineLevel="1">
      <c r="A540" t="s">
        <v>39</v>
      </c>
      <c r="B540" t="s">
        <v>70</v>
      </c>
      <c r="C540" t="s">
        <v>73</v>
      </c>
      <c r="D540" t="s">
        <v>46</v>
      </c>
      <c r="E540" t="str">
        <f>IF(LEN(Str!C564)&gt;0, Str!C564, Str!B564)</f>
        <v>เหล็กกล่อง 150x150x3.2 mm.-14.54 kg/m</v>
      </c>
      <c r="F540" s="1260" t="str">
        <f>Str!F564</f>
        <v>กก.</v>
      </c>
      <c r="G540" s="1260">
        <f>Str!E564</f>
        <v>354.2</v>
      </c>
      <c r="H540" s="1260">
        <f>Str!I564</f>
        <v>8927.6538394699037</v>
      </c>
      <c r="I540" s="1260">
        <f>Str!L564</f>
        <v>4636.022023463599</v>
      </c>
      <c r="J540" s="1260">
        <f>Str!M564</f>
        <v>13563.675862933502</v>
      </c>
    </row>
    <row r="541" spans="1:10" hidden="1" outlineLevel="1">
      <c r="A541" t="s">
        <v>39</v>
      </c>
      <c r="B541" t="s">
        <v>70</v>
      </c>
      <c r="C541" t="s">
        <v>73</v>
      </c>
      <c r="D541" t="s">
        <v>72</v>
      </c>
      <c r="E541" t="str">
        <f>IF(LEN(Str!C565)&gt;0, Str!C565, Str!B565)</f>
        <v>งานสีกันสนิม</v>
      </c>
      <c r="F541" s="1260">
        <f>Str!F565</f>
        <v>0</v>
      </c>
      <c r="G541" s="1260">
        <f>Str!E565</f>
        <v>0</v>
      </c>
      <c r="H541" s="1260">
        <f>Str!I565</f>
        <v>0</v>
      </c>
      <c r="I541" s="1260">
        <f>Str!L565</f>
        <v>0</v>
      </c>
      <c r="J541" s="1260">
        <f>Str!M565</f>
        <v>0</v>
      </c>
    </row>
    <row r="542" spans="1:10" hidden="1" outlineLevel="1">
      <c r="A542" t="s">
        <v>39</v>
      </c>
      <c r="B542" t="s">
        <v>70</v>
      </c>
      <c r="C542" t="s">
        <v>73</v>
      </c>
      <c r="D542" t="s">
        <v>72</v>
      </c>
      <c r="E542" t="str">
        <f>IF(LEN(Str!C566)&gt;0, Str!C566, Str!B566)</f>
        <v>งานสีกันสนิม   เหล็ก 1 ตัน ต่อ ทาสี 25 ตร.ม.</v>
      </c>
      <c r="F542" s="1260" t="str">
        <f>Str!F566</f>
        <v>ตร.ม.</v>
      </c>
      <c r="G542" s="1260">
        <f>Str!E566</f>
        <v>121.8</v>
      </c>
      <c r="H542" s="1260">
        <f>Str!I566</f>
        <v>3190.6878394912919</v>
      </c>
      <c r="I542" s="1260">
        <f>Str!L566</f>
        <v>3416.1540037379996</v>
      </c>
      <c r="J542" s="1260">
        <f>Str!M566</f>
        <v>6606.841843229291</v>
      </c>
    </row>
    <row r="543" spans="1:10" hidden="1" outlineLevel="1">
      <c r="A543" t="s">
        <v>39</v>
      </c>
      <c r="B543" t="s">
        <v>70</v>
      </c>
      <c r="C543" t="s">
        <v>73</v>
      </c>
      <c r="D543" t="s">
        <v>72</v>
      </c>
      <c r="E543" t="str">
        <f>IF(LEN(Str!C567)&gt;0, Str!C567, Str!B567)</f>
        <v>งานสีน้ำมัน  เหล็ก 1 ตัน ต่อ ทาสี 25 ตร.ม.</v>
      </c>
      <c r="F543" s="1260" t="str">
        <f>Str!F567</f>
        <v>ตร.ม.</v>
      </c>
      <c r="G543" s="1260">
        <f>Str!E567</f>
        <v>121.8</v>
      </c>
      <c r="H543" s="1260">
        <f>Str!I567</f>
        <v>3680.3365800270722</v>
      </c>
      <c r="I543" s="1260">
        <f>Str!L567</f>
        <v>3985.5130043609997</v>
      </c>
      <c r="J543" s="1260">
        <f>Str!M567</f>
        <v>7665.8495843880719</v>
      </c>
    </row>
    <row r="544" spans="1:10" hidden="1" outlineLevel="1">
      <c r="A544" t="s">
        <v>39</v>
      </c>
      <c r="F544" s="1260">
        <f>Str!F568</f>
        <v>0</v>
      </c>
      <c r="G544" s="1260">
        <f>Str!E568</f>
        <v>0</v>
      </c>
      <c r="H544" s="1260">
        <f>Str!I568</f>
        <v>0</v>
      </c>
      <c r="I544" s="1260">
        <f>Str!L568</f>
        <v>0</v>
      </c>
      <c r="J544" s="1260">
        <f>Str!M568</f>
        <v>0</v>
      </c>
    </row>
    <row r="545" spans="1:10" hidden="1" outlineLevel="1">
      <c r="F545" s="1260"/>
      <c r="G545" s="1260"/>
      <c r="H545" s="1260"/>
      <c r="I545" s="1260"/>
      <c r="J545" s="1260"/>
    </row>
    <row r="546" spans="1:10" hidden="1" outlineLevel="1">
      <c r="A546" t="s">
        <v>39</v>
      </c>
      <c r="F546" s="1260">
        <f>Str!F570</f>
        <v>0</v>
      </c>
      <c r="G546" s="1260">
        <f>Str!E570</f>
        <v>0</v>
      </c>
      <c r="H546" s="1260">
        <f>Str!I570</f>
        <v>0</v>
      </c>
      <c r="I546" s="1260">
        <f>Str!L570</f>
        <v>0</v>
      </c>
      <c r="J546" s="1260">
        <f>Str!M570</f>
        <v>0</v>
      </c>
    </row>
    <row r="547" spans="1:10" hidden="1" outlineLevel="1">
      <c r="A547" t="s">
        <v>39</v>
      </c>
      <c r="E547" t="str">
        <f>IF(LEN(Str!C571)&gt;0, Str!C571, Str!B571)</f>
        <v>โครงสร้างหลังคาอาคารหลัก</v>
      </c>
      <c r="F547" s="1260">
        <f>Str!F571</f>
        <v>0</v>
      </c>
      <c r="G547" s="1260">
        <f>Str!E571</f>
        <v>0</v>
      </c>
      <c r="H547" s="1260">
        <f>Str!I571</f>
        <v>0</v>
      </c>
      <c r="I547" s="1260">
        <f>Str!L571</f>
        <v>0</v>
      </c>
      <c r="J547" s="1260">
        <f>Str!M571</f>
        <v>0</v>
      </c>
    </row>
    <row r="548" spans="1:10" hidden="1" outlineLevel="1">
      <c r="A548" t="s">
        <v>39</v>
      </c>
      <c r="B548" t="s">
        <v>74</v>
      </c>
      <c r="C548" t="s">
        <v>75</v>
      </c>
      <c r="D548" t="s">
        <v>57</v>
      </c>
      <c r="E548" t="str">
        <f>IF(LEN(Str!C572)&gt;0, Str!C572, Str!B572)</f>
        <v>งานโครงเหล็กหลังคา</v>
      </c>
      <c r="F548" s="1260">
        <f>Str!F572</f>
        <v>0</v>
      </c>
      <c r="G548" s="1260">
        <f>Str!E572</f>
        <v>0</v>
      </c>
      <c r="H548" s="1260">
        <f>Str!I572</f>
        <v>0</v>
      </c>
      <c r="I548" s="1260">
        <f>Str!L572</f>
        <v>0</v>
      </c>
      <c r="J548" s="1260">
        <f>Str!M572</f>
        <v>0</v>
      </c>
    </row>
    <row r="549" spans="1:10" hidden="1" outlineLevel="1">
      <c r="A549" t="s">
        <v>39</v>
      </c>
      <c r="B549" t="s">
        <v>74</v>
      </c>
      <c r="C549" t="s">
        <v>75</v>
      </c>
      <c r="D549" t="s">
        <v>57</v>
      </c>
      <c r="E549" t="str">
        <f>IF(LEN(Str!C573)&gt;0, Str!C573, Str!B573)</f>
        <v>Built-Up T-Beam Steel Plate 6 mm.</v>
      </c>
      <c r="F549" s="1260" t="str">
        <f>Str!F573</f>
        <v>กก.</v>
      </c>
      <c r="G549" s="1260">
        <f>Str!E573</f>
        <v>1632</v>
      </c>
      <c r="H549" s="1260">
        <f>Str!I573</f>
        <v>35092.708452191997</v>
      </c>
      <c r="I549" s="1260">
        <f>Str!L573</f>
        <v>21360.779057855998</v>
      </c>
      <c r="J549" s="1260">
        <f>Str!M573</f>
        <v>56453.487510047999</v>
      </c>
    </row>
    <row r="550" spans="1:10" hidden="1" outlineLevel="1">
      <c r="A550" t="s">
        <v>39</v>
      </c>
      <c r="B550" t="s">
        <v>74</v>
      </c>
      <c r="C550" t="s">
        <v>75</v>
      </c>
      <c r="D550" t="s">
        <v>57</v>
      </c>
      <c r="E550" t="str">
        <f>IF(LEN(Str!C574)&gt;0, Str!C574, Str!B574)</f>
        <v>เหล็กกล่อง 150x50x2.5 mm.-7.53 kg/m</v>
      </c>
      <c r="F550" s="1260" t="str">
        <f>Str!F574</f>
        <v>กก.</v>
      </c>
      <c r="G550" s="1260">
        <f>Str!E574</f>
        <v>1408</v>
      </c>
      <c r="H550" s="1260">
        <f>Str!I574</f>
        <v>34935.943070871042</v>
      </c>
      <c r="I550" s="1260">
        <f>Str!L574</f>
        <v>18428.907422463999</v>
      </c>
      <c r="J550" s="1260">
        <f>Str!M574</f>
        <v>53364.850493335041</v>
      </c>
    </row>
    <row r="551" spans="1:10" hidden="1" outlineLevel="1">
      <c r="A551" t="s">
        <v>39</v>
      </c>
      <c r="B551" t="s">
        <v>74</v>
      </c>
      <c r="C551" t="s">
        <v>75</v>
      </c>
      <c r="D551" t="s">
        <v>57</v>
      </c>
      <c r="E551" t="str">
        <f>IF(LEN(Str!C575)&gt;0, Str!C575, Str!B575)</f>
        <v>เหล็กกล่อง 200x100x2.8 mm.-12.78 kg/m</v>
      </c>
      <c r="F551" s="1260" t="str">
        <f>Str!F575</f>
        <v>กก.</v>
      </c>
      <c r="G551" s="1260">
        <f>Str!E575</f>
        <v>4988.5</v>
      </c>
      <c r="H551" s="1260">
        <f>Str!I575</f>
        <v>128627.29489603301</v>
      </c>
      <c r="I551" s="1260">
        <f>Str!L575</f>
        <v>65293.043094432993</v>
      </c>
      <c r="J551" s="1260">
        <f>Str!M575</f>
        <v>193920.33799046601</v>
      </c>
    </row>
    <row r="552" spans="1:10" hidden="1" outlineLevel="1">
      <c r="A552" t="s">
        <v>39</v>
      </c>
      <c r="B552" t="s">
        <v>74</v>
      </c>
      <c r="C552" t="s">
        <v>75</v>
      </c>
      <c r="D552" t="s">
        <v>57</v>
      </c>
      <c r="E552" t="str">
        <f>IF(LEN(Str!C576)&gt;0, Str!C576, Str!B576)</f>
        <v>C200x80 mm.-24.6 kg/m</v>
      </c>
      <c r="F552" s="1260" t="str">
        <f>Str!F576</f>
        <v>กก.</v>
      </c>
      <c r="G552" s="1260">
        <f>Str!E576</f>
        <v>1817.1</v>
      </c>
      <c r="H552" s="1260">
        <f>Str!I576</f>
        <v>59220.914429420984</v>
      </c>
      <c r="I552" s="1260">
        <f>Str!L576</f>
        <v>23783.499770851795</v>
      </c>
      <c r="J552" s="1260">
        <f>Str!M576</f>
        <v>83004.414200272775</v>
      </c>
    </row>
    <row r="553" spans="1:10" hidden="1" outlineLevel="1">
      <c r="A553" t="s">
        <v>39</v>
      </c>
      <c r="B553" t="s">
        <v>74</v>
      </c>
      <c r="C553" t="s">
        <v>75</v>
      </c>
      <c r="D553" t="s">
        <v>57</v>
      </c>
      <c r="E553" t="str">
        <f>IF(LEN(Str!C577)&gt;0, Str!C577, Str!B577)</f>
        <v>แป</v>
      </c>
      <c r="F553" s="1260">
        <f>Str!F577</f>
        <v>0</v>
      </c>
      <c r="G553" s="1260">
        <f>Str!E577</f>
        <v>0</v>
      </c>
      <c r="H553" s="1260">
        <f>Str!I577</f>
        <v>0</v>
      </c>
      <c r="I553" s="1260">
        <f>Str!L577</f>
        <v>0</v>
      </c>
      <c r="J553" s="1260">
        <f>Str!M577</f>
        <v>0</v>
      </c>
    </row>
    <row r="554" spans="1:10" hidden="1" outlineLevel="1">
      <c r="A554" t="s">
        <v>39</v>
      </c>
      <c r="B554" t="s">
        <v>74</v>
      </c>
      <c r="C554" t="s">
        <v>75</v>
      </c>
      <c r="D554" t="s">
        <v>57</v>
      </c>
      <c r="E554" t="str">
        <f>IF(LEN(Str!C578)&gt;0, Str!C578, Str!B578)</f>
        <v>เหล็กกล่อง 150x50x2.5 mm.-7.53 kg/m</v>
      </c>
      <c r="F554" s="1260" t="str">
        <f>Str!F578</f>
        <v>กก.</v>
      </c>
      <c r="G554" s="1260">
        <f>Str!E578</f>
        <v>6118.2</v>
      </c>
      <c r="H554" s="1260">
        <f>Str!I578</f>
        <v>151807.59012514431</v>
      </c>
      <c r="I554" s="1260">
        <f>Str!L578</f>
        <v>80079.361784175591</v>
      </c>
      <c r="J554" s="1260">
        <f>Str!M578</f>
        <v>231886.95190931991</v>
      </c>
    </row>
    <row r="555" spans="1:10" hidden="1" outlineLevel="1">
      <c r="A555" t="s">
        <v>39</v>
      </c>
      <c r="B555" t="s">
        <v>74</v>
      </c>
      <c r="C555" t="s">
        <v>75</v>
      </c>
      <c r="D555" t="s">
        <v>57</v>
      </c>
      <c r="E555" t="str">
        <f>IF(LEN(Str!C579)&gt;0, Str!C579, Str!B579)</f>
        <v>เหล็กกล่อง 200x100x2.8 mm.-12.78 kg/m</v>
      </c>
      <c r="F555" s="1260" t="str">
        <f>Str!F579</f>
        <v>กก.</v>
      </c>
      <c r="G555" s="1260">
        <f>Str!E579</f>
        <v>944</v>
      </c>
      <c r="H555" s="1260">
        <f>Str!I579</f>
        <v>24340.817155829438</v>
      </c>
      <c r="I555" s="1260">
        <f>Str!L579</f>
        <v>12355.744749151998</v>
      </c>
      <c r="J555" s="1260">
        <f>Str!M579</f>
        <v>36696.561904981434</v>
      </c>
    </row>
    <row r="556" spans="1:10" hidden="1" outlineLevel="1">
      <c r="A556" t="s">
        <v>39</v>
      </c>
      <c r="B556" t="s">
        <v>74</v>
      </c>
      <c r="C556" t="s">
        <v>75</v>
      </c>
      <c r="D556" t="s">
        <v>76</v>
      </c>
      <c r="E556" t="str">
        <f>IF(LEN(Str!C580)&gt;0, Str!C580, Str!B580)</f>
        <v>Catwalk</v>
      </c>
      <c r="F556" s="1260">
        <f>Str!F580</f>
        <v>0</v>
      </c>
      <c r="G556" s="1260">
        <f>Str!E580</f>
        <v>0</v>
      </c>
      <c r="H556" s="1260">
        <f>Str!I580</f>
        <v>0</v>
      </c>
      <c r="I556" s="1260">
        <f>Str!L580</f>
        <v>0</v>
      </c>
      <c r="J556" s="1260">
        <f>Str!M580</f>
        <v>0</v>
      </c>
    </row>
    <row r="557" spans="1:10" hidden="1" outlineLevel="1">
      <c r="A557" t="s">
        <v>39</v>
      </c>
      <c r="B557" t="s">
        <v>74</v>
      </c>
      <c r="C557" t="s">
        <v>75</v>
      </c>
      <c r="D557" t="s">
        <v>76</v>
      </c>
      <c r="E557" t="str">
        <f>IF(LEN(Str!C581)&gt;0, Str!C581, Str!B581)</f>
        <v>เหล็กกล่อง 150x50x2.5 mm.-7.53 kg/m</v>
      </c>
      <c r="F557" s="1260" t="str">
        <f>Str!F581</f>
        <v>กก.</v>
      </c>
      <c r="G557" s="1260">
        <f>Str!E581</f>
        <v>1112.4000000000001</v>
      </c>
      <c r="H557" s="1260">
        <f>Str!I581</f>
        <v>27601.380022753514</v>
      </c>
      <c r="I557" s="1260">
        <f>Str!L581</f>
        <v>14559.8839607592</v>
      </c>
      <c r="J557" s="1260">
        <f>Str!M581</f>
        <v>42161.263983512712</v>
      </c>
    </row>
    <row r="558" spans="1:10" hidden="1" outlineLevel="1">
      <c r="A558" t="s">
        <v>39</v>
      </c>
      <c r="B558" t="s">
        <v>74</v>
      </c>
      <c r="C558" t="s">
        <v>75</v>
      </c>
      <c r="D558" t="s">
        <v>76</v>
      </c>
      <c r="E558" t="str">
        <f>IF(LEN(Str!C582)&gt;0, Str!C582, Str!B582)</f>
        <v>ตะแกรงเหล็กฉีก</v>
      </c>
      <c r="F558" s="1260" t="str">
        <f>Str!F582</f>
        <v>ตร.ม.</v>
      </c>
      <c r="G558" s="1260">
        <f>Str!E582</f>
        <v>59.1</v>
      </c>
      <c r="H558" s="1260">
        <f>Str!I582</f>
        <v>19380.565282034051</v>
      </c>
      <c r="I558" s="1260">
        <f>Str!L582</f>
        <v>5640.2329341716159</v>
      </c>
      <c r="J558" s="1260">
        <f>Str!M582</f>
        <v>25020.798216205665</v>
      </c>
    </row>
    <row r="559" spans="1:10" hidden="1" outlineLevel="1">
      <c r="A559" t="s">
        <v>39</v>
      </c>
      <c r="B559" t="s">
        <v>74</v>
      </c>
      <c r="C559" t="s">
        <v>75</v>
      </c>
      <c r="D559" t="s">
        <v>77</v>
      </c>
      <c r="E559" t="str">
        <f>IF(LEN(Str!C583)&gt;0, Str!C583, Str!B583)</f>
        <v>Support</v>
      </c>
      <c r="F559" s="1260">
        <f>Str!F583</f>
        <v>0</v>
      </c>
      <c r="G559" s="1260">
        <f>Str!E583</f>
        <v>0</v>
      </c>
      <c r="H559" s="1260">
        <f>Str!I583</f>
        <v>0</v>
      </c>
      <c r="I559" s="1260">
        <f>Str!L583</f>
        <v>0</v>
      </c>
      <c r="J559" s="1260">
        <f>Str!M583</f>
        <v>0</v>
      </c>
    </row>
    <row r="560" spans="1:10" hidden="1" outlineLevel="1">
      <c r="A560" t="s">
        <v>39</v>
      </c>
      <c r="B560" t="s">
        <v>74</v>
      </c>
      <c r="C560" t="s">
        <v>75</v>
      </c>
      <c r="D560" t="s">
        <v>77</v>
      </c>
      <c r="E560" t="str">
        <f>IF(LEN(Str!C584)&gt;0, Str!C584, Str!B584)</f>
        <v>Steel Plate 6 mm. Thk.</v>
      </c>
      <c r="F560" s="1260" t="str">
        <f>Str!F584</f>
        <v>กก.</v>
      </c>
      <c r="G560" s="1260">
        <f>Str!E584</f>
        <v>261.10000000000002</v>
      </c>
      <c r="H560" s="1260">
        <f>Str!I584</f>
        <v>5614.4032946490997</v>
      </c>
      <c r="I560" s="1260">
        <f>Str!L584</f>
        <v>3417.4628750038</v>
      </c>
      <c r="J560" s="1260">
        <f>Str!M584</f>
        <v>9031.8661696528998</v>
      </c>
    </row>
    <row r="561" spans="1:10" hidden="1" outlineLevel="1">
      <c r="A561" t="s">
        <v>39</v>
      </c>
      <c r="B561" t="s">
        <v>74</v>
      </c>
      <c r="C561" t="s">
        <v>75</v>
      </c>
      <c r="D561" t="s">
        <v>77</v>
      </c>
      <c r="E561" t="str">
        <f>IF(LEN(Str!C585)&gt;0, Str!C585, Str!B585)</f>
        <v>Steel Plate 9 mm. Thk.</v>
      </c>
      <c r="F561" s="1260" t="str">
        <f>Str!F585</f>
        <v>กก.</v>
      </c>
      <c r="G561" s="1260">
        <f>Str!E585</f>
        <v>1189.8</v>
      </c>
      <c r="H561" s="1260">
        <f>Str!I585</f>
        <v>25584.132669373797</v>
      </c>
      <c r="I561" s="1260">
        <f>Str!L585</f>
        <v>15572.950320488399</v>
      </c>
      <c r="J561" s="1260">
        <f>Str!M585</f>
        <v>41157.082989862196</v>
      </c>
    </row>
    <row r="562" spans="1:10" hidden="1" outlineLevel="1">
      <c r="A562" t="s">
        <v>39</v>
      </c>
      <c r="B562" t="s">
        <v>74</v>
      </c>
      <c r="C562" t="s">
        <v>75</v>
      </c>
      <c r="D562" t="s">
        <v>77</v>
      </c>
      <c r="E562" t="str">
        <f>IF(LEN(Str!C586)&gt;0, Str!C586, Str!B586)</f>
        <v xml:space="preserve">Chemical Bolt  (A325) </v>
      </c>
      <c r="F562" s="1260">
        <f>Str!F586</f>
        <v>0</v>
      </c>
      <c r="G562" s="1260">
        <f>Str!E586</f>
        <v>0</v>
      </c>
      <c r="H562" s="1260">
        <f>Str!I586</f>
        <v>0</v>
      </c>
      <c r="I562" s="1260">
        <f>Str!L586</f>
        <v>0</v>
      </c>
      <c r="J562" s="1260">
        <f>Str!M586</f>
        <v>0</v>
      </c>
    </row>
    <row r="563" spans="1:10" hidden="1" outlineLevel="1">
      <c r="A563" t="s">
        <v>39</v>
      </c>
      <c r="B563" t="s">
        <v>74</v>
      </c>
      <c r="C563" t="s">
        <v>75</v>
      </c>
      <c r="D563" t="s">
        <v>77</v>
      </c>
      <c r="E563" t="str">
        <f>IF(LEN(Str!C587)&gt;0, Str!C587, Str!B587)</f>
        <v>M12</v>
      </c>
      <c r="F563" s="1260" t="str">
        <f>Str!F587</f>
        <v>ชุด</v>
      </c>
      <c r="G563" s="1260">
        <f>Str!E587</f>
        <v>584</v>
      </c>
      <c r="H563" s="1260">
        <f>Str!I587</f>
        <v>34397.136865223998</v>
      </c>
      <c r="I563" s="1260">
        <f>Str!L587</f>
        <v>10319.141059567199</v>
      </c>
      <c r="J563" s="1260">
        <f>Str!M587</f>
        <v>44716.277924791197</v>
      </c>
    </row>
    <row r="564" spans="1:10" hidden="1" outlineLevel="1">
      <c r="A564" t="s">
        <v>39</v>
      </c>
      <c r="B564" t="s">
        <v>74</v>
      </c>
      <c r="C564" t="s">
        <v>75</v>
      </c>
      <c r="D564" t="s">
        <v>78</v>
      </c>
      <c r="E564" t="str">
        <f>IF(LEN(Str!C588)&gt;0, Str!C588, Str!B588)</f>
        <v>บ่าคอนกรีต</v>
      </c>
      <c r="F564" s="1260">
        <f>Str!F588</f>
        <v>0</v>
      </c>
      <c r="G564" s="1260">
        <f>Str!E588</f>
        <v>0</v>
      </c>
      <c r="H564" s="1260">
        <f>Str!I588</f>
        <v>0</v>
      </c>
      <c r="I564" s="1260">
        <f>Str!L588</f>
        <v>0</v>
      </c>
      <c r="J564" s="1260">
        <f>Str!M588</f>
        <v>0</v>
      </c>
    </row>
    <row r="565" spans="1:10" hidden="1" outlineLevel="1">
      <c r="A565" t="s">
        <v>39</v>
      </c>
      <c r="B565" t="s">
        <v>74</v>
      </c>
      <c r="C565" t="s">
        <v>75</v>
      </c>
      <c r="D565" t="s">
        <v>78</v>
      </c>
      <c r="E565" t="str">
        <f>IF(LEN(Str!C589)&gt;0, Str!C589, Str!B589)</f>
        <v xml:space="preserve"> งานคอนกรีตโครงสร้าง (fc' 240 ksc, Cyl.)</v>
      </c>
      <c r="F565" s="1260" t="str">
        <f>Str!F589</f>
        <v>ลบ.ม.</v>
      </c>
      <c r="G565" s="1260">
        <f>Str!E589</f>
        <v>0</v>
      </c>
      <c r="H565" s="1260">
        <f>Str!I589</f>
        <v>0</v>
      </c>
      <c r="I565" s="1260">
        <f>Str!L589</f>
        <v>0</v>
      </c>
      <c r="J565" s="1260">
        <f>Str!M589</f>
        <v>0</v>
      </c>
    </row>
    <row r="566" spans="1:10" hidden="1" outlineLevel="1">
      <c r="A566" t="s">
        <v>39</v>
      </c>
      <c r="B566" t="s">
        <v>74</v>
      </c>
      <c r="C566" t="s">
        <v>75</v>
      </c>
      <c r="D566" t="s">
        <v>78</v>
      </c>
      <c r="E566" t="str">
        <f>IF(LEN(Str!C590)&gt;0, Str!C590, Str!B590)</f>
        <v>เหล็กเสริม</v>
      </c>
      <c r="F566" s="1260">
        <f>Str!F590</f>
        <v>0</v>
      </c>
      <c r="G566" s="1260">
        <f>Str!E590</f>
        <v>0</v>
      </c>
      <c r="H566" s="1260">
        <f>Str!I590</f>
        <v>0</v>
      </c>
      <c r="I566" s="1260">
        <f>Str!L590</f>
        <v>0</v>
      </c>
      <c r="J566" s="1260">
        <f>Str!M590</f>
        <v>0</v>
      </c>
    </row>
    <row r="567" spans="1:10" hidden="1" outlineLevel="1">
      <c r="A567" t="s">
        <v>39</v>
      </c>
      <c r="B567" t="s">
        <v>74</v>
      </c>
      <c r="C567" t="s">
        <v>75</v>
      </c>
      <c r="D567" t="s">
        <v>78</v>
      </c>
      <c r="E567" t="str">
        <f>IF(LEN(Str!C591)&gt;0, Str!C591, Str!B591)</f>
        <v>งานเหล็กเสริมคอนกรีต RB 9  (SR-24)</v>
      </c>
      <c r="F567" s="1260" t="str">
        <f>Str!F591</f>
        <v>กก.</v>
      </c>
      <c r="G567" s="1260">
        <f>Str!E591</f>
        <v>2.6</v>
      </c>
      <c r="H567" s="1260">
        <f>Str!I591</f>
        <v>47.642914075120004</v>
      </c>
      <c r="I567" s="1260">
        <f>Str!L591</f>
        <v>10.69534805768</v>
      </c>
      <c r="J567" s="1260">
        <f>Str!M591</f>
        <v>58.338262132800004</v>
      </c>
    </row>
    <row r="568" spans="1:10" hidden="1" outlineLevel="1">
      <c r="A568" t="s">
        <v>39</v>
      </c>
      <c r="B568" t="s">
        <v>74</v>
      </c>
      <c r="C568" t="s">
        <v>75</v>
      </c>
      <c r="D568" t="s">
        <v>78</v>
      </c>
      <c r="E568" t="str">
        <f>IF(LEN(Str!C592)&gt;0, Str!C592, Str!B592)</f>
        <v>งานเหล็กเสริมคอนกรีต DB 12  (SD-40)</v>
      </c>
      <c r="F568" s="1260" t="str">
        <f>Str!F592</f>
        <v>กก.</v>
      </c>
      <c r="G568" s="1260">
        <f>Str!E592</f>
        <v>2.2999999999999998</v>
      </c>
      <c r="H568" s="1260">
        <f>Str!I592</f>
        <v>42.360683609569989</v>
      </c>
      <c r="I568" s="1260">
        <f>Str!L592</f>
        <v>7.7410386291599993</v>
      </c>
      <c r="J568" s="1260">
        <f>Str!M592</f>
        <v>50.101722238729991</v>
      </c>
    </row>
    <row r="569" spans="1:10" hidden="1" outlineLevel="1">
      <c r="A569" t="s">
        <v>39</v>
      </c>
      <c r="B569" t="s">
        <v>74</v>
      </c>
      <c r="C569" t="s">
        <v>75</v>
      </c>
      <c r="D569" t="s">
        <v>78</v>
      </c>
      <c r="E569" t="str">
        <f>IF(LEN(Str!C593)&gt;0, Str!C593, Str!B593)</f>
        <v>ลวดผูกเหล็ก</v>
      </c>
      <c r="F569" s="1260" t="str">
        <f>Str!F593</f>
        <v>กก.</v>
      </c>
      <c r="G569" s="1260">
        <f>Str!E593</f>
        <v>0.1</v>
      </c>
      <c r="H569" s="1260">
        <f>Str!I593</f>
        <v>2.53360080737</v>
      </c>
      <c r="I569" s="1260">
        <f>Str!L593</f>
        <v>0</v>
      </c>
      <c r="J569" s="1260">
        <f>Str!M593</f>
        <v>2.53360080737</v>
      </c>
    </row>
    <row r="570" spans="1:10" hidden="1" outlineLevel="1">
      <c r="A570" t="s">
        <v>39</v>
      </c>
      <c r="B570" t="s">
        <v>74</v>
      </c>
      <c r="C570" t="s">
        <v>75</v>
      </c>
      <c r="D570" t="s">
        <v>78</v>
      </c>
      <c r="E570" t="str">
        <f>IF(LEN(Str!C594)&gt;0, Str!C594, Str!B594)</f>
        <v xml:space="preserve">ไม้แบบ ค้ำยัน นั่งร้าน </v>
      </c>
      <c r="F570" s="1260">
        <f>Str!F594</f>
        <v>0</v>
      </c>
      <c r="G570" s="1260">
        <f>Str!E594</f>
        <v>0</v>
      </c>
      <c r="H570" s="1260">
        <f>Str!I594</f>
        <v>0</v>
      </c>
      <c r="I570" s="1260">
        <f>Str!L594</f>
        <v>0</v>
      </c>
      <c r="J570" s="1260">
        <f>Str!M594</f>
        <v>0</v>
      </c>
    </row>
    <row r="571" spans="1:10" hidden="1" outlineLevel="1">
      <c r="A571" t="s">
        <v>39</v>
      </c>
      <c r="B571" t="s">
        <v>74</v>
      </c>
      <c r="C571" t="s">
        <v>75</v>
      </c>
      <c r="D571" t="s">
        <v>78</v>
      </c>
      <c r="E571" t="str">
        <f>IF(LEN(Str!C595)&gt;0, Str!C595, Str!B595)</f>
        <v>ไม้แบบ ค้ำยัน นั่งร้าน (อาคาร 3 ชั้น ใช้ 60%)</v>
      </c>
      <c r="F571" s="1260" t="str">
        <f>Str!F595</f>
        <v>ตร.ม.</v>
      </c>
      <c r="G571" s="1260">
        <f>Str!E595</f>
        <v>0.24</v>
      </c>
      <c r="H571" s="1260">
        <f>Str!I595</f>
        <v>55.017468749855993</v>
      </c>
      <c r="I571" s="1260">
        <f>Str!L595</f>
        <v>0</v>
      </c>
      <c r="J571" s="1260">
        <f>Str!M595</f>
        <v>55.017468749855993</v>
      </c>
    </row>
    <row r="572" spans="1:10" hidden="1" outlineLevel="1">
      <c r="A572" t="s">
        <v>39</v>
      </c>
      <c r="B572" t="s">
        <v>74</v>
      </c>
      <c r="C572" t="s">
        <v>75</v>
      </c>
      <c r="D572" t="s">
        <v>78</v>
      </c>
      <c r="E572" t="str">
        <f>IF(LEN(Str!C596)&gt;0, Str!C596, Str!B596)</f>
        <v>ค่าแรงประกอบและติดตั้งไม้แบบหล่อคอนกรีต (ใช้ 100%)</v>
      </c>
      <c r="F572" s="1260" t="str">
        <f>Str!F596</f>
        <v>ตร.ม.</v>
      </c>
      <c r="G572" s="1260">
        <f>Str!E596</f>
        <v>0.4</v>
      </c>
      <c r="H572" s="1260">
        <f>Str!I596</f>
        <v>0</v>
      </c>
      <c r="I572" s="1260">
        <f>Str!L596</f>
        <v>45.249549474800006</v>
      </c>
      <c r="J572" s="1260">
        <f>Str!M596</f>
        <v>45.249549474800006</v>
      </c>
    </row>
    <row r="573" spans="1:10" hidden="1" outlineLevel="1">
      <c r="A573" t="s">
        <v>39</v>
      </c>
      <c r="B573" t="s">
        <v>74</v>
      </c>
      <c r="C573" t="s">
        <v>75</v>
      </c>
      <c r="D573" t="s">
        <v>78</v>
      </c>
      <c r="E573" t="str">
        <f>IF(LEN(Str!C597)&gt;0, Str!C597, Str!B597)</f>
        <v>ไม้เคร่า (ใช้ 30% ของไม้แบบ 1 ตร.ม.)</v>
      </c>
      <c r="F573" s="1260" t="str">
        <f>Str!F597</f>
        <v>ลบ.ฟ.</v>
      </c>
      <c r="G573" s="1260">
        <f>Str!E597</f>
        <v>0.08</v>
      </c>
      <c r="H573" s="1260">
        <f>Str!I597</f>
        <v>23.1423398322192</v>
      </c>
      <c r="I573" s="1260">
        <f>Str!L597</f>
        <v>0</v>
      </c>
      <c r="J573" s="1260">
        <f>Str!M597</f>
        <v>23.1423398322192</v>
      </c>
    </row>
    <row r="574" spans="1:10" hidden="1" outlineLevel="1">
      <c r="A574" t="s">
        <v>39</v>
      </c>
      <c r="B574" t="s">
        <v>74</v>
      </c>
      <c r="C574" t="s">
        <v>75</v>
      </c>
      <c r="D574" t="s">
        <v>78</v>
      </c>
      <c r="E574" t="str">
        <f>IF(LEN(Str!C598)&gt;0, Str!C598, Str!B598)</f>
        <v>ตะปู (ใช้ 25% ของไม้แบบ 1 ตร.ม.)</v>
      </c>
      <c r="F574" s="1260" t="str">
        <f>Str!F598</f>
        <v>กก.</v>
      </c>
      <c r="G574" s="1260">
        <f>Str!E598</f>
        <v>0.06</v>
      </c>
      <c r="H574" s="1260">
        <f>Str!I598</f>
        <v>1.3103671186751999</v>
      </c>
      <c r="I574" s="1260">
        <f>Str!L598</f>
        <v>0</v>
      </c>
      <c r="J574" s="1260">
        <f>Str!M598</f>
        <v>1.3103671186751999</v>
      </c>
    </row>
    <row r="575" spans="1:10" hidden="1" outlineLevel="1">
      <c r="A575" t="s">
        <v>39</v>
      </c>
      <c r="F575" s="1260">
        <f>Str!F599</f>
        <v>0</v>
      </c>
      <c r="G575" s="1260">
        <f>Str!E599</f>
        <v>0</v>
      </c>
      <c r="H575" s="1260">
        <f>Str!I599</f>
        <v>0</v>
      </c>
      <c r="I575" s="1260">
        <f>Str!L599</f>
        <v>0</v>
      </c>
      <c r="J575" s="1260">
        <f>Str!M599</f>
        <v>0</v>
      </c>
    </row>
    <row r="576" spans="1:10" hidden="1" outlineLevel="1">
      <c r="A576" t="s">
        <v>39</v>
      </c>
      <c r="F576" s="1260">
        <f>Str!F600</f>
        <v>0</v>
      </c>
      <c r="G576" s="1260">
        <f>Str!E600</f>
        <v>0</v>
      </c>
      <c r="H576" s="1260">
        <f>Str!I600</f>
        <v>0</v>
      </c>
      <c r="I576" s="1260">
        <f>Str!L600</f>
        <v>0</v>
      </c>
      <c r="J576" s="1260">
        <f>Str!M600</f>
        <v>0</v>
      </c>
    </row>
    <row r="577" spans="1:10" hidden="1" outlineLevel="1">
      <c r="A577" t="s">
        <v>39</v>
      </c>
      <c r="B577" t="s">
        <v>74</v>
      </c>
      <c r="C577" t="s">
        <v>75</v>
      </c>
      <c r="D577" t="s">
        <v>72</v>
      </c>
      <c r="E577" t="str">
        <f>IF(LEN(Str!C601)&gt;0, Str!C601, Str!B601)</f>
        <v>งานสีกันสนิม</v>
      </c>
      <c r="F577" s="1260">
        <f>Str!F601</f>
        <v>0</v>
      </c>
      <c r="G577" s="1260">
        <f>Str!E601</f>
        <v>0</v>
      </c>
      <c r="H577" s="1260">
        <f>Str!I601</f>
        <v>0</v>
      </c>
      <c r="I577" s="1260">
        <f>Str!L601</f>
        <v>0</v>
      </c>
      <c r="J577" s="1260">
        <f>Str!M601</f>
        <v>0</v>
      </c>
    </row>
    <row r="578" spans="1:10" hidden="1" outlineLevel="1">
      <c r="A578" t="s">
        <v>39</v>
      </c>
      <c r="B578" t="s">
        <v>74</v>
      </c>
      <c r="C578" t="s">
        <v>75</v>
      </c>
      <c r="D578" t="s">
        <v>72</v>
      </c>
      <c r="E578" t="str">
        <f>IF(LEN(Str!C602)&gt;0, Str!C602, Str!B602)</f>
        <v>งานสีกันสนิม   เหล็ก 1 ตัน ต่อ ทาสี 25 ตร.ม.</v>
      </c>
      <c r="F578" s="1260" t="str">
        <f>Str!F602</f>
        <v>ตร.ม.</v>
      </c>
      <c r="G578" s="1260">
        <f>Str!E602</f>
        <v>488.3</v>
      </c>
      <c r="H578" s="1260">
        <f>Str!I602</f>
        <v>12791.567093789801</v>
      </c>
      <c r="I578" s="1260">
        <f>Str!L602</f>
        <v>13695.467980502999</v>
      </c>
      <c r="J578" s="1260">
        <f>Str!M602</f>
        <v>26487.035074292799</v>
      </c>
    </row>
    <row r="579" spans="1:10" hidden="1" outlineLevel="1">
      <c r="A579" t="s">
        <v>39</v>
      </c>
      <c r="B579" t="s">
        <v>74</v>
      </c>
      <c r="C579" t="s">
        <v>75</v>
      </c>
      <c r="D579" t="s">
        <v>72</v>
      </c>
      <c r="E579" t="str">
        <f>IF(LEN(Str!C603)&gt;0, Str!C603, Str!B603)</f>
        <v>งานสีน้ำมัน  เหล็ก 1 ตัน ต่อ ทาสี 25 ตร.ม.</v>
      </c>
      <c r="F579" s="1260" t="str">
        <f>Str!F603</f>
        <v>ตร.ม.</v>
      </c>
      <c r="G579" s="1260">
        <f>Str!E603</f>
        <v>488.3</v>
      </c>
      <c r="H579" s="1260">
        <f>Str!I603</f>
        <v>14754.584170995233</v>
      </c>
      <c r="I579" s="1260">
        <f>Str!L603</f>
        <v>15978.0459772535</v>
      </c>
      <c r="J579" s="1260">
        <f>Str!M603</f>
        <v>30732.630148248732</v>
      </c>
    </row>
    <row r="580" spans="1:10" hidden="1" outlineLevel="1">
      <c r="A580" t="s">
        <v>39</v>
      </c>
      <c r="F580" s="1260">
        <f>Str!F604</f>
        <v>0</v>
      </c>
      <c r="G580" s="1260">
        <f>Str!E604</f>
        <v>0</v>
      </c>
      <c r="H580" s="1260">
        <f>Str!I604</f>
        <v>0</v>
      </c>
      <c r="I580" s="1260">
        <f>Str!L604</f>
        <v>0</v>
      </c>
      <c r="J580" s="1260">
        <f>Str!M604</f>
        <v>0</v>
      </c>
    </row>
    <row r="581" spans="1:10" hidden="1" outlineLevel="1">
      <c r="F581" s="1260"/>
      <c r="G581" s="1260"/>
      <c r="H581" s="1260"/>
      <c r="I581" s="1260"/>
      <c r="J581" s="1260"/>
    </row>
    <row r="582" spans="1:10" hidden="1" outlineLevel="1">
      <c r="A582" t="s">
        <v>39</v>
      </c>
      <c r="F582" s="1260">
        <f>Str!F606</f>
        <v>0</v>
      </c>
      <c r="G582" s="1260">
        <f>Str!E606</f>
        <v>0</v>
      </c>
      <c r="H582" s="1260">
        <f>Str!I606</f>
        <v>0</v>
      </c>
      <c r="I582" s="1260">
        <f>Str!L606</f>
        <v>0</v>
      </c>
      <c r="J582" s="1260">
        <f>Str!M606</f>
        <v>0</v>
      </c>
    </row>
    <row r="583" spans="1:10" hidden="1" outlineLevel="1">
      <c r="A583" t="s">
        <v>39</v>
      </c>
      <c r="B583" t="s">
        <v>79</v>
      </c>
      <c r="E583" t="str">
        <f>IF(LEN(Str!C607)&gt;0, Str!C607, Str!B607)</f>
        <v>โครงสร้างบ่อและแท่นคสล.สำหรับงานระบบ</v>
      </c>
      <c r="F583" s="1260">
        <f>Str!F607</f>
        <v>0</v>
      </c>
      <c r="G583" s="1260">
        <f>Str!E607</f>
        <v>0</v>
      </c>
      <c r="H583" s="1260">
        <f>Str!I607</f>
        <v>0</v>
      </c>
      <c r="I583" s="1260">
        <f>Str!L607</f>
        <v>0</v>
      </c>
      <c r="J583" s="1260">
        <f>Str!M607</f>
        <v>0</v>
      </c>
    </row>
    <row r="584" spans="1:10" hidden="1" outlineLevel="1">
      <c r="A584" t="s">
        <v>39</v>
      </c>
      <c r="B584" t="s">
        <v>79</v>
      </c>
      <c r="C584" t="s">
        <v>43</v>
      </c>
      <c r="E584" t="str">
        <f>IF(LEN(Str!C608)&gt;0, Str!C608, Str!B608)</f>
        <v>โครงสร้างแท่น คสล.รับงานระบบ</v>
      </c>
      <c r="F584" s="1260">
        <f>Str!F608</f>
        <v>0</v>
      </c>
      <c r="G584" s="1260">
        <f>Str!E608</f>
        <v>0</v>
      </c>
      <c r="H584" s="1260">
        <f>Str!I608</f>
        <v>0</v>
      </c>
      <c r="I584" s="1260">
        <f>Str!L608</f>
        <v>0</v>
      </c>
      <c r="J584" s="1260">
        <f>Str!M608</f>
        <v>0</v>
      </c>
    </row>
    <row r="585" spans="1:10" hidden="1" outlineLevel="1">
      <c r="A585" t="s">
        <v>39</v>
      </c>
      <c r="B585" t="s">
        <v>79</v>
      </c>
      <c r="C585" t="s">
        <v>43</v>
      </c>
      <c r="D585" t="s">
        <v>43</v>
      </c>
      <c r="E585" t="str">
        <f>IF(LEN(Str!C609)&gt;0, Str!C609, Str!B609)</f>
        <v xml:space="preserve"> งานคอนกรีตโครงสร้าง (fc' 240 ksc, Cyl.)  ผสมน้ำยากันซึม</v>
      </c>
      <c r="F585" s="1260" t="str">
        <f>Str!F609</f>
        <v>ลบ.ม.</v>
      </c>
      <c r="G585" s="1260">
        <f>Str!E609</f>
        <v>8.5</v>
      </c>
      <c r="H585" s="1260">
        <f>Str!I609</f>
        <v>16827.176210941248</v>
      </c>
      <c r="I585" s="1260">
        <f>Str!L609</f>
        <v>4124.3468493404998</v>
      </c>
      <c r="J585" s="1260">
        <f>Str!M609</f>
        <v>20951.523060281746</v>
      </c>
    </row>
    <row r="586" spans="1:10" hidden="1" outlineLevel="1">
      <c r="A586" t="s">
        <v>39</v>
      </c>
      <c r="B586" t="s">
        <v>79</v>
      </c>
      <c r="C586" t="s">
        <v>43</v>
      </c>
      <c r="D586" t="s">
        <v>43</v>
      </c>
      <c r="E586" t="str">
        <f>IF(LEN(Str!C610)&gt;0, Str!C610, Str!B610)</f>
        <v xml:space="preserve"> งานคอนกรีตหยาบรองท้องคาน (fc' 150 ksc, Cyl.)</v>
      </c>
      <c r="F586" s="1260" t="str">
        <f>Str!F610</f>
        <v>ลบ.ม.</v>
      </c>
      <c r="G586" s="1260">
        <f>Str!E610</f>
        <v>2.2000000000000002</v>
      </c>
      <c r="H586" s="1260">
        <f>Str!I610</f>
        <v>3985.0455503375001</v>
      </c>
      <c r="I586" s="1260">
        <f>Str!L610</f>
        <v>1067.4780080646001</v>
      </c>
      <c r="J586" s="1260">
        <f>Str!M610</f>
        <v>5052.5235584021002</v>
      </c>
    </row>
    <row r="587" spans="1:10" hidden="1" outlineLevel="1">
      <c r="A587" t="s">
        <v>39</v>
      </c>
      <c r="B587" t="s">
        <v>79</v>
      </c>
      <c r="C587" t="s">
        <v>43</v>
      </c>
      <c r="D587" t="s">
        <v>43</v>
      </c>
      <c r="E587" t="str">
        <f>IF(LEN(Str!C611)&gt;0, Str!C611, Str!B611)</f>
        <v>งานถมทรายบดอัดรองฐานราก</v>
      </c>
      <c r="F587" s="1260" t="str">
        <f>Str!F611</f>
        <v>ลบ.ม.</v>
      </c>
      <c r="G587" s="1260">
        <f>Str!E611</f>
        <v>2.2000000000000002</v>
      </c>
      <c r="H587" s="1260">
        <f>Str!I611</f>
        <v>1045.5319765693221</v>
      </c>
      <c r="I587" s="1260">
        <f>Str!L611</f>
        <v>213.90696115360001</v>
      </c>
      <c r="J587" s="1260">
        <f>Str!M611</f>
        <v>1259.438937722922</v>
      </c>
    </row>
    <row r="588" spans="1:10" hidden="1" outlineLevel="1">
      <c r="A588" t="s">
        <v>39</v>
      </c>
      <c r="B588" t="s">
        <v>79</v>
      </c>
      <c r="C588" t="s">
        <v>43</v>
      </c>
      <c r="D588" t="s">
        <v>43</v>
      </c>
      <c r="E588" t="str">
        <f>IF(LEN(Str!C612)&gt;0, Str!C612, Str!B612)</f>
        <v>งานเสาเข็มรูปตัวไอขนาด 0.15x0.15x6.00 ม. ติดตั้ง Dowel 1-DB12</v>
      </c>
      <c r="F588" s="1260" t="str">
        <f>Str!F612</f>
        <v>ต้น</v>
      </c>
      <c r="G588" s="1260">
        <f>Str!E612</f>
        <v>34</v>
      </c>
      <c r="H588" s="1260">
        <f>Str!I612</f>
        <v>18595.321054829998</v>
      </c>
      <c r="I588" s="1260">
        <f>Str!L612</f>
        <v>8349.4580879866608</v>
      </c>
      <c r="J588" s="1260">
        <f>Str!M612</f>
        <v>26944.77914281666</v>
      </c>
    </row>
    <row r="589" spans="1:10" hidden="1" outlineLevel="1">
      <c r="A589" t="s">
        <v>39</v>
      </c>
      <c r="B589" t="s">
        <v>79</v>
      </c>
      <c r="C589" t="s">
        <v>43</v>
      </c>
      <c r="D589" t="s">
        <v>43</v>
      </c>
      <c r="E589" t="str">
        <f>IF(LEN(Str!C613)&gt;0, Str!C613, Str!B613)</f>
        <v>เหล็กเสริม</v>
      </c>
      <c r="F589" s="1260">
        <f>Str!F613</f>
        <v>0</v>
      </c>
      <c r="G589" s="1260">
        <f>Str!E613</f>
        <v>0</v>
      </c>
      <c r="H589" s="1260">
        <f>Str!I613</f>
        <v>0</v>
      </c>
      <c r="I589" s="1260">
        <f>Str!L613</f>
        <v>0</v>
      </c>
      <c r="J589" s="1260">
        <f>Str!M613</f>
        <v>0</v>
      </c>
    </row>
    <row r="590" spans="1:10" hidden="1" outlineLevel="1">
      <c r="A590" t="s">
        <v>39</v>
      </c>
      <c r="B590" t="s">
        <v>79</v>
      </c>
      <c r="C590" t="s">
        <v>43</v>
      </c>
      <c r="D590" t="s">
        <v>43</v>
      </c>
      <c r="E590" t="str">
        <f>IF(LEN(Str!C614)&gt;0, Str!C614, Str!B614)</f>
        <v>งานเหล็กเสริมคอนกรีต RB 9  (SR-24)</v>
      </c>
      <c r="F590" s="1260" t="str">
        <f>Str!F614</f>
        <v>กก.</v>
      </c>
      <c r="G590" s="1260">
        <f>Str!E614</f>
        <v>0</v>
      </c>
      <c r="H590" s="1260">
        <f>Str!I614</f>
        <v>0</v>
      </c>
      <c r="I590" s="1260">
        <f>Str!L614</f>
        <v>0</v>
      </c>
      <c r="J590" s="1260">
        <f>Str!M614</f>
        <v>0</v>
      </c>
    </row>
    <row r="591" spans="1:10" hidden="1" outlineLevel="1">
      <c r="A591" t="s">
        <v>39</v>
      </c>
      <c r="B591" t="s">
        <v>79</v>
      </c>
      <c r="C591" t="s">
        <v>43</v>
      </c>
      <c r="D591" t="s">
        <v>43</v>
      </c>
      <c r="E591" t="str">
        <f>IF(LEN(Str!C615)&gt;0, Str!C615, Str!B615)</f>
        <v>งานเหล็กเสริมคอนกรีต DB 12  (SD-40)</v>
      </c>
      <c r="F591" s="1260" t="str">
        <f>Str!F615</f>
        <v>กก.</v>
      </c>
      <c r="G591" s="1260">
        <f>Str!E615</f>
        <v>908</v>
      </c>
      <c r="H591" s="1260">
        <f>Str!I615</f>
        <v>16723.261181517199</v>
      </c>
      <c r="I591" s="1260">
        <f>Str!L615</f>
        <v>3056.0274240336003</v>
      </c>
      <c r="J591" s="1260">
        <f>Str!M615</f>
        <v>19779.288605550799</v>
      </c>
    </row>
    <row r="592" spans="1:10" hidden="1" outlineLevel="1">
      <c r="A592" t="s">
        <v>39</v>
      </c>
      <c r="B592" t="s">
        <v>79</v>
      </c>
      <c r="C592" t="s">
        <v>43</v>
      </c>
      <c r="D592" t="s">
        <v>43</v>
      </c>
      <c r="E592" t="str">
        <f>IF(LEN(Str!C616)&gt;0, Str!C616, Str!B616)</f>
        <v>งานเหล็กเสริมคอนกรีต DB 16  (SD-40)</v>
      </c>
      <c r="F592" s="1260" t="str">
        <f>Str!F616</f>
        <v>กก.</v>
      </c>
      <c r="G592" s="1260">
        <f>Str!E616</f>
        <v>0</v>
      </c>
      <c r="H592" s="1260">
        <f>Str!I616</f>
        <v>0</v>
      </c>
      <c r="I592" s="1260">
        <f>Str!L616</f>
        <v>0</v>
      </c>
      <c r="J592" s="1260">
        <f>Str!M616</f>
        <v>0</v>
      </c>
    </row>
    <row r="593" spans="1:10" hidden="1" outlineLevel="1">
      <c r="A593" t="s">
        <v>39</v>
      </c>
      <c r="B593" t="s">
        <v>79</v>
      </c>
      <c r="C593" t="s">
        <v>43</v>
      </c>
      <c r="D593" t="s">
        <v>43</v>
      </c>
      <c r="E593" t="str">
        <f>IF(LEN(Str!C617)&gt;0, Str!C617, Str!B617)</f>
        <v>ลวดผูกเหล็ก</v>
      </c>
      <c r="F593" s="1260" t="str">
        <f>Str!F617</f>
        <v>กก.</v>
      </c>
      <c r="G593" s="1260">
        <f>Str!E617</f>
        <v>22.700000000000003</v>
      </c>
      <c r="H593" s="1260">
        <f>Str!I617</f>
        <v>575.12738327299007</v>
      </c>
      <c r="I593" s="1260">
        <f>Str!L617</f>
        <v>0</v>
      </c>
      <c r="J593" s="1260">
        <f>Str!M617</f>
        <v>575.12738327299007</v>
      </c>
    </row>
    <row r="594" spans="1:10" hidden="1" outlineLevel="1">
      <c r="A594" t="s">
        <v>39</v>
      </c>
      <c r="B594" t="s">
        <v>79</v>
      </c>
      <c r="C594" t="s">
        <v>43</v>
      </c>
      <c r="D594" t="s">
        <v>43</v>
      </c>
      <c r="E594" t="str">
        <f>IF(LEN(Str!C618)&gt;0, Str!C618, Str!B618)</f>
        <v xml:space="preserve">ไม้แบบ ค้ำยัน นั่งร้าน </v>
      </c>
      <c r="F594" s="1260">
        <f>Str!F618</f>
        <v>0</v>
      </c>
      <c r="G594" s="1260">
        <f>Str!E618</f>
        <v>0</v>
      </c>
      <c r="H594" s="1260">
        <f>Str!I618</f>
        <v>0</v>
      </c>
      <c r="I594" s="1260">
        <f>Str!L618</f>
        <v>0</v>
      </c>
      <c r="J594" s="1260">
        <f>Str!M618</f>
        <v>0</v>
      </c>
    </row>
    <row r="595" spans="1:10" hidden="1" outlineLevel="1">
      <c r="A595" t="s">
        <v>39</v>
      </c>
      <c r="B595" t="s">
        <v>79</v>
      </c>
      <c r="C595" t="s">
        <v>43</v>
      </c>
      <c r="D595" t="s">
        <v>43</v>
      </c>
      <c r="E595" t="str">
        <f>IF(LEN(Str!C619)&gt;0, Str!C619, Str!B619)</f>
        <v>ไม้แบบ ค้ำยัน นั่งร้าน (อาคาร 3 ชั้น ใช้ 60%)</v>
      </c>
      <c r="F595" s="1260" t="str">
        <f>Str!F619</f>
        <v>ตร.ม.</v>
      </c>
      <c r="G595" s="1260">
        <f>Str!E619</f>
        <v>3.6</v>
      </c>
      <c r="H595" s="1260">
        <f>Str!I619</f>
        <v>825.2620312478399</v>
      </c>
      <c r="I595" s="1260">
        <f>Str!L619</f>
        <v>0</v>
      </c>
      <c r="J595" s="1260">
        <f>Str!M619</f>
        <v>825.2620312478399</v>
      </c>
    </row>
    <row r="596" spans="1:10" hidden="1" outlineLevel="1">
      <c r="A596" t="s">
        <v>39</v>
      </c>
      <c r="B596" t="s">
        <v>79</v>
      </c>
      <c r="C596" t="s">
        <v>43</v>
      </c>
      <c r="D596" t="s">
        <v>43</v>
      </c>
      <c r="E596" t="str">
        <f>IF(LEN(Str!C620)&gt;0, Str!C620, Str!B620)</f>
        <v>ค่าแรงประกอบและติดตั้งไม้แบบหล่อคอนกรีต (ใช้ 100%)</v>
      </c>
      <c r="F596" s="1260" t="str">
        <f>Str!F620</f>
        <v>ตร.ม.</v>
      </c>
      <c r="G596" s="1260">
        <f>Str!E620</f>
        <v>6</v>
      </c>
      <c r="H596" s="1260">
        <f>Str!I620</f>
        <v>0</v>
      </c>
      <c r="I596" s="1260">
        <f>Str!L620</f>
        <v>678.74324212199997</v>
      </c>
      <c r="J596" s="1260">
        <f>Str!M620</f>
        <v>678.74324212199997</v>
      </c>
    </row>
    <row r="597" spans="1:10" hidden="1" outlineLevel="1">
      <c r="A597" t="s">
        <v>39</v>
      </c>
      <c r="B597" t="s">
        <v>79</v>
      </c>
      <c r="C597" t="s">
        <v>43</v>
      </c>
      <c r="D597" t="s">
        <v>43</v>
      </c>
      <c r="E597" t="str">
        <f>IF(LEN(Str!C621)&gt;0, Str!C621, Str!B621)</f>
        <v>ไม้เคร่า (ใช้ 30% ของไม้แบบ 1 ตร.ม.)</v>
      </c>
      <c r="F597" s="1260" t="str">
        <f>Str!F621</f>
        <v>ลบ.ฟ.</v>
      </c>
      <c r="G597" s="1260">
        <f>Str!E621</f>
        <v>1.08</v>
      </c>
      <c r="H597" s="1260">
        <f>Str!I621</f>
        <v>312.42158773495919</v>
      </c>
      <c r="I597" s="1260">
        <f>Str!L621</f>
        <v>0</v>
      </c>
      <c r="J597" s="1260">
        <f>Str!M621</f>
        <v>312.42158773495919</v>
      </c>
    </row>
    <row r="598" spans="1:10" hidden="1" outlineLevel="1">
      <c r="A598" t="s">
        <v>39</v>
      </c>
      <c r="B598" t="s">
        <v>79</v>
      </c>
      <c r="C598" t="s">
        <v>43</v>
      </c>
      <c r="D598" t="s">
        <v>43</v>
      </c>
      <c r="E598" t="str">
        <f>IF(LEN(Str!C622)&gt;0, Str!C622, Str!B622)</f>
        <v>ตะปู (ใช้ 25% ของไม้แบบ 1 ตร.ม.)</v>
      </c>
      <c r="F598" s="1260" t="str">
        <f>Str!F622</f>
        <v>กก.</v>
      </c>
      <c r="G598" s="1260">
        <f>Str!E622</f>
        <v>0.9</v>
      </c>
      <c r="H598" s="1260">
        <f>Str!I622</f>
        <v>19.655506780128</v>
      </c>
      <c r="I598" s="1260">
        <f>Str!L622</f>
        <v>0</v>
      </c>
      <c r="J598" s="1260">
        <f>Str!M622</f>
        <v>19.655506780128</v>
      </c>
    </row>
    <row r="599" spans="1:10" hidden="1" outlineLevel="1">
      <c r="F599" s="1260"/>
      <c r="G599" s="1260"/>
      <c r="H599" s="1260"/>
      <c r="I599" s="1260"/>
      <c r="J599" s="1260"/>
    </row>
    <row r="600" spans="1:10" hidden="1" outlineLevel="1">
      <c r="A600" t="s">
        <v>39</v>
      </c>
      <c r="B600" t="s">
        <v>79</v>
      </c>
      <c r="F600" s="1260">
        <f>Str!F624</f>
        <v>0</v>
      </c>
      <c r="G600" s="1260">
        <f>Str!E624</f>
        <v>0</v>
      </c>
      <c r="H600" s="1260">
        <f>Str!I624</f>
        <v>0</v>
      </c>
      <c r="I600" s="1260">
        <f>Str!L624</f>
        <v>0</v>
      </c>
      <c r="J600" s="1260">
        <f>Str!M624</f>
        <v>0</v>
      </c>
    </row>
    <row r="601" spans="1:10" hidden="1" outlineLevel="1">
      <c r="A601" t="s">
        <v>39</v>
      </c>
      <c r="B601" t="s">
        <v>79</v>
      </c>
      <c r="C601" t="s">
        <v>80</v>
      </c>
      <c r="D601" t="s">
        <v>81</v>
      </c>
      <c r="E601" t="str">
        <f>IF(LEN(Str!C625)&gt;0, Str!C625, Str!B625)</f>
        <v>โครงสร้างบ่อดักไขมัน</v>
      </c>
      <c r="F601" s="1260">
        <f>Str!F625</f>
        <v>0</v>
      </c>
      <c r="G601" s="1260">
        <f>Str!E625</f>
        <v>0</v>
      </c>
      <c r="H601" s="1260">
        <f>Str!I625</f>
        <v>0</v>
      </c>
      <c r="I601" s="1260">
        <f>Str!L625</f>
        <v>0</v>
      </c>
      <c r="J601" s="1260">
        <f>Str!M625</f>
        <v>0</v>
      </c>
    </row>
    <row r="602" spans="1:10" hidden="1" outlineLevel="1">
      <c r="A602" t="s">
        <v>39</v>
      </c>
      <c r="B602" t="s">
        <v>79</v>
      </c>
      <c r="C602" t="s">
        <v>80</v>
      </c>
      <c r="D602" t="s">
        <v>81</v>
      </c>
      <c r="E602" t="str">
        <f>IF(LEN(Str!C626)&gt;0, Str!C626, Str!B626)</f>
        <v xml:space="preserve"> งานคอนกรีตโครงสร้าง (fc' 240 ksc, Cyl.)  ผสมน้ำยากันซึม</v>
      </c>
      <c r="F602" s="1260" t="str">
        <f>Str!F626</f>
        <v>ลบ.ม.</v>
      </c>
      <c r="G602" s="1260">
        <f>Str!E626</f>
        <v>7.5</v>
      </c>
      <c r="H602" s="1260">
        <f>Str!I626</f>
        <v>14847.50842141875</v>
      </c>
      <c r="I602" s="1260">
        <f>Str!L626</f>
        <v>3639.1295729474996</v>
      </c>
      <c r="J602" s="1260">
        <f>Str!M626</f>
        <v>18486.63799436625</v>
      </c>
    </row>
    <row r="603" spans="1:10" hidden="1" outlineLevel="1">
      <c r="A603" t="s">
        <v>39</v>
      </c>
      <c r="B603" t="s">
        <v>79</v>
      </c>
      <c r="C603" t="s">
        <v>80</v>
      </c>
      <c r="D603" t="s">
        <v>81</v>
      </c>
      <c r="E603" t="str">
        <f>IF(LEN(Str!C627)&gt;0, Str!C627, Str!B627)</f>
        <v xml:space="preserve"> งานคอนกรีตหยาบรองท้องคาน (fc' 150 ksc, Cyl.)</v>
      </c>
      <c r="F603" s="1260" t="str">
        <f>Str!F627</f>
        <v>ลบ.ม.</v>
      </c>
      <c r="G603" s="1260">
        <f>Str!E627</f>
        <v>0.4</v>
      </c>
      <c r="H603" s="1260">
        <f>Str!I627</f>
        <v>724.55373642500001</v>
      </c>
      <c r="I603" s="1260">
        <f>Str!L627</f>
        <v>194.08691055719999</v>
      </c>
      <c r="J603" s="1260">
        <f>Str!M627</f>
        <v>918.6406469822</v>
      </c>
    </row>
    <row r="604" spans="1:10" hidden="1" outlineLevel="1">
      <c r="A604" t="s">
        <v>39</v>
      </c>
      <c r="B604" t="s">
        <v>79</v>
      </c>
      <c r="C604" t="s">
        <v>80</v>
      </c>
      <c r="D604" t="s">
        <v>81</v>
      </c>
      <c r="E604" t="str">
        <f>IF(LEN(Str!C628)&gt;0, Str!C628, Str!B628)</f>
        <v>งานถมทรายบดอัดรองฐานราก</v>
      </c>
      <c r="F604" s="1260" t="str">
        <f>Str!F628</f>
        <v>ลบ.ม.</v>
      </c>
      <c r="G604" s="1260">
        <f>Str!E628</f>
        <v>0.4</v>
      </c>
      <c r="H604" s="1260">
        <f>Str!I628</f>
        <v>190.096723012604</v>
      </c>
      <c r="I604" s="1260">
        <f>Str!L628</f>
        <v>38.892174755200003</v>
      </c>
      <c r="J604" s="1260">
        <f>Str!M628</f>
        <v>228.98889776780402</v>
      </c>
    </row>
    <row r="605" spans="1:10" hidden="1" outlineLevel="1">
      <c r="A605" t="s">
        <v>39</v>
      </c>
      <c r="B605" t="s">
        <v>79</v>
      </c>
      <c r="C605" t="s">
        <v>80</v>
      </c>
      <c r="D605" t="s">
        <v>81</v>
      </c>
      <c r="E605" t="str">
        <f>IF(LEN(Str!C629)&gt;0, Str!C629, Str!B629)</f>
        <v>งานปรับระดับขุดดินทำฐานราก/ถมกลับ</v>
      </c>
      <c r="F605" s="1260" t="str">
        <f>Str!F629</f>
        <v>ลบ.ม.</v>
      </c>
      <c r="G605" s="1260">
        <f>Str!E629</f>
        <v>26</v>
      </c>
      <c r="H605" s="1260">
        <f>Str!I629</f>
        <v>0</v>
      </c>
      <c r="I605" s="1260">
        <f>Str!L629</f>
        <v>2722.4522328639996</v>
      </c>
      <c r="J605" s="1260">
        <f>Str!M629</f>
        <v>2722.4522328639996</v>
      </c>
    </row>
    <row r="606" spans="1:10" hidden="1" outlineLevel="1">
      <c r="A606" t="s">
        <v>39</v>
      </c>
      <c r="B606" t="s">
        <v>79</v>
      </c>
      <c r="C606" t="s">
        <v>80</v>
      </c>
      <c r="D606" t="s">
        <v>81</v>
      </c>
      <c r="E606" t="str">
        <f>IF(LEN(Str!C630)&gt;0, Str!C630, Str!B630)</f>
        <v>งานเสาเข็มรูปตัวไอขนาด 0.15x0.15x6.00 ม. ติดตั้ง Dowel 1-DB12</v>
      </c>
      <c r="F606" s="1260" t="str">
        <f>Str!F630</f>
        <v>ต้น</v>
      </c>
      <c r="G606" s="1260">
        <f>Str!E630</f>
        <v>9</v>
      </c>
      <c r="H606" s="1260">
        <f>Str!I630</f>
        <v>4922.2908674549999</v>
      </c>
      <c r="I606" s="1260">
        <f>Str!L630</f>
        <v>2210.1506703494101</v>
      </c>
      <c r="J606" s="1260">
        <f>Str!M630</f>
        <v>7132.4415378044105</v>
      </c>
    </row>
    <row r="607" spans="1:10" hidden="1" outlineLevel="1">
      <c r="A607" t="s">
        <v>39</v>
      </c>
      <c r="B607" t="s">
        <v>79</v>
      </c>
      <c r="C607" t="s">
        <v>80</v>
      </c>
      <c r="D607" t="s">
        <v>81</v>
      </c>
      <c r="F607" s="1260">
        <f>Str!F631</f>
        <v>0</v>
      </c>
      <c r="G607" s="1260">
        <f>Str!E631</f>
        <v>0</v>
      </c>
      <c r="H607" s="1260">
        <f>Str!I631</f>
        <v>0</v>
      </c>
      <c r="I607" s="1260">
        <f>Str!L631</f>
        <v>0</v>
      </c>
      <c r="J607" s="1260">
        <f>Str!M631</f>
        <v>0</v>
      </c>
    </row>
    <row r="608" spans="1:10" hidden="1" outlineLevel="1">
      <c r="A608" t="s">
        <v>39</v>
      </c>
      <c r="B608" t="s">
        <v>79</v>
      </c>
      <c r="C608" t="s">
        <v>80</v>
      </c>
      <c r="D608" t="s">
        <v>81</v>
      </c>
      <c r="E608" t="str">
        <f>IF(LEN(Str!C632)&gt;0, Str!C632, Str!B632)</f>
        <v>เหล็กเสริม</v>
      </c>
      <c r="F608" s="1260">
        <f>Str!F632</f>
        <v>0</v>
      </c>
      <c r="G608" s="1260">
        <f>Str!E632</f>
        <v>0</v>
      </c>
      <c r="H608" s="1260">
        <f>Str!I632</f>
        <v>0</v>
      </c>
      <c r="I608" s="1260">
        <f>Str!L632</f>
        <v>0</v>
      </c>
      <c r="J608" s="1260">
        <f>Str!M632</f>
        <v>0</v>
      </c>
    </row>
    <row r="609" spans="1:10" hidden="1" outlineLevel="1">
      <c r="A609" t="s">
        <v>39</v>
      </c>
      <c r="B609" t="s">
        <v>79</v>
      </c>
      <c r="C609" t="s">
        <v>80</v>
      </c>
      <c r="D609" t="s">
        <v>81</v>
      </c>
      <c r="E609" t="str">
        <f>IF(LEN(Str!C633)&gt;0, Str!C633, Str!B633)</f>
        <v>งานเหล็กเสริมคอนกรีต RB 9  (SR-24)</v>
      </c>
      <c r="F609" s="1260" t="str">
        <f>Str!F633</f>
        <v>กก.</v>
      </c>
      <c r="G609" s="1260">
        <f>Str!E633</f>
        <v>75</v>
      </c>
      <c r="H609" s="1260">
        <f>Str!I633</f>
        <v>1374.3148290900001</v>
      </c>
      <c r="I609" s="1260">
        <f>Str!L633</f>
        <v>308.51965551000001</v>
      </c>
      <c r="J609" s="1260">
        <f>Str!M633</f>
        <v>1682.8344846</v>
      </c>
    </row>
    <row r="610" spans="1:10" hidden="1" outlineLevel="1">
      <c r="A610" t="s">
        <v>39</v>
      </c>
      <c r="B610" t="s">
        <v>79</v>
      </c>
      <c r="C610" t="s">
        <v>80</v>
      </c>
      <c r="D610" t="s">
        <v>81</v>
      </c>
      <c r="E610" t="str">
        <f>IF(LEN(Str!C634)&gt;0, Str!C634, Str!B634)</f>
        <v>งานเหล็กเสริมคอนกรีต DB 12  (SD-40)</v>
      </c>
      <c r="F610" s="1260" t="str">
        <f>Str!F634</f>
        <v>กก.</v>
      </c>
      <c r="G610" s="1260">
        <f>Str!E634</f>
        <v>400</v>
      </c>
      <c r="H610" s="1260">
        <f>Str!I634</f>
        <v>7367.0754103599993</v>
      </c>
      <c r="I610" s="1260">
        <f>Str!L634</f>
        <v>1346.2675876800001</v>
      </c>
      <c r="J610" s="1260">
        <f>Str!M634</f>
        <v>8713.3429980399997</v>
      </c>
    </row>
    <row r="611" spans="1:10" hidden="1" outlineLevel="1">
      <c r="A611" t="s">
        <v>39</v>
      </c>
      <c r="B611" t="s">
        <v>79</v>
      </c>
      <c r="C611" t="s">
        <v>80</v>
      </c>
      <c r="D611" t="s">
        <v>81</v>
      </c>
      <c r="E611" t="str">
        <f>IF(LEN(Str!C635)&gt;0, Str!C635, Str!B635)</f>
        <v>งานเหล็กเสริมคอนกรีต DB 16  (SD-40)</v>
      </c>
      <c r="F611" s="1260" t="str">
        <f>Str!F635</f>
        <v>กก.</v>
      </c>
      <c r="G611" s="1260">
        <f>Str!E635</f>
        <v>0</v>
      </c>
      <c r="H611" s="1260">
        <f>Str!I635</f>
        <v>0</v>
      </c>
      <c r="I611" s="1260">
        <f>Str!L635</f>
        <v>0</v>
      </c>
      <c r="J611" s="1260">
        <f>Str!M635</f>
        <v>0</v>
      </c>
    </row>
    <row r="612" spans="1:10" hidden="1" outlineLevel="1">
      <c r="A612" t="s">
        <v>39</v>
      </c>
      <c r="B612" t="s">
        <v>79</v>
      </c>
      <c r="C612" t="s">
        <v>80</v>
      </c>
      <c r="D612" t="s">
        <v>81</v>
      </c>
      <c r="E612" t="str">
        <f>IF(LEN(Str!C636)&gt;0, Str!C636, Str!B636)</f>
        <v>ลวดผูกเหล็ก</v>
      </c>
      <c r="F612" s="1260" t="str">
        <f>Str!F636</f>
        <v>กก.</v>
      </c>
      <c r="G612" s="1260">
        <f>Str!E636</f>
        <v>11.875</v>
      </c>
      <c r="H612" s="1260">
        <f>Str!I636</f>
        <v>300.86509587518748</v>
      </c>
      <c r="I612" s="1260">
        <f>Str!L636</f>
        <v>0</v>
      </c>
      <c r="J612" s="1260">
        <f>Str!M636</f>
        <v>300.86509587518748</v>
      </c>
    </row>
    <row r="613" spans="1:10" hidden="1" outlineLevel="1">
      <c r="A613" t="s">
        <v>39</v>
      </c>
      <c r="B613" t="s">
        <v>79</v>
      </c>
      <c r="C613" t="s">
        <v>80</v>
      </c>
      <c r="D613" t="s">
        <v>81</v>
      </c>
      <c r="E613" t="str">
        <f>IF(LEN(Str!C637)&gt;0, Str!C637, Str!B637)</f>
        <v xml:space="preserve">ไม้แบบ ค้ำยัน นั่งร้าน </v>
      </c>
      <c r="F613" s="1260">
        <f>Str!F637</f>
        <v>0</v>
      </c>
      <c r="G613" s="1260">
        <f>Str!E637</f>
        <v>0</v>
      </c>
      <c r="H613" s="1260">
        <f>Str!I637</f>
        <v>0</v>
      </c>
      <c r="I613" s="1260">
        <f>Str!L637</f>
        <v>0</v>
      </c>
      <c r="J613" s="1260">
        <f>Str!M637</f>
        <v>0</v>
      </c>
    </row>
    <row r="614" spans="1:10" hidden="1" outlineLevel="1">
      <c r="A614" t="s">
        <v>39</v>
      </c>
      <c r="B614" t="s">
        <v>79</v>
      </c>
      <c r="C614" t="s">
        <v>80</v>
      </c>
      <c r="D614" t="s">
        <v>81</v>
      </c>
      <c r="E614" t="str">
        <f>IF(LEN(Str!C638)&gt;0, Str!C638, Str!B638)</f>
        <v>ไม้แบบ ค้ำยัน นั่งร้าน (อาคาร 3 ชั้น ใช้ 60%)</v>
      </c>
      <c r="F614" s="1260" t="str">
        <f>Str!F638</f>
        <v>ตร.ม.</v>
      </c>
      <c r="G614" s="1260">
        <f>Str!E638</f>
        <v>19.8</v>
      </c>
      <c r="H614" s="1260">
        <f>Str!I638</f>
        <v>4538.94117186312</v>
      </c>
      <c r="I614" s="1260">
        <f>Str!L638</f>
        <v>0</v>
      </c>
      <c r="J614" s="1260">
        <f>Str!M638</f>
        <v>4538.94117186312</v>
      </c>
    </row>
    <row r="615" spans="1:10" hidden="1" outlineLevel="1">
      <c r="A615" t="s">
        <v>39</v>
      </c>
      <c r="B615" t="s">
        <v>79</v>
      </c>
      <c r="C615" t="s">
        <v>80</v>
      </c>
      <c r="D615" t="s">
        <v>81</v>
      </c>
      <c r="E615" t="str">
        <f>IF(LEN(Str!C639)&gt;0, Str!C639, Str!B639)</f>
        <v>ค่าแรงประกอบและติดตั้งไม้แบบหล่อคอนกรีต (ใช้ 100%)</v>
      </c>
      <c r="F615" s="1260" t="str">
        <f>Str!F639</f>
        <v>ตร.ม.</v>
      </c>
      <c r="G615" s="1260">
        <f>Str!E639</f>
        <v>33</v>
      </c>
      <c r="H615" s="1260">
        <f>Str!I639</f>
        <v>0</v>
      </c>
      <c r="I615" s="1260">
        <f>Str!L639</f>
        <v>3733.087831671</v>
      </c>
      <c r="J615" s="1260">
        <f>Str!M639</f>
        <v>3733.087831671</v>
      </c>
    </row>
    <row r="616" spans="1:10" hidden="1" outlineLevel="1">
      <c r="A616" t="s">
        <v>39</v>
      </c>
      <c r="B616" t="s">
        <v>79</v>
      </c>
      <c r="C616" t="s">
        <v>80</v>
      </c>
      <c r="D616" t="s">
        <v>81</v>
      </c>
      <c r="E616" t="str">
        <f>IF(LEN(Str!C640)&gt;0, Str!C640, Str!B640)</f>
        <v>ไม้เคร่า (ใช้ 30% ของไม้แบบ 1 ตร.ม.)</v>
      </c>
      <c r="F616" s="1260" t="str">
        <f>Str!F640</f>
        <v>ลบ.ฟ.</v>
      </c>
      <c r="G616" s="1260">
        <f>Str!E640</f>
        <v>5.94</v>
      </c>
      <c r="H616" s="1260">
        <f>Str!I640</f>
        <v>1718.3187325422757</v>
      </c>
      <c r="I616" s="1260">
        <f>Str!L640</f>
        <v>0</v>
      </c>
      <c r="J616" s="1260">
        <f>Str!M640</f>
        <v>1718.3187325422757</v>
      </c>
    </row>
    <row r="617" spans="1:10" hidden="1" outlineLevel="1">
      <c r="A617" t="s">
        <v>39</v>
      </c>
      <c r="B617" t="s">
        <v>79</v>
      </c>
      <c r="C617" t="s">
        <v>80</v>
      </c>
      <c r="D617" t="s">
        <v>81</v>
      </c>
      <c r="E617" t="str">
        <f>IF(LEN(Str!C641)&gt;0, Str!C641, Str!B641)</f>
        <v>ตะปู (ใช้ 25% ของไม้แบบ 1 ตร.ม.)</v>
      </c>
      <c r="F617" s="1260" t="str">
        <f>Str!F641</f>
        <v>กก.</v>
      </c>
      <c r="G617" s="1260">
        <f>Str!E641</f>
        <v>4.95</v>
      </c>
      <c r="H617" s="1260">
        <f>Str!I641</f>
        <v>108.105287290704</v>
      </c>
      <c r="I617" s="1260">
        <f>Str!L641</f>
        <v>0</v>
      </c>
      <c r="J617" s="1260">
        <f>Str!M641</f>
        <v>108.105287290704</v>
      </c>
    </row>
    <row r="618" spans="1:10" hidden="1" outlineLevel="1">
      <c r="F618" s="1260"/>
      <c r="G618" s="1260"/>
      <c r="H618" s="1260"/>
      <c r="I618" s="1260"/>
      <c r="J618" s="1260"/>
    </row>
    <row r="619" spans="1:10" hidden="1" outlineLevel="1">
      <c r="A619" t="s">
        <v>39</v>
      </c>
      <c r="B619" t="s">
        <v>79</v>
      </c>
      <c r="C619" t="s">
        <v>80</v>
      </c>
      <c r="D619" t="s">
        <v>82</v>
      </c>
      <c r="E619" t="str">
        <f>IF(LEN(Str!C643)&gt;0, Str!C643, Str!B643)</f>
        <v>โครงสร้างฐานถังน้ำดี</v>
      </c>
      <c r="F619" s="1260">
        <f>Str!F643</f>
        <v>0</v>
      </c>
      <c r="G619" s="1260">
        <f>Str!E643</f>
        <v>0</v>
      </c>
      <c r="H619" s="1260">
        <f>Str!I643</f>
        <v>0</v>
      </c>
      <c r="I619" s="1260">
        <f>Str!L643</f>
        <v>0</v>
      </c>
      <c r="J619" s="1260">
        <f>Str!M643</f>
        <v>0</v>
      </c>
    </row>
    <row r="620" spans="1:10" hidden="1" outlineLevel="1">
      <c r="A620" t="s">
        <v>39</v>
      </c>
      <c r="B620" t="s">
        <v>79</v>
      </c>
      <c r="C620" t="s">
        <v>80</v>
      </c>
      <c r="D620" t="s">
        <v>82</v>
      </c>
      <c r="E620" t="str">
        <f>IF(LEN(Str!C644)&gt;0, Str!C644, Str!B644)</f>
        <v xml:space="preserve"> งานคอนกรีตโครงสร้าง (fc' 240 ksc, Cyl.)  ผสมน้ำยากันซึม</v>
      </c>
      <c r="F620" s="1260" t="str">
        <f>Str!F644</f>
        <v>ลบ.ม.</v>
      </c>
      <c r="G620" s="1260">
        <f>Str!E644</f>
        <v>4</v>
      </c>
      <c r="H620" s="1260">
        <f>Str!I644</f>
        <v>7918.6711580900001</v>
      </c>
      <c r="I620" s="1260">
        <f>Str!L644</f>
        <v>1940.8691055719999</v>
      </c>
      <c r="J620" s="1260">
        <f>Str!M644</f>
        <v>9859.5402636620001</v>
      </c>
    </row>
    <row r="621" spans="1:10" hidden="1" outlineLevel="1">
      <c r="A621" t="s">
        <v>39</v>
      </c>
      <c r="B621" t="s">
        <v>79</v>
      </c>
      <c r="C621" t="s">
        <v>80</v>
      </c>
      <c r="D621" t="s">
        <v>82</v>
      </c>
      <c r="E621" t="str">
        <f>IF(LEN(Str!C645)&gt;0, Str!C645, Str!B645)</f>
        <v xml:space="preserve"> งานคอนกรีตหยาบรองท้องคาน (fc' 150 ksc, Cyl.)</v>
      </c>
      <c r="F621" s="1260" t="str">
        <f>Str!F645</f>
        <v>ลบ.ม.</v>
      </c>
      <c r="G621" s="1260">
        <f>Str!E645</f>
        <v>1.5</v>
      </c>
      <c r="H621" s="1260">
        <f>Str!I645</f>
        <v>2717.0765115937502</v>
      </c>
      <c r="I621" s="1260">
        <f>Str!L645</f>
        <v>727.82591458949992</v>
      </c>
      <c r="J621" s="1260">
        <f>Str!M645</f>
        <v>3444.9024261832501</v>
      </c>
    </row>
    <row r="622" spans="1:10" hidden="1" outlineLevel="1">
      <c r="A622" t="s">
        <v>39</v>
      </c>
      <c r="B622" t="s">
        <v>79</v>
      </c>
      <c r="C622" t="s">
        <v>80</v>
      </c>
      <c r="D622" t="s">
        <v>82</v>
      </c>
      <c r="E622" t="str">
        <f>IF(LEN(Str!C646)&gt;0, Str!C646, Str!B646)</f>
        <v>งานถมทรายบดอัดรองฐานราก</v>
      </c>
      <c r="F622" s="1260" t="str">
        <f>Str!F646</f>
        <v>ลบ.ม.</v>
      </c>
      <c r="G622" s="1260">
        <f>Str!E646</f>
        <v>1.5</v>
      </c>
      <c r="H622" s="1260">
        <f>Str!I646</f>
        <v>712.86271129726492</v>
      </c>
      <c r="I622" s="1260">
        <f>Str!L646</f>
        <v>145.84565533200001</v>
      </c>
      <c r="J622" s="1260">
        <f>Str!M646</f>
        <v>858.7083666292649</v>
      </c>
    </row>
    <row r="623" spans="1:10" hidden="1" outlineLevel="1">
      <c r="A623" t="s">
        <v>39</v>
      </c>
      <c r="B623" t="s">
        <v>79</v>
      </c>
      <c r="C623" t="s">
        <v>80</v>
      </c>
      <c r="D623" t="s">
        <v>82</v>
      </c>
      <c r="E623" t="str">
        <f>IF(LEN(Str!C647)&gt;0, Str!C647, Str!B647)</f>
        <v>งานปรับระดับขุดดินทำฐานราก/ถมกลับ</v>
      </c>
      <c r="F623" s="1260" t="str">
        <f>Str!F647</f>
        <v>ลบ.ม.</v>
      </c>
      <c r="G623" s="1260">
        <f>Str!E647</f>
        <v>507</v>
      </c>
      <c r="H623" s="1260">
        <f>Str!I647</f>
        <v>0</v>
      </c>
      <c r="I623" s="1260">
        <f>Str!L647</f>
        <v>53087.818540847991</v>
      </c>
      <c r="J623" s="1260">
        <f>Str!M647</f>
        <v>53087.818540847991</v>
      </c>
    </row>
    <row r="624" spans="1:10" hidden="1" outlineLevel="1">
      <c r="A624" t="s">
        <v>39</v>
      </c>
      <c r="B624" t="s">
        <v>79</v>
      </c>
      <c r="C624" t="s">
        <v>80</v>
      </c>
      <c r="D624" t="s">
        <v>82</v>
      </c>
      <c r="E624" t="str">
        <f>IF(LEN(Str!C648)&gt;0, Str!C648, Str!B648)</f>
        <v>งานเสาเข็มรูปตัวไอขนาด 0.15x0.15x6.00 ม. ติดตั้ง Dowel 1-DB12</v>
      </c>
      <c r="F624" s="1260" t="str">
        <f>Str!F648</f>
        <v>ต้น</v>
      </c>
      <c r="G624" s="1260">
        <f>Str!E648</f>
        <v>32</v>
      </c>
      <c r="H624" s="1260">
        <f>Str!I648</f>
        <v>17501.478639839999</v>
      </c>
      <c r="I624" s="1260">
        <f>Str!L648</f>
        <v>7858.3134945756801</v>
      </c>
      <c r="J624" s="1260">
        <f>Str!M648</f>
        <v>25359.792134415678</v>
      </c>
    </row>
    <row r="625" spans="1:10" hidden="1" outlineLevel="1">
      <c r="A625" t="s">
        <v>39</v>
      </c>
      <c r="B625" t="s">
        <v>79</v>
      </c>
      <c r="C625" t="s">
        <v>80</v>
      </c>
      <c r="D625" t="s">
        <v>82</v>
      </c>
      <c r="E625" t="str">
        <f>IF(LEN(Str!C649)&gt;0, Str!C649, Str!B649)</f>
        <v>เหล็กเสริม</v>
      </c>
      <c r="F625" s="1260">
        <f>Str!F649</f>
        <v>0</v>
      </c>
      <c r="G625" s="1260">
        <f>Str!E649</f>
        <v>0</v>
      </c>
      <c r="H625" s="1260">
        <f>Str!I649</f>
        <v>0</v>
      </c>
      <c r="I625" s="1260">
        <f>Str!L649</f>
        <v>0</v>
      </c>
      <c r="J625" s="1260">
        <f>Str!M649</f>
        <v>0</v>
      </c>
    </row>
    <row r="626" spans="1:10" hidden="1" outlineLevel="1">
      <c r="A626" t="s">
        <v>39</v>
      </c>
      <c r="B626" t="s">
        <v>79</v>
      </c>
      <c r="C626" t="s">
        <v>80</v>
      </c>
      <c r="D626" t="s">
        <v>82</v>
      </c>
      <c r="E626" t="str">
        <f>IF(LEN(Str!C650)&gt;0, Str!C650, Str!B650)</f>
        <v>งานเหล็กเสริมคอนกรีต RB 9  (SR-24)</v>
      </c>
      <c r="F626" s="1260" t="str">
        <f>Str!F650</f>
        <v>กก.</v>
      </c>
      <c r="G626" s="1260">
        <f>Str!E650</f>
        <v>0</v>
      </c>
      <c r="H626" s="1260">
        <f>Str!I650</f>
        <v>0</v>
      </c>
      <c r="I626" s="1260">
        <f>Str!L650</f>
        <v>0</v>
      </c>
      <c r="J626" s="1260">
        <f>Str!M650</f>
        <v>0</v>
      </c>
    </row>
    <row r="627" spans="1:10" hidden="1" outlineLevel="1">
      <c r="A627" t="s">
        <v>39</v>
      </c>
      <c r="B627" t="s">
        <v>79</v>
      </c>
      <c r="C627" t="s">
        <v>80</v>
      </c>
      <c r="D627" t="s">
        <v>82</v>
      </c>
      <c r="E627" t="str">
        <f>IF(LEN(Str!C651)&gt;0, Str!C651, Str!B651)</f>
        <v>งานเหล็กเสริมคอนกรีต DB 12  (SD-40)</v>
      </c>
      <c r="F627" s="1260" t="str">
        <f>Str!F651</f>
        <v>กก.</v>
      </c>
      <c r="G627" s="1260">
        <f>Str!E651</f>
        <v>540</v>
      </c>
      <c r="H627" s="1260">
        <f>Str!I651</f>
        <v>9945.551803985998</v>
      </c>
      <c r="I627" s="1260">
        <f>Str!L651</f>
        <v>1817.4612433680002</v>
      </c>
      <c r="J627" s="1260">
        <f>Str!M651</f>
        <v>11763.013047353998</v>
      </c>
    </row>
    <row r="628" spans="1:10" hidden="1" outlineLevel="1">
      <c r="A628" t="s">
        <v>39</v>
      </c>
      <c r="B628" t="s">
        <v>79</v>
      </c>
      <c r="C628" t="s">
        <v>80</v>
      </c>
      <c r="D628" t="s">
        <v>82</v>
      </c>
      <c r="E628" t="str">
        <f>IF(LEN(Str!C652)&gt;0, Str!C652, Str!B652)</f>
        <v>งานเหล็กเสริมคอนกรีต DB 16  (SD-40)</v>
      </c>
      <c r="F628" s="1260" t="str">
        <f>Str!F652</f>
        <v>กก.</v>
      </c>
      <c r="G628" s="1260">
        <f>Str!E652</f>
        <v>0</v>
      </c>
      <c r="H628" s="1260">
        <f>Str!I652</f>
        <v>0</v>
      </c>
      <c r="I628" s="1260">
        <f>Str!L652</f>
        <v>0</v>
      </c>
      <c r="J628" s="1260">
        <f>Str!M652</f>
        <v>0</v>
      </c>
    </row>
    <row r="629" spans="1:10" hidden="1" outlineLevel="1">
      <c r="A629" t="s">
        <v>39</v>
      </c>
      <c r="B629" t="s">
        <v>79</v>
      </c>
      <c r="C629" t="s">
        <v>80</v>
      </c>
      <c r="D629" t="s">
        <v>82</v>
      </c>
      <c r="E629" t="str">
        <f>IF(LEN(Str!C653)&gt;0, Str!C653, Str!B653)</f>
        <v>ลวดผูกเหล็ก</v>
      </c>
      <c r="F629" s="1260" t="str">
        <f>Str!F653</f>
        <v>กก.</v>
      </c>
      <c r="G629" s="1260">
        <f>Str!E653</f>
        <v>13.5</v>
      </c>
      <c r="H629" s="1260">
        <f>Str!I653</f>
        <v>342.03610899494998</v>
      </c>
      <c r="I629" s="1260">
        <f>Str!L653</f>
        <v>0</v>
      </c>
      <c r="J629" s="1260">
        <f>Str!M653</f>
        <v>342.03610899494998</v>
      </c>
    </row>
    <row r="630" spans="1:10" hidden="1" outlineLevel="1">
      <c r="A630" t="s">
        <v>39</v>
      </c>
      <c r="B630" t="s">
        <v>79</v>
      </c>
      <c r="C630" t="s">
        <v>80</v>
      </c>
      <c r="D630" t="s">
        <v>82</v>
      </c>
      <c r="E630" t="str">
        <f>IF(LEN(Str!C654)&gt;0, Str!C654, Str!B654)</f>
        <v xml:space="preserve">ไม้แบบ ค้ำยัน นั่งร้าน </v>
      </c>
      <c r="F630" s="1260">
        <f>Str!F654</f>
        <v>0</v>
      </c>
      <c r="G630" s="1260">
        <f>Str!E654</f>
        <v>0</v>
      </c>
      <c r="H630" s="1260">
        <f>Str!I654</f>
        <v>0</v>
      </c>
      <c r="I630" s="1260">
        <f>Str!L654</f>
        <v>0</v>
      </c>
      <c r="J630" s="1260">
        <f>Str!M654</f>
        <v>0</v>
      </c>
    </row>
    <row r="631" spans="1:10" hidden="1" outlineLevel="1">
      <c r="A631" t="s">
        <v>39</v>
      </c>
      <c r="B631" t="s">
        <v>79</v>
      </c>
      <c r="C631" t="s">
        <v>80</v>
      </c>
      <c r="D631" t="s">
        <v>82</v>
      </c>
      <c r="E631" t="str">
        <f>IF(LEN(Str!C655)&gt;0, Str!C655, Str!B655)</f>
        <v>ไม้แบบ ค้ำยัน นั่งร้าน (อาคาร 3 ชั้น ใช้ 60%)</v>
      </c>
      <c r="F631" s="1260" t="str">
        <f>Str!F655</f>
        <v>ตร.ม.</v>
      </c>
      <c r="G631" s="1260">
        <f>Str!E655</f>
        <v>2.4</v>
      </c>
      <c r="H631" s="1260">
        <f>Str!I655</f>
        <v>550.17468749855993</v>
      </c>
      <c r="I631" s="1260">
        <f>Str!L655</f>
        <v>0</v>
      </c>
      <c r="J631" s="1260">
        <f>Str!M655</f>
        <v>550.17468749855993</v>
      </c>
    </row>
    <row r="632" spans="1:10" hidden="1" outlineLevel="1">
      <c r="A632" t="s">
        <v>39</v>
      </c>
      <c r="B632" t="s">
        <v>79</v>
      </c>
      <c r="C632" t="s">
        <v>80</v>
      </c>
      <c r="D632" t="s">
        <v>82</v>
      </c>
      <c r="E632" t="str">
        <f>IF(LEN(Str!C656)&gt;0, Str!C656, Str!B656)</f>
        <v>ค่าแรงประกอบและติดตั้งไม้แบบหล่อคอนกรีต (ใช้ 100%)</v>
      </c>
      <c r="F632" s="1260" t="str">
        <f>Str!F656</f>
        <v>ตร.ม.</v>
      </c>
      <c r="G632" s="1260">
        <f>Str!E656</f>
        <v>4</v>
      </c>
      <c r="H632" s="1260">
        <f>Str!I656</f>
        <v>0</v>
      </c>
      <c r="I632" s="1260">
        <f>Str!L656</f>
        <v>452.495494748</v>
      </c>
      <c r="J632" s="1260">
        <f>Str!M656</f>
        <v>452.495494748</v>
      </c>
    </row>
    <row r="633" spans="1:10" hidden="1" outlineLevel="1">
      <c r="A633" t="s">
        <v>39</v>
      </c>
      <c r="B633" t="s">
        <v>79</v>
      </c>
      <c r="C633" t="s">
        <v>80</v>
      </c>
      <c r="D633" t="s">
        <v>82</v>
      </c>
      <c r="E633" t="str">
        <f>IF(LEN(Str!C657)&gt;0, Str!C657, Str!B657)</f>
        <v>ไม้เคร่า (ใช้ 30% ของไม้แบบ 1 ตร.ม.)</v>
      </c>
      <c r="F633" s="1260" t="str">
        <f>Str!F657</f>
        <v>ลบ.ฟ.</v>
      </c>
      <c r="G633" s="1260">
        <f>Str!E657</f>
        <v>0.72</v>
      </c>
      <c r="H633" s="1260">
        <f>Str!I657</f>
        <v>208.28105848997279</v>
      </c>
      <c r="I633" s="1260">
        <f>Str!L657</f>
        <v>0</v>
      </c>
      <c r="J633" s="1260">
        <f>Str!M657</f>
        <v>208.28105848997279</v>
      </c>
    </row>
    <row r="634" spans="1:10" hidden="1" outlineLevel="1">
      <c r="A634" t="s">
        <v>39</v>
      </c>
      <c r="B634" t="s">
        <v>79</v>
      </c>
      <c r="C634" t="s">
        <v>80</v>
      </c>
      <c r="D634" t="s">
        <v>82</v>
      </c>
      <c r="E634" t="str">
        <f>IF(LEN(Str!C658)&gt;0, Str!C658, Str!B658)</f>
        <v>ตะปู (ใช้ 25% ของไม้แบบ 1 ตร.ม.)</v>
      </c>
      <c r="F634" s="1260" t="str">
        <f>Str!F658</f>
        <v>กก.</v>
      </c>
      <c r="G634" s="1260">
        <f>Str!E658</f>
        <v>0.6</v>
      </c>
      <c r="H634" s="1260">
        <f>Str!I658</f>
        <v>13.103671186751999</v>
      </c>
      <c r="I634" s="1260">
        <f>Str!L658</f>
        <v>0</v>
      </c>
      <c r="J634" s="1260">
        <f>Str!M658</f>
        <v>13.103671186751999</v>
      </c>
    </row>
    <row r="635" spans="1:10" hidden="1" outlineLevel="1">
      <c r="F635" s="1260"/>
      <c r="G635" s="1260"/>
      <c r="H635" s="1260"/>
      <c r="I635" s="1260"/>
      <c r="J635" s="1260"/>
    </row>
    <row r="636" spans="1:10" hidden="1" outlineLevel="1">
      <c r="A636" t="s">
        <v>39</v>
      </c>
      <c r="B636" t="s">
        <v>79</v>
      </c>
      <c r="C636" t="s">
        <v>80</v>
      </c>
      <c r="D636" t="s">
        <v>83</v>
      </c>
      <c r="E636" t="str">
        <f>IF(LEN(Str!C660)&gt;0, Str!C660, Str!B660)</f>
        <v>โครงสร้างฐานถังบำบัดน้ำเสีย</v>
      </c>
      <c r="F636" s="1260">
        <f>Str!F660</f>
        <v>0</v>
      </c>
      <c r="G636" s="1260">
        <f>Str!E660</f>
        <v>0</v>
      </c>
      <c r="H636" s="1260">
        <f>Str!I660</f>
        <v>0</v>
      </c>
      <c r="I636" s="1260">
        <f>Str!L660</f>
        <v>0</v>
      </c>
      <c r="J636" s="1260">
        <f>Str!M660</f>
        <v>0</v>
      </c>
    </row>
    <row r="637" spans="1:10" hidden="1" outlineLevel="1">
      <c r="A637" t="s">
        <v>39</v>
      </c>
      <c r="B637" t="s">
        <v>79</v>
      </c>
      <c r="C637" t="s">
        <v>80</v>
      </c>
      <c r="D637" t="s">
        <v>83</v>
      </c>
      <c r="E637" t="str">
        <f>IF(LEN(Str!C661)&gt;0, Str!C661, Str!B661)</f>
        <v xml:space="preserve"> งานคอนกรีตโครงสร้าง (fc' 240 ksc, Cyl.)  ผสมน้ำยากันซึม</v>
      </c>
      <c r="F637" s="1260" t="str">
        <f>Str!F661</f>
        <v>ลบ.ม.</v>
      </c>
      <c r="G637" s="1260">
        <f>Str!E661</f>
        <v>25</v>
      </c>
      <c r="H637" s="1260">
        <f>Str!I661</f>
        <v>49491.694738062499</v>
      </c>
      <c r="I637" s="1260">
        <f>Str!L661</f>
        <v>12130.431909825</v>
      </c>
      <c r="J637" s="1260">
        <f>Str!M661</f>
        <v>61622.126647887497</v>
      </c>
    </row>
    <row r="638" spans="1:10" hidden="1" outlineLevel="1">
      <c r="A638" t="s">
        <v>39</v>
      </c>
      <c r="B638" t="s">
        <v>79</v>
      </c>
      <c r="C638" t="s">
        <v>80</v>
      </c>
      <c r="D638" t="s">
        <v>83</v>
      </c>
      <c r="E638" t="str">
        <f>IF(LEN(Str!C662)&gt;0, Str!C662, Str!B662)</f>
        <v xml:space="preserve"> งานคอนกรีตหยาบรองท้องคาน (fc' 150 ksc, Cyl.)</v>
      </c>
      <c r="F638" s="1260" t="str">
        <f>Str!F662</f>
        <v>ลบ.ม.</v>
      </c>
      <c r="G638" s="1260">
        <f>Str!E662</f>
        <v>2.2000000000000002</v>
      </c>
      <c r="H638" s="1260">
        <f>Str!I662</f>
        <v>3985.0455503375001</v>
      </c>
      <c r="I638" s="1260">
        <f>Str!L662</f>
        <v>1067.4780080646001</v>
      </c>
      <c r="J638" s="1260">
        <f>Str!M662</f>
        <v>5052.5235584021002</v>
      </c>
    </row>
    <row r="639" spans="1:10" hidden="1" outlineLevel="1">
      <c r="A639" t="s">
        <v>39</v>
      </c>
      <c r="B639" t="s">
        <v>79</v>
      </c>
      <c r="C639" t="s">
        <v>80</v>
      </c>
      <c r="D639" t="s">
        <v>83</v>
      </c>
      <c r="E639" t="str">
        <f>IF(LEN(Str!C663)&gt;0, Str!C663, Str!B663)</f>
        <v>งานถมทรายบดอัดรองฐานราก</v>
      </c>
      <c r="F639" s="1260" t="str">
        <f>Str!F663</f>
        <v>ลบ.ม.</v>
      </c>
      <c r="G639" s="1260">
        <f>Str!E663</f>
        <v>2.2000000000000002</v>
      </c>
      <c r="H639" s="1260">
        <f>Str!I663</f>
        <v>1045.5319765693221</v>
      </c>
      <c r="I639" s="1260">
        <f>Str!L663</f>
        <v>213.90696115360001</v>
      </c>
      <c r="J639" s="1260">
        <f>Str!M663</f>
        <v>1259.438937722922</v>
      </c>
    </row>
    <row r="640" spans="1:10" hidden="1" outlineLevel="1">
      <c r="A640" t="s">
        <v>39</v>
      </c>
      <c r="B640" t="s">
        <v>79</v>
      </c>
      <c r="C640" t="s">
        <v>80</v>
      </c>
      <c r="D640" t="s">
        <v>83</v>
      </c>
      <c r="E640" t="str">
        <f>IF(LEN(Str!C664)&gt;0, Str!C664, Str!B664)</f>
        <v>งานปรับระดับขุดดินทำฐานราก/ถมกลับ</v>
      </c>
      <c r="F640" s="1260" t="str">
        <f>Str!F664</f>
        <v>ลบ.ม.</v>
      </c>
      <c r="G640" s="1260">
        <f>Str!E664</f>
        <v>221</v>
      </c>
      <c r="H640" s="1260">
        <f>Str!I664</f>
        <v>0</v>
      </c>
      <c r="I640" s="1260">
        <f>Str!L664</f>
        <v>23140.843979343997</v>
      </c>
      <c r="J640" s="1260">
        <f>Str!M664</f>
        <v>23140.843979343997</v>
      </c>
    </row>
    <row r="641" spans="1:10" hidden="1" outlineLevel="1">
      <c r="A641" t="s">
        <v>39</v>
      </c>
      <c r="B641" t="s">
        <v>79</v>
      </c>
      <c r="C641" t="s">
        <v>80</v>
      </c>
      <c r="D641" t="s">
        <v>83</v>
      </c>
      <c r="E641" t="str">
        <f>IF(LEN(Str!C665)&gt;0, Str!C665, Str!B665)</f>
        <v>งานเสาเข็มรูปตัวไอขนาด 0.15x0.15x6.00 ม. ติดตั้ง Dowel 1-DB12</v>
      </c>
      <c r="F641" s="1260" t="str">
        <f>Str!F665</f>
        <v>ต้น</v>
      </c>
      <c r="G641" s="1260">
        <f>Str!E665</f>
        <v>50</v>
      </c>
      <c r="H641" s="1260">
        <f>Str!I665</f>
        <v>27346.060374749999</v>
      </c>
      <c r="I641" s="1260">
        <f>Str!L665</f>
        <v>12278.6148352745</v>
      </c>
      <c r="J641" s="1260">
        <f>Str!M665</f>
        <v>39624.675210024499</v>
      </c>
    </row>
    <row r="642" spans="1:10" hidden="1" outlineLevel="1">
      <c r="A642" t="s">
        <v>39</v>
      </c>
      <c r="B642" t="s">
        <v>79</v>
      </c>
      <c r="C642" t="s">
        <v>80</v>
      </c>
      <c r="D642" t="s">
        <v>83</v>
      </c>
      <c r="E642" t="str">
        <f>IF(LEN(Str!C666)&gt;0, Str!C666, Str!B666)</f>
        <v>เหล็กเสริม</v>
      </c>
      <c r="F642" s="1260">
        <f>Str!F666</f>
        <v>0</v>
      </c>
      <c r="G642" s="1260">
        <f>Str!E666</f>
        <v>0</v>
      </c>
      <c r="H642" s="1260">
        <f>Str!I666</f>
        <v>0</v>
      </c>
      <c r="I642" s="1260">
        <f>Str!L666</f>
        <v>0</v>
      </c>
      <c r="J642" s="1260">
        <f>Str!M666</f>
        <v>0</v>
      </c>
    </row>
    <row r="643" spans="1:10" hidden="1" outlineLevel="1">
      <c r="A643" t="s">
        <v>39</v>
      </c>
      <c r="B643" t="s">
        <v>79</v>
      </c>
      <c r="C643" t="s">
        <v>80</v>
      </c>
      <c r="D643" t="s">
        <v>83</v>
      </c>
      <c r="E643" t="str">
        <f>IF(LEN(Str!C667)&gt;0, Str!C667, Str!B667)</f>
        <v>งานเหล็กเสริมคอนกรีต RB 9  (SR-24)</v>
      </c>
      <c r="F643" s="1260" t="str">
        <f>Str!F667</f>
        <v>กก.</v>
      </c>
      <c r="G643" s="1260">
        <f>Str!E667</f>
        <v>0</v>
      </c>
      <c r="H643" s="1260">
        <f>Str!I667</f>
        <v>0</v>
      </c>
      <c r="I643" s="1260">
        <f>Str!L667</f>
        <v>0</v>
      </c>
      <c r="J643" s="1260">
        <f>Str!M667</f>
        <v>0</v>
      </c>
    </row>
    <row r="644" spans="1:10" hidden="1" outlineLevel="1">
      <c r="A644" t="s">
        <v>39</v>
      </c>
      <c r="B644" t="s">
        <v>79</v>
      </c>
      <c r="C644" t="s">
        <v>80</v>
      </c>
      <c r="D644" t="s">
        <v>83</v>
      </c>
      <c r="E644" t="str">
        <f>IF(LEN(Str!C668)&gt;0, Str!C668, Str!B668)</f>
        <v>งานเหล็กเสริมคอนกรีต DB 12  (SD-40)</v>
      </c>
      <c r="F644" s="1260" t="str">
        <f>Str!F668</f>
        <v>กก.</v>
      </c>
      <c r="G644" s="1260">
        <f>Str!E668</f>
        <v>525</v>
      </c>
      <c r="H644" s="1260">
        <f>Str!I668</f>
        <v>9669.286476097499</v>
      </c>
      <c r="I644" s="1260">
        <f>Str!L668</f>
        <v>1766.9762088300001</v>
      </c>
      <c r="J644" s="1260">
        <f>Str!M668</f>
        <v>11436.262684927498</v>
      </c>
    </row>
    <row r="645" spans="1:10" hidden="1" outlineLevel="1">
      <c r="A645" t="s">
        <v>39</v>
      </c>
      <c r="B645" t="s">
        <v>79</v>
      </c>
      <c r="C645" t="s">
        <v>80</v>
      </c>
      <c r="D645" t="s">
        <v>83</v>
      </c>
      <c r="E645" t="str">
        <f>IF(LEN(Str!C669)&gt;0, Str!C669, Str!B669)</f>
        <v>งานเหล็กเสริมคอนกรีต DB 16  (SD-40)</v>
      </c>
      <c r="F645" s="1260" t="str">
        <f>Str!F669</f>
        <v>กก.</v>
      </c>
      <c r="G645" s="1260">
        <f>Str!E669</f>
        <v>0</v>
      </c>
      <c r="H645" s="1260">
        <f>Str!I669</f>
        <v>0</v>
      </c>
      <c r="I645" s="1260">
        <f>Str!L669</f>
        <v>0</v>
      </c>
      <c r="J645" s="1260">
        <f>Str!M669</f>
        <v>0</v>
      </c>
    </row>
    <row r="646" spans="1:10" hidden="1" outlineLevel="1">
      <c r="A646" t="s">
        <v>39</v>
      </c>
      <c r="B646" t="s">
        <v>79</v>
      </c>
      <c r="C646" t="s">
        <v>80</v>
      </c>
      <c r="D646" t="s">
        <v>83</v>
      </c>
      <c r="E646" t="str">
        <f>IF(LEN(Str!C670)&gt;0, Str!C670, Str!B670)</f>
        <v>ลวดผูกเหล็ก</v>
      </c>
      <c r="F646" s="1260" t="str">
        <f>Str!F670</f>
        <v>กก.</v>
      </c>
      <c r="G646" s="1260">
        <f>Str!E670</f>
        <v>13.125</v>
      </c>
      <c r="H646" s="1260">
        <f>Str!I670</f>
        <v>332.53510596731252</v>
      </c>
      <c r="I646" s="1260">
        <f>Str!L670</f>
        <v>0</v>
      </c>
      <c r="J646" s="1260">
        <f>Str!M670</f>
        <v>332.53510596731252</v>
      </c>
    </row>
    <row r="647" spans="1:10" hidden="1" outlineLevel="1">
      <c r="A647" t="s">
        <v>39</v>
      </c>
      <c r="B647" t="s">
        <v>79</v>
      </c>
      <c r="C647" t="s">
        <v>80</v>
      </c>
      <c r="D647" t="s">
        <v>83</v>
      </c>
      <c r="E647" t="str">
        <f>IF(LEN(Str!C671)&gt;0, Str!C671, Str!B671)</f>
        <v xml:space="preserve">ไม้แบบ ค้ำยัน นั่งร้าน </v>
      </c>
      <c r="F647" s="1260">
        <f>Str!F671</f>
        <v>0</v>
      </c>
      <c r="G647" s="1260">
        <f>Str!E671</f>
        <v>0</v>
      </c>
      <c r="H647" s="1260">
        <f>Str!I671</f>
        <v>0</v>
      </c>
      <c r="I647" s="1260">
        <f>Str!L671</f>
        <v>0</v>
      </c>
      <c r="J647" s="1260">
        <f>Str!M671</f>
        <v>0</v>
      </c>
    </row>
    <row r="648" spans="1:10" hidden="1" outlineLevel="1">
      <c r="A648" t="s">
        <v>39</v>
      </c>
      <c r="B648" t="s">
        <v>79</v>
      </c>
      <c r="C648" t="s">
        <v>80</v>
      </c>
      <c r="D648" t="s">
        <v>83</v>
      </c>
      <c r="E648" t="str">
        <f>IF(LEN(Str!C672)&gt;0, Str!C672, Str!B672)</f>
        <v>ไม้แบบ ค้ำยัน นั่งร้าน (อาคาร 3 ชั้น ใช้ 60%)</v>
      </c>
      <c r="F648" s="1260" t="str">
        <f>Str!F672</f>
        <v>ตร.ม.</v>
      </c>
      <c r="G648" s="1260">
        <f>Str!E672</f>
        <v>72</v>
      </c>
      <c r="H648" s="1260">
        <f>Str!I672</f>
        <v>16505.240624956798</v>
      </c>
      <c r="I648" s="1260">
        <f>Str!L672</f>
        <v>0</v>
      </c>
      <c r="J648" s="1260">
        <f>Str!M672</f>
        <v>16505.240624956798</v>
      </c>
    </row>
    <row r="649" spans="1:10" hidden="1" outlineLevel="1">
      <c r="A649" t="s">
        <v>39</v>
      </c>
      <c r="B649" t="s">
        <v>79</v>
      </c>
      <c r="C649" t="s">
        <v>80</v>
      </c>
      <c r="D649" t="s">
        <v>83</v>
      </c>
      <c r="E649" t="str">
        <f>IF(LEN(Str!C673)&gt;0, Str!C673, Str!B673)</f>
        <v>ค่าแรงประกอบและติดตั้งไม้แบบหล่อคอนกรีต (ใช้ 100%)</v>
      </c>
      <c r="F649" s="1260" t="str">
        <f>Str!F673</f>
        <v>ตร.ม.</v>
      </c>
      <c r="G649" s="1260">
        <f>Str!E673</f>
        <v>120</v>
      </c>
      <c r="H649" s="1260">
        <f>Str!I673</f>
        <v>0</v>
      </c>
      <c r="I649" s="1260">
        <f>Str!L673</f>
        <v>13574.86484244</v>
      </c>
      <c r="J649" s="1260">
        <f>Str!M673</f>
        <v>13574.86484244</v>
      </c>
    </row>
    <row r="650" spans="1:10" hidden="1" outlineLevel="1">
      <c r="A650" t="s">
        <v>39</v>
      </c>
      <c r="B650" t="s">
        <v>79</v>
      </c>
      <c r="C650" t="s">
        <v>80</v>
      </c>
      <c r="D650" t="s">
        <v>83</v>
      </c>
      <c r="E650" t="str">
        <f>IF(LEN(Str!C674)&gt;0, Str!C674, Str!B674)</f>
        <v>ไม้เคร่า (ใช้ 30% ของไม้แบบ 1 ตร.ม.)</v>
      </c>
      <c r="F650" s="1260" t="str">
        <f>Str!F674</f>
        <v>ลบ.ฟ.</v>
      </c>
      <c r="G650" s="1260">
        <f>Str!E674</f>
        <v>21.6</v>
      </c>
      <c r="H650" s="1260">
        <f>Str!I674</f>
        <v>6248.4317546991842</v>
      </c>
      <c r="I650" s="1260">
        <f>Str!L674</f>
        <v>0</v>
      </c>
      <c r="J650" s="1260">
        <f>Str!M674</f>
        <v>6248.4317546991842</v>
      </c>
    </row>
    <row r="651" spans="1:10" hidden="1" outlineLevel="1">
      <c r="A651" t="s">
        <v>39</v>
      </c>
      <c r="B651" t="s">
        <v>79</v>
      </c>
      <c r="C651" t="s">
        <v>80</v>
      </c>
      <c r="D651" t="s">
        <v>83</v>
      </c>
      <c r="E651" t="str">
        <f>IF(LEN(Str!C675)&gt;0, Str!C675, Str!B675)</f>
        <v>ตะปู (ใช้ 25% ของไม้แบบ 1 ตร.ม.)</v>
      </c>
      <c r="F651" s="1260" t="str">
        <f>Str!F675</f>
        <v>กก.</v>
      </c>
      <c r="G651" s="1260">
        <f>Str!E675</f>
        <v>18</v>
      </c>
      <c r="H651" s="1260">
        <f>Str!I675</f>
        <v>393.11013560255998</v>
      </c>
      <c r="I651" s="1260">
        <f>Str!L675</f>
        <v>0</v>
      </c>
      <c r="J651" s="1260">
        <f>Str!M675</f>
        <v>393.11013560255998</v>
      </c>
    </row>
    <row r="652" spans="1:10" hidden="1" outlineLevel="1">
      <c r="F652" s="1260"/>
      <c r="G652" s="1260"/>
      <c r="H652" s="1260"/>
      <c r="I652" s="1260"/>
      <c r="J652" s="1260"/>
    </row>
    <row r="653" spans="1:10" hidden="1" outlineLevel="1">
      <c r="F653" s="1260"/>
      <c r="G653" s="1260"/>
      <c r="H653" s="1260"/>
      <c r="I653" s="1260"/>
      <c r="J653" s="1260"/>
    </row>
    <row r="654" spans="1:10" hidden="1" outlineLevel="1">
      <c r="F654" s="1260"/>
      <c r="G654" s="1260"/>
      <c r="H654" s="1260"/>
      <c r="I654" s="1260"/>
      <c r="J654" s="1260"/>
    </row>
    <row r="655" spans="1:10" hidden="1" outlineLevel="1">
      <c r="F655" s="1260"/>
      <c r="G655" s="1260"/>
      <c r="H655" s="1260"/>
      <c r="I655" s="1260"/>
      <c r="J655" s="1260"/>
    </row>
    <row r="656" spans="1:10" hidden="1" outlineLevel="1">
      <c r="A656" t="s">
        <v>39</v>
      </c>
      <c r="B656" t="s">
        <v>84</v>
      </c>
      <c r="C656" t="s">
        <v>85</v>
      </c>
      <c r="D656" t="s">
        <v>85</v>
      </c>
      <c r="E656" t="str">
        <f>IF(LEN(Str!C680)&gt;0, Str!C680, Str!B680)</f>
        <v>งานซ่อมแซมโครงสร้างอาคารเดิม</v>
      </c>
      <c r="F656" s="1260">
        <f>Str!F680</f>
        <v>0</v>
      </c>
      <c r="G656" s="1260">
        <f>Str!E680</f>
        <v>0</v>
      </c>
      <c r="H656" s="1260">
        <f>Str!I680</f>
        <v>0</v>
      </c>
      <c r="I656" s="1260">
        <f>Str!L680</f>
        <v>0</v>
      </c>
      <c r="J656" s="1260">
        <f>Str!M680</f>
        <v>0</v>
      </c>
    </row>
    <row r="657" spans="1:12" hidden="1" outlineLevel="1">
      <c r="A657" t="s">
        <v>39</v>
      </c>
      <c r="B657" t="s">
        <v>84</v>
      </c>
      <c r="C657" t="s">
        <v>85</v>
      </c>
      <c r="D657" t="s">
        <v>85</v>
      </c>
      <c r="E657" t="str">
        <f>IF(LEN(Str!C681)&gt;0, Str!C681, Str!B681)</f>
        <v>งานซ่อมแซมโครงสร้าง เสา คาน พื้น ชั้น 1</v>
      </c>
      <c r="F657" s="1260" t="str">
        <f>Str!F681</f>
        <v>งาน</v>
      </c>
      <c r="G657" s="1260">
        <f>Str!E681</f>
        <v>1</v>
      </c>
      <c r="H657" s="1260">
        <f>Str!I681</f>
        <v>140236.20705</v>
      </c>
      <c r="I657" s="1260">
        <f>Str!L681</f>
        <v>0</v>
      </c>
      <c r="J657" s="1260">
        <f>Str!M681</f>
        <v>140236.20705</v>
      </c>
    </row>
    <row r="658" spans="1:12" hidden="1" outlineLevel="1">
      <c r="A658" t="s">
        <v>39</v>
      </c>
      <c r="B658" t="s">
        <v>84</v>
      </c>
      <c r="C658" t="s">
        <v>85</v>
      </c>
      <c r="D658" t="s">
        <v>85</v>
      </c>
      <c r="E658" t="str">
        <f>IF(LEN(Str!C682)&gt;0, Str!C682, Str!B682)</f>
        <v>งานซ่อมแซมโครงสร้าง เสา คาน พื้น ชั้น 2</v>
      </c>
      <c r="F658" s="1260" t="str">
        <f>Str!F682</f>
        <v>งาน</v>
      </c>
      <c r="G658" s="1260">
        <f>Str!E682</f>
        <v>1</v>
      </c>
      <c r="H658" s="1260">
        <f>Str!I682</f>
        <v>140236.20705</v>
      </c>
      <c r="I658" s="1260">
        <f>Str!L682</f>
        <v>0</v>
      </c>
      <c r="J658" s="1260">
        <f>Str!M682</f>
        <v>140236.20705</v>
      </c>
    </row>
    <row r="659" spans="1:12" hidden="1" outlineLevel="1">
      <c r="A659" t="s">
        <v>39</v>
      </c>
      <c r="B659" t="s">
        <v>84</v>
      </c>
      <c r="C659" t="s">
        <v>85</v>
      </c>
      <c r="D659" t="s">
        <v>85</v>
      </c>
      <c r="E659" t="str">
        <f>IF(LEN(Str!C683)&gt;0, Str!C683, Str!B683)</f>
        <v>งานซ่อมแซมโครงสร้าง เสา คาน พื้น ชั้น 3</v>
      </c>
      <c r="F659" s="1260" t="str">
        <f>Str!F683</f>
        <v>งาน</v>
      </c>
      <c r="G659" s="1260">
        <f>Str!E683</f>
        <v>1</v>
      </c>
      <c r="H659" s="1260">
        <f>Str!I683</f>
        <v>140236.20705</v>
      </c>
      <c r="I659" s="1260">
        <f>Str!L683</f>
        <v>0</v>
      </c>
      <c r="J659" s="1260">
        <f>Str!M683</f>
        <v>140236.20705</v>
      </c>
    </row>
    <row r="660" spans="1:12" hidden="1" outlineLevel="1">
      <c r="A660" t="s">
        <v>39</v>
      </c>
      <c r="B660" t="s">
        <v>84</v>
      </c>
      <c r="C660" t="s">
        <v>85</v>
      </c>
      <c r="D660" t="s">
        <v>85</v>
      </c>
      <c r="E660" t="str">
        <f>IF(LEN(Str!C684)&gt;0, Str!C684, Str!B684)</f>
        <v>งานซ่อมแซมโครงสร้าง เสา คาน พื้น ชั้นดาดฟ้า และหลังคาคสล.</v>
      </c>
      <c r="F660" s="1260" t="str">
        <f>Str!F684</f>
        <v>งาน</v>
      </c>
      <c r="G660" s="1260">
        <f>Str!E684</f>
        <v>1</v>
      </c>
      <c r="H660" s="1260">
        <f>Str!I684</f>
        <v>318474.19178031763</v>
      </c>
      <c r="I660" s="1260">
        <f>Str!L684</f>
        <v>0</v>
      </c>
      <c r="J660" s="1260">
        <f>Str!M684</f>
        <v>318474.19178031763</v>
      </c>
    </row>
    <row r="661" spans="1:12" hidden="1" outlineLevel="1">
      <c r="A661" s="1266"/>
      <c r="B661" s="1266"/>
      <c r="C661" s="1266"/>
      <c r="D661" s="1266"/>
      <c r="E661" s="1266"/>
      <c r="F661" s="1267"/>
      <c r="G661" s="1267"/>
      <c r="H661" s="1267"/>
      <c r="I661" s="1267"/>
      <c r="J661" s="1267">
        <f>SUM(J2:J660)</f>
        <v>9866360.6664569192</v>
      </c>
      <c r="L661" s="1260"/>
    </row>
    <row r="662" spans="1:12" collapsed="1">
      <c r="A662" s="1266"/>
      <c r="B662" s="1266"/>
      <c r="C662" s="1266"/>
      <c r="D662" s="1266"/>
      <c r="E662" s="1266"/>
      <c r="F662" s="1267"/>
      <c r="G662" s="1267"/>
      <c r="H662" s="1267"/>
      <c r="I662" s="1267"/>
      <c r="J662" s="1267"/>
      <c r="L662" s="1260"/>
    </row>
    <row r="663" spans="1:12">
      <c r="A663" s="1266"/>
      <c r="B663" s="1266"/>
      <c r="C663" s="1266"/>
      <c r="D663" s="1266"/>
      <c r="E663" s="1266"/>
      <c r="F663" s="1267"/>
      <c r="G663" s="1267"/>
      <c r="H663" s="1267"/>
      <c r="I663" s="1267"/>
      <c r="J663" s="1267"/>
      <c r="L663" s="1260"/>
    </row>
    <row r="664" spans="1:12" outlineLevel="1" collapsed="1">
      <c r="A664" t="s">
        <v>86</v>
      </c>
      <c r="B664" t="s">
        <v>87</v>
      </c>
      <c r="C664" t="s">
        <v>88</v>
      </c>
      <c r="D664" t="s">
        <v>89</v>
      </c>
      <c r="E664" t="str">
        <f>IF(LEN(Arch!C28)&gt;0, Arch!C28, Arch!B28)</f>
        <v>พื้น ค.ส.ล. เทปูนทรายปรับระดับ ปรับผิวเรียบ ( ดูรายละเอียดงาน ตกแต่งภายใน )</v>
      </c>
      <c r="F664" s="1260" t="str">
        <f>Arch!F28</f>
        <v>ตร.ม.</v>
      </c>
      <c r="G664" s="1260">
        <f>Arch!E28</f>
        <v>0</v>
      </c>
      <c r="H664" s="1260">
        <f>Arch!I28</f>
        <v>0</v>
      </c>
      <c r="I664" s="1260">
        <f>Arch!L28</f>
        <v>0</v>
      </c>
      <c r="J664" s="1260">
        <f>Arch!M28</f>
        <v>0</v>
      </c>
    </row>
    <row r="665" spans="1:12" outlineLevel="1">
      <c r="A665" t="s">
        <v>86</v>
      </c>
      <c r="B665" t="s">
        <v>87</v>
      </c>
      <c r="C665" t="s">
        <v>88</v>
      </c>
      <c r="D665" t="s">
        <v>90</v>
      </c>
      <c r="E665" t="str">
        <f>IF(LEN(Arch!C29)&gt;0, Arch!C29, Arch!B29)</f>
        <v>พื้น ค.ส.ล. เทปูนทรายปรับระดับ ผิวขัดมัน 30-50 มม.</v>
      </c>
      <c r="F665" s="1260" t="str">
        <f>Arch!F29</f>
        <v>ตร.ม.</v>
      </c>
      <c r="G665" s="1260">
        <f>Arch!E29</f>
        <v>0</v>
      </c>
      <c r="H665" s="1260">
        <f>Arch!I29</f>
        <v>0</v>
      </c>
      <c r="I665" s="1260">
        <f>Arch!L29</f>
        <v>0</v>
      </c>
      <c r="J665" s="1260">
        <f>Arch!M29</f>
        <v>0</v>
      </c>
    </row>
    <row r="666" spans="1:12" outlineLevel="1">
      <c r="A666" t="s">
        <v>86</v>
      </c>
      <c r="B666" t="s">
        <v>87</v>
      </c>
      <c r="C666" t="s">
        <v>88</v>
      </c>
      <c r="D666" t="s">
        <v>91</v>
      </c>
      <c r="E666" t="str">
        <f>IF(LEN(Arch!C30)&gt;0, Arch!C30, Arch!B30)</f>
        <v xml:space="preserve">พื้น ค.ส.ล. เทปูนทรายปรับระดับ ผิวขัดมัน 30-50 มม. พร้อมงานระบบกันซึม </v>
      </c>
      <c r="F666" s="1260" t="str">
        <f>Arch!F30</f>
        <v>ตร.ม.</v>
      </c>
      <c r="G666" s="1260">
        <f>Arch!E30</f>
        <v>1090</v>
      </c>
      <c r="H666" s="1260">
        <f>Arch!I30</f>
        <v>115152.62414899</v>
      </c>
      <c r="I666" s="1260">
        <f>Arch!L30</f>
        <v>88657.330097009995</v>
      </c>
      <c r="J666" s="1260">
        <f>Arch!M30</f>
        <v>203809.95424599998</v>
      </c>
    </row>
    <row r="667" spans="1:12" outlineLevel="1">
      <c r="A667" t="s">
        <v>86</v>
      </c>
      <c r="F667" s="1260"/>
      <c r="G667" s="1260"/>
      <c r="H667" s="1260"/>
      <c r="I667" s="1260"/>
      <c r="J667" s="1260"/>
    </row>
    <row r="668" spans="1:12" outlineLevel="1">
      <c r="A668" t="s">
        <v>86</v>
      </c>
      <c r="B668" t="s">
        <v>87</v>
      </c>
      <c r="C668" t="s">
        <v>92</v>
      </c>
      <c r="D668" t="s">
        <v>93</v>
      </c>
      <c r="E668" t="str">
        <f>IF(LEN(Arch!C32)&gt;0, Arch!C32, Arch!B32)</f>
        <v>พื้น ค.ส.ล. ผิวของ Topping หรือผิวโครงสร้าง ทางวิศวกรรม แต่งเรียบ</v>
      </c>
      <c r="F668" s="1260" t="str">
        <f>Arch!F32</f>
        <v>ตร.ม.</v>
      </c>
      <c r="G668" s="1260">
        <f>Arch!E32</f>
        <v>897</v>
      </c>
      <c r="H668" s="1260">
        <f>Arch!I32</f>
        <v>0</v>
      </c>
      <c r="I668" s="1260">
        <f>Arch!L32</f>
        <v>53671.201162175996</v>
      </c>
      <c r="J668" s="1260">
        <f>Arch!M32</f>
        <v>53671.201162175996</v>
      </c>
    </row>
    <row r="669" spans="1:12" outlineLevel="1">
      <c r="A669" t="s">
        <v>86</v>
      </c>
      <c r="B669" t="s">
        <v>87</v>
      </c>
      <c r="C669" t="s">
        <v>92</v>
      </c>
      <c r="D669" t="s">
        <v>94</v>
      </c>
      <c r="E669" t="str">
        <f>IF(LEN(Arch!C33)&gt;0, Arch!C33, Arch!B33)</f>
        <v>พื้น ค.ส.ล. เทปูนทรายปรับระดับ ผิวหินขัดเบอร์ 4 1/2 - 5 ชนิดคัดเม็ดหิน</v>
      </c>
      <c r="F669" s="1260" t="str">
        <f>Arch!F33</f>
        <v>ตร.ม.</v>
      </c>
      <c r="G669" s="1260">
        <f>Arch!E33</f>
        <v>325</v>
      </c>
      <c r="H669" s="1260">
        <f>Arch!I33</f>
        <v>72315.13743545</v>
      </c>
      <c r="I669" s="1260">
        <f>Arch!L33</f>
        <v>48919.063559275004</v>
      </c>
      <c r="J669" s="1260">
        <f>Arch!M33</f>
        <v>121234.200994725</v>
      </c>
    </row>
    <row r="670" spans="1:12" outlineLevel="1">
      <c r="A670" t="s">
        <v>86</v>
      </c>
      <c r="F670" s="1260"/>
      <c r="G670" s="1260"/>
      <c r="H670" s="1260"/>
      <c r="I670" s="1260"/>
      <c r="J670" s="1260"/>
    </row>
    <row r="671" spans="1:12" outlineLevel="1">
      <c r="A671" t="s">
        <v>86</v>
      </c>
      <c r="B671" t="s">
        <v>87</v>
      </c>
      <c r="C671" t="s">
        <v>92</v>
      </c>
      <c r="D671" t="s">
        <v>94</v>
      </c>
      <c r="E671" t="str">
        <f>IF(LEN(Arch!C35)&gt;0, Arch!C35, Arch!B35)</f>
        <v>พื้น ค.ส.ล. เทปูนทรายปรับระดับ ผิวหินล้างเบอร์ 4 1/2 - 5 ชนิดคัดเม็ดหิน</v>
      </c>
      <c r="F671" s="1260" t="str">
        <f>Arch!F35</f>
        <v>ตร.ม.</v>
      </c>
      <c r="G671" s="1260">
        <f>Arch!E35</f>
        <v>70</v>
      </c>
      <c r="H671" s="1260">
        <f>Arch!I35</f>
        <v>20156.617493319998</v>
      </c>
      <c r="I671" s="1260">
        <f>Arch!L35</f>
        <v>6806.1305821599999</v>
      </c>
      <c r="J671" s="1260">
        <f>Arch!M35</f>
        <v>26962.748075479998</v>
      </c>
    </row>
    <row r="672" spans="1:12" outlineLevel="1">
      <c r="A672" t="s">
        <v>86</v>
      </c>
      <c r="F672" s="1260"/>
      <c r="G672" s="1260"/>
      <c r="H672" s="1260"/>
      <c r="I672" s="1260"/>
      <c r="J672" s="1260"/>
    </row>
    <row r="673" spans="1:10" outlineLevel="1">
      <c r="A673" t="s">
        <v>86</v>
      </c>
      <c r="B673" t="s">
        <v>87</v>
      </c>
      <c r="C673" t="s">
        <v>95</v>
      </c>
      <c r="D673" t="s">
        <v>96</v>
      </c>
      <c r="E673" t="str">
        <f>IF(LEN(Arch!C37)&gt;0, Arch!C37, Arch!B37)</f>
        <v>พื้น ค.ส.ล. เทปูนทรายปรับระดับ ผิวปูกระเบื้องเซรามิค ขนาด 400x400 มม.</v>
      </c>
      <c r="F673" s="1260" t="str">
        <f>Arch!F37</f>
        <v>ตร.ม.</v>
      </c>
      <c r="G673" s="1260">
        <f>Arch!E37</f>
        <v>11</v>
      </c>
      <c r="H673" s="1260">
        <f>Arch!I37</f>
        <v>3074.9125665830002</v>
      </c>
      <c r="I673" s="1260">
        <f>Arch!L37</f>
        <v>1624.870185686</v>
      </c>
      <c r="J673" s="1260">
        <f>Arch!M37</f>
        <v>4699.7827522690004</v>
      </c>
    </row>
    <row r="674" spans="1:10" outlineLevel="1">
      <c r="A674" t="s">
        <v>86</v>
      </c>
      <c r="B674" t="s">
        <v>87</v>
      </c>
      <c r="C674" t="s">
        <v>95</v>
      </c>
      <c r="D674" t="s">
        <v>97</v>
      </c>
      <c r="E674" t="str">
        <f>IF(LEN(Arch!C38)&gt;0, Arch!C38, Arch!B38)</f>
        <v>พื้น ค.ส.ล. พร้อมปูนทรายปรับระดับ ผิวปูกระเบื้อง Porcelain  สีเทา</v>
      </c>
      <c r="F674" s="1260" t="str">
        <f>Arch!F38</f>
        <v>ตร.ม.</v>
      </c>
      <c r="G674" s="1260">
        <f>Arch!E38</f>
        <v>4</v>
      </c>
      <c r="H674" s="1260">
        <f>Arch!I38</f>
        <v>2150.2885080999999</v>
      </c>
      <c r="I674" s="1260">
        <f>Arch!L38</f>
        <v>830.19834573599996</v>
      </c>
      <c r="J674" s="1260">
        <f>Arch!M38</f>
        <v>2980.4868538359997</v>
      </c>
    </row>
    <row r="675" spans="1:10" outlineLevel="1">
      <c r="A675" t="s">
        <v>86</v>
      </c>
      <c r="F675" s="1260"/>
      <c r="G675" s="1260"/>
      <c r="H675" s="1260"/>
      <c r="I675" s="1260"/>
      <c r="J675" s="1260"/>
    </row>
    <row r="676" spans="1:10" outlineLevel="1">
      <c r="A676" t="s">
        <v>86</v>
      </c>
      <c r="B676" t="s">
        <v>87</v>
      </c>
      <c r="C676" t="s">
        <v>95</v>
      </c>
      <c r="D676" t="s">
        <v>97</v>
      </c>
      <c r="E676" t="str">
        <f>IF(LEN(Arch!C40)&gt;0, Arch!C40, Arch!B40)</f>
        <v xml:space="preserve">พื้น ค.ส.ล. พร้อมปูนทรายปรับระดับ ผิวปูกระเบื้องลายหินขัด ขนาด 600x600 มม. </v>
      </c>
      <c r="F676" s="1260" t="str">
        <f>Arch!F40</f>
        <v>ตร.ม.</v>
      </c>
      <c r="G676" s="1260">
        <f>Arch!E40</f>
        <v>95</v>
      </c>
      <c r="H676" s="1260">
        <f>Arch!I40</f>
        <v>33483.731703304999</v>
      </c>
      <c r="I676" s="1260">
        <f>Arch!L40</f>
        <v>19717.21071123</v>
      </c>
      <c r="J676" s="1260">
        <f>Arch!M40</f>
        <v>53200.942414534999</v>
      </c>
    </row>
    <row r="677" spans="1:10" outlineLevel="1">
      <c r="A677" t="s">
        <v>86</v>
      </c>
      <c r="B677" t="s">
        <v>87</v>
      </c>
      <c r="C677" t="s">
        <v>98</v>
      </c>
      <c r="D677" t="s">
        <v>99</v>
      </c>
      <c r="E677" t="str">
        <f>IF(LEN(Arch!C41)&gt;0, Arch!C41, Arch!B41)</f>
        <v xml:space="preserve">พื้น ค.ส.ล. พร้อมปูนทรายปรับระดับ  ผิวปูหินแกรนิตดำอินเดีย (Indian Black)  </v>
      </c>
      <c r="F677" s="1260" t="str">
        <f>Arch!F41</f>
        <v>ตร.ม.</v>
      </c>
      <c r="G677" s="1260">
        <f>Arch!E41</f>
        <v>270</v>
      </c>
      <c r="H677" s="1260">
        <f>Arch!I41</f>
        <v>411453.03148469998</v>
      </c>
      <c r="I677" s="1260">
        <f>Arch!L41</f>
        <v>52252.010746830005</v>
      </c>
      <c r="J677" s="1260">
        <f>Arch!M41</f>
        <v>463705.04223153001</v>
      </c>
    </row>
    <row r="678" spans="1:10" outlineLevel="1">
      <c r="A678" t="s">
        <v>86</v>
      </c>
      <c r="B678" t="s">
        <v>87</v>
      </c>
      <c r="C678" t="s">
        <v>98</v>
      </c>
      <c r="D678" t="s">
        <v>99</v>
      </c>
      <c r="E678" t="str">
        <f>IF(LEN(Arch!C42)&gt;0, Arch!C42, Arch!B42)</f>
        <v>ขนาด 300 x ( ตามแบบระบุ ) x 20 มม.</v>
      </c>
      <c r="F678" s="1260">
        <f>Arch!F42</f>
        <v>0</v>
      </c>
      <c r="G678" s="1260">
        <f>Arch!E42</f>
        <v>0</v>
      </c>
      <c r="H678" s="1260">
        <f>Arch!I42</f>
        <v>0</v>
      </c>
      <c r="I678" s="1260">
        <f>Arch!L42</f>
        <v>0</v>
      </c>
      <c r="J678" s="1260">
        <f>Arch!M42</f>
        <v>0</v>
      </c>
    </row>
    <row r="679" spans="1:10" outlineLevel="1">
      <c r="A679" t="s">
        <v>86</v>
      </c>
      <c r="B679" t="s">
        <v>87</v>
      </c>
      <c r="C679" t="s">
        <v>98</v>
      </c>
      <c r="D679" t="s">
        <v>100</v>
      </c>
      <c r="E679" t="str">
        <f>IF(LEN(Arch!C43)&gt;0, Arch!C43, Arch!B43)</f>
        <v>พื้น ค.ส.ล. พร้อมปูนทรายปรับระดับ ผิวกรุหินอ่อน สีตามระบุในแบบ</v>
      </c>
      <c r="F679" s="1260">
        <f>Arch!F43</f>
        <v>0</v>
      </c>
      <c r="G679" s="1260">
        <f>Arch!E43</f>
        <v>0</v>
      </c>
      <c r="H679" s="1260">
        <f>Arch!I43</f>
        <v>0</v>
      </c>
      <c r="I679" s="1260">
        <f>Arch!L43</f>
        <v>0</v>
      </c>
      <c r="J679" s="1260">
        <f>Arch!M43</f>
        <v>0</v>
      </c>
    </row>
    <row r="680" spans="1:10" outlineLevel="1">
      <c r="A680" t="s">
        <v>86</v>
      </c>
      <c r="B680" t="s">
        <v>87</v>
      </c>
      <c r="C680" t="s">
        <v>98</v>
      </c>
      <c r="D680" t="s">
        <v>100</v>
      </c>
      <c r="E680" t="str">
        <f>IF(LEN(Arch!C44)&gt;0, Arch!C44, Arch!B44)</f>
        <v xml:space="preserve"> ขนาด 300 x ( ตามแบบระบุ ) x 20 มม. ผิวกึ่งมัน </v>
      </c>
      <c r="F680" s="1260">
        <f>Arch!F44</f>
        <v>0</v>
      </c>
      <c r="G680" s="1260">
        <f>Arch!E44</f>
        <v>0</v>
      </c>
      <c r="H680" s="1260">
        <f>Arch!I44</f>
        <v>0</v>
      </c>
      <c r="I680" s="1260">
        <f>Arch!L44</f>
        <v>0</v>
      </c>
      <c r="J680" s="1260">
        <f>Arch!M44</f>
        <v>0</v>
      </c>
    </row>
    <row r="681" spans="1:10" outlineLevel="1">
      <c r="A681" t="s">
        <v>86</v>
      </c>
      <c r="B681" t="s">
        <v>87</v>
      </c>
      <c r="C681" t="s">
        <v>98</v>
      </c>
      <c r="D681" t="s">
        <v>100</v>
      </c>
      <c r="E681" t="str">
        <f>IF(LEN(Arch!C45)&gt;0, Arch!C45, Arch!B45)</f>
        <v>ผิวกรุหินอ่อนสลับลายตามแบบขยายบันได</v>
      </c>
      <c r="F681" s="1260" t="str">
        <f>Arch!F45</f>
        <v>ตร.ม.</v>
      </c>
      <c r="G681" s="1260">
        <f>Arch!E45</f>
        <v>80</v>
      </c>
      <c r="H681" s="1260">
        <f>Arch!I45</f>
        <v>157812.47833359998</v>
      </c>
      <c r="I681" s="1260">
        <f>Arch!L45</f>
        <v>17277.100708559999</v>
      </c>
      <c r="J681" s="1260">
        <f>Arch!M45</f>
        <v>175089.57904215998</v>
      </c>
    </row>
    <row r="682" spans="1:10" outlineLevel="1">
      <c r="A682" t="s">
        <v>86</v>
      </c>
      <c r="B682" t="s">
        <v>87</v>
      </c>
      <c r="C682" t="s">
        <v>98</v>
      </c>
      <c r="D682" t="s">
        <v>100</v>
      </c>
      <c r="E682" t="str">
        <f>IF(LEN(Arch!C46)&gt;0, Arch!C46, Arch!B46)</f>
        <v>ผิวกรุหินอ่อน สีขาว</v>
      </c>
      <c r="F682" s="1260" t="str">
        <f>Arch!F46</f>
        <v>ตร.ม.</v>
      </c>
      <c r="G682" s="1260">
        <f>Arch!E46</f>
        <v>20</v>
      </c>
      <c r="H682" s="1260">
        <f>Arch!I46</f>
        <v>33282.726473200004</v>
      </c>
      <c r="I682" s="1260">
        <f>Arch!L46</f>
        <v>3870.5193145800004</v>
      </c>
      <c r="J682" s="1260">
        <f>Arch!M46</f>
        <v>37153.245787780004</v>
      </c>
    </row>
    <row r="683" spans="1:10" outlineLevel="1">
      <c r="A683" t="s">
        <v>86</v>
      </c>
      <c r="B683" t="s">
        <v>87</v>
      </c>
      <c r="C683" t="s">
        <v>98</v>
      </c>
      <c r="D683" t="s">
        <v>101</v>
      </c>
      <c r="E683" t="str">
        <f>IF(LEN(Arch!C47)&gt;0, Arch!C47, Arch!B47)</f>
        <v>พื้น ค.ส.ล. ผิวคอนกรีตขัดเงา ( Polished Cement ) หนา 50 มม.</v>
      </c>
      <c r="F683" s="1260" t="str">
        <f>Arch!F47</f>
        <v>ตร.ม.</v>
      </c>
      <c r="G683" s="1260">
        <f>Arch!E47</f>
        <v>42.94</v>
      </c>
      <c r="H683" s="1260">
        <f>Arch!I47</f>
        <v>10036.237884545</v>
      </c>
      <c r="I683" s="1260">
        <f>Arch!L47</f>
        <v>0</v>
      </c>
      <c r="J683" s="1260">
        <f>Arch!M47</f>
        <v>10036.237884545</v>
      </c>
    </row>
    <row r="684" spans="1:10" outlineLevel="1">
      <c r="A684" t="s">
        <v>86</v>
      </c>
      <c r="B684" t="s">
        <v>87</v>
      </c>
      <c r="C684" t="s">
        <v>102</v>
      </c>
      <c r="D684" t="s">
        <v>103</v>
      </c>
      <c r="E684" t="str">
        <f>IF(LEN(Arch!C48)&gt;0, Arch!C48, Arch!B48)</f>
        <v>พื้น ค.ส.ล. พร้อมปูนทรายปรับระดับ ผิวขัดมันหนา 30-50 มม.</v>
      </c>
      <c r="F684" s="1260" t="str">
        <f>Arch!F48</f>
        <v>ตร.ม.</v>
      </c>
      <c r="G684" s="1260">
        <f>Arch!E48</f>
        <v>956.78</v>
      </c>
      <c r="H684" s="1260">
        <f>Arch!I48</f>
        <v>581425.85878562904</v>
      </c>
      <c r="I684" s="1260">
        <f>Arch!L48</f>
        <v>125230.18496921239</v>
      </c>
      <c r="J684" s="1260">
        <f>Arch!M48</f>
        <v>706656.04375484143</v>
      </c>
    </row>
    <row r="685" spans="1:10" outlineLevel="1">
      <c r="A685" t="s">
        <v>86</v>
      </c>
      <c r="B685" t="s">
        <v>87</v>
      </c>
      <c r="E685" t="str">
        <f>IF(LEN(Arch!C49)&gt;0, Arch!C49, Arch!B49)</f>
        <v>ทำผิว Epoxy Self Leveling Flake หนา 2 มม. ( ผิวมันระบุสีภายหลัง )</v>
      </c>
      <c r="F685" s="1260">
        <f>Arch!F49</f>
        <v>0</v>
      </c>
      <c r="G685" s="1260">
        <f>Arch!E49</f>
        <v>0</v>
      </c>
      <c r="H685" s="1260">
        <f>Arch!I49</f>
        <v>0</v>
      </c>
      <c r="I685" s="1260">
        <f>Arch!L49</f>
        <v>0</v>
      </c>
      <c r="J685" s="1260">
        <f>Arch!M49</f>
        <v>0</v>
      </c>
    </row>
    <row r="686" spans="1:10" outlineLevel="1">
      <c r="A686" t="s">
        <v>86</v>
      </c>
      <c r="B686" t="s">
        <v>87</v>
      </c>
      <c r="C686" t="s">
        <v>102</v>
      </c>
      <c r="D686" t="s">
        <v>104</v>
      </c>
      <c r="E686" t="str">
        <f>IF(LEN(Arch!C50)&gt;0, Arch!C50, Arch!B50)</f>
        <v xml:space="preserve">พื้น ค.ส.ล. พร้อมปูนทรายปรับระดับ ผิวขัดมันหนา 30-50 มม. </v>
      </c>
      <c r="F686" s="1260" t="str">
        <f>Arch!F50</f>
        <v>ตร.ม.</v>
      </c>
      <c r="G686" s="1260">
        <f>Arch!E50</f>
        <v>45.9</v>
      </c>
      <c r="H686" s="1260">
        <f>Arch!I50</f>
        <v>15019.297775054998</v>
      </c>
      <c r="I686" s="1260">
        <f>Arch!L50</f>
        <v>6436.8419035949992</v>
      </c>
      <c r="J686" s="1260">
        <f>Arch!M50</f>
        <v>21456.139678649997</v>
      </c>
    </row>
    <row r="687" spans="1:10" outlineLevel="1">
      <c r="A687" t="s">
        <v>86</v>
      </c>
      <c r="B687" t="s">
        <v>87</v>
      </c>
      <c r="E687" t="str">
        <f>IF(LEN(Arch!C51)&gt;0, Arch!C51, Arch!B51)</f>
        <v>ทาสี Epoxy Coating หนา 500 ไมครอน</v>
      </c>
      <c r="F687" s="1260">
        <f>Arch!F51</f>
        <v>0</v>
      </c>
      <c r="G687" s="1260">
        <f>Arch!E51</f>
        <v>0</v>
      </c>
      <c r="H687" s="1260">
        <f>Arch!I51</f>
        <v>0</v>
      </c>
      <c r="I687" s="1260">
        <f>Arch!L51</f>
        <v>0</v>
      </c>
      <c r="J687" s="1260">
        <f>Arch!M51</f>
        <v>0</v>
      </c>
    </row>
    <row r="688" spans="1:10" outlineLevel="1">
      <c r="A688" t="s">
        <v>86</v>
      </c>
      <c r="B688" t="s">
        <v>87</v>
      </c>
      <c r="C688" t="s">
        <v>105</v>
      </c>
      <c r="D688" t="s">
        <v>106</v>
      </c>
      <c r="E688" t="str">
        <f>IF(LEN(Arch!C52)&gt;0, Arch!C52, Arch!B52)</f>
        <v>พื้น ค.ส.ล. พร้อมปูนทรายปรับระดับ  หรือพื้นโครงสร้างเหล็ก</v>
      </c>
      <c r="F688" s="1260" t="str">
        <f>Arch!F52</f>
        <v>ตร.ม.</v>
      </c>
      <c r="G688" s="1260">
        <f>Arch!E52</f>
        <v>1686.4099999999999</v>
      </c>
      <c r="H688" s="1260">
        <f>Arch!I52</f>
        <v>1166712.3268605396</v>
      </c>
      <c r="I688" s="1260">
        <f>Arch!L52</f>
        <v>268028.50752201589</v>
      </c>
      <c r="J688" s="1260">
        <f>Arch!M52</f>
        <v>1434740.8343825554</v>
      </c>
    </row>
    <row r="689" spans="1:10" outlineLevel="1">
      <c r="A689" t="s">
        <v>86</v>
      </c>
      <c r="B689" t="s">
        <v>87</v>
      </c>
      <c r="E689" t="str">
        <f>IF(LEN(Arch!C53)&gt;0, Arch!C53, Arch!B53)</f>
        <v xml:space="preserve">ปรับระดับด้วยปูนปรับระดับชนิดไหลตัวได้ (Self Leveling Motar) หนา 10-15 มม. </v>
      </c>
      <c r="F689" s="1260">
        <f>Arch!F53</f>
        <v>0</v>
      </c>
      <c r="G689" s="1260">
        <f>Arch!E53</f>
        <v>0</v>
      </c>
      <c r="H689" s="1260">
        <f>Arch!I53</f>
        <v>0</v>
      </c>
      <c r="I689" s="1260">
        <f>Arch!L53</f>
        <v>0</v>
      </c>
      <c r="J689" s="1260">
        <f>Arch!M53</f>
        <v>0</v>
      </c>
    </row>
    <row r="690" spans="1:10" outlineLevel="1">
      <c r="A690" t="s">
        <v>86</v>
      </c>
      <c r="B690" t="s">
        <v>87</v>
      </c>
      <c r="E690" t="str">
        <f>IF(LEN(Arch!C54)&gt;0, Arch!C54, Arch!B54)</f>
        <v xml:space="preserve">ปูทับด้วยกระเบื้องไวนิลชนิดม้วนขนาดกว้าง 2 เมตร  ยาว 20 เมตร หนา 2 มม. </v>
      </c>
      <c r="F690" s="1260">
        <f>Arch!F54</f>
        <v>0</v>
      </c>
      <c r="G690" s="1260">
        <f>Arch!E54</f>
        <v>0</v>
      </c>
      <c r="H690" s="1260">
        <f>Arch!I54</f>
        <v>0</v>
      </c>
      <c r="I690" s="1260">
        <f>Arch!L54</f>
        <v>0</v>
      </c>
      <c r="J690" s="1260">
        <f>Arch!M54</f>
        <v>0</v>
      </c>
    </row>
    <row r="691" spans="1:10" outlineLevel="1">
      <c r="A691" t="s">
        <v>86</v>
      </c>
      <c r="B691" t="s">
        <v>87</v>
      </c>
      <c r="E691" t="str">
        <f>IF(LEN(Arch!C55)&gt;0, Arch!C55, Arch!B55)</f>
        <v xml:space="preserve"> (ระบุสีภายหลัง) </v>
      </c>
      <c r="F691" s="1260">
        <f>Arch!F55</f>
        <v>0</v>
      </c>
      <c r="G691" s="1260">
        <f>Arch!E55</f>
        <v>0</v>
      </c>
      <c r="H691" s="1260">
        <f>Arch!I55</f>
        <v>0</v>
      </c>
      <c r="I691" s="1260">
        <f>Arch!L55</f>
        <v>0</v>
      </c>
      <c r="J691" s="1260">
        <f>Arch!M55</f>
        <v>0</v>
      </c>
    </row>
    <row r="692" spans="1:10" outlineLevel="1">
      <c r="A692" t="s">
        <v>86</v>
      </c>
      <c r="B692" t="s">
        <v>87</v>
      </c>
      <c r="C692" t="s">
        <v>105</v>
      </c>
      <c r="D692" t="s">
        <v>106</v>
      </c>
      <c r="E692" t="str">
        <f>IF(LEN(Arch!C56)&gt;0, Arch!C56, Arch!B56)</f>
        <v>พื้น ค.ส.ล. พร้อมปูนทรายปรับระดับ หรือพื้นโครงสร้างเหล็ก</v>
      </c>
      <c r="F692" s="1260" t="str">
        <f>Arch!F56</f>
        <v>ตร.ม.</v>
      </c>
      <c r="G692" s="1260">
        <f>Arch!E56</f>
        <v>431</v>
      </c>
      <c r="H692" s="1260">
        <f>Arch!I56</f>
        <v>298179.57251017995</v>
      </c>
      <c r="I692" s="1260">
        <f>Arch!L56</f>
        <v>68500.712603690001</v>
      </c>
      <c r="J692" s="1260">
        <f>Arch!M56</f>
        <v>366680.28511386993</v>
      </c>
    </row>
    <row r="693" spans="1:10" outlineLevel="1">
      <c r="A693" t="s">
        <v>86</v>
      </c>
      <c r="B693" t="s">
        <v>87</v>
      </c>
      <c r="C693" t="s">
        <v>105</v>
      </c>
      <c r="D693" t="s">
        <v>106</v>
      </c>
      <c r="E693" t="str">
        <f>IF(LEN(Arch!C57)&gt;0, Arch!C57, Arch!B57)</f>
        <v xml:space="preserve">ปรับระดับด้วยปูนปรับระดับชนิดไหลตัวได้ (Self Leveling Motar) หนา 10-15 มม. </v>
      </c>
      <c r="F693" s="1260">
        <f>Arch!F57</f>
        <v>0</v>
      </c>
      <c r="G693" s="1260">
        <f>Arch!E57</f>
        <v>0</v>
      </c>
      <c r="H693" s="1260">
        <f>Arch!I57</f>
        <v>0</v>
      </c>
      <c r="I693" s="1260">
        <f>Arch!L57</f>
        <v>0</v>
      </c>
      <c r="J693" s="1260">
        <f>Arch!M57</f>
        <v>0</v>
      </c>
    </row>
    <row r="694" spans="1:10" outlineLevel="1">
      <c r="A694" t="s">
        <v>86</v>
      </c>
      <c r="B694" t="s">
        <v>87</v>
      </c>
      <c r="C694" t="s">
        <v>105</v>
      </c>
      <c r="D694" t="s">
        <v>106</v>
      </c>
      <c r="E694" t="str">
        <f>IF(LEN(Arch!C58)&gt;0, Arch!C58, Arch!B58)</f>
        <v xml:space="preserve">ปูทับด้วยกระเบื้องไวนิลชนิดม้วนขนาดกว้าง 2 เมตร  ยาว 20 เมตร หนา 2 มม. </v>
      </c>
      <c r="F694" s="1260">
        <f>Arch!F58</f>
        <v>0</v>
      </c>
      <c r="G694" s="1260">
        <f>Arch!E58</f>
        <v>0</v>
      </c>
      <c r="H694" s="1260">
        <f>Arch!I58</f>
        <v>0</v>
      </c>
      <c r="I694" s="1260">
        <f>Arch!L58</f>
        <v>0</v>
      </c>
      <c r="J694" s="1260">
        <f>Arch!M58</f>
        <v>0</v>
      </c>
    </row>
    <row r="695" spans="1:10" outlineLevel="1">
      <c r="A695" t="s">
        <v>86</v>
      </c>
      <c r="B695" t="s">
        <v>87</v>
      </c>
      <c r="C695" t="s">
        <v>105</v>
      </c>
      <c r="D695" t="s">
        <v>106</v>
      </c>
      <c r="E695" t="str">
        <f>IF(LEN(Arch!C59)&gt;0, Arch!C59, Arch!B59)</f>
        <v xml:space="preserve">(ระบุสีภายหลัง) </v>
      </c>
      <c r="F695" s="1260">
        <f>Arch!F59</f>
        <v>0</v>
      </c>
      <c r="G695" s="1260">
        <f>Arch!E59</f>
        <v>0</v>
      </c>
      <c r="H695" s="1260">
        <f>Arch!I59</f>
        <v>0</v>
      </c>
      <c r="I695" s="1260">
        <f>Arch!L59</f>
        <v>0</v>
      </c>
      <c r="J695" s="1260">
        <f>Arch!M59</f>
        <v>0</v>
      </c>
    </row>
    <row r="696" spans="1:10" outlineLevel="1">
      <c r="A696" t="s">
        <v>86</v>
      </c>
      <c r="B696" t="s">
        <v>87</v>
      </c>
      <c r="C696" t="s">
        <v>105</v>
      </c>
      <c r="D696" t="s">
        <v>106</v>
      </c>
      <c r="E696" t="str">
        <f>IF(LEN(Arch!C60)&gt;0, Arch!C60, Arch!B60)</f>
        <v>พื้น ค.ส.ล. พร้อมปูนทรายปรับระดับ ปรับระดับด้วยปูนปรับระดับชนิดไหลตัวได้</v>
      </c>
      <c r="F696" s="1260" t="str">
        <f>Arch!F60</f>
        <v>ตร.ม.</v>
      </c>
      <c r="G696" s="1260">
        <f>Arch!E60</f>
        <v>174.9</v>
      </c>
      <c r="H696" s="1260">
        <f>Arch!I60</f>
        <v>163515.41742030001</v>
      </c>
      <c r="I696" s="1260">
        <f>Arch!L60</f>
        <v>27797.620961451001</v>
      </c>
      <c r="J696" s="1260">
        <f>Arch!M60</f>
        <v>191313.03838175102</v>
      </c>
    </row>
    <row r="697" spans="1:10" outlineLevel="1">
      <c r="A697" t="s">
        <v>86</v>
      </c>
      <c r="B697" t="s">
        <v>87</v>
      </c>
      <c r="C697" t="s">
        <v>105</v>
      </c>
      <c r="D697" t="s">
        <v>106</v>
      </c>
      <c r="E697" t="str">
        <f>IF(LEN(Arch!C61)&gt;0, Arch!C61, Arch!B61)</f>
        <v>( Self Leveling Motar ) หนา 10-15 มม. ปูทับด้วยกระเบื้องไวนิลชนิดม้วน</v>
      </c>
      <c r="F697" s="1260">
        <f>Arch!F61</f>
        <v>0</v>
      </c>
      <c r="G697" s="1260">
        <f>Arch!E61</f>
        <v>0</v>
      </c>
      <c r="H697" s="1260">
        <f>Arch!I61</f>
        <v>0</v>
      </c>
      <c r="I697" s="1260">
        <f>Arch!L61</f>
        <v>0</v>
      </c>
      <c r="J697" s="1260">
        <f>Arch!M61</f>
        <v>0</v>
      </c>
    </row>
    <row r="698" spans="1:10" outlineLevel="1">
      <c r="A698" t="s">
        <v>86</v>
      </c>
      <c r="B698" t="s">
        <v>87</v>
      </c>
      <c r="C698" t="s">
        <v>105</v>
      </c>
      <c r="D698" t="s">
        <v>106</v>
      </c>
      <c r="E698" t="str">
        <f>IF(LEN(Arch!C62)&gt;0, Arch!C62, Arch!B62)</f>
        <v>ขนาดกว้าง 2 เมตร  ยาว 20 เมตร หนา 2 มม.(ระบุสีภายหลัง)</v>
      </c>
      <c r="F698" s="1260">
        <f>Arch!F62</f>
        <v>0</v>
      </c>
      <c r="G698" s="1260">
        <f>Arch!E62</f>
        <v>0</v>
      </c>
      <c r="H698" s="1260">
        <f>Arch!I62</f>
        <v>0</v>
      </c>
      <c r="I698" s="1260">
        <f>Arch!L62</f>
        <v>0</v>
      </c>
      <c r="J698" s="1260">
        <f>Arch!M62</f>
        <v>0</v>
      </c>
    </row>
    <row r="699" spans="1:10" outlineLevel="1">
      <c r="A699" t="s">
        <v>86</v>
      </c>
      <c r="B699" t="s">
        <v>87</v>
      </c>
      <c r="C699" t="s">
        <v>107</v>
      </c>
      <c r="D699" t="s">
        <v>108</v>
      </c>
      <c r="E699" t="str">
        <f>IF(LEN(Arch!C63)&gt;0, Arch!C63, Arch!B63)</f>
        <v>พื้นโครงสร้างเหล็ก ปูทับด้วยแผ่นยางปูพื้นกันลื่นลายเหรียญสีเทา</v>
      </c>
      <c r="F699" s="1260" t="str">
        <f>Arch!F63</f>
        <v>ตร.ม.</v>
      </c>
      <c r="G699" s="1260">
        <f>Arch!E63</f>
        <v>9.36</v>
      </c>
      <c r="H699" s="1260">
        <f>Arch!I63</f>
        <v>4550.3844463583991</v>
      </c>
      <c r="I699" s="1260">
        <f>Arch!L63</f>
        <v>1365.1153339075199</v>
      </c>
      <c r="J699" s="1260">
        <f>Arch!M63</f>
        <v>5915.4997802659191</v>
      </c>
    </row>
    <row r="700" spans="1:10" outlineLevel="1">
      <c r="A700" t="s">
        <v>86</v>
      </c>
      <c r="B700" t="s">
        <v>87</v>
      </c>
      <c r="C700" t="s">
        <v>107</v>
      </c>
      <c r="D700" t="s">
        <v>108</v>
      </c>
      <c r="E700" t="str">
        <f>IF(LEN(Arch!C64)&gt;0, Arch!C64, Arch!B64)</f>
        <v>Round Dot — Anti Slip หนา 5 มม.</v>
      </c>
      <c r="F700" s="1260">
        <f>Arch!F64</f>
        <v>0</v>
      </c>
      <c r="G700" s="1260">
        <f>Arch!E64</f>
        <v>0</v>
      </c>
      <c r="H700" s="1260">
        <f>Arch!I64</f>
        <v>0</v>
      </c>
      <c r="I700" s="1260">
        <f>Arch!L64</f>
        <v>0</v>
      </c>
      <c r="J700" s="1260">
        <f>Arch!M64</f>
        <v>0</v>
      </c>
    </row>
    <row r="701" spans="1:10" outlineLevel="1">
      <c r="A701" t="s">
        <v>86</v>
      </c>
      <c r="B701" t="s">
        <v>87</v>
      </c>
      <c r="C701" t="s">
        <v>107</v>
      </c>
      <c r="D701" t="s">
        <v>108</v>
      </c>
      <c r="E701" t="str">
        <f>IF(LEN(Arch!C65)&gt;0, Arch!C65, Arch!B65)</f>
        <v xml:space="preserve">พื้น ค.ส.ล. ขัดมัน พร้อมติดตั้ง Access Floor System ขนาด 600x600x35 mm. </v>
      </c>
      <c r="F701" s="1260" t="str">
        <f>Arch!F65</f>
        <v>ตร.ม.</v>
      </c>
      <c r="G701" s="1260">
        <f>Arch!E65</f>
        <v>15</v>
      </c>
      <c r="H701" s="1260">
        <f>Arch!I65</f>
        <v>30851.965551000001</v>
      </c>
      <c r="I701" s="1260">
        <f>Arch!L65</f>
        <v>4908.2672467499997</v>
      </c>
      <c r="J701" s="1260">
        <f>Arch!M65</f>
        <v>35760.232797750003</v>
      </c>
    </row>
    <row r="702" spans="1:10" outlineLevel="1">
      <c r="A702" t="s">
        <v>86</v>
      </c>
      <c r="B702" t="s">
        <v>87</v>
      </c>
      <c r="C702" t="s">
        <v>107</v>
      </c>
      <c r="D702" t="s">
        <v>108</v>
      </c>
      <c r="E702" t="str">
        <f>IF(LEN(Arch!C66)&gt;0, Arch!C66, Arch!B66)</f>
        <v>ชนิด Light Weight Cement Infilled Steel</v>
      </c>
      <c r="F702" s="1260">
        <f>Arch!F66</f>
        <v>0</v>
      </c>
      <c r="G702" s="1260">
        <f>Arch!E66</f>
        <v>0</v>
      </c>
      <c r="H702" s="1260">
        <f>Arch!I66</f>
        <v>0</v>
      </c>
      <c r="I702" s="1260">
        <f>Arch!L66</f>
        <v>0</v>
      </c>
      <c r="J702" s="1260">
        <f>Arch!M66</f>
        <v>0</v>
      </c>
    </row>
    <row r="703" spans="1:10" outlineLevel="1">
      <c r="A703" t="s">
        <v>86</v>
      </c>
      <c r="B703" t="s">
        <v>87</v>
      </c>
      <c r="E703" t="str">
        <f>IF(LEN(Arch!C67)&gt;0, Arch!C67, Arch!B67)</f>
        <v>งานรอยต่อพื้น</v>
      </c>
      <c r="F703" s="1260">
        <f>Arch!F67</f>
        <v>0</v>
      </c>
      <c r="G703" s="1260">
        <f>Arch!E67</f>
        <v>0</v>
      </c>
      <c r="H703" s="1260">
        <f>Arch!I67</f>
        <v>0</v>
      </c>
      <c r="I703" s="1260">
        <f>Arch!L67</f>
        <v>0</v>
      </c>
      <c r="J703" s="1260">
        <f>Arch!M67</f>
        <v>0</v>
      </c>
    </row>
    <row r="704" spans="1:10" outlineLevel="1">
      <c r="A704" t="s">
        <v>86</v>
      </c>
      <c r="B704" t="s">
        <v>87</v>
      </c>
      <c r="C704" t="s">
        <v>109</v>
      </c>
      <c r="D704" t="s">
        <v>110</v>
      </c>
      <c r="E704" t="str">
        <f>IF(LEN(Arch!C68)&gt;0, Arch!C68, Arch!B68)</f>
        <v>งานรอยต่อพื้น J1  (เส้นแบ่งแนว)</v>
      </c>
      <c r="F704" s="1260" t="str">
        <f>Arch!F68</f>
        <v>เมตร</v>
      </c>
      <c r="G704" s="1260">
        <f>Arch!E68</f>
        <v>501.62200000000001</v>
      </c>
      <c r="H704" s="1260">
        <f>Arch!I68</f>
        <v>103173.49775749148</v>
      </c>
      <c r="I704" s="1260">
        <f>Arch!L68</f>
        <v>21103.669995850531</v>
      </c>
      <c r="J704" s="1260">
        <f>Arch!M68</f>
        <v>124277.16775334202</v>
      </c>
    </row>
    <row r="705" spans="1:10" outlineLevel="1">
      <c r="A705" t="s">
        <v>86</v>
      </c>
      <c r="B705" t="s">
        <v>87</v>
      </c>
      <c r="C705" t="s">
        <v>109</v>
      </c>
      <c r="D705" t="s">
        <v>110</v>
      </c>
      <c r="E705" t="str">
        <f>IF(LEN(Arch!C69)&gt;0, Arch!C69, Arch!B69)</f>
        <v>งานรอยต่อพื้น J2  (เส้นแบ่งแนว)</v>
      </c>
      <c r="F705" s="1260" t="str">
        <f>Arch!F69</f>
        <v>เมตร</v>
      </c>
      <c r="G705" s="1260">
        <f>Arch!E69</f>
        <v>8</v>
      </c>
      <c r="H705" s="1260">
        <f>Arch!I69</f>
        <v>2991.7057503999999</v>
      </c>
      <c r="I705" s="1260">
        <f>Arch!L69</f>
        <v>336.56689691999998</v>
      </c>
      <c r="J705" s="1260">
        <f>Arch!M69</f>
        <v>3328.27264732</v>
      </c>
    </row>
    <row r="706" spans="1:10" outlineLevel="1">
      <c r="A706" t="s">
        <v>86</v>
      </c>
      <c r="B706" t="s">
        <v>87</v>
      </c>
      <c r="C706" t="s">
        <v>109</v>
      </c>
      <c r="D706" t="s">
        <v>110</v>
      </c>
      <c r="E706" t="str">
        <f>IF(LEN(Arch!C70)&gt;0, Arch!C70, Arch!B70)</f>
        <v>Expansion Joint ตึกเดิมและตึกใหม่</v>
      </c>
      <c r="F706" s="1260" t="str">
        <f>Arch!F70</f>
        <v>เมตร</v>
      </c>
      <c r="G706" s="1260">
        <f>Arch!E70</f>
        <v>10</v>
      </c>
      <c r="H706" s="1260">
        <f>Arch!I70</f>
        <v>23372.701174999998</v>
      </c>
      <c r="I706" s="1260">
        <f>Arch!L70</f>
        <v>934.90804700000001</v>
      </c>
      <c r="J706" s="1260">
        <f>Arch!M70</f>
        <v>24307.609221999999</v>
      </c>
    </row>
    <row r="707" spans="1:10" outlineLevel="1">
      <c r="F707" s="1260"/>
      <c r="G707" s="1260"/>
      <c r="H707" s="1260"/>
      <c r="I707" s="1260"/>
      <c r="J707" s="1260"/>
    </row>
    <row r="708" spans="1:10" outlineLevel="1">
      <c r="F708" s="1260"/>
      <c r="G708" s="1260"/>
      <c r="H708" s="1260"/>
      <c r="I708" s="1260"/>
      <c r="J708" s="1260"/>
    </row>
    <row r="709" spans="1:10" outlineLevel="1">
      <c r="F709" s="1260"/>
      <c r="G709" s="1260"/>
      <c r="H709" s="1260"/>
      <c r="I709" s="1260"/>
      <c r="J709" s="1260"/>
    </row>
    <row r="710" spans="1:10" outlineLevel="1">
      <c r="F710" s="1260"/>
      <c r="G710" s="1260"/>
      <c r="H710" s="1260"/>
      <c r="I710" s="1260"/>
      <c r="J710" s="1260"/>
    </row>
    <row r="711" spans="1:10" outlineLevel="1">
      <c r="F711" s="1260"/>
      <c r="G711" s="1260"/>
      <c r="H711" s="1260"/>
      <c r="I711" s="1260"/>
      <c r="J711" s="1260"/>
    </row>
    <row r="712" spans="1:10" outlineLevel="1">
      <c r="F712" s="1260"/>
      <c r="G712" s="1260"/>
      <c r="H712" s="1260"/>
      <c r="I712" s="1260"/>
      <c r="J712" s="1260"/>
    </row>
    <row r="713" spans="1:10" outlineLevel="1">
      <c r="F713" s="1260"/>
      <c r="G713" s="1260"/>
      <c r="H713" s="1260"/>
      <c r="I713" s="1260"/>
      <c r="J713" s="1260"/>
    </row>
    <row r="714" spans="1:10" outlineLevel="1">
      <c r="F714" s="1260"/>
      <c r="G714" s="1260"/>
      <c r="H714" s="1260"/>
      <c r="I714" s="1260"/>
      <c r="J714" s="1260"/>
    </row>
    <row r="715" spans="1:10" outlineLevel="1">
      <c r="F715" s="1260"/>
      <c r="G715" s="1260"/>
      <c r="H715" s="1260"/>
      <c r="I715" s="1260"/>
      <c r="J715" s="1260"/>
    </row>
    <row r="716" spans="1:10" outlineLevel="1">
      <c r="A716" t="s">
        <v>86</v>
      </c>
      <c r="E716" t="str">
        <f>IF(LEN(Arch!C80)&gt;0, Arch!C80, Arch!B80)</f>
        <v>งานผนังและผิวผนัง</v>
      </c>
      <c r="F716" s="1260">
        <f>Arch!F80</f>
        <v>0</v>
      </c>
      <c r="G716" s="1260">
        <f>Arch!E80</f>
        <v>0</v>
      </c>
      <c r="H716" s="1260">
        <f>Arch!I80</f>
        <v>0</v>
      </c>
      <c r="I716" s="1260">
        <f>Arch!L80</f>
        <v>0</v>
      </c>
      <c r="J716" s="1260">
        <f>Arch!M80</f>
        <v>0</v>
      </c>
    </row>
    <row r="717" spans="1:10" outlineLevel="1">
      <c r="A717" t="s">
        <v>86</v>
      </c>
      <c r="F717" s="1260">
        <f>Arch!F81</f>
        <v>0</v>
      </c>
      <c r="G717" s="1260">
        <f>Arch!E81</f>
        <v>0</v>
      </c>
      <c r="H717" s="1260">
        <f>Arch!I81</f>
        <v>0</v>
      </c>
      <c r="I717" s="1260">
        <f>Arch!L81</f>
        <v>0</v>
      </c>
      <c r="J717" s="1260">
        <f>Arch!M81</f>
        <v>0</v>
      </c>
    </row>
    <row r="718" spans="1:10" outlineLevel="1">
      <c r="A718" t="s">
        <v>86</v>
      </c>
      <c r="B718" t="s">
        <v>111</v>
      </c>
      <c r="C718" t="s">
        <v>112</v>
      </c>
      <c r="D718" t="s">
        <v>113</v>
      </c>
      <c r="E718" t="str">
        <f>IF(LEN(Arch!C82)&gt;0, Arch!C82, Arch!B82)</f>
        <v>ผนังก่อคอนกรีตมวลเบา ขนาด 20 x 60 x 10 ซม.</v>
      </c>
      <c r="F718" s="1260" t="str">
        <f>Arch!F82</f>
        <v>ตร.ม.</v>
      </c>
      <c r="G718" s="1260">
        <f>Arch!E82</f>
        <v>1180</v>
      </c>
      <c r="H718" s="1260">
        <f>Arch!I82</f>
        <v>264765.95891039999</v>
      </c>
      <c r="I718" s="1260">
        <f>Arch!L82</f>
        <v>66191.489727599997</v>
      </c>
      <c r="J718" s="1260">
        <f>Arch!M82</f>
        <v>330957.448638</v>
      </c>
    </row>
    <row r="719" spans="1:10" outlineLevel="1">
      <c r="A719" t="s">
        <v>86</v>
      </c>
      <c r="B719" t="s">
        <v>111</v>
      </c>
      <c r="C719" t="s">
        <v>112</v>
      </c>
      <c r="D719" t="s">
        <v>113</v>
      </c>
      <c r="E719" t="str">
        <f>IF(LEN(Arch!C83)&gt;0, Arch!C83, Arch!B83)</f>
        <v>ผนังก่อคอนกรีตมวลเบา ขนาด 20 x 60 x 15 ซม.</v>
      </c>
      <c r="F719" s="1260" t="str">
        <f>Arch!F83</f>
        <v>ตร.ม.</v>
      </c>
      <c r="G719" s="1260">
        <f>Arch!E83</f>
        <v>55</v>
      </c>
      <c r="H719" s="1260">
        <f>Arch!I83</f>
        <v>18151.239732505001</v>
      </c>
      <c r="I719" s="1260">
        <f>Arch!L83</f>
        <v>3496.5560957799999</v>
      </c>
      <c r="J719" s="1260">
        <f>Arch!M83</f>
        <v>21647.795828285001</v>
      </c>
    </row>
    <row r="720" spans="1:10" outlineLevel="1">
      <c r="A720" t="s">
        <v>86</v>
      </c>
      <c r="B720" t="s">
        <v>111</v>
      </c>
      <c r="C720" t="s">
        <v>112</v>
      </c>
      <c r="D720" t="s">
        <v>113</v>
      </c>
      <c r="E720" t="str">
        <f>IF(LEN(Arch!C84)&gt;0, Arch!C84, Arch!B84)</f>
        <v>ผนังก่อคอนกรีตมวลเบา ขนาด 20 x 60 x 20 ซม.</v>
      </c>
      <c r="F720" s="1260" t="str">
        <f>Arch!F84</f>
        <v>ตร.ม.</v>
      </c>
      <c r="G720" s="1260">
        <f>Arch!E84</f>
        <v>155</v>
      </c>
      <c r="H720" s="1260">
        <f>Arch!I84</f>
        <v>68108.051223949995</v>
      </c>
      <c r="I720" s="1260">
        <f>Arch!L84</f>
        <v>11303.03828823</v>
      </c>
      <c r="J720" s="1260">
        <f>Arch!M84</f>
        <v>79411.089512179999</v>
      </c>
    </row>
    <row r="721" spans="1:10" outlineLevel="1">
      <c r="A721" t="s">
        <v>86</v>
      </c>
      <c r="B721" t="s">
        <v>111</v>
      </c>
      <c r="C721" t="s">
        <v>112</v>
      </c>
      <c r="D721" t="s">
        <v>114</v>
      </c>
      <c r="E721" t="str">
        <f>IF(LEN(Arch!C85)&gt;0, Arch!C85, Arch!B85)</f>
        <v>งานเสาเอ็นและทับหลัง ผนังก่อคอนกรีตมวลเบา หนา 10 ซม.</v>
      </c>
      <c r="F721" s="1260" t="str">
        <f>Arch!F85</f>
        <v>เมตร</v>
      </c>
      <c r="G721" s="1260">
        <f>Arch!E85</f>
        <v>990</v>
      </c>
      <c r="H721" s="1260">
        <f>Arch!I85</f>
        <v>73119.158355869993</v>
      </c>
      <c r="I721" s="1260">
        <f>Arch!L85</f>
        <v>42575.712460379997</v>
      </c>
      <c r="J721" s="1260">
        <f>Arch!M85</f>
        <v>115694.87081624998</v>
      </c>
    </row>
    <row r="722" spans="1:10" outlineLevel="1">
      <c r="A722" t="s">
        <v>86</v>
      </c>
      <c r="B722" t="s">
        <v>111</v>
      </c>
      <c r="C722" t="s">
        <v>112</v>
      </c>
      <c r="D722" t="s">
        <v>114</v>
      </c>
      <c r="E722" t="str">
        <f>IF(LEN(Arch!C86)&gt;0, Arch!C86, Arch!B86)</f>
        <v>งานเสาเอ็นและทับหลัง ผนังก่อคอนกรีตมวลเบา หนา 15 ซม.</v>
      </c>
      <c r="F722" s="1260" t="str">
        <f>Arch!F86</f>
        <v>เมตร</v>
      </c>
      <c r="G722" s="1260">
        <f>Arch!E86</f>
        <v>45</v>
      </c>
      <c r="H722" s="1260">
        <f>Arch!I86</f>
        <v>4796.0782811099998</v>
      </c>
      <c r="I722" s="1260">
        <f>Arch!L86</f>
        <v>2692.5351753599998</v>
      </c>
      <c r="J722" s="1260">
        <f>Arch!M86</f>
        <v>7488.6134564699996</v>
      </c>
    </row>
    <row r="723" spans="1:10" outlineLevel="1">
      <c r="A723" t="s">
        <v>86</v>
      </c>
      <c r="B723" t="s">
        <v>111</v>
      </c>
      <c r="C723" t="s">
        <v>112</v>
      </c>
      <c r="D723" t="s">
        <v>114</v>
      </c>
      <c r="E723" t="str">
        <f>IF(LEN(Arch!C87)&gt;0, Arch!C87, Arch!B87)</f>
        <v>งานเสาเอ็นและทับหลัง ผนังก่อคอนกรีตมวลเบา หนา 20 ซม.</v>
      </c>
      <c r="F723" s="1260" t="str">
        <f>Arch!F87</f>
        <v>เมตร</v>
      </c>
      <c r="G723" s="1260">
        <f>Arch!E87</f>
        <v>130</v>
      </c>
      <c r="H723" s="1260">
        <f>Arch!I87</f>
        <v>14341.489440979998</v>
      </c>
      <c r="I723" s="1260">
        <f>Arch!L87</f>
        <v>9844.5817349099998</v>
      </c>
      <c r="J723" s="1260">
        <f>Arch!M87</f>
        <v>24186.07117589</v>
      </c>
    </row>
    <row r="724" spans="1:10" outlineLevel="1">
      <c r="A724" t="s">
        <v>86</v>
      </c>
      <c r="B724" t="s">
        <v>111</v>
      </c>
      <c r="C724" t="s">
        <v>112</v>
      </c>
      <c r="D724" t="s">
        <v>115</v>
      </c>
      <c r="E724" t="str">
        <f>IF(LEN(Arch!C88)&gt;0, Arch!C88, Arch!B88)</f>
        <v>งานฉาบเรียบผนังคอนกรีตมวลเบา</v>
      </c>
      <c r="F724" s="1260" t="str">
        <f>Arch!F88</f>
        <v>ตร.ม.</v>
      </c>
      <c r="G724" s="1260">
        <f>Arch!E88</f>
        <v>2715</v>
      </c>
      <c r="H724" s="1260">
        <f>Arch!I88</f>
        <v>73609.985080544997</v>
      </c>
      <c r="I724" s="1260">
        <f>Arch!L88</f>
        <v>220829.95524163501</v>
      </c>
      <c r="J724" s="1260">
        <f>Arch!M88</f>
        <v>294439.94032217999</v>
      </c>
    </row>
    <row r="725" spans="1:10" outlineLevel="1">
      <c r="A725" t="s">
        <v>86</v>
      </c>
      <c r="B725" t="s">
        <v>111</v>
      </c>
      <c r="E725" t="str">
        <f>IF(LEN(Arch!C89)&gt;0, Arch!C89, Arch!B89)</f>
        <v>ผนังก่อฉาบหรือผนังโครงสร้างอื่นๆ ดูรายละเอียดงานตกแต่งภายใน</v>
      </c>
      <c r="F725" s="1260">
        <f>Arch!F89</f>
        <v>0</v>
      </c>
      <c r="G725" s="1260" t="str">
        <f>Arch!E89</f>
        <v>* ดูรายละเอียดงานตกแต่งภายใน</v>
      </c>
      <c r="H725" s="1260">
        <f>Arch!I89</f>
        <v>0</v>
      </c>
      <c r="I725" s="1260">
        <f>Arch!L89</f>
        <v>0</v>
      </c>
      <c r="J725" s="1260">
        <f>Arch!M89</f>
        <v>0</v>
      </c>
    </row>
    <row r="726" spans="1:10" outlineLevel="1">
      <c r="A726" t="s">
        <v>86</v>
      </c>
      <c r="B726" t="s">
        <v>111</v>
      </c>
      <c r="C726" t="s">
        <v>116</v>
      </c>
      <c r="D726" t="s">
        <v>117</v>
      </c>
      <c r="E726" t="str">
        <f>IF(LEN(Arch!C90)&gt;0, Arch!C90, Arch!B90)</f>
        <v>ผนังอาคารเดิมแต่งเรียบ (คิดเฉพาะงานทำความสะอาดและแต่งผิว)</v>
      </c>
      <c r="F726" s="1260" t="str">
        <f>Arch!F90</f>
        <v>ตร.ม.</v>
      </c>
      <c r="G726" s="1260">
        <f>Arch!E90</f>
        <v>3450</v>
      </c>
      <c r="H726" s="1260">
        <f>Arch!I90</f>
        <v>96762.982864499994</v>
      </c>
      <c r="I726" s="1260">
        <f>Arch!L90</f>
        <v>96762.982864499994</v>
      </c>
      <c r="J726" s="1260">
        <f>Arch!M90</f>
        <v>193525.96572899999</v>
      </c>
    </row>
    <row r="727" spans="1:10" outlineLevel="1">
      <c r="A727" t="s">
        <v>86</v>
      </c>
      <c r="B727" t="s">
        <v>111</v>
      </c>
      <c r="C727" t="s">
        <v>116</v>
      </c>
      <c r="D727" t="s">
        <v>117</v>
      </c>
      <c r="E727" t="str">
        <f>IF(LEN(Arch!C91)&gt;0, Arch!C91, Arch!B91)</f>
        <v>ผนังอาคารเดิมแต่งเรียบ (คิดเฉพาะงานทำความสะอาดและแต่งผิว)</v>
      </c>
      <c r="F727" s="1260" t="str">
        <f>Arch!F91</f>
        <v>ตร.ม.</v>
      </c>
      <c r="G727" s="1260">
        <f>Arch!E91</f>
        <v>3260</v>
      </c>
      <c r="H727" s="1260">
        <f>Arch!I91</f>
        <v>91434.006996599986</v>
      </c>
      <c r="I727" s="1260">
        <f>Arch!L91</f>
        <v>91434.006996599986</v>
      </c>
      <c r="J727" s="1260">
        <f>Arch!M91</f>
        <v>182868.01399319997</v>
      </c>
    </row>
    <row r="728" spans="1:10" outlineLevel="1">
      <c r="A728" t="s">
        <v>86</v>
      </c>
      <c r="B728" t="s">
        <v>111</v>
      </c>
      <c r="C728" t="s">
        <v>116</v>
      </c>
      <c r="D728" t="s">
        <v>117</v>
      </c>
      <c r="E728" t="str">
        <f>IF(LEN(Arch!C92)&gt;0, Arch!C92, Arch!B92)</f>
        <v>ผนังอาคารเดิม ทาน้ำยารักษาสภาพสีเดิมของอาคาร</v>
      </c>
      <c r="F728" s="1260" t="str">
        <f>Arch!F92</f>
        <v>ตร.ม.</v>
      </c>
      <c r="G728" s="1260">
        <f>Arch!E92</f>
        <v>670</v>
      </c>
      <c r="H728" s="1260">
        <f>Arch!I92</f>
        <v>31319.4195745</v>
      </c>
      <c r="I728" s="1260">
        <f>Arch!L92</f>
        <v>31319.4195745</v>
      </c>
      <c r="J728" s="1260">
        <f>Arch!M92</f>
        <v>62638.839148999999</v>
      </c>
    </row>
    <row r="729" spans="1:10" outlineLevel="1">
      <c r="A729" t="s">
        <v>86</v>
      </c>
      <c r="E729" t="str">
        <f>IF(LEN(Arch!C93)&gt;0, Arch!C93, Arch!B93)</f>
        <v>ผนังทาสีอะครีลิค</v>
      </c>
      <c r="F729" s="1260">
        <f>Arch!F93</f>
        <v>0</v>
      </c>
      <c r="G729" s="1260" t="str">
        <f>Arch!E93</f>
        <v>* ดูรายละเอียดงานทาสีผนัง</v>
      </c>
      <c r="H729" s="1260">
        <f>Arch!I93</f>
        <v>0</v>
      </c>
      <c r="I729" s="1260">
        <f>Arch!L93</f>
        <v>0</v>
      </c>
      <c r="J729" s="1260">
        <f>Arch!M93</f>
        <v>0</v>
      </c>
    </row>
    <row r="730" spans="1:10" outlineLevel="1">
      <c r="A730" t="s">
        <v>86</v>
      </c>
      <c r="B730" t="s">
        <v>111</v>
      </c>
      <c r="C730" t="s">
        <v>95</v>
      </c>
      <c r="D730" t="s">
        <v>118</v>
      </c>
      <c r="E730" t="str">
        <f>IF(LEN(Arch!C94)&gt;0, Arch!C94, Arch!B94)</f>
        <v>ผนังกรุกระเบื้องโมเสค รูป 6 เหลี่ยม ขนาดแผ่น 30x30 ซม. จำนวน 36 ชิ้นต่อแผ่น</v>
      </c>
      <c r="F730" s="1260" t="str">
        <f>Arch!F94</f>
        <v>ตร.ม.</v>
      </c>
      <c r="G730" s="1260">
        <f>Arch!E94</f>
        <v>483</v>
      </c>
      <c r="H730" s="1260">
        <f>Arch!I94</f>
        <v>451560.58670099999</v>
      </c>
      <c r="I730" s="1260">
        <f>Arch!L94</f>
        <v>78571.542085973997</v>
      </c>
      <c r="J730" s="1260">
        <f>Arch!M94</f>
        <v>530132.128786974</v>
      </c>
    </row>
    <row r="731" spans="1:10" outlineLevel="1">
      <c r="A731" t="s">
        <v>86</v>
      </c>
      <c r="B731" t="s">
        <v>111</v>
      </c>
      <c r="C731" t="s">
        <v>95</v>
      </c>
      <c r="D731" t="s">
        <v>118</v>
      </c>
      <c r="E731" t="str">
        <f>IF(LEN(Arch!C95)&gt;0, Arch!C95, Arch!B95)</f>
        <v>ผนังกรุกระเบื้องโมเสค  ขนาด 12"x12"  จำนวน 36 ชิ้นต่อแผ่น</v>
      </c>
      <c r="F731" s="1260" t="str">
        <f>Arch!F95</f>
        <v>ตร.ม.</v>
      </c>
      <c r="G731" s="1260">
        <f>Arch!E95</f>
        <v>42</v>
      </c>
      <c r="H731" s="1260">
        <f>Arch!I95</f>
        <v>24345.005543879997</v>
      </c>
      <c r="I731" s="1260">
        <f>Arch!L95</f>
        <v>6832.3080074760001</v>
      </c>
      <c r="J731" s="1260">
        <f>Arch!M95</f>
        <v>31177.313551355997</v>
      </c>
    </row>
    <row r="732" spans="1:10" outlineLevel="1">
      <c r="A732" t="s">
        <v>86</v>
      </c>
      <c r="B732" t="s">
        <v>111</v>
      </c>
      <c r="C732" t="s">
        <v>95</v>
      </c>
      <c r="D732" t="s">
        <v>118</v>
      </c>
      <c r="E732" t="str">
        <f>IF(LEN(Arch!C96)&gt;0, Arch!C96, Arch!B96)</f>
        <v>ผนังกรุกระเบื้องโมเสค  ขนาด 12"x12"  จำนวน 9 ชิ้นต่อแผ่น</v>
      </c>
      <c r="F732" s="1260" t="str">
        <f>Arch!F96</f>
        <v>ตร.ม.</v>
      </c>
      <c r="G732" s="1260">
        <f>Arch!E96</f>
        <v>28</v>
      </c>
      <c r="H732" s="1260">
        <f>Arch!I96</f>
        <v>16230.003695919999</v>
      </c>
      <c r="I732" s="1260">
        <f>Arch!L96</f>
        <v>4554.8720049840003</v>
      </c>
      <c r="J732" s="1260">
        <f>Arch!M96</f>
        <v>20784.875700903998</v>
      </c>
    </row>
    <row r="733" spans="1:10" outlineLevel="1">
      <c r="A733" t="s">
        <v>86</v>
      </c>
      <c r="B733" t="s">
        <v>111</v>
      </c>
      <c r="C733" t="s">
        <v>119</v>
      </c>
      <c r="D733" t="s">
        <v>120</v>
      </c>
      <c r="E733" t="str">
        <f>IF(LEN(Arch!C97)&gt;0, Arch!C97, Arch!B97)</f>
        <v>ผนังกระจก U GLASS ขนาด 262 x 60 x 7 มม.</v>
      </c>
      <c r="F733" s="1260" t="str">
        <f>Arch!F97</f>
        <v>ตร.ม.</v>
      </c>
      <c r="G733" s="1260">
        <f>Arch!E97</f>
        <v>102</v>
      </c>
      <c r="H733" s="1260">
        <f>Arch!I97</f>
        <v>495875.22812879999</v>
      </c>
      <c r="I733" s="1260">
        <f>Arch!L97</f>
        <v>190721.241588</v>
      </c>
      <c r="J733" s="1260">
        <f>Arch!M97</f>
        <v>686596.46971680003</v>
      </c>
    </row>
    <row r="734" spans="1:10" outlineLevel="1">
      <c r="A734" t="s">
        <v>86</v>
      </c>
      <c r="B734" t="s">
        <v>111</v>
      </c>
      <c r="C734" t="s">
        <v>119</v>
      </c>
      <c r="D734" t="s">
        <v>120</v>
      </c>
      <c r="E734" t="str">
        <f>IF(LEN(Arch!C98)&gt;0, Arch!C98, Arch!B98)</f>
        <v xml:space="preserve">ผนังกระจก U GLASS ขนาด 262 x 60 x 7 มม. </v>
      </c>
      <c r="F734" s="1260" t="str">
        <f>Arch!F98</f>
        <v>ตร.ม.</v>
      </c>
      <c r="G734" s="1260">
        <f>Arch!E98</f>
        <v>275</v>
      </c>
      <c r="H734" s="1260">
        <f>Arch!I98</f>
        <v>539909.39714250003</v>
      </c>
      <c r="I734" s="1260">
        <f>Arch!L98</f>
        <v>308519.65550999995</v>
      </c>
      <c r="J734" s="1260">
        <f>Arch!M98</f>
        <v>848429.05265249999</v>
      </c>
    </row>
    <row r="735" spans="1:10" outlineLevel="1">
      <c r="A735" t="s">
        <v>86</v>
      </c>
      <c r="B735" t="s">
        <v>111</v>
      </c>
      <c r="C735" t="s">
        <v>119</v>
      </c>
      <c r="D735" t="s">
        <v>120</v>
      </c>
      <c r="E735" t="str">
        <f>IF(LEN(Arch!C99)&gt;0, Arch!C99, Arch!B99)</f>
        <v xml:space="preserve">ผนังกระจก U GLASS ขนาด 262 x 60 x 7 มม. </v>
      </c>
      <c r="F735" s="1260" t="str">
        <f>Arch!F99</f>
        <v>ตร.ม.</v>
      </c>
      <c r="G735" s="1260">
        <f>Arch!E99</f>
        <v>80</v>
      </c>
      <c r="H735" s="1260">
        <f>Arch!I99</f>
        <v>336566.89691999997</v>
      </c>
      <c r="I735" s="1260">
        <f>Arch!L99</f>
        <v>149585.28752000001</v>
      </c>
      <c r="J735" s="1260">
        <f>Arch!M99</f>
        <v>486152.18443999998</v>
      </c>
    </row>
    <row r="736" spans="1:10" outlineLevel="1">
      <c r="A736" t="s">
        <v>86</v>
      </c>
      <c r="E736" t="str">
        <f>IF(LEN(Arch!C100)&gt;0, Arch!C100, Arch!B100)</f>
        <v>ผนังฉาบปูนเรียบ</v>
      </c>
      <c r="F736" s="1260">
        <f>Arch!F100</f>
        <v>0</v>
      </c>
      <c r="G736" s="1260" t="str">
        <f>Arch!E100</f>
        <v>* ดูรายละเอียดงานผนังก่อและงานฉาบ</v>
      </c>
      <c r="H736" s="1260">
        <f>Arch!I100</f>
        <v>0</v>
      </c>
      <c r="I736" s="1260">
        <f>Arch!L100</f>
        <v>0</v>
      </c>
      <c r="J736" s="1260">
        <f>Arch!M100</f>
        <v>0</v>
      </c>
    </row>
    <row r="737" spans="1:10" outlineLevel="1">
      <c r="A737" t="s">
        <v>86</v>
      </c>
      <c r="E737" t="str">
        <f>IF(LEN(Arch!C101)&gt;0, Arch!C101, Arch!B101)</f>
        <v>งานตกแต่งกรุผิวผนัง</v>
      </c>
      <c r="F737" s="1260">
        <f>Arch!F101</f>
        <v>0</v>
      </c>
      <c r="G737" s="1260">
        <f>Arch!E101</f>
        <v>0</v>
      </c>
      <c r="H737" s="1260">
        <f>Arch!I101</f>
        <v>0</v>
      </c>
      <c r="I737" s="1260">
        <f>Arch!L101</f>
        <v>0</v>
      </c>
      <c r="J737" s="1260">
        <f>Arch!M101</f>
        <v>0</v>
      </c>
    </row>
    <row r="738" spans="1:10" outlineLevel="1">
      <c r="A738" t="s">
        <v>86</v>
      </c>
      <c r="E738" t="str">
        <f>IF(LEN(Arch!C102)&gt;0, Arch!C102, Arch!B102)</f>
        <v>ผนังกรุผิวไม้อัดยางหนา 4 มม. และแผ่นลามิเนทลายไม้ ( ดูแบบขยายผนัง )</v>
      </c>
      <c r="F738" s="1260">
        <f>Arch!F102</f>
        <v>0</v>
      </c>
      <c r="G738" s="1260" t="str">
        <f>Arch!E102</f>
        <v>* ดูรายละเอียดงานสถาปัตยกรรมภายใน</v>
      </c>
      <c r="H738" s="1260">
        <f>Arch!I102</f>
        <v>0</v>
      </c>
      <c r="I738" s="1260">
        <f>Arch!L102</f>
        <v>0</v>
      </c>
      <c r="J738" s="1260">
        <f>Arch!M102</f>
        <v>0</v>
      </c>
    </row>
    <row r="739" spans="1:10" outlineLevel="1">
      <c r="A739" t="s">
        <v>86</v>
      </c>
      <c r="B739" t="s">
        <v>111</v>
      </c>
      <c r="C739" t="s">
        <v>121</v>
      </c>
      <c r="D739" t="s">
        <v>121</v>
      </c>
      <c r="E739" t="str">
        <f>IF(LEN(Arch!C103)&gt;0, Arch!C103, Arch!B103)</f>
        <v>งานกรุผิวไม้อัดยางหนา 4 มม. และแผ่นลามิเนทลายโลหะ ( ดูแบบขยายผนัง )</v>
      </c>
      <c r="F739" s="1260" t="str">
        <f>Arch!F103</f>
        <v>ตร.ม.</v>
      </c>
      <c r="G739" s="1260">
        <f>Arch!E103</f>
        <v>106</v>
      </c>
      <c r="H739" s="1260">
        <f>Arch!I103</f>
        <v>121893.31116785998</v>
      </c>
      <c r="I739" s="1260">
        <f>Arch!L103</f>
        <v>34685.088543699996</v>
      </c>
      <c r="J739" s="1260">
        <f>Arch!M103</f>
        <v>156578.39971155999</v>
      </c>
    </row>
    <row r="740" spans="1:10" outlineLevel="1">
      <c r="A740" t="s">
        <v>86</v>
      </c>
      <c r="F740" s="1260">
        <f>Arch!F104</f>
        <v>0</v>
      </c>
      <c r="G740" s="1260">
        <f>Arch!E104</f>
        <v>0</v>
      </c>
      <c r="H740" s="1260">
        <f>Arch!I104</f>
        <v>0</v>
      </c>
      <c r="I740" s="1260">
        <f>Arch!L104</f>
        <v>0</v>
      </c>
      <c r="J740" s="1260">
        <f>Arch!M104</f>
        <v>0</v>
      </c>
    </row>
    <row r="741" spans="1:10" outlineLevel="1">
      <c r="A741" t="s">
        <v>86</v>
      </c>
      <c r="F741" s="1260">
        <f>Arch!F105</f>
        <v>0</v>
      </c>
      <c r="G741" s="1260">
        <f>Arch!E105</f>
        <v>0</v>
      </c>
      <c r="H741" s="1260">
        <f>Arch!I105</f>
        <v>0</v>
      </c>
      <c r="I741" s="1260">
        <f>Arch!L105</f>
        <v>0</v>
      </c>
      <c r="J741" s="1260">
        <f>Arch!M105</f>
        <v>0</v>
      </c>
    </row>
    <row r="742" spans="1:10" outlineLevel="1">
      <c r="A742" t="s">
        <v>86</v>
      </c>
      <c r="B742" t="s">
        <v>111</v>
      </c>
      <c r="C742" t="s">
        <v>121</v>
      </c>
      <c r="D742" t="s">
        <v>121</v>
      </c>
      <c r="E742" t="str">
        <f>IF(LEN(Arch!C106)&gt;0, Arch!C106, Arch!B106)</f>
        <v>ผนังกรุผิวไม้อัดยางหนา 4 มม. และแผ่นไม้วีเนียร์ ( ดูแบบขยายผนัง )</v>
      </c>
      <c r="F742" s="1260" t="str">
        <f>Arch!F106</f>
        <v>ตร.ม.</v>
      </c>
      <c r="G742" s="1260">
        <f>Arch!E106</f>
        <v>9</v>
      </c>
      <c r="H742" s="1260">
        <f>Arch!I106</f>
        <v>6310.6293172499991</v>
      </c>
      <c r="I742" s="1260">
        <f>Arch!L106</f>
        <v>2355.9682784400002</v>
      </c>
      <c r="J742" s="1260">
        <f>Arch!M106</f>
        <v>8666.5975956900002</v>
      </c>
    </row>
    <row r="743" spans="1:10" outlineLevel="1">
      <c r="A743" t="s">
        <v>86</v>
      </c>
      <c r="B743" t="s">
        <v>111</v>
      </c>
      <c r="C743" t="s">
        <v>121</v>
      </c>
      <c r="D743" t="s">
        <v>121</v>
      </c>
      <c r="E743" t="str">
        <f>IF(LEN(Arch!C107)&gt;0, Arch!C107, Arch!B107)</f>
        <v xml:space="preserve">ผนังกรุผิวไม้อัดยางหนา 4 มม. ทับหน้าด้วยไม้วีเนียร์และไม้สัก ขนาด 20 x 20 มม. </v>
      </c>
      <c r="F743" s="1260">
        <f>Arch!F107</f>
        <v>0</v>
      </c>
      <c r="G743" s="1260" t="str">
        <f>Arch!E107</f>
        <v>* ดูรายละเอียดงานสถาปัตยกรรมภายใน</v>
      </c>
      <c r="H743" s="1260">
        <f>Arch!I107</f>
        <v>0</v>
      </c>
      <c r="I743" s="1260">
        <f>Arch!L107</f>
        <v>0</v>
      </c>
      <c r="J743" s="1260">
        <f>Arch!M107</f>
        <v>0</v>
      </c>
    </row>
    <row r="744" spans="1:10" outlineLevel="1">
      <c r="A744" t="s">
        <v>86</v>
      </c>
      <c r="B744" t="s">
        <v>111</v>
      </c>
      <c r="C744" t="s">
        <v>121</v>
      </c>
      <c r="D744" t="s">
        <v>121</v>
      </c>
      <c r="E744" t="str">
        <f>IF(LEN(Arch!C108)&gt;0, Arch!C108, Arch!B108)</f>
        <v>ทำสีธรรมชาติ ( ดูแบบขยายผนัง )</v>
      </c>
      <c r="F744" s="1260">
        <f>Arch!F108</f>
        <v>0</v>
      </c>
      <c r="G744" s="1260">
        <f>Arch!E108</f>
        <v>0</v>
      </c>
      <c r="H744" s="1260">
        <f>Arch!I108</f>
        <v>0</v>
      </c>
      <c r="I744" s="1260">
        <f>Arch!L108</f>
        <v>0</v>
      </c>
      <c r="J744" s="1260">
        <f>Arch!M108</f>
        <v>0</v>
      </c>
    </row>
    <row r="745" spans="1:10" outlineLevel="1">
      <c r="A745" t="s">
        <v>86</v>
      </c>
      <c r="B745" t="s">
        <v>111</v>
      </c>
      <c r="C745" t="s">
        <v>121</v>
      </c>
      <c r="D745" t="s">
        <v>121</v>
      </c>
      <c r="E745" t="str">
        <f>IF(LEN(Arch!C109)&gt;0, Arch!C109, Arch!B109)</f>
        <v>ผนังยิปซั่มบอร์ด Multi Wall หนา 15 มม. โครงเคร่า Hot Dip Galvanized Steel</v>
      </c>
      <c r="F745" s="1260" t="str">
        <f>Arch!F109</f>
        <v>ตร.ม.</v>
      </c>
      <c r="G745" s="1260">
        <f>Arch!E109</f>
        <v>973</v>
      </c>
      <c r="H745" s="1260">
        <f>Arch!I109</f>
        <v>443007.112978997</v>
      </c>
      <c r="I745" s="1260">
        <f>Arch!L109</f>
        <v>118256.51886503</v>
      </c>
      <c r="J745" s="1260">
        <f>Arch!M109</f>
        <v>561263.63184402697</v>
      </c>
    </row>
    <row r="746" spans="1:10" outlineLevel="1">
      <c r="A746" t="s">
        <v>86</v>
      </c>
      <c r="B746" t="s">
        <v>111</v>
      </c>
      <c r="C746" t="s">
        <v>121</v>
      </c>
      <c r="D746" t="s">
        <v>121</v>
      </c>
      <c r="E746" t="str">
        <f>IF(LEN(Arch!C110)&gt;0, Arch!C110, Arch!B110)</f>
        <v>หนา 0.52 มม.  (กรุยิปซั่ม 2 ด้าน)</v>
      </c>
      <c r="F746" s="1260">
        <f>Arch!F110</f>
        <v>0</v>
      </c>
      <c r="G746" s="1260">
        <f>Arch!E110</f>
        <v>0</v>
      </c>
      <c r="H746" s="1260">
        <f>Arch!I110</f>
        <v>0</v>
      </c>
      <c r="I746" s="1260">
        <f>Arch!L110</f>
        <v>0</v>
      </c>
      <c r="J746" s="1260">
        <f>Arch!M110</f>
        <v>0</v>
      </c>
    </row>
    <row r="747" spans="1:10" outlineLevel="1">
      <c r="A747" t="s">
        <v>86</v>
      </c>
      <c r="B747" t="s">
        <v>111</v>
      </c>
      <c r="C747" t="s">
        <v>121</v>
      </c>
      <c r="D747" t="s">
        <v>121</v>
      </c>
      <c r="E747" t="str">
        <f>IF(LEN(Arch!C111)&gt;0, Arch!C111, Arch!B111)</f>
        <v>งานตกแต่งกรุผิวผนังยิปซั่มบอร์ด</v>
      </c>
      <c r="F747" s="1260">
        <f>Arch!F111</f>
        <v>0</v>
      </c>
      <c r="G747" s="1260">
        <f>Arch!E111</f>
        <v>0</v>
      </c>
      <c r="H747" s="1260">
        <f>Arch!I111</f>
        <v>0</v>
      </c>
      <c r="I747" s="1260">
        <f>Arch!L111</f>
        <v>0</v>
      </c>
      <c r="J747" s="1260">
        <f>Arch!M111</f>
        <v>0</v>
      </c>
    </row>
    <row r="748" spans="1:10" outlineLevel="1">
      <c r="A748" t="s">
        <v>86</v>
      </c>
      <c r="B748" t="s">
        <v>111</v>
      </c>
      <c r="C748" t="s">
        <v>121</v>
      </c>
      <c r="D748" t="s">
        <v>121</v>
      </c>
      <c r="E748" t="str">
        <f>IF(LEN(Arch!C112)&gt;0, Arch!C112, Arch!B112)</f>
        <v>ผนังกรุผิวไม้อัดสักหนา 4 มม. และแผ่นไม้วีเนียร์ ( ดูแบบขยายผนัง )</v>
      </c>
      <c r="F748" s="1260" t="str">
        <f>Arch!F112</f>
        <v>ตร.ม.</v>
      </c>
      <c r="G748" s="1260">
        <f>Arch!E112</f>
        <v>27</v>
      </c>
      <c r="H748" s="1260">
        <f>Arch!I112</f>
        <v>16155.211052160001</v>
      </c>
      <c r="I748" s="1260">
        <f>Arch!L112</f>
        <v>8077.6055260800003</v>
      </c>
      <c r="J748" s="1260">
        <f>Arch!M112</f>
        <v>24232.816578240003</v>
      </c>
    </row>
    <row r="749" spans="1:10" outlineLevel="1">
      <c r="A749" t="s">
        <v>86</v>
      </c>
      <c r="B749" t="s">
        <v>111</v>
      </c>
      <c r="C749" t="s">
        <v>121</v>
      </c>
      <c r="D749" t="s">
        <v>121</v>
      </c>
      <c r="E749" t="str">
        <f>IF(LEN(Arch!C113)&gt;0, Arch!C113, Arch!B113)</f>
        <v>งานกรุผิวไม้อัดยางหนา 4 มม. และแผ่นลามิเนทลายโลหะ ( ดูแบบขยายผนัง )</v>
      </c>
      <c r="F749" s="1260" t="str">
        <f>Arch!F113</f>
        <v>ตร.ม.</v>
      </c>
      <c r="G749" s="1260">
        <f>Arch!E113</f>
        <v>307</v>
      </c>
      <c r="H749" s="1260">
        <f>Arch!I113</f>
        <v>353030.62762766995</v>
      </c>
      <c r="I749" s="1260">
        <f>Arch!L113</f>
        <v>100455.86965014999</v>
      </c>
      <c r="J749" s="1260">
        <f>Arch!M113</f>
        <v>453486.49727781996</v>
      </c>
    </row>
    <row r="750" spans="1:10" outlineLevel="1">
      <c r="A750" t="s">
        <v>86</v>
      </c>
      <c r="B750" t="s">
        <v>111</v>
      </c>
      <c r="C750" t="s">
        <v>121</v>
      </c>
      <c r="D750" t="s">
        <v>121</v>
      </c>
      <c r="E750" t="str">
        <f>IF(LEN(Arch!C114)&gt;0, Arch!C114, Arch!B114)</f>
        <v>ผนังกรุผิวไม้อัดยางหนา 4 มม. และแผ่นไม้วีเนียร์ ( ดูแบบขยายผนัง )</v>
      </c>
      <c r="F750" s="1260" t="str">
        <f>Arch!F114</f>
        <v>ตร.ม.</v>
      </c>
      <c r="G750" s="1260">
        <f>Arch!E114</f>
        <v>701</v>
      </c>
      <c r="H750" s="1260">
        <f>Arch!I114</f>
        <v>491527.90571024996</v>
      </c>
      <c r="I750" s="1260">
        <f>Arch!L114</f>
        <v>183503.75146515999</v>
      </c>
      <c r="J750" s="1260">
        <f>Arch!M114</f>
        <v>675031.65717540996</v>
      </c>
    </row>
    <row r="751" spans="1:10" outlineLevel="1">
      <c r="A751" t="s">
        <v>86</v>
      </c>
      <c r="B751" t="s">
        <v>111</v>
      </c>
      <c r="C751" t="s">
        <v>121</v>
      </c>
      <c r="D751" t="s">
        <v>121</v>
      </c>
      <c r="E751" t="str">
        <f>IF(LEN(Arch!C115)&gt;0, Arch!C115, Arch!B115)</f>
        <v>ผนังกรุผิวไม้อัดยางหนา 4 มม. ทับหน้าด้วยไม้วีเนียร์และไม้สัก ขนาด 20 x 20 มม.</v>
      </c>
      <c r="F751" s="1260">
        <f>Arch!F115</f>
        <v>0</v>
      </c>
      <c r="G751" s="1260" t="str">
        <f>Arch!E115</f>
        <v>* ดูรายละเอียดงานสถาปัตยกรรมภายใน</v>
      </c>
      <c r="H751" s="1260">
        <f>Arch!I115</f>
        <v>0</v>
      </c>
      <c r="I751" s="1260">
        <f>Arch!L115</f>
        <v>0</v>
      </c>
      <c r="J751" s="1260">
        <f>Arch!M115</f>
        <v>0</v>
      </c>
    </row>
    <row r="752" spans="1:10" outlineLevel="1">
      <c r="A752" t="s">
        <v>86</v>
      </c>
      <c r="E752" t="str">
        <f>IF(LEN(Arch!C116)&gt;0, Arch!C116, Arch!B116)</f>
        <v>ทำสีธรรมชาติ ( ดูแบบขยายผนัง )</v>
      </c>
      <c r="F752" s="1260">
        <f>Arch!F116</f>
        <v>0</v>
      </c>
      <c r="G752" s="1260">
        <f>Arch!E116</f>
        <v>0</v>
      </c>
      <c r="H752" s="1260">
        <f>Arch!I116</f>
        <v>0</v>
      </c>
      <c r="I752" s="1260">
        <f>Arch!L116</f>
        <v>0</v>
      </c>
      <c r="J752" s="1260">
        <f>Arch!M116</f>
        <v>0</v>
      </c>
    </row>
    <row r="753" spans="1:10" outlineLevel="1">
      <c r="A753" t="s">
        <v>86</v>
      </c>
      <c r="E753" t="str">
        <f>IF(LEN(Arch!C117)&gt;0, Arch!C117, Arch!B117)</f>
        <v>งานผนังทาสีอะครีลิค</v>
      </c>
      <c r="F753" s="1260">
        <f>Arch!F117</f>
        <v>0</v>
      </c>
      <c r="G753" s="1260" t="str">
        <f>Arch!E117</f>
        <v>* ดูรายละเอียดงานทาสี</v>
      </c>
      <c r="H753" s="1260">
        <f>Arch!I117</f>
        <v>0</v>
      </c>
      <c r="I753" s="1260">
        <f>Arch!L117</f>
        <v>0</v>
      </c>
      <c r="J753" s="1260">
        <f>Arch!M117</f>
        <v>0</v>
      </c>
    </row>
    <row r="754" spans="1:10" outlineLevel="1">
      <c r="A754" t="s">
        <v>86</v>
      </c>
      <c r="E754" t="str">
        <f>IF(LEN(Arch!C118)&gt;0, Arch!C118, Arch!B118)</f>
        <v>งานกรุผิวไม้อัดยางหนา 4 มม. และแผ่นลามิเนทสีเรียบ ( ดูแบบขยายผนัง )</v>
      </c>
      <c r="F754" s="1260">
        <f>Arch!F118</f>
        <v>0</v>
      </c>
      <c r="G754" s="1260" t="str">
        <f>Arch!E118</f>
        <v>* ดูรายละเอียดงานสถาปัตยกรรมภายใน</v>
      </c>
      <c r="H754" s="1260">
        <f>Arch!I118</f>
        <v>0</v>
      </c>
      <c r="I754" s="1260">
        <f>Arch!L118</f>
        <v>0</v>
      </c>
      <c r="J754" s="1260">
        <f>Arch!M118</f>
        <v>0</v>
      </c>
    </row>
    <row r="755" spans="1:10" outlineLevel="1">
      <c r="A755" t="s">
        <v>86</v>
      </c>
      <c r="E755" t="str">
        <f>IF(LEN(Arch!C119)&gt;0, Arch!C119, Arch!B119)</f>
        <v xml:space="preserve">* P5.1 , P5.2, P5.3 , P5.4 และ P5.6  ภายในห้อง workshop และห้องประชุมทั้งหมด </v>
      </c>
      <c r="F755" s="1260">
        <f>Arch!F119</f>
        <v>0</v>
      </c>
      <c r="G755" s="1260">
        <f>Arch!E119</f>
        <v>0</v>
      </c>
      <c r="H755" s="1260">
        <f>Arch!I119</f>
        <v>0</v>
      </c>
      <c r="I755" s="1260">
        <f>Arch!L119</f>
        <v>0</v>
      </c>
      <c r="J755" s="1260">
        <f>Arch!M119</f>
        <v>0</v>
      </c>
    </row>
    <row r="756" spans="1:10" outlineLevel="1">
      <c r="A756" t="s">
        <v>86</v>
      </c>
      <c r="E756" t="str">
        <f>IF(LEN(Arch!C120)&gt;0, Arch!C120, Arch!B120)</f>
        <v>อยู่ในงานสถาปัตยกรรมภายใน</v>
      </c>
      <c r="F756" s="1260">
        <f>Arch!F120</f>
        <v>0</v>
      </c>
      <c r="G756" s="1260">
        <f>Arch!E120</f>
        <v>0</v>
      </c>
      <c r="H756" s="1260">
        <f>Arch!I120</f>
        <v>0</v>
      </c>
      <c r="I756" s="1260">
        <f>Arch!L120</f>
        <v>0</v>
      </c>
      <c r="J756" s="1260">
        <f>Arch!M120</f>
        <v>0</v>
      </c>
    </row>
    <row r="757" spans="1:10" outlineLevel="1">
      <c r="A757" t="s">
        <v>86</v>
      </c>
      <c r="E757" t="str">
        <f>IF(LEN(Arch!C121)&gt;0, Arch!C121, Arch!B121)</f>
        <v>รายละเอียดประกอบผนัง P4 และ P5</v>
      </c>
      <c r="F757" s="1260">
        <f>Arch!F121</f>
        <v>0</v>
      </c>
      <c r="G757" s="1260">
        <f>Arch!E121</f>
        <v>0</v>
      </c>
      <c r="H757" s="1260">
        <f>Arch!I121</f>
        <v>0</v>
      </c>
      <c r="I757" s="1260">
        <f>Arch!L121</f>
        <v>0</v>
      </c>
      <c r="J757" s="1260">
        <f>Arch!M121</f>
        <v>0</v>
      </c>
    </row>
    <row r="758" spans="1:10" outlineLevel="1">
      <c r="A758" t="s">
        <v>86</v>
      </c>
      <c r="B758" t="s">
        <v>111</v>
      </c>
      <c r="C758" t="s">
        <v>122</v>
      </c>
      <c r="D758" t="s">
        <v>123</v>
      </c>
      <c r="E758" t="str">
        <f>IF(LEN(Arch!C122)&gt;0, Arch!C122, Arch!B122)</f>
        <v>WJ1   กระจกโฟลทใส หนา 6 มม.</v>
      </c>
      <c r="F758" s="1260" t="str">
        <f>Arch!F122</f>
        <v>ตร.ม.</v>
      </c>
      <c r="G758" s="1260">
        <f>Arch!E122</f>
        <v>50</v>
      </c>
      <c r="H758" s="1260">
        <f>Arch!I122</f>
        <v>210354.31057500001</v>
      </c>
      <c r="I758" s="1260">
        <f>Arch!L122</f>
        <v>39733.5919975</v>
      </c>
      <c r="J758" s="1260">
        <f>Arch!M122</f>
        <v>250087.9025725</v>
      </c>
    </row>
    <row r="759" spans="1:10" outlineLevel="1">
      <c r="A759" t="s">
        <v>86</v>
      </c>
      <c r="B759" t="s">
        <v>111</v>
      </c>
      <c r="C759" t="s">
        <v>122</v>
      </c>
      <c r="D759" t="s">
        <v>123</v>
      </c>
      <c r="E759" t="str">
        <f>IF(LEN(Arch!C123)&gt;0, Arch!C123, Arch!B123)</f>
        <v>WJ2   โครงคร่าวตัวยู ขนาด 94 x 30 x 0.52 มม.</v>
      </c>
      <c r="F759" s="1260">
        <f>Arch!F123</f>
        <v>0</v>
      </c>
      <c r="G759" s="1260" t="str">
        <f>Arch!E123</f>
        <v xml:space="preserve">* คิดรวมในงานผนังยิปซั่มบอร์ด </v>
      </c>
      <c r="H759" s="1260">
        <f>Arch!I123</f>
        <v>0</v>
      </c>
      <c r="I759" s="1260">
        <f>Arch!L123</f>
        <v>0</v>
      </c>
      <c r="J759" s="1260">
        <f>Arch!M123</f>
        <v>0</v>
      </c>
    </row>
    <row r="760" spans="1:10" outlineLevel="1">
      <c r="A760" t="s">
        <v>86</v>
      </c>
      <c r="B760" t="s">
        <v>111</v>
      </c>
      <c r="C760" t="s">
        <v>122</v>
      </c>
      <c r="D760" t="s">
        <v>123</v>
      </c>
      <c r="E760" t="str">
        <f>IF(LEN(Arch!C124)&gt;0, Arch!C124, Arch!B124)</f>
        <v>WJ3    โครงคร่าวแนวตั้งตัวซี ขนาด 90 x 36 x 0.52 มม.</v>
      </c>
      <c r="F760" s="1260">
        <f>Arch!F124</f>
        <v>0</v>
      </c>
      <c r="G760" s="1260" t="str">
        <f>Arch!E124</f>
        <v xml:space="preserve">* คิดรวมในงานผนังยิปซั่มบอร์ด </v>
      </c>
      <c r="H760" s="1260">
        <f>Arch!I124</f>
        <v>0</v>
      </c>
      <c r="I760" s="1260">
        <f>Arch!L124</f>
        <v>0</v>
      </c>
      <c r="J760" s="1260">
        <f>Arch!M124</f>
        <v>0</v>
      </c>
    </row>
    <row r="761" spans="1:10" outlineLevel="1">
      <c r="A761" t="s">
        <v>86</v>
      </c>
      <c r="B761" t="s">
        <v>111</v>
      </c>
      <c r="C761" t="s">
        <v>122</v>
      </c>
      <c r="D761" t="s">
        <v>123</v>
      </c>
      <c r="E761" t="str">
        <f>IF(LEN(Arch!C125)&gt;0, Arch!C125, Arch!B125)</f>
        <v xml:space="preserve">WJ4    ฉนวนกันเสียง หนา 50 มม. </v>
      </c>
      <c r="F761" s="1260" t="str">
        <f>Arch!F125</f>
        <v>ตร.ม.</v>
      </c>
      <c r="G761" s="1260">
        <f>Arch!E125</f>
        <v>973</v>
      </c>
      <c r="H761" s="1260">
        <f>Arch!I125</f>
        <v>221048.72372463299</v>
      </c>
      <c r="I761" s="1260">
        <f>Arch!L125</f>
        <v>22741.638243275</v>
      </c>
      <c r="J761" s="1260">
        <f>Arch!M125</f>
        <v>243790.36196790799</v>
      </c>
    </row>
    <row r="762" spans="1:10" outlineLevel="1">
      <c r="A762" t="s">
        <v>86</v>
      </c>
      <c r="B762" t="s">
        <v>111</v>
      </c>
      <c r="C762" t="s">
        <v>122</v>
      </c>
      <c r="D762" t="s">
        <v>123</v>
      </c>
      <c r="E762" t="str">
        <f>IF(LEN(Arch!C126)&gt;0, Arch!C126, Arch!B126)</f>
        <v>WJ5    Steel Plate ขนาด 150 x 6 มม.</v>
      </c>
      <c r="F762" s="1260" t="str">
        <f>Arch!F126</f>
        <v>กก.</v>
      </c>
      <c r="G762" s="1260">
        <f>Arch!E126</f>
        <v>997</v>
      </c>
      <c r="H762" s="1260">
        <f>Arch!I126</f>
        <v>24234.686394333999</v>
      </c>
      <c r="I762" s="1260">
        <f>Arch!L126</f>
        <v>11185.239874307999</v>
      </c>
      <c r="J762" s="1260">
        <f>Arch!M126</f>
        <v>35419.926268641997</v>
      </c>
    </row>
    <row r="763" spans="1:10" outlineLevel="1">
      <c r="A763" t="s">
        <v>86</v>
      </c>
      <c r="B763" t="s">
        <v>111</v>
      </c>
      <c r="C763" t="s">
        <v>122</v>
      </c>
      <c r="D763" t="s">
        <v>123</v>
      </c>
      <c r="E763" t="str">
        <f>IF(LEN(Arch!C127)&gt;0, Arch!C127, Arch!B127)</f>
        <v>WJ6    Steel Square Bar ขนาด 10 x 10 มม.</v>
      </c>
      <c r="F763" s="1260" t="str">
        <f>Arch!F127</f>
        <v>กก.</v>
      </c>
      <c r="G763" s="1260">
        <f>Arch!E127</f>
        <v>41</v>
      </c>
      <c r="H763" s="1260">
        <f>Arch!I127</f>
        <v>996.61197810199997</v>
      </c>
      <c r="I763" s="1260">
        <f>Arch!L127</f>
        <v>459.974759124</v>
      </c>
      <c r="J763" s="1260">
        <f>Arch!M127</f>
        <v>1456.586737226</v>
      </c>
    </row>
    <row r="764" spans="1:10" outlineLevel="1">
      <c r="A764" t="s">
        <v>86</v>
      </c>
      <c r="B764" t="s">
        <v>111</v>
      </c>
      <c r="C764" t="s">
        <v>122</v>
      </c>
      <c r="D764" t="s">
        <v>123</v>
      </c>
      <c r="E764" t="str">
        <f>IF(LEN(Arch!C128)&gt;0, Arch!C128, Arch!B128)</f>
        <v>งานทาสีน้ำมันอัลคิดกึ่งเงาโครงสร้างเหล็กทั้งหมด</v>
      </c>
      <c r="F764" s="1260" t="str">
        <f>Arch!F128</f>
        <v>งาน</v>
      </c>
      <c r="G764" s="1260">
        <f>Arch!E128</f>
        <v>1</v>
      </c>
      <c r="H764" s="1260">
        <f>Arch!I128</f>
        <v>1869.816094</v>
      </c>
      <c r="I764" s="1260">
        <f>Arch!L128</f>
        <v>1121.8896563999999</v>
      </c>
      <c r="J764" s="1260">
        <f>Arch!M128</f>
        <v>2991.7057503999999</v>
      </c>
    </row>
    <row r="765" spans="1:10" outlineLevel="1">
      <c r="A765" t="s">
        <v>86</v>
      </c>
      <c r="E765" t="str">
        <f>IF(LEN(Arch!C129)&gt;0, Arch!C129, Arch!B129)</f>
        <v>ผนังห้องน้ำสำเร็จรูป</v>
      </c>
      <c r="F765" s="1260">
        <f>Arch!F129</f>
        <v>0</v>
      </c>
      <c r="G765" s="1260" t="str">
        <f>Arch!E129</f>
        <v>*ดูรายละเอียดงานห้องน้ำและสุขภัณฑ์</v>
      </c>
      <c r="H765" s="1260">
        <f>Arch!I129</f>
        <v>0</v>
      </c>
      <c r="I765" s="1260">
        <f>Arch!L129</f>
        <v>0</v>
      </c>
      <c r="J765" s="1260">
        <f>Arch!M129</f>
        <v>0</v>
      </c>
    </row>
    <row r="766" spans="1:10" outlineLevel="1">
      <c r="A766" t="s">
        <v>86</v>
      </c>
      <c r="E766" t="str">
        <f>IF(LEN(Arch!C130)&gt;0, Arch!C130, Arch!B130)</f>
        <v>งานบัวเชิงผนัง</v>
      </c>
      <c r="F766" s="1260">
        <f>Arch!F130</f>
        <v>0</v>
      </c>
      <c r="G766" s="1260">
        <f>Arch!E130</f>
        <v>0</v>
      </c>
      <c r="H766" s="1260">
        <f>Arch!I130</f>
        <v>0</v>
      </c>
      <c r="I766" s="1260">
        <f>Arch!L130</f>
        <v>0</v>
      </c>
      <c r="J766" s="1260">
        <f>Arch!M130</f>
        <v>0</v>
      </c>
    </row>
    <row r="767" spans="1:10" outlineLevel="1">
      <c r="A767" t="s">
        <v>86</v>
      </c>
      <c r="B767" t="s">
        <v>111</v>
      </c>
      <c r="C767" t="s">
        <v>122</v>
      </c>
      <c r="D767" t="s">
        <v>124</v>
      </c>
      <c r="E767" t="str">
        <f>IF(LEN(Arch!C131)&gt;0, Arch!C131, Arch!B131)</f>
        <v>บัวเชิงผนัง 1 บัวอลูมิเนียม</v>
      </c>
      <c r="F767" s="1260" t="str">
        <f>Arch!F131</f>
        <v>เมตร</v>
      </c>
      <c r="G767" s="1260">
        <f>Arch!E131</f>
        <v>765</v>
      </c>
      <c r="H767" s="1260">
        <f>Arch!I131</f>
        <v>250321.62958424998</v>
      </c>
      <c r="I767" s="1260">
        <f>Arch!L131</f>
        <v>107280.69839324999</v>
      </c>
      <c r="J767" s="1260">
        <f>Arch!M131</f>
        <v>357602.32797749998</v>
      </c>
    </row>
    <row r="768" spans="1:10" outlineLevel="1">
      <c r="A768" t="s">
        <v>86</v>
      </c>
      <c r="E768">
        <f>IF(LEN(Arch!C132)&gt;0, Arch!C132, Arch!B132)</f>
        <v>0</v>
      </c>
      <c r="F768" s="1260">
        <f>Arch!F132</f>
        <v>0</v>
      </c>
      <c r="G768" s="1260">
        <f>Arch!E132</f>
        <v>0</v>
      </c>
      <c r="H768" s="1260">
        <f>Arch!I132</f>
        <v>0</v>
      </c>
      <c r="I768" s="1260">
        <f>Arch!L132</f>
        <v>0</v>
      </c>
      <c r="J768" s="1260">
        <f>Arch!M132</f>
        <v>0</v>
      </c>
    </row>
    <row r="769" spans="1:10" outlineLevel="1">
      <c r="A769" t="s">
        <v>86</v>
      </c>
      <c r="E769">
        <f>IF(LEN(Arch!C133)&gt;0, Arch!C133, Arch!B133)</f>
        <v>0</v>
      </c>
      <c r="F769" s="1260">
        <f>Arch!F133</f>
        <v>0</v>
      </c>
      <c r="G769" s="1260">
        <f>Arch!E133</f>
        <v>0</v>
      </c>
      <c r="H769" s="1260">
        <f>Arch!I133</f>
        <v>0</v>
      </c>
      <c r="I769" s="1260">
        <f>Arch!L133</f>
        <v>0</v>
      </c>
      <c r="J769" s="1260">
        <f>Arch!M133</f>
        <v>0</v>
      </c>
    </row>
    <row r="770" spans="1:10" outlineLevel="1">
      <c r="A770" t="s">
        <v>86</v>
      </c>
      <c r="B770" t="s">
        <v>111</v>
      </c>
      <c r="C770" t="s">
        <v>122</v>
      </c>
      <c r="D770" t="s">
        <v>125</v>
      </c>
      <c r="E770" t="str">
        <f>IF(LEN(Arch!C134)&gt;0, Arch!C134, Arch!B134)</f>
        <v>งานโครงเคร่าเหล็กประกอบงานผนัง</v>
      </c>
      <c r="F770" s="1260" t="str">
        <f>Arch!F134</f>
        <v>งาน</v>
      </c>
      <c r="G770" s="1260">
        <f>Arch!E134</f>
        <v>1</v>
      </c>
      <c r="H770" s="1260">
        <f>Arch!I134</f>
        <v>23372.701174999998</v>
      </c>
      <c r="I770" s="1260">
        <f>Arch!L134</f>
        <v>11686.350587499999</v>
      </c>
      <c r="J770" s="1260">
        <f>Arch!M134</f>
        <v>35059.051762499999</v>
      </c>
    </row>
    <row r="771" spans="1:10" outlineLevel="1">
      <c r="A771" t="s">
        <v>86</v>
      </c>
      <c r="E771" t="str">
        <f>IF(LEN(Arch!C135)&gt;0, Arch!C135, Arch!B135)</f>
        <v>งานผนังทาสีอะครีลิค</v>
      </c>
      <c r="F771" s="1260">
        <f>Arch!F135</f>
        <v>0</v>
      </c>
      <c r="G771" s="1260">
        <f>Arch!E135</f>
        <v>0</v>
      </c>
      <c r="H771" s="1260">
        <f>Arch!I135</f>
        <v>0</v>
      </c>
      <c r="I771" s="1260">
        <f>Arch!L135</f>
        <v>0</v>
      </c>
      <c r="J771" s="1260">
        <f>Arch!M135</f>
        <v>0</v>
      </c>
    </row>
    <row r="772" spans="1:10" outlineLevel="1">
      <c r="A772" t="s">
        <v>86</v>
      </c>
      <c r="B772" t="s">
        <v>111</v>
      </c>
      <c r="C772" t="s">
        <v>122</v>
      </c>
      <c r="D772" t="s">
        <v>72</v>
      </c>
      <c r="E772" t="str">
        <f>IF(LEN(Arch!C136)&gt;0, Arch!C136, Arch!B136)</f>
        <v>งานผนังทาสีอะครีลิค ชนิดภายใน</v>
      </c>
      <c r="F772" s="1260" t="str">
        <f>Arch!F136</f>
        <v>ตร.ม.</v>
      </c>
      <c r="G772" s="1260">
        <f>Arch!E136</f>
        <v>5327</v>
      </c>
      <c r="H772" s="1260">
        <f>Arch!I136</f>
        <v>149407.65499106998</v>
      </c>
      <c r="I772" s="1260">
        <f>Arch!L136</f>
        <v>139447.14465833199</v>
      </c>
      <c r="J772" s="1260">
        <f>Arch!M136</f>
        <v>288854.79964940198</v>
      </c>
    </row>
    <row r="773" spans="1:10" outlineLevel="1">
      <c r="A773" t="s">
        <v>86</v>
      </c>
      <c r="B773" t="s">
        <v>111</v>
      </c>
      <c r="C773" t="s">
        <v>122</v>
      </c>
      <c r="D773" t="s">
        <v>72</v>
      </c>
      <c r="E773" t="str">
        <f>IF(LEN(Arch!C137)&gt;0, Arch!C137, Arch!B137)</f>
        <v>งานผนังทาสีอะครีลิค ชนิดภายนอก</v>
      </c>
      <c r="F773" s="1260" t="str">
        <f>Arch!F137</f>
        <v>ตร.ม.</v>
      </c>
      <c r="G773" s="1260">
        <f>Arch!E137</f>
        <v>3610</v>
      </c>
      <c r="H773" s="1260">
        <f>Arch!I137</f>
        <v>151875.81223514999</v>
      </c>
      <c r="I773" s="1260">
        <f>Arch!L137</f>
        <v>104625.55953976999</v>
      </c>
      <c r="J773" s="1260">
        <f>Arch!M137</f>
        <v>256501.37177491997</v>
      </c>
    </row>
    <row r="774" spans="1:10" outlineLevel="1">
      <c r="F774" s="1260"/>
      <c r="G774" s="1260"/>
      <c r="H774" s="1260"/>
      <c r="I774" s="1260"/>
      <c r="J774" s="1260"/>
    </row>
    <row r="775" spans="1:10" outlineLevel="1">
      <c r="F775" s="1260"/>
      <c r="G775" s="1260"/>
      <c r="H775" s="1260"/>
      <c r="I775" s="1260"/>
      <c r="J775" s="1260"/>
    </row>
    <row r="776" spans="1:10" outlineLevel="1">
      <c r="F776" s="1260"/>
      <c r="G776" s="1260"/>
      <c r="H776" s="1260"/>
      <c r="I776" s="1260"/>
      <c r="J776" s="1260"/>
    </row>
    <row r="777" spans="1:10" outlineLevel="1">
      <c r="F777" s="1260"/>
      <c r="G777" s="1260"/>
      <c r="H777" s="1260"/>
      <c r="I777" s="1260"/>
      <c r="J777" s="1260"/>
    </row>
    <row r="778" spans="1:10" outlineLevel="1">
      <c r="F778" s="1260"/>
      <c r="G778" s="1260"/>
      <c r="H778" s="1260"/>
      <c r="I778" s="1260"/>
      <c r="J778" s="1260"/>
    </row>
    <row r="779" spans="1:10" outlineLevel="1">
      <c r="F779" s="1260"/>
      <c r="G779" s="1260"/>
      <c r="H779" s="1260"/>
      <c r="I779" s="1260"/>
      <c r="J779" s="1260"/>
    </row>
    <row r="780" spans="1:10" outlineLevel="1">
      <c r="F780" s="1260"/>
      <c r="G780" s="1260"/>
      <c r="H780" s="1260"/>
      <c r="I780" s="1260"/>
      <c r="J780" s="1260"/>
    </row>
    <row r="781" spans="1:10" outlineLevel="1">
      <c r="F781" s="1260"/>
      <c r="G781" s="1260"/>
      <c r="H781" s="1260"/>
      <c r="I781" s="1260"/>
      <c r="J781" s="1260"/>
    </row>
    <row r="782" spans="1:10" outlineLevel="1">
      <c r="F782" s="1260"/>
      <c r="G782" s="1260"/>
      <c r="H782" s="1260"/>
      <c r="I782" s="1260"/>
      <c r="J782" s="1260"/>
    </row>
    <row r="783" spans="1:10" outlineLevel="1">
      <c r="F783" s="1260"/>
      <c r="G783" s="1260"/>
      <c r="H783" s="1260"/>
      <c r="I783" s="1260"/>
      <c r="J783" s="1260"/>
    </row>
    <row r="784" spans="1:10" outlineLevel="1">
      <c r="F784" s="1260"/>
      <c r="G784" s="1260"/>
      <c r="H784" s="1260"/>
      <c r="I784" s="1260"/>
      <c r="J784" s="1260"/>
    </row>
    <row r="785" spans="1:10" outlineLevel="1">
      <c r="F785" s="1260"/>
      <c r="G785" s="1260"/>
      <c r="H785" s="1260"/>
      <c r="I785" s="1260"/>
      <c r="J785" s="1260"/>
    </row>
    <row r="786" spans="1:10" outlineLevel="1">
      <c r="F786" s="1260"/>
      <c r="G786" s="1260"/>
      <c r="H786" s="1260"/>
      <c r="I786" s="1260"/>
      <c r="J786" s="1260"/>
    </row>
    <row r="787" spans="1:10" outlineLevel="1">
      <c r="F787" s="1260"/>
      <c r="G787" s="1260"/>
      <c r="H787" s="1260"/>
      <c r="I787" s="1260"/>
      <c r="J787" s="1260"/>
    </row>
    <row r="788" spans="1:10" outlineLevel="1">
      <c r="F788" s="1260"/>
      <c r="G788" s="1260"/>
      <c r="H788" s="1260"/>
      <c r="I788" s="1260"/>
      <c r="J788" s="1260"/>
    </row>
    <row r="789" spans="1:10" outlineLevel="1">
      <c r="F789" s="1260"/>
      <c r="G789" s="1260"/>
      <c r="H789" s="1260"/>
      <c r="I789" s="1260"/>
      <c r="J789" s="1260"/>
    </row>
    <row r="790" spans="1:10" outlineLevel="1">
      <c r="F790" s="1260"/>
      <c r="G790" s="1260"/>
      <c r="H790" s="1260"/>
      <c r="I790" s="1260"/>
      <c r="J790" s="1260"/>
    </row>
    <row r="791" spans="1:10" outlineLevel="1">
      <c r="F791" s="1260"/>
      <c r="G791" s="1260"/>
      <c r="H791" s="1260"/>
      <c r="I791" s="1260"/>
      <c r="J791" s="1260"/>
    </row>
    <row r="792" spans="1:10" outlineLevel="1">
      <c r="F792" s="1260"/>
      <c r="G792" s="1260"/>
      <c r="H792" s="1260"/>
      <c r="I792" s="1260"/>
      <c r="J792" s="1260"/>
    </row>
    <row r="793" spans="1:10" outlineLevel="1">
      <c r="F793" s="1260"/>
      <c r="G793" s="1260"/>
      <c r="H793" s="1260"/>
      <c r="I793" s="1260"/>
      <c r="J793" s="1260"/>
    </row>
    <row r="794" spans="1:10" outlineLevel="1">
      <c r="F794" s="1260"/>
      <c r="G794" s="1260"/>
      <c r="H794" s="1260"/>
      <c r="I794" s="1260"/>
      <c r="J794" s="1260"/>
    </row>
    <row r="795" spans="1:10" outlineLevel="1">
      <c r="F795" s="1260"/>
      <c r="G795" s="1260"/>
      <c r="H795" s="1260"/>
      <c r="I795" s="1260"/>
      <c r="J795" s="1260"/>
    </row>
    <row r="796" spans="1:10" outlineLevel="1">
      <c r="F796" s="1260"/>
      <c r="G796" s="1260"/>
      <c r="H796" s="1260"/>
      <c r="I796" s="1260"/>
      <c r="J796" s="1260"/>
    </row>
    <row r="797" spans="1:10" outlineLevel="1">
      <c r="A797" t="s">
        <v>86</v>
      </c>
      <c r="E797" t="str">
        <f>IF(LEN(Arch!C161)&gt;0, Arch!C161, Arch!B161)</f>
        <v>งานฝ้าเพดาน</v>
      </c>
      <c r="F797" s="1260">
        <f>Arch!F161</f>
        <v>0</v>
      </c>
      <c r="G797" s="1260">
        <f>Arch!E161</f>
        <v>0</v>
      </c>
      <c r="H797" s="1260">
        <f>Arch!I161</f>
        <v>0</v>
      </c>
      <c r="I797" s="1260">
        <f>Arch!L161</f>
        <v>0</v>
      </c>
      <c r="J797" s="1260">
        <f>Arch!M161</f>
        <v>0</v>
      </c>
    </row>
    <row r="798" spans="1:10" outlineLevel="1">
      <c r="A798" t="s">
        <v>86</v>
      </c>
      <c r="E798" t="str">
        <f>IF(LEN(Arch!C162)&gt;0, Arch!C162, Arch!B162)</f>
        <v>ฝ้าเพดาน ดูรายละเอียดงานตกแต่งภายใน</v>
      </c>
      <c r="F798" s="1260" t="str">
        <f>Arch!F162</f>
        <v>ตร.ม.</v>
      </c>
      <c r="G798" s="1260">
        <f>Arch!E162</f>
        <v>0</v>
      </c>
      <c r="H798" s="1260">
        <f>Arch!I162</f>
        <v>0</v>
      </c>
      <c r="I798" s="1260">
        <f>Arch!L162</f>
        <v>0</v>
      </c>
      <c r="J798" s="1260">
        <f>Arch!M162</f>
        <v>0</v>
      </c>
    </row>
    <row r="799" spans="1:10" outlineLevel="1">
      <c r="A799" t="s">
        <v>86</v>
      </c>
      <c r="B799" t="s">
        <v>126</v>
      </c>
      <c r="C799" t="s">
        <v>127</v>
      </c>
      <c r="D799" t="s">
        <v>117</v>
      </c>
      <c r="E799" t="str">
        <f>IF(LEN(Arch!C163)&gt;0, Arch!C163, Arch!B163)</f>
        <v xml:space="preserve">ฝ้าเพดานเปลือยโครงสร้างคานและพื้น แต่งผิวเรียบ </v>
      </c>
      <c r="F799" s="1260" t="str">
        <f>Arch!F163</f>
        <v>ตร.ม.</v>
      </c>
      <c r="G799" s="1260">
        <f>Arch!E163</f>
        <v>3508</v>
      </c>
      <c r="H799" s="1260">
        <f>Arch!I163</f>
        <v>98389.72286627999</v>
      </c>
      <c r="I799" s="1260">
        <f>Arch!L163</f>
        <v>98389.72286627999</v>
      </c>
      <c r="J799" s="1260">
        <f>Arch!M163</f>
        <v>196779.44573255998</v>
      </c>
    </row>
    <row r="800" spans="1:10" outlineLevel="1">
      <c r="A800" t="s">
        <v>86</v>
      </c>
      <c r="B800" t="s">
        <v>126</v>
      </c>
      <c r="C800" t="s">
        <v>128</v>
      </c>
      <c r="D800" t="s">
        <v>72</v>
      </c>
      <c r="E800" t="str">
        <f>IF(LEN(Arch!C164)&gt;0, Arch!C164, Arch!B164)</f>
        <v>ฝ้าเพดานโครงสร้างเหล็ก แต่งผิวทำสีน้ำมันอัลคิด (สีพ่น) ดูแบบขยาย</v>
      </c>
      <c r="F800" s="1260" t="str">
        <f>Arch!F164</f>
        <v>ตร.ม.</v>
      </c>
      <c r="G800" s="1260">
        <f>Arch!E164</f>
        <v>555</v>
      </c>
      <c r="H800" s="1260">
        <f>Arch!I164</f>
        <v>103774.793217</v>
      </c>
      <c r="I800" s="1260">
        <f>Arch!L164</f>
        <v>23349.328473824997</v>
      </c>
      <c r="J800" s="1260">
        <f>Arch!M164</f>
        <v>127124.12169082499</v>
      </c>
    </row>
    <row r="801" spans="1:10" outlineLevel="1">
      <c r="A801" t="s">
        <v>86</v>
      </c>
      <c r="B801" t="s">
        <v>126</v>
      </c>
      <c r="C801" t="s">
        <v>129</v>
      </c>
      <c r="D801" t="s">
        <v>117</v>
      </c>
      <c r="E801" t="str">
        <f>IF(LEN(Arch!C165)&gt;0, Arch!C165, Arch!B165)</f>
        <v>ฝ้าเพดานเปลือยผิวโครงสร้าง ลอกผิวสีเดิมออก ให้เห็นผิวคอนกรีต (ท้องบันได)</v>
      </c>
      <c r="F801" s="1260" t="str">
        <f>Arch!F165</f>
        <v>ตร.ม.</v>
      </c>
      <c r="G801" s="1260">
        <f>Arch!E165</f>
        <v>103</v>
      </c>
      <c r="H801" s="1260">
        <f>Arch!I165</f>
        <v>0</v>
      </c>
      <c r="I801" s="1260">
        <f>Arch!L165</f>
        <v>1925.9105768200002</v>
      </c>
      <c r="J801" s="1260">
        <f>Arch!M165</f>
        <v>1925.9105768200002</v>
      </c>
    </row>
    <row r="802" spans="1:10" outlineLevel="1">
      <c r="A802" t="s">
        <v>86</v>
      </c>
      <c r="B802" t="s">
        <v>126</v>
      </c>
      <c r="C802" t="s">
        <v>130</v>
      </c>
      <c r="D802" t="s">
        <v>130</v>
      </c>
      <c r="E802" t="str">
        <f>IF(LEN(Arch!C166)&gt;0, Arch!C166, Arch!B166)</f>
        <v>ฝ้าเพดานยิปซั่มบอร์ด หนา 12 มม.</v>
      </c>
      <c r="F802" s="1260" t="str">
        <f>Arch!F166</f>
        <v>ตร.ม.</v>
      </c>
      <c r="G802" s="1260">
        <f>Arch!E166</f>
        <v>102</v>
      </c>
      <c r="H802" s="1260">
        <f>Arch!I166</f>
        <v>25747.367614379997</v>
      </c>
      <c r="I802" s="1260">
        <f>Arch!L166</f>
        <v>7152.0465595499991</v>
      </c>
      <c r="J802" s="1260">
        <f>Arch!M166</f>
        <v>32899.414173929996</v>
      </c>
    </row>
    <row r="803" spans="1:10" outlineLevel="1">
      <c r="A803" t="s">
        <v>86</v>
      </c>
      <c r="B803" t="s">
        <v>126</v>
      </c>
      <c r="C803" t="s">
        <v>130</v>
      </c>
      <c r="D803" t="s">
        <v>130</v>
      </c>
      <c r="E803" t="str">
        <f>IF(LEN(Arch!C167)&gt;0, Arch!C167, Arch!B167)</f>
        <v>ฝ้าเพดานยิปซั่มบอร์ดชนิดกันชื้น หนา 12 มม.</v>
      </c>
      <c r="F803" s="1260" t="str">
        <f>Arch!F167</f>
        <v>ตร.ม.</v>
      </c>
      <c r="G803" s="1260">
        <f>Arch!E167</f>
        <v>261</v>
      </c>
      <c r="H803" s="1260">
        <f>Arch!I167</f>
        <v>90284.070098789991</v>
      </c>
      <c r="I803" s="1260">
        <f>Arch!L167</f>
        <v>18300.825020025</v>
      </c>
      <c r="J803" s="1260">
        <f>Arch!M167</f>
        <v>108584.89511881499</v>
      </c>
    </row>
    <row r="804" spans="1:10" outlineLevel="1">
      <c r="A804" t="s">
        <v>86</v>
      </c>
      <c r="B804" t="s">
        <v>126</v>
      </c>
      <c r="C804" t="s">
        <v>130</v>
      </c>
      <c r="D804" t="s">
        <v>130</v>
      </c>
      <c r="E804" t="str">
        <f>IF(LEN(Arch!C168)&gt;0, Arch!C168, Arch!B168)</f>
        <v xml:space="preserve">ฝ้าเพดานยิปซั่มฟอยล์ หนา 12 มม. </v>
      </c>
      <c r="F804" s="1260" t="str">
        <f>Arch!F168</f>
        <v>ตร.ม.</v>
      </c>
      <c r="G804" s="1260">
        <f>Arch!E168</f>
        <v>205</v>
      </c>
      <c r="H804" s="1260">
        <f>Arch!I168</f>
        <v>72446.024562029997</v>
      </c>
      <c r="I804" s="1260">
        <f>Arch!L168</f>
        <v>14374.211222624999</v>
      </c>
      <c r="J804" s="1260">
        <f>Arch!M168</f>
        <v>86820.235784655</v>
      </c>
    </row>
    <row r="805" spans="1:10" outlineLevel="1">
      <c r="A805" t="s">
        <v>86</v>
      </c>
      <c r="B805" t="s">
        <v>126</v>
      </c>
      <c r="C805" t="s">
        <v>131</v>
      </c>
      <c r="D805" t="s">
        <v>131</v>
      </c>
      <c r="E805" t="str">
        <f>IF(LEN(Arch!C169)&gt;0, Arch!C169, Arch!B169)</f>
        <v xml:space="preserve">ฝ้าเพดานกรุแผ่นฉนวนซับเสียง ความหนา 25 มม. </v>
      </c>
      <c r="F805" s="1260" t="str">
        <f>Arch!F169</f>
        <v>ตร.ม.</v>
      </c>
      <c r="G805" s="1260">
        <f>Arch!E169</f>
        <v>257</v>
      </c>
      <c r="H805" s="1260">
        <f>Arch!I169</f>
        <v>377226.04788402998</v>
      </c>
      <c r="I805" s="1260">
        <f>Arch!L169</f>
        <v>12013.568403949999</v>
      </c>
      <c r="J805" s="1260">
        <f>Arch!M169</f>
        <v>389239.61628798</v>
      </c>
    </row>
    <row r="806" spans="1:10" outlineLevel="1">
      <c r="A806" t="s">
        <v>86</v>
      </c>
      <c r="B806" t="s">
        <v>126</v>
      </c>
      <c r="E806" t="str">
        <f>IF(LEN(Arch!C170)&gt;0, Arch!C170, Arch!B170)</f>
        <v>ติดตั้งบนพื้นผิวโครงสร้างท้องพื้นอาคาร  (ระบุสีภายหลัง)</v>
      </c>
      <c r="F806" s="1260">
        <f>Arch!F170</f>
        <v>0</v>
      </c>
      <c r="G806" s="1260">
        <f>Arch!E170</f>
        <v>0</v>
      </c>
      <c r="H806" s="1260">
        <f>Arch!I170</f>
        <v>0</v>
      </c>
      <c r="I806" s="1260">
        <f>Arch!L170</f>
        <v>0</v>
      </c>
      <c r="J806" s="1260">
        <f>Arch!M170</f>
        <v>0</v>
      </c>
    </row>
    <row r="807" spans="1:10" outlineLevel="1">
      <c r="A807" t="s">
        <v>86</v>
      </c>
      <c r="B807" t="s">
        <v>126</v>
      </c>
      <c r="C807" t="s">
        <v>132</v>
      </c>
      <c r="D807" t="s">
        <v>132</v>
      </c>
      <c r="E807" t="str">
        <f>IF(LEN(Arch!C171)&gt;0, Arch!C171, Arch!B171)</f>
        <v xml:space="preserve">ฝ้าเพดานยิปซั่มฟอยล์ หนา 12 มม. และฝ้าเพดานไม้อัดสัก 10 + 6 มม. </v>
      </c>
      <c r="F807" s="1260" t="str">
        <f>Arch!F171</f>
        <v>ตร.ม.</v>
      </c>
      <c r="G807" s="1260">
        <f>Arch!E171</f>
        <v>375</v>
      </c>
      <c r="H807" s="1260">
        <f>Arch!I171</f>
        <v>304663.159816125</v>
      </c>
      <c r="I807" s="1260">
        <f>Arch!L171</f>
        <v>112539.55615762499</v>
      </c>
      <c r="J807" s="1260">
        <f>Arch!M171</f>
        <v>417202.71597374999</v>
      </c>
    </row>
    <row r="808" spans="1:10" outlineLevel="1">
      <c r="A808" t="s">
        <v>86</v>
      </c>
      <c r="B808" t="s">
        <v>126</v>
      </c>
      <c r="C808" t="s">
        <v>132</v>
      </c>
      <c r="D808" t="s">
        <v>132</v>
      </c>
      <c r="E808" t="str">
        <f>IF(LEN(Arch!C172)&gt;0, Arch!C172, Arch!B172)</f>
        <v>ทำสีธรรมชาติ ดูแบบขยาย</v>
      </c>
      <c r="F808" s="1260">
        <f>Arch!F172</f>
        <v>0</v>
      </c>
      <c r="G808" s="1260">
        <f>Arch!E172</f>
        <v>0</v>
      </c>
      <c r="H808" s="1260">
        <f>Arch!I172</f>
        <v>0</v>
      </c>
      <c r="I808" s="1260">
        <f>Arch!L172</f>
        <v>0</v>
      </c>
      <c r="J808" s="1260">
        <f>Arch!M172</f>
        <v>0</v>
      </c>
    </row>
    <row r="809" spans="1:10" outlineLevel="1">
      <c r="A809" t="s">
        <v>86</v>
      </c>
      <c r="B809" t="s">
        <v>126</v>
      </c>
      <c r="C809" t="s">
        <v>132</v>
      </c>
      <c r="D809" t="s">
        <v>132</v>
      </c>
      <c r="E809" t="str">
        <f>IF(LEN(Arch!C173)&gt;0, Arch!C173, Arch!B173)</f>
        <v xml:space="preserve">ฝ้าเพดานกรุไม้อัดสัก หนา 4 มม. โครงคร่าวไม้ 1''x 2'' # 300 x 300 มม. ทำสีธรรมชาติ </v>
      </c>
      <c r="F809" s="1260" t="str">
        <f>Arch!F173</f>
        <v>ตร.ม.</v>
      </c>
      <c r="G809" s="1260">
        <f>Arch!E173</f>
        <v>370</v>
      </c>
      <c r="H809" s="1260">
        <f>Arch!I173</f>
        <v>145284.71050379999</v>
      </c>
      <c r="I809" s="1260">
        <f>Arch!L173</f>
        <v>27673.278191200003</v>
      </c>
      <c r="J809" s="1260">
        <f>Arch!M173</f>
        <v>172957.98869499998</v>
      </c>
    </row>
    <row r="810" spans="1:10" outlineLevel="1">
      <c r="A810" t="s">
        <v>86</v>
      </c>
      <c r="B810" t="s">
        <v>126</v>
      </c>
      <c r="C810" t="s">
        <v>132</v>
      </c>
      <c r="D810" t="s">
        <v>132</v>
      </c>
      <c r="E810" t="str">
        <f>IF(LEN(Arch!C174)&gt;0, Arch!C174, Arch!B174)</f>
        <v xml:space="preserve">ฝ้าอะลูมีเนียมฉีก แผ่นฝ้าแบบไร้ขอบ (L-Type) สีธรรมชาติวัสดุ โครงคร่าว T-Bar </v>
      </c>
      <c r="F810" s="1260" t="str">
        <f>Arch!F174</f>
        <v>ตร.ม.</v>
      </c>
      <c r="G810" s="1260">
        <f>Arch!E174</f>
        <v>364</v>
      </c>
      <c r="H810" s="1260">
        <f>Arch!I174</f>
        <v>646582.40530519991</v>
      </c>
      <c r="I810" s="1260">
        <f>Arch!L174</f>
        <v>102091.95873239999</v>
      </c>
      <c r="J810" s="1260">
        <f>Arch!M174</f>
        <v>748674.36403759988</v>
      </c>
    </row>
    <row r="811" spans="1:10" outlineLevel="1">
      <c r="A811" t="s">
        <v>86</v>
      </c>
      <c r="B811" t="s">
        <v>126</v>
      </c>
      <c r="C811" t="s">
        <v>132</v>
      </c>
      <c r="D811" t="s">
        <v>132</v>
      </c>
      <c r="E811" t="str">
        <f>IF(LEN(Arch!C175)&gt;0, Arch!C175, Arch!B175)</f>
        <v>ติดตั้งตามมาตรฐานผู้ผลิต (บางส่วนเคลือบสีโพลีเอสเตอร์สีดำ ดูแบบผังผ้าเพดาน)</v>
      </c>
      <c r="F811" s="1260">
        <f>Arch!F175</f>
        <v>0</v>
      </c>
      <c r="G811" s="1260">
        <f>Arch!E175</f>
        <v>0</v>
      </c>
      <c r="H811" s="1260">
        <f>Arch!I175</f>
        <v>0</v>
      </c>
      <c r="I811" s="1260">
        <f>Arch!L175</f>
        <v>0</v>
      </c>
      <c r="J811" s="1260">
        <f>Arch!M175</f>
        <v>0</v>
      </c>
    </row>
    <row r="812" spans="1:10" outlineLevel="1">
      <c r="A812" t="s">
        <v>86</v>
      </c>
      <c r="B812" t="s">
        <v>126</v>
      </c>
      <c r="C812" t="s">
        <v>132</v>
      </c>
      <c r="D812" t="s">
        <v>132</v>
      </c>
      <c r="E812" t="str">
        <f>IF(LEN(Arch!C176)&gt;0, Arch!C176, Arch!B176)</f>
        <v xml:space="preserve"> ฝ้าเพดานอลูมีเนียมไส้กลางอลูมิเนียมรังผึ้งระบบคลิปล็อคชนชิด </v>
      </c>
      <c r="F812" s="1260" t="str">
        <f>Arch!F176</f>
        <v>ตร.ม.</v>
      </c>
      <c r="G812" s="1260">
        <f>Arch!E176</f>
        <v>92</v>
      </c>
      <c r="H812" s="1260">
        <f>Arch!I176</f>
        <v>412855.39355519996</v>
      </c>
      <c r="I812" s="1260">
        <f>Arch!L176</f>
        <v>25803.462097199998</v>
      </c>
      <c r="J812" s="1260">
        <f>Arch!M176</f>
        <v>438658.85565239994</v>
      </c>
    </row>
    <row r="813" spans="1:10" outlineLevel="1">
      <c r="A813" t="s">
        <v>86</v>
      </c>
      <c r="B813" t="s">
        <v>126</v>
      </c>
      <c r="C813" t="s">
        <v>132</v>
      </c>
      <c r="D813" t="s">
        <v>132</v>
      </c>
      <c r="E813" t="str">
        <f>IF(LEN(Arch!C177)&gt;0, Arch!C177, Arch!B177)</f>
        <v xml:space="preserve">โครงเคร่าเหล็กชุบสังกะสี ติดตั้งตามมาตราฐานผู้ผลิต </v>
      </c>
      <c r="F813" s="1260">
        <f>Arch!F177</f>
        <v>0</v>
      </c>
      <c r="G813" s="1260">
        <f>Arch!E177</f>
        <v>0</v>
      </c>
      <c r="H813" s="1260">
        <f>Arch!I177</f>
        <v>0</v>
      </c>
      <c r="I813" s="1260">
        <f>Arch!L177</f>
        <v>0</v>
      </c>
      <c r="J813" s="1260">
        <f>Arch!M177</f>
        <v>0</v>
      </c>
    </row>
    <row r="814" spans="1:10" outlineLevel="1">
      <c r="A814" t="s">
        <v>86</v>
      </c>
      <c r="B814" t="s">
        <v>126</v>
      </c>
      <c r="C814" t="s">
        <v>132</v>
      </c>
      <c r="D814" t="s">
        <v>132</v>
      </c>
      <c r="E814" t="str">
        <f>IF(LEN(Arch!C178)&gt;0, Arch!C178, Arch!B178)</f>
        <v>ฝ้าแนวตั้งกรุไม้เก่าที่นำมาจากการรื้อถอนผนังไม้อาคารเดิม ( ดูแบบขยาย )</v>
      </c>
      <c r="F814" s="1260" t="str">
        <f>Arch!F178</f>
        <v>ตร.ม.</v>
      </c>
      <c r="G814" s="1260">
        <f>Arch!E178</f>
        <v>200</v>
      </c>
      <c r="H814" s="1260">
        <f>Arch!I178</f>
        <v>102839.88517000001</v>
      </c>
      <c r="I814" s="1260">
        <f>Arch!L178</f>
        <v>46745.402350000004</v>
      </c>
      <c r="J814" s="1260">
        <f>Arch!M178</f>
        <v>149585.28752000001</v>
      </c>
    </row>
    <row r="815" spans="1:10" outlineLevel="1">
      <c r="A815" t="s">
        <v>86</v>
      </c>
      <c r="B815" t="s">
        <v>126</v>
      </c>
      <c r="C815" t="s">
        <v>132</v>
      </c>
      <c r="D815" t="s">
        <v>132</v>
      </c>
      <c r="E815" t="str">
        <f>IF(LEN(Arch!C179)&gt;0, Arch!C179, Arch!B179)</f>
        <v>ฝ้าเพดานไม้อัดสัก 10 + 4 มม. ทำสีธรรมชาติ ( ดูแบบขยาย )</v>
      </c>
      <c r="F815" s="1260" t="str">
        <f>Arch!F179</f>
        <v>ตร.ม.</v>
      </c>
      <c r="G815" s="1260">
        <f>Arch!E179</f>
        <v>327</v>
      </c>
      <c r="H815" s="1260">
        <f>Arch!I179</f>
        <v>209109.01305639598</v>
      </c>
      <c r="I815" s="1260">
        <f>Arch!L179</f>
        <v>81625.886675522997</v>
      </c>
      <c r="J815" s="1260">
        <f>Arch!M179</f>
        <v>290734.89973191899</v>
      </c>
    </row>
    <row r="816" spans="1:10" outlineLevel="1">
      <c r="A816" t="s">
        <v>86</v>
      </c>
      <c r="B816" t="s">
        <v>126</v>
      </c>
      <c r="C816" t="s">
        <v>132</v>
      </c>
      <c r="D816" t="s">
        <v>132</v>
      </c>
      <c r="E816" t="str">
        <f>IF(LEN(Arch!C180)&gt;0, Arch!C180, Arch!B180)</f>
        <v>ฝ้าเพดานไม้อัดสัก 10 + 4 มม. พร้อมกรุ Aluminium Sheet ( ดูแบบขยาย )</v>
      </c>
      <c r="F816" s="1260" t="str">
        <f>Arch!F180</f>
        <v>ตร.ม.</v>
      </c>
      <c r="G816" s="1260">
        <f>Arch!E180</f>
        <v>60</v>
      </c>
      <c r="H816" s="1260">
        <f>Arch!I180</f>
        <v>119481.24840659999</v>
      </c>
      <c r="I816" s="1260">
        <f>Arch!L180</f>
        <v>42070.862114999996</v>
      </c>
      <c r="J816" s="1260">
        <f>Arch!M180</f>
        <v>161552.1105216</v>
      </c>
    </row>
    <row r="817" spans="1:10" outlineLevel="1">
      <c r="A817" t="s">
        <v>86</v>
      </c>
      <c r="B817" t="s">
        <v>126</v>
      </c>
      <c r="C817" t="s">
        <v>132</v>
      </c>
      <c r="D817" t="s">
        <v>132</v>
      </c>
      <c r="E817" t="str">
        <f>IF(LEN(Arch!C181)&gt;0, Arch!C181, Arch!B181)</f>
        <v>ฝ้าเพดานไม้ HMR หนา 9 มม. แต่งผิว ทำสีพ่นอุตสาหกรรม (คิดเฉพาะงานสีพ่น)</v>
      </c>
      <c r="F817" s="1260" t="str">
        <f>Arch!F181</f>
        <v>ตร.ม.</v>
      </c>
      <c r="G817" s="1260">
        <f>Arch!E181</f>
        <v>180</v>
      </c>
      <c r="H817" s="1260">
        <f>Arch!I181</f>
        <v>13462.6758768</v>
      </c>
      <c r="I817" s="1260">
        <f>Arch!L181</f>
        <v>20194.0138152</v>
      </c>
      <c r="J817" s="1260">
        <f>Arch!M181</f>
        <v>33656.689692</v>
      </c>
    </row>
    <row r="818" spans="1:10" outlineLevel="1">
      <c r="A818" t="s">
        <v>86</v>
      </c>
      <c r="B818" t="s">
        <v>126</v>
      </c>
      <c r="C818" t="s">
        <v>108</v>
      </c>
      <c r="D818" t="s">
        <v>125</v>
      </c>
      <c r="E818" t="str">
        <f>IF(LEN(Arch!C182)&gt;0, Arch!C182, Arch!B182)</f>
        <v>งานโครงเคร่าเหล็กประกอบงานผนัง</v>
      </c>
      <c r="F818" s="1260" t="str">
        <f>Arch!F182</f>
        <v>งาน</v>
      </c>
      <c r="G818" s="1260">
        <f>Arch!E182</f>
        <v>1</v>
      </c>
      <c r="H818" s="1260">
        <f>Arch!I182</f>
        <v>18698.160939999998</v>
      </c>
      <c r="I818" s="1260">
        <f>Arch!L182</f>
        <v>9349.080469999999</v>
      </c>
      <c r="J818" s="1260">
        <f>Arch!M182</f>
        <v>28047.241409999995</v>
      </c>
    </row>
    <row r="819" spans="1:10" outlineLevel="1">
      <c r="A819" t="s">
        <v>86</v>
      </c>
      <c r="B819" t="s">
        <v>126</v>
      </c>
      <c r="E819" t="str">
        <f>IF(LEN(Arch!C183)&gt;0, Arch!C183, Arch!B183)</f>
        <v>งานฝ้าเพดานทาสี</v>
      </c>
      <c r="F819" s="1260">
        <f>Arch!F183</f>
        <v>0</v>
      </c>
      <c r="G819" s="1260">
        <f>Arch!E183</f>
        <v>0</v>
      </c>
      <c r="H819" s="1260">
        <f>Arch!I183</f>
        <v>0</v>
      </c>
      <c r="I819" s="1260">
        <f>Arch!L183</f>
        <v>0</v>
      </c>
      <c r="J819" s="1260">
        <f>Arch!M183</f>
        <v>0</v>
      </c>
    </row>
    <row r="820" spans="1:10" outlineLevel="1">
      <c r="A820" t="s">
        <v>86</v>
      </c>
      <c r="B820" t="s">
        <v>126</v>
      </c>
      <c r="C820" t="s">
        <v>108</v>
      </c>
      <c r="D820" t="s">
        <v>72</v>
      </c>
      <c r="E820" t="str">
        <f>IF(LEN(Arch!C184)&gt;0, Arch!C184, Arch!B184)</f>
        <v>งานฝ้าเพดานทาสีอะครีลิค ชนิดภายใน</v>
      </c>
      <c r="F820" s="1260" t="str">
        <f>Arch!F184</f>
        <v>ตร.ม.</v>
      </c>
      <c r="G820" s="1260">
        <f>Arch!E184</f>
        <v>3350</v>
      </c>
      <c r="H820" s="1260">
        <f>Arch!I184</f>
        <v>93958.258723499996</v>
      </c>
      <c r="I820" s="1260">
        <f>Arch!L184</f>
        <v>87694.374808599998</v>
      </c>
      <c r="J820" s="1260">
        <f>Arch!M184</f>
        <v>181652.63353210001</v>
      </c>
    </row>
    <row r="821" spans="1:10" outlineLevel="1">
      <c r="A821" t="s">
        <v>86</v>
      </c>
      <c r="B821" t="s">
        <v>126</v>
      </c>
      <c r="C821" t="s">
        <v>108</v>
      </c>
      <c r="D821" t="s">
        <v>72</v>
      </c>
      <c r="E821" t="str">
        <f>IF(LEN(Arch!C185)&gt;0, Arch!C185, Arch!B185)</f>
        <v>งานฝ้าเพดานทาสีอะครีลิค ชนิดภายนอก</v>
      </c>
      <c r="F821" s="1260" t="str">
        <f>Arch!F185</f>
        <v>ตร.ม.</v>
      </c>
      <c r="G821" s="1260">
        <f>Arch!E185</f>
        <v>720</v>
      </c>
      <c r="H821" s="1260">
        <f>Arch!I185</f>
        <v>30291.020722799996</v>
      </c>
      <c r="I821" s="1260">
        <f>Arch!L185</f>
        <v>20867.147609039999</v>
      </c>
      <c r="J821" s="1260">
        <f>Arch!M185</f>
        <v>51158.168331839996</v>
      </c>
    </row>
    <row r="822" spans="1:10" outlineLevel="1">
      <c r="A822" t="s">
        <v>86</v>
      </c>
      <c r="B822" t="s">
        <v>126</v>
      </c>
      <c r="C822" t="s">
        <v>108</v>
      </c>
      <c r="D822" t="s">
        <v>72</v>
      </c>
      <c r="E822" t="str">
        <f>IF(LEN(Arch!C186)&gt;0, Arch!C186, Arch!B186)</f>
        <v>งานทาสีน้ำมันอัลคิดกึ่งเงาโครงสร้างเหล็กประกอบงานฝ้าเพดานทั้งหมด</v>
      </c>
      <c r="F822" s="1260" t="str">
        <f>Arch!F186</f>
        <v>งาน</v>
      </c>
      <c r="G822" s="1260">
        <f>Arch!E186</f>
        <v>1</v>
      </c>
      <c r="H822" s="1260">
        <f>Arch!I186</f>
        <v>9349.080469999999</v>
      </c>
      <c r="I822" s="1260">
        <f>Arch!L186</f>
        <v>4674.5402349999995</v>
      </c>
      <c r="J822" s="1260">
        <f>Arch!M186</f>
        <v>14023.620704999998</v>
      </c>
    </row>
    <row r="823" spans="1:10" outlineLevel="1">
      <c r="F823" s="1260"/>
      <c r="G823" s="1260"/>
      <c r="H823" s="1260"/>
      <c r="I823" s="1260"/>
      <c r="J823" s="1260"/>
    </row>
    <row r="824" spans="1:10" outlineLevel="1">
      <c r="A824" t="s">
        <v>86</v>
      </c>
      <c r="B824" t="s">
        <v>133</v>
      </c>
      <c r="E824" t="str">
        <f>IF(LEN(Arch!C188)&gt;0, Arch!C188, Arch!B188)</f>
        <v>งานประตูและอุปกรณ์</v>
      </c>
      <c r="F824" s="1260">
        <f>Arch!F188</f>
        <v>0</v>
      </c>
      <c r="G824" s="1260">
        <f>Arch!E188</f>
        <v>0</v>
      </c>
      <c r="H824" s="1260">
        <f>Arch!I188</f>
        <v>0</v>
      </c>
      <c r="I824" s="1260">
        <f>Arch!L188</f>
        <v>0</v>
      </c>
      <c r="J824" s="1260">
        <f>Arch!M188</f>
        <v>0</v>
      </c>
    </row>
    <row r="825" spans="1:10" outlineLevel="1">
      <c r="A825" t="s">
        <v>86</v>
      </c>
      <c r="B825" t="s">
        <v>133</v>
      </c>
      <c r="C825" t="s">
        <v>134</v>
      </c>
      <c r="D825" t="s">
        <v>135</v>
      </c>
      <c r="E825" t="str">
        <f>IF(LEN(Arch!C189)&gt;0, Arch!C189, Arch!B189)</f>
        <v xml:space="preserve">บานเปิดเดี่ยว/บานติดตาย วงกบอะลูมิเนียมสี Grey Sahara </v>
      </c>
      <c r="F825" s="1260" t="str">
        <f>Arch!F189</f>
        <v>ชุด</v>
      </c>
      <c r="G825" s="1260">
        <f>Arch!E189</f>
        <v>1</v>
      </c>
      <c r="H825" s="1260">
        <f>Arch!I189</f>
        <v>31469.00486202</v>
      </c>
      <c r="I825" s="1260">
        <f>Arch!L189</f>
        <v>11303.03828823</v>
      </c>
      <c r="J825" s="1260">
        <f>Arch!M189</f>
        <v>42772.04315025</v>
      </c>
    </row>
    <row r="826" spans="1:10" outlineLevel="1">
      <c r="A826" t="s">
        <v>86</v>
      </c>
      <c r="B826" t="s">
        <v>133</v>
      </c>
      <c r="C826" t="s">
        <v>134</v>
      </c>
      <c r="D826" t="s">
        <v>135</v>
      </c>
      <c r="E826" t="str">
        <f>IF(LEN(Arch!C190)&gt;0, Arch!C190, Arch!B190)</f>
        <v>ลูกฟัก Laminate Glass Clear - LOW E  และ Temper Laminate Clear - LOW E</v>
      </c>
      <c r="F826" s="1260">
        <f>Arch!F190</f>
        <v>0</v>
      </c>
      <c r="G826" s="1260">
        <f>Arch!E190</f>
        <v>0</v>
      </c>
      <c r="H826" s="1260">
        <f>Arch!I190</f>
        <v>0</v>
      </c>
      <c r="I826" s="1260">
        <f>Arch!L190</f>
        <v>0</v>
      </c>
      <c r="J826" s="1260">
        <f>Arch!M190</f>
        <v>0</v>
      </c>
    </row>
    <row r="827" spans="1:10" outlineLevel="1">
      <c r="A827" t="s">
        <v>86</v>
      </c>
      <c r="B827" t="s">
        <v>133</v>
      </c>
      <c r="C827" t="s">
        <v>134</v>
      </c>
      <c r="D827" t="s">
        <v>135</v>
      </c>
      <c r="E827" t="str">
        <f>IF(LEN(Arch!C191)&gt;0, Arch!C191, Arch!B191)</f>
        <v>ขนาด 2.600 x 2.54 ม.</v>
      </c>
      <c r="F827" s="1260">
        <f>Arch!F191</f>
        <v>0</v>
      </c>
      <c r="G827" s="1260">
        <f>Arch!E191</f>
        <v>0</v>
      </c>
      <c r="H827" s="1260">
        <f>Arch!I191</f>
        <v>0</v>
      </c>
      <c r="I827" s="1260">
        <f>Arch!L191</f>
        <v>0</v>
      </c>
      <c r="J827" s="1260">
        <f>Arch!M191</f>
        <v>0</v>
      </c>
    </row>
    <row r="828" spans="1:10" outlineLevel="1">
      <c r="A828" t="s">
        <v>86</v>
      </c>
      <c r="B828" t="s">
        <v>133</v>
      </c>
      <c r="C828" t="s">
        <v>134</v>
      </c>
      <c r="D828" t="s">
        <v>135</v>
      </c>
      <c r="E828" t="str">
        <f>IF(LEN(Arch!C192)&gt;0, Arch!C192, Arch!B192)</f>
        <v xml:space="preserve">บานเปิดเดี่ยว/บานติดตาย วงกบอะลูมิเนียมสี Grey Sahara </v>
      </c>
      <c r="F828" s="1260" t="str">
        <f>Arch!F192</f>
        <v>ชุด</v>
      </c>
      <c r="G828" s="1260">
        <f>Arch!E192</f>
        <v>1</v>
      </c>
      <c r="H828" s="1260">
        <f>Arch!I192</f>
        <v>36564.253718169995</v>
      </c>
      <c r="I828" s="1260">
        <f>Arch!L192</f>
        <v>13911.431739359999</v>
      </c>
      <c r="J828" s="1260">
        <f>Arch!M192</f>
        <v>50475.685457529995</v>
      </c>
    </row>
    <row r="829" spans="1:10" outlineLevel="1">
      <c r="A829" t="s">
        <v>86</v>
      </c>
      <c r="B829" t="s">
        <v>133</v>
      </c>
      <c r="C829" t="s">
        <v>134</v>
      </c>
      <c r="D829" t="s">
        <v>135</v>
      </c>
      <c r="E829" t="str">
        <f>IF(LEN(Arch!C193)&gt;0, Arch!C193, Arch!B193)</f>
        <v>ลูกฟักกระจกโฟลทใสและกระจกเทมเปอร์ ขนาด 3.25 x 2.47 ม.หรือระดับใต้ท้องคาน</v>
      </c>
      <c r="F829" s="1260">
        <f>Arch!F193</f>
        <v>0</v>
      </c>
      <c r="G829" s="1260">
        <f>Arch!E193</f>
        <v>0</v>
      </c>
      <c r="H829" s="1260">
        <f>Arch!I193</f>
        <v>0</v>
      </c>
      <c r="I829" s="1260">
        <f>Arch!L193</f>
        <v>0</v>
      </c>
      <c r="J829" s="1260">
        <f>Arch!M193</f>
        <v>0</v>
      </c>
    </row>
    <row r="830" spans="1:10" outlineLevel="1">
      <c r="A830" t="s">
        <v>86</v>
      </c>
      <c r="B830" t="s">
        <v>133</v>
      </c>
      <c r="C830" t="s">
        <v>134</v>
      </c>
      <c r="D830" t="s">
        <v>135</v>
      </c>
      <c r="E830" t="str">
        <f>IF(LEN(Arch!C194)&gt;0, Arch!C194, Arch!B194)</f>
        <v xml:space="preserve">บานเปิดเดี่ยว/บานติดตาย วงกบอะลูมิเนียมสี Grey Sahara </v>
      </c>
      <c r="F830" s="1260" t="str">
        <f>Arch!F194</f>
        <v>ชุด</v>
      </c>
      <c r="G830" s="1260">
        <f>Arch!E194</f>
        <v>1</v>
      </c>
      <c r="H830" s="1260">
        <f>Arch!I194</f>
        <v>37821.705041385001</v>
      </c>
      <c r="I830" s="1260">
        <f>Arch!L194</f>
        <v>15986.9276037</v>
      </c>
      <c r="J830" s="1260">
        <f>Arch!M194</f>
        <v>53808.632645085003</v>
      </c>
    </row>
    <row r="831" spans="1:10" outlineLevel="1">
      <c r="A831" t="s">
        <v>86</v>
      </c>
      <c r="B831" t="s">
        <v>133</v>
      </c>
      <c r="C831" t="s">
        <v>134</v>
      </c>
      <c r="D831" t="s">
        <v>135</v>
      </c>
      <c r="E831" t="str">
        <f>IF(LEN(Arch!C195)&gt;0, Arch!C195, Arch!B195)</f>
        <v>ลูกฟักกระจกเทมเปอร์ ขนาด 1.45 x 2.40 ม.</v>
      </c>
      <c r="F831" s="1260">
        <f>Arch!F195</f>
        <v>0</v>
      </c>
      <c r="G831" s="1260">
        <f>Arch!E195</f>
        <v>0</v>
      </c>
      <c r="H831" s="1260">
        <f>Arch!I195</f>
        <v>0</v>
      </c>
      <c r="I831" s="1260">
        <f>Arch!L195</f>
        <v>0</v>
      </c>
      <c r="J831" s="1260">
        <f>Arch!M195</f>
        <v>0</v>
      </c>
    </row>
    <row r="832" spans="1:10" outlineLevel="1">
      <c r="A832" t="s">
        <v>86</v>
      </c>
      <c r="B832" t="s">
        <v>133</v>
      </c>
      <c r="C832" t="s">
        <v>134</v>
      </c>
      <c r="D832" t="s">
        <v>135</v>
      </c>
      <c r="E832" t="str">
        <f>IF(LEN(Arch!C196)&gt;0, Arch!C196, Arch!B196)</f>
        <v xml:space="preserve">กระจก U-Glass  262 x 60 x 7 mm </v>
      </c>
      <c r="F832" s="1260">
        <f>Arch!F196</f>
        <v>0</v>
      </c>
      <c r="G832" s="1260" t="str">
        <f>Arch!E196</f>
        <v>*คิดรวมในผนัง P3.1</v>
      </c>
      <c r="H832" s="1260">
        <f>Arch!I196</f>
        <v>0</v>
      </c>
      <c r="I832" s="1260">
        <f>Arch!L196</f>
        <v>0</v>
      </c>
      <c r="J832" s="1260">
        <f>Arch!M196</f>
        <v>0</v>
      </c>
    </row>
    <row r="833" spans="1:10" outlineLevel="1">
      <c r="A833" t="s">
        <v>86</v>
      </c>
      <c r="B833" t="s">
        <v>133</v>
      </c>
      <c r="C833" t="s">
        <v>134</v>
      </c>
      <c r="D833" t="s">
        <v>135</v>
      </c>
      <c r="E833" t="str">
        <f>IF(LEN(Arch!C197)&gt;0, Arch!C197, Arch!B197)</f>
        <v>ช่องแสงกระจกโฟลทใส หนา 8 มม. ขนาด 0.535 + 5.04 + 2.91 x 0.93 เมตร</v>
      </c>
      <c r="F833" s="1260">
        <f>Arch!F197</f>
        <v>0</v>
      </c>
      <c r="G833" s="1260">
        <f>Arch!E197</f>
        <v>0</v>
      </c>
      <c r="H833" s="1260">
        <f>Arch!I197</f>
        <v>0</v>
      </c>
      <c r="I833" s="1260">
        <f>Arch!L197</f>
        <v>0</v>
      </c>
      <c r="J833" s="1260">
        <f>Arch!M197</f>
        <v>0</v>
      </c>
    </row>
    <row r="834" spans="1:10" outlineLevel="1">
      <c r="A834" t="s">
        <v>86</v>
      </c>
      <c r="B834" t="s">
        <v>133</v>
      </c>
      <c r="C834" t="s">
        <v>134</v>
      </c>
      <c r="D834" t="s">
        <v>135</v>
      </c>
      <c r="E834" t="str">
        <f>IF(LEN(Arch!C198)&gt;0, Arch!C198, Arch!B198)</f>
        <v xml:space="preserve">บานเปิดเดี่ยว วงกบอะลูมิเนียมสี Grey Sahara ลูกฟักกระจกเทมเปอร์ </v>
      </c>
      <c r="F834" s="1260" t="str">
        <f>Arch!F198</f>
        <v>ชุด</v>
      </c>
      <c r="G834" s="1260">
        <f>Arch!E198</f>
        <v>1</v>
      </c>
      <c r="H834" s="1260">
        <f>Arch!I198</f>
        <v>13602.91208385</v>
      </c>
      <c r="I834" s="1260">
        <f>Arch!L198</f>
        <v>7128.6738583749993</v>
      </c>
      <c r="J834" s="1260">
        <f>Arch!M198</f>
        <v>20731.585942225</v>
      </c>
    </row>
    <row r="835" spans="1:10" outlineLevel="1">
      <c r="A835" t="s">
        <v>86</v>
      </c>
      <c r="B835" t="s">
        <v>133</v>
      </c>
      <c r="C835" t="s">
        <v>134</v>
      </c>
      <c r="D835" t="s">
        <v>135</v>
      </c>
      <c r="E835" t="str">
        <f>IF(LEN(Arch!C199)&gt;0, Arch!C199, Arch!B199)</f>
        <v>ขนาด 1.015 x 2.40 ม.</v>
      </c>
      <c r="F835" s="1260">
        <f>Arch!F199</f>
        <v>0</v>
      </c>
      <c r="G835" s="1260">
        <f>Arch!E199</f>
        <v>0</v>
      </c>
      <c r="H835" s="1260">
        <f>Arch!I199</f>
        <v>0</v>
      </c>
      <c r="I835" s="1260">
        <f>Arch!L199</f>
        <v>0</v>
      </c>
      <c r="J835" s="1260">
        <f>Arch!M199</f>
        <v>0</v>
      </c>
    </row>
    <row r="836" spans="1:10" outlineLevel="1">
      <c r="A836" t="s">
        <v>86</v>
      </c>
      <c r="B836" t="s">
        <v>133</v>
      </c>
      <c r="C836" t="s">
        <v>134</v>
      </c>
      <c r="D836" t="s">
        <v>135</v>
      </c>
      <c r="E836" t="str">
        <f>IF(LEN(Arch!C200)&gt;0, Arch!C200, Arch!B200)</f>
        <v xml:space="preserve">กระจก U-Glass  262 x 60 x 7 mm </v>
      </c>
      <c r="F836" s="1260">
        <f>Arch!F200</f>
        <v>0</v>
      </c>
      <c r="G836" s="1260" t="str">
        <f>Arch!E200</f>
        <v>*คิดรวมในผนัง P3.1</v>
      </c>
      <c r="H836" s="1260">
        <f>Arch!I200</f>
        <v>0</v>
      </c>
      <c r="I836" s="1260">
        <f>Arch!L200</f>
        <v>0</v>
      </c>
      <c r="J836" s="1260">
        <f>Arch!M200</f>
        <v>0</v>
      </c>
    </row>
    <row r="837" spans="1:10" outlineLevel="1">
      <c r="A837" t="s">
        <v>86</v>
      </c>
      <c r="B837" t="s">
        <v>133</v>
      </c>
      <c r="C837" t="s">
        <v>134</v>
      </c>
      <c r="D837" t="s">
        <v>135</v>
      </c>
      <c r="E837" t="str">
        <f>IF(LEN(Arch!C201)&gt;0, Arch!C201, Arch!B201)</f>
        <v>บานเลื่อน วงกบอะลูมิเนียมสี Grey Sahara ลูกฟัก Laminate Glass Clear - LOW E</v>
      </c>
      <c r="F837" s="1260" t="str">
        <f>Arch!F201</f>
        <v>ชุด</v>
      </c>
      <c r="G837" s="1260">
        <f>Arch!E201</f>
        <v>1</v>
      </c>
      <c r="H837" s="1260">
        <f>Arch!I201</f>
        <v>166577.241274225</v>
      </c>
      <c r="I837" s="1260">
        <f>Arch!L201</f>
        <v>25733.343993675</v>
      </c>
      <c r="J837" s="1260">
        <f>Arch!M201</f>
        <v>192310.58526789999</v>
      </c>
    </row>
    <row r="838" spans="1:10" outlineLevel="1">
      <c r="A838" t="s">
        <v>86</v>
      </c>
      <c r="B838" t="s">
        <v>133</v>
      </c>
      <c r="C838" t="s">
        <v>134</v>
      </c>
      <c r="D838" t="s">
        <v>135</v>
      </c>
      <c r="E838" t="str">
        <f>IF(LEN(Arch!C202)&gt;0, Arch!C202, Arch!B202)</f>
        <v>ขนาด 2.75 x 2.80 ม.</v>
      </c>
      <c r="F838" s="1260">
        <f>Arch!F202</f>
        <v>0</v>
      </c>
      <c r="G838" s="1260">
        <f>Arch!E202</f>
        <v>0</v>
      </c>
      <c r="H838" s="1260">
        <f>Arch!I202</f>
        <v>0</v>
      </c>
      <c r="I838" s="1260">
        <f>Arch!L202</f>
        <v>0</v>
      </c>
      <c r="J838" s="1260">
        <f>Arch!M202</f>
        <v>0</v>
      </c>
    </row>
    <row r="839" spans="1:10" outlineLevel="1">
      <c r="A839" t="s">
        <v>86</v>
      </c>
      <c r="B839" t="s">
        <v>133</v>
      </c>
      <c r="C839" t="s">
        <v>134</v>
      </c>
      <c r="D839" t="s">
        <v>135</v>
      </c>
      <c r="E839" t="str">
        <f>IF(LEN(Arch!C203)&gt;0, Arch!C203, Arch!B203)</f>
        <v>บานเปิดเดี่ยว วงกบอะลูมิเนียมสี Grey Sahara ลูกฟักกระจก Laminated</v>
      </c>
      <c r="F839" s="1260" t="str">
        <f>Arch!F203</f>
        <v>ชุด</v>
      </c>
      <c r="G839" s="1260">
        <f>Arch!E203</f>
        <v>3</v>
      </c>
      <c r="H839" s="1260">
        <f>Arch!I203</f>
        <v>51424.617125235003</v>
      </c>
      <c r="I839" s="1260">
        <f>Arch!L203</f>
        <v>19661.116228409999</v>
      </c>
      <c r="J839" s="1260">
        <f>Arch!M203</f>
        <v>71085.733353645002</v>
      </c>
    </row>
    <row r="840" spans="1:10" outlineLevel="1">
      <c r="A840" t="s">
        <v>86</v>
      </c>
      <c r="B840" t="s">
        <v>133</v>
      </c>
      <c r="C840" t="s">
        <v>134</v>
      </c>
      <c r="D840" t="s">
        <v>135</v>
      </c>
      <c r="E840" t="str">
        <f>IF(LEN(Arch!C204)&gt;0, Arch!C204, Arch!B204)</f>
        <v>ขนาด 1.00 x 2.25 ม.</v>
      </c>
      <c r="F840" s="1260">
        <f>Arch!F204</f>
        <v>0</v>
      </c>
      <c r="G840" s="1260">
        <f>Arch!E204</f>
        <v>0</v>
      </c>
      <c r="H840" s="1260">
        <f>Arch!I204</f>
        <v>0</v>
      </c>
      <c r="I840" s="1260">
        <f>Arch!L204</f>
        <v>0</v>
      </c>
      <c r="J840" s="1260">
        <f>Arch!M204</f>
        <v>0</v>
      </c>
    </row>
    <row r="841" spans="1:10" outlineLevel="1">
      <c r="A841" t="s">
        <v>86</v>
      </c>
      <c r="B841" t="s">
        <v>133</v>
      </c>
      <c r="C841" t="s">
        <v>134</v>
      </c>
      <c r="D841" t="s">
        <v>135</v>
      </c>
      <c r="E841" t="str">
        <f>IF(LEN(Arch!C205)&gt;0, Arch!C205, Arch!B205)</f>
        <v xml:space="preserve">บานเปิดเดี่ยว/บานติดตาย วงกบอะลูมิเนียมสี Grey Sahara </v>
      </c>
      <c r="F841" s="1260" t="str">
        <f>Arch!F205</f>
        <v>ชุด</v>
      </c>
      <c r="G841" s="1260">
        <f>Arch!E205</f>
        <v>1</v>
      </c>
      <c r="H841" s="1260">
        <f>Arch!I205</f>
        <v>73035.016631639999</v>
      </c>
      <c r="I841" s="1260">
        <f>Arch!L205</f>
        <v>26598.13393715</v>
      </c>
      <c r="J841" s="1260">
        <f>Arch!M205</f>
        <v>99633.150568790006</v>
      </c>
    </row>
    <row r="842" spans="1:10" outlineLevel="1">
      <c r="A842" t="s">
        <v>86</v>
      </c>
      <c r="B842" t="s">
        <v>133</v>
      </c>
      <c r="C842" t="s">
        <v>134</v>
      </c>
      <c r="D842" t="s">
        <v>135</v>
      </c>
      <c r="E842" t="str">
        <f>IF(LEN(Arch!C206)&gt;0, Arch!C206, Arch!B206)</f>
        <v>ลูกฟักกระจกโฟลทใสและกระจกเทมเปอร์ ขนาด 6.49 x 2.47 ม.</v>
      </c>
      <c r="F842" s="1260">
        <f>Arch!F206</f>
        <v>0</v>
      </c>
      <c r="G842" s="1260">
        <f>Arch!E206</f>
        <v>0</v>
      </c>
      <c r="H842" s="1260">
        <f>Arch!I206</f>
        <v>0</v>
      </c>
      <c r="I842" s="1260">
        <f>Arch!L206</f>
        <v>0</v>
      </c>
      <c r="J842" s="1260">
        <f>Arch!M206</f>
        <v>0</v>
      </c>
    </row>
    <row r="843" spans="1:10" outlineLevel="1">
      <c r="A843" t="s">
        <v>86</v>
      </c>
      <c r="B843" t="s">
        <v>133</v>
      </c>
      <c r="C843" t="s">
        <v>134</v>
      </c>
      <c r="D843" t="s">
        <v>135</v>
      </c>
      <c r="E843" t="str">
        <f>IF(LEN(Arch!C207)&gt;0, Arch!C207, Arch!B207)</f>
        <v>บานเปิดคู่ วงกบอะลูมิเนียมสี Grey Sahara ลูกฟักกระจกโฟลทใส</v>
      </c>
      <c r="F843" s="1260" t="str">
        <f>Arch!F207</f>
        <v>ชุด</v>
      </c>
      <c r="G843" s="1260">
        <f>Arch!E207</f>
        <v>3</v>
      </c>
      <c r="H843" s="1260">
        <f>Arch!I207</f>
        <v>71408.276629859989</v>
      </c>
      <c r="I843" s="1260">
        <f>Arch!L207</f>
        <v>33207.933829439993</v>
      </c>
      <c r="J843" s="1260">
        <f>Arch!M207</f>
        <v>104616.21045929998</v>
      </c>
    </row>
    <row r="844" spans="1:10" outlineLevel="1">
      <c r="A844" t="s">
        <v>86</v>
      </c>
      <c r="B844" t="s">
        <v>133</v>
      </c>
      <c r="C844" t="s">
        <v>134</v>
      </c>
      <c r="D844" t="s">
        <v>135</v>
      </c>
      <c r="E844" t="str">
        <f>IF(LEN(Arch!C208)&gt;0, Arch!C208, Arch!B208)</f>
        <v>ขนาด 1.60 x 2.45 ม.</v>
      </c>
      <c r="F844" s="1260">
        <f>Arch!F208</f>
        <v>0</v>
      </c>
      <c r="G844" s="1260">
        <f>Arch!E208</f>
        <v>0</v>
      </c>
      <c r="H844" s="1260">
        <f>Arch!I208</f>
        <v>0</v>
      </c>
      <c r="I844" s="1260">
        <f>Arch!L208</f>
        <v>0</v>
      </c>
      <c r="J844" s="1260">
        <f>Arch!M208</f>
        <v>0</v>
      </c>
    </row>
    <row r="845" spans="1:10" outlineLevel="1">
      <c r="A845" t="s">
        <v>86</v>
      </c>
      <c r="B845" t="s">
        <v>133</v>
      </c>
      <c r="C845" t="s">
        <v>134</v>
      </c>
      <c r="D845" t="s">
        <v>135</v>
      </c>
      <c r="E845" t="str">
        <f>IF(LEN(Arch!C209)&gt;0, Arch!C209, Arch!B209)</f>
        <v xml:space="preserve">บานเปิดเดี่ยว วงกบอะลูมิเนียมสี Grey Sahara ลูกฟักกระจกเทมเปอร์ </v>
      </c>
      <c r="F845" s="1260" t="str">
        <f>Arch!F209</f>
        <v>ชุด</v>
      </c>
      <c r="G845" s="1260">
        <f>Arch!E209</f>
        <v>2</v>
      </c>
      <c r="H845" s="1260">
        <f>Arch!I209</f>
        <v>48203.858903319997</v>
      </c>
      <c r="I845" s="1260">
        <f>Arch!L209</f>
        <v>18342.895882140001</v>
      </c>
      <c r="J845" s="1260">
        <f>Arch!M209</f>
        <v>66546.754785459998</v>
      </c>
    </row>
    <row r="846" spans="1:10" outlineLevel="1">
      <c r="A846" t="s">
        <v>86</v>
      </c>
      <c r="B846" t="s">
        <v>133</v>
      </c>
      <c r="C846" t="s">
        <v>134</v>
      </c>
      <c r="D846" t="s">
        <v>135</v>
      </c>
      <c r="E846" t="str">
        <f>IF(LEN(Arch!C210)&gt;0, Arch!C210, Arch!B210)</f>
        <v>ขนาด 1.00 x 2.465 ม.</v>
      </c>
      <c r="F846" s="1260">
        <f>Arch!F210</f>
        <v>0</v>
      </c>
      <c r="G846" s="1260">
        <f>Arch!E210</f>
        <v>0</v>
      </c>
      <c r="H846" s="1260">
        <f>Arch!I210</f>
        <v>0</v>
      </c>
      <c r="I846" s="1260">
        <f>Arch!L210</f>
        <v>0</v>
      </c>
      <c r="J846" s="1260">
        <f>Arch!M210</f>
        <v>0</v>
      </c>
    </row>
    <row r="847" spans="1:10" outlineLevel="1">
      <c r="A847" t="s">
        <v>86</v>
      </c>
      <c r="B847" t="s">
        <v>133</v>
      </c>
      <c r="C847" t="s">
        <v>134</v>
      </c>
      <c r="D847" t="s">
        <v>135</v>
      </c>
      <c r="E847" t="str">
        <f>IF(LEN(Arch!C211)&gt;0, Arch!C211, Arch!B211)</f>
        <v>บานเปิดเดี่ยว/บานติดตาย วงกบอะลูมิเนียมสี Grey Sahara ลูกฟักกระจกโฟลทใส</v>
      </c>
      <c r="F847" s="1260" t="str">
        <f>Arch!F211</f>
        <v>ชุด</v>
      </c>
      <c r="G847" s="1260">
        <f>Arch!E211</f>
        <v>1</v>
      </c>
      <c r="H847" s="1260">
        <f>Arch!I211</f>
        <v>44875.586255999995</v>
      </c>
      <c r="I847" s="1260">
        <f>Arch!L211</f>
        <v>15005.27415435</v>
      </c>
      <c r="J847" s="1260">
        <f>Arch!M211</f>
        <v>59880.860410349997</v>
      </c>
    </row>
    <row r="848" spans="1:10" outlineLevel="1">
      <c r="A848" t="s">
        <v>86</v>
      </c>
      <c r="B848" t="s">
        <v>133</v>
      </c>
      <c r="C848" t="s">
        <v>134</v>
      </c>
      <c r="D848" t="s">
        <v>135</v>
      </c>
      <c r="E848" t="str">
        <f>IF(LEN(Arch!C212)&gt;0, Arch!C212, Arch!B212)</f>
        <v>และกระจกเทมเปอร์ ขนาด 3.05 x 3.025 ม.</v>
      </c>
      <c r="F848" s="1260">
        <f>Arch!F212</f>
        <v>0</v>
      </c>
      <c r="G848" s="1260">
        <f>Arch!E212</f>
        <v>0</v>
      </c>
      <c r="H848" s="1260">
        <f>Arch!I212</f>
        <v>0</v>
      </c>
      <c r="I848" s="1260">
        <f>Arch!L212</f>
        <v>0</v>
      </c>
      <c r="J848" s="1260">
        <f>Arch!M212</f>
        <v>0</v>
      </c>
    </row>
    <row r="849" spans="1:10" outlineLevel="1">
      <c r="A849" t="s">
        <v>86</v>
      </c>
      <c r="B849" t="s">
        <v>133</v>
      </c>
      <c r="C849" t="s">
        <v>134</v>
      </c>
      <c r="D849" t="s">
        <v>135</v>
      </c>
      <c r="E849" t="str">
        <f>IF(LEN(Arch!C213)&gt;0, Arch!C213, Arch!B213)</f>
        <v>บานเปิดเดี่ยว/บานติดตาย วงกบอะลูมิเนียมสี Grey Sahara ลูกฟักกระจกโฟลทใส</v>
      </c>
      <c r="F849" s="1260" t="str">
        <f>Arch!F213</f>
        <v>ชุด</v>
      </c>
      <c r="G849" s="1260">
        <f>Arch!E213</f>
        <v>1</v>
      </c>
      <c r="H849" s="1260">
        <f>Arch!I213</f>
        <v>44688.604646599997</v>
      </c>
      <c r="I849" s="1260">
        <f>Arch!L213</f>
        <v>15192.255763749999</v>
      </c>
      <c r="J849" s="1260">
        <f>Arch!M213</f>
        <v>59880.860410349997</v>
      </c>
    </row>
    <row r="850" spans="1:10" outlineLevel="1">
      <c r="A850" t="s">
        <v>86</v>
      </c>
      <c r="B850" t="s">
        <v>133</v>
      </c>
      <c r="C850" t="s">
        <v>134</v>
      </c>
      <c r="D850" t="s">
        <v>135</v>
      </c>
      <c r="E850" t="str">
        <f>IF(LEN(Arch!C214)&gt;0, Arch!C214, Arch!B214)</f>
        <v>และกระจกเทมเปอร์ ขนาด 3.15 x 3.025 ม.</v>
      </c>
      <c r="F850" s="1260">
        <f>Arch!F214</f>
        <v>0</v>
      </c>
      <c r="G850" s="1260">
        <f>Arch!E214</f>
        <v>0</v>
      </c>
      <c r="H850" s="1260">
        <f>Arch!I214</f>
        <v>0</v>
      </c>
      <c r="I850" s="1260">
        <f>Arch!L214</f>
        <v>0</v>
      </c>
      <c r="J850" s="1260">
        <f>Arch!M214</f>
        <v>0</v>
      </c>
    </row>
    <row r="851" spans="1:10" outlineLevel="1">
      <c r="A851" t="s">
        <v>86</v>
      </c>
      <c r="B851" t="s">
        <v>133</v>
      </c>
      <c r="C851" t="s">
        <v>134</v>
      </c>
      <c r="D851" t="s">
        <v>135</v>
      </c>
      <c r="E851">
        <f>IF(LEN(Arch!C215)&gt;0, Arch!C215, Arch!B215)</f>
        <v>0</v>
      </c>
      <c r="F851" s="1260">
        <f>Arch!F215</f>
        <v>0</v>
      </c>
      <c r="G851" s="1260">
        <f>Arch!E215</f>
        <v>0</v>
      </c>
      <c r="H851" s="1260">
        <f>Arch!I215</f>
        <v>0</v>
      </c>
      <c r="I851" s="1260">
        <f>Arch!L215</f>
        <v>0</v>
      </c>
      <c r="J851" s="1260">
        <f>Arch!M215</f>
        <v>0</v>
      </c>
    </row>
    <row r="852" spans="1:10" outlineLevel="1">
      <c r="A852" t="s">
        <v>86</v>
      </c>
      <c r="B852" t="s">
        <v>133</v>
      </c>
      <c r="C852" t="s">
        <v>134</v>
      </c>
      <c r="D852" t="s">
        <v>135</v>
      </c>
      <c r="E852" t="str">
        <f>IF(LEN(Arch!C216)&gt;0, Arch!C216, Arch!B216)</f>
        <v>บานเปิดเดี่ยว/บานติดตาย วงกบอะลูมิเนียมสี Grey Sahara ลูกฟักกระจกโฟลทใส</v>
      </c>
      <c r="F852" s="1260" t="str">
        <f>Arch!F216</f>
        <v>ชุด</v>
      </c>
      <c r="G852" s="1260">
        <f>Arch!E216</f>
        <v>1</v>
      </c>
      <c r="H852" s="1260">
        <f>Arch!I216</f>
        <v>44071.565335579995</v>
      </c>
      <c r="I852" s="1260">
        <f>Arch!L216</f>
        <v>14958.528752</v>
      </c>
      <c r="J852" s="1260">
        <f>Arch!M216</f>
        <v>59030.094087579993</v>
      </c>
    </row>
    <row r="853" spans="1:10" outlineLevel="1">
      <c r="A853" t="s">
        <v>86</v>
      </c>
      <c r="B853" t="s">
        <v>133</v>
      </c>
      <c r="C853" t="s">
        <v>134</v>
      </c>
      <c r="D853" t="s">
        <v>135</v>
      </c>
      <c r="E853" t="str">
        <f>IF(LEN(Arch!C217)&gt;0, Arch!C217, Arch!B217)</f>
        <v>และกระจกเทมเปอร์ ขนาด 3.05 x 3.025 ม.</v>
      </c>
      <c r="F853" s="1260">
        <f>Arch!F217</f>
        <v>0</v>
      </c>
      <c r="G853" s="1260">
        <f>Arch!E217</f>
        <v>0</v>
      </c>
      <c r="H853" s="1260">
        <f>Arch!I217</f>
        <v>0</v>
      </c>
      <c r="I853" s="1260">
        <f>Arch!L217</f>
        <v>0</v>
      </c>
      <c r="J853" s="1260">
        <f>Arch!M217</f>
        <v>0</v>
      </c>
    </row>
    <row r="854" spans="1:10" outlineLevel="1">
      <c r="A854" t="s">
        <v>86</v>
      </c>
      <c r="B854" t="s">
        <v>133</v>
      </c>
      <c r="C854" t="s">
        <v>134</v>
      </c>
      <c r="D854" t="s">
        <v>135</v>
      </c>
      <c r="E854" t="str">
        <f>IF(LEN(Arch!C218)&gt;0, Arch!C218, Arch!B218)</f>
        <v xml:space="preserve">บานเปิดคู่/บานติดตาย วงกบอะลูมิเนียมสี Grey Sahara </v>
      </c>
      <c r="F854" s="1260" t="str">
        <f>Arch!F218</f>
        <v>ชุด</v>
      </c>
      <c r="G854" s="1260">
        <f>Arch!E218</f>
        <v>1</v>
      </c>
      <c r="H854" s="1260">
        <f>Arch!I218</f>
        <v>54177.92132365</v>
      </c>
      <c r="I854" s="1260">
        <f>Arch!L218</f>
        <v>21128.921862200001</v>
      </c>
      <c r="J854" s="1260">
        <f>Arch!M218</f>
        <v>75306.843185849997</v>
      </c>
    </row>
    <row r="855" spans="1:10" outlineLevel="1">
      <c r="A855" t="s">
        <v>86</v>
      </c>
      <c r="B855" t="s">
        <v>133</v>
      </c>
      <c r="C855" t="s">
        <v>134</v>
      </c>
      <c r="D855" t="s">
        <v>135</v>
      </c>
      <c r="E855" t="str">
        <f>IF(LEN(Arch!C219)&gt;0, Arch!C219, Arch!B219)</f>
        <v>ลูกฟัก Laminate Glass Clear - LOW E  และ Temper Laminate Clear - LOW E</v>
      </c>
      <c r="F855" s="1260">
        <f>Arch!F219</f>
        <v>0</v>
      </c>
      <c r="G855" s="1260">
        <f>Arch!E219</f>
        <v>0</v>
      </c>
      <c r="H855" s="1260">
        <f>Arch!I219</f>
        <v>0</v>
      </c>
      <c r="I855" s="1260">
        <f>Arch!L219</f>
        <v>0</v>
      </c>
      <c r="J855" s="1260">
        <f>Arch!M219</f>
        <v>0</v>
      </c>
    </row>
    <row r="856" spans="1:10" outlineLevel="1">
      <c r="A856" t="s">
        <v>86</v>
      </c>
      <c r="B856" t="s">
        <v>133</v>
      </c>
      <c r="C856" t="s">
        <v>134</v>
      </c>
      <c r="D856" t="s">
        <v>135</v>
      </c>
      <c r="E856" t="str">
        <f>IF(LEN(Arch!C220)&gt;0, Arch!C220, Arch!B220)</f>
        <v>ขนาด 3.77 x 2.40 ม.</v>
      </c>
      <c r="F856" s="1260">
        <f>Arch!F220</f>
        <v>0</v>
      </c>
      <c r="G856" s="1260">
        <f>Arch!E220</f>
        <v>0</v>
      </c>
      <c r="H856" s="1260">
        <f>Arch!I220</f>
        <v>0</v>
      </c>
      <c r="I856" s="1260">
        <f>Arch!L220</f>
        <v>0</v>
      </c>
      <c r="J856" s="1260">
        <f>Arch!M220</f>
        <v>0</v>
      </c>
    </row>
    <row r="857" spans="1:10" outlineLevel="1">
      <c r="A857" t="s">
        <v>86</v>
      </c>
      <c r="B857" t="s">
        <v>133</v>
      </c>
      <c r="C857" t="s">
        <v>134</v>
      </c>
      <c r="D857" t="s">
        <v>135</v>
      </c>
      <c r="E857" t="str">
        <f>IF(LEN(Arch!C221)&gt;0, Arch!C221, Arch!B221)</f>
        <v xml:space="preserve">บานเปิดเดี่ยว วงกบอะลูมิเนียมสี Grey Sahara ลูกฟักกระจกเทมเปอร์ </v>
      </c>
      <c r="F857" s="1260" t="str">
        <f>Arch!F221</f>
        <v>ชุด</v>
      </c>
      <c r="G857" s="1260">
        <f>Arch!E221</f>
        <v>1</v>
      </c>
      <c r="H857" s="1260">
        <f>Arch!I221</f>
        <v>16954.557432344998</v>
      </c>
      <c r="I857" s="1260">
        <f>Arch!L221</f>
        <v>8058.9073651399995</v>
      </c>
      <c r="J857" s="1260">
        <f>Arch!M221</f>
        <v>25013.464797484998</v>
      </c>
    </row>
    <row r="858" spans="1:10" outlineLevel="1">
      <c r="A858" t="s">
        <v>86</v>
      </c>
      <c r="B858" t="s">
        <v>133</v>
      </c>
      <c r="C858" t="s">
        <v>134</v>
      </c>
      <c r="D858" t="s">
        <v>135</v>
      </c>
      <c r="E858" t="str">
        <f>IF(LEN(Arch!C222)&gt;0, Arch!C222, Arch!B222)</f>
        <v>ขนาด 1.00 x 2.465 ม.</v>
      </c>
      <c r="F858" s="1260">
        <f>Arch!F222</f>
        <v>0</v>
      </c>
      <c r="G858" s="1260">
        <f>Arch!E222</f>
        <v>0</v>
      </c>
      <c r="H858" s="1260">
        <f>Arch!I222</f>
        <v>0</v>
      </c>
      <c r="I858" s="1260">
        <f>Arch!L222</f>
        <v>0</v>
      </c>
      <c r="J858" s="1260">
        <f>Arch!M222</f>
        <v>0</v>
      </c>
    </row>
    <row r="859" spans="1:10" outlineLevel="1">
      <c r="A859" t="s">
        <v>86</v>
      </c>
      <c r="B859" t="s">
        <v>133</v>
      </c>
      <c r="C859" t="s">
        <v>134</v>
      </c>
      <c r="D859" t="s">
        <v>135</v>
      </c>
      <c r="E859" t="str">
        <f>IF(LEN(Arch!C223)&gt;0, Arch!C223, Arch!B223)</f>
        <v xml:space="preserve">บานเปิดเดี่ยว/บานติดตาย วงกบอะลูมิเนียมสี Grey Sahara </v>
      </c>
      <c r="F859" s="1260" t="str">
        <f>Arch!F223</f>
        <v>ชุด</v>
      </c>
      <c r="G859" s="1260">
        <f>Arch!E223</f>
        <v>1</v>
      </c>
      <c r="H859" s="1260">
        <f>Arch!I223</f>
        <v>27635.881869319997</v>
      </c>
      <c r="I859" s="1260">
        <f>Arch!L223</f>
        <v>11686.350587499999</v>
      </c>
      <c r="J859" s="1260">
        <f>Arch!M223</f>
        <v>39322.232456819998</v>
      </c>
    </row>
    <row r="860" spans="1:10" outlineLevel="1">
      <c r="A860" t="s">
        <v>86</v>
      </c>
      <c r="B860" t="s">
        <v>133</v>
      </c>
      <c r="C860" t="s">
        <v>134</v>
      </c>
      <c r="D860" t="s">
        <v>135</v>
      </c>
      <c r="E860" t="str">
        <f>IF(LEN(Arch!C224)&gt;0, Arch!C224, Arch!B224)</f>
        <v>ลูกฟักกระจกโฟลทใสและกระจกเทมเปอร์ ขนาด 2.60 x 2.54 ม.</v>
      </c>
      <c r="F860" s="1260">
        <f>Arch!F224</f>
        <v>0</v>
      </c>
      <c r="G860" s="1260">
        <f>Arch!E224</f>
        <v>0</v>
      </c>
      <c r="H860" s="1260">
        <f>Arch!I224</f>
        <v>0</v>
      </c>
      <c r="I860" s="1260">
        <f>Arch!L224</f>
        <v>0</v>
      </c>
      <c r="J860" s="1260">
        <f>Arch!M224</f>
        <v>0</v>
      </c>
    </row>
    <row r="861" spans="1:10" outlineLevel="1">
      <c r="A861" t="s">
        <v>86</v>
      </c>
      <c r="B861" t="s">
        <v>133</v>
      </c>
      <c r="C861" t="s">
        <v>134</v>
      </c>
      <c r="D861" t="s">
        <v>135</v>
      </c>
      <c r="E861" t="str">
        <f>IF(LEN(Arch!C225)&gt;0, Arch!C225, Arch!B225)</f>
        <v xml:space="preserve">บานเปิดเดี่ยว/บานติดตาย วงกบอะลูมิเนียมสี Grey Sahara </v>
      </c>
      <c r="F861" s="1260" t="str">
        <f>Arch!F225</f>
        <v>ชุด</v>
      </c>
      <c r="G861" s="1260">
        <f>Arch!E225</f>
        <v>1</v>
      </c>
      <c r="H861" s="1260">
        <f>Arch!I225</f>
        <v>32114.091414449998</v>
      </c>
      <c r="I861" s="1260">
        <f>Arch!L225</f>
        <v>11873.332196899999</v>
      </c>
      <c r="J861" s="1260">
        <f>Arch!M225</f>
        <v>43987.423611349994</v>
      </c>
    </row>
    <row r="862" spans="1:10" outlineLevel="1">
      <c r="A862" t="s">
        <v>86</v>
      </c>
      <c r="B862" t="s">
        <v>133</v>
      </c>
      <c r="C862" t="s">
        <v>134</v>
      </c>
      <c r="D862" t="s">
        <v>135</v>
      </c>
      <c r="E862" t="str">
        <f>IF(LEN(Arch!C226)&gt;0, Arch!C226, Arch!B226)</f>
        <v>ลูกฟักกระจกโฟลทใสและกระจกเทมเปอร์ ขนาด 2.235 x 2.65 ม.</v>
      </c>
      <c r="F862" s="1260">
        <f>Arch!F226</f>
        <v>0</v>
      </c>
      <c r="G862" s="1260">
        <f>Arch!E226</f>
        <v>0</v>
      </c>
      <c r="H862" s="1260">
        <f>Arch!I226</f>
        <v>0</v>
      </c>
      <c r="I862" s="1260">
        <f>Arch!L226</f>
        <v>0</v>
      </c>
      <c r="J862" s="1260">
        <f>Arch!M226</f>
        <v>0</v>
      </c>
    </row>
    <row r="863" spans="1:10" outlineLevel="1">
      <c r="A863" t="s">
        <v>86</v>
      </c>
      <c r="B863" t="s">
        <v>133</v>
      </c>
      <c r="C863" t="s">
        <v>134</v>
      </c>
      <c r="D863" t="s">
        <v>135</v>
      </c>
      <c r="E863" t="str">
        <f>IF(LEN(Arch!C227)&gt;0, Arch!C227, Arch!B227)</f>
        <v xml:space="preserve">บานเปิดเดี่ยว/บานติดตาย วงกบอะลูมิเนียมสี Grey Sahara </v>
      </c>
      <c r="F863" s="1260" t="str">
        <f>Arch!F227</f>
        <v>ชุด</v>
      </c>
      <c r="G863" s="1260">
        <f>Arch!E227</f>
        <v>1</v>
      </c>
      <c r="H863" s="1260">
        <f>Arch!I227</f>
        <v>28187.477617049997</v>
      </c>
      <c r="I863" s="1260">
        <f>Arch!L227</f>
        <v>11499.368978099999</v>
      </c>
      <c r="J863" s="1260">
        <f>Arch!M227</f>
        <v>39686.846595149997</v>
      </c>
    </row>
    <row r="864" spans="1:10" outlineLevel="1">
      <c r="A864" t="s">
        <v>86</v>
      </c>
      <c r="B864" t="s">
        <v>133</v>
      </c>
      <c r="C864" t="s">
        <v>134</v>
      </c>
      <c r="D864" t="s">
        <v>135</v>
      </c>
      <c r="E864" t="str">
        <f>IF(LEN(Arch!C228)&gt;0, Arch!C228, Arch!B228)</f>
        <v>ลูกฟักกระจกโฟลทใสและกระจกเทมเปอร์ ขนาด 1.90 x 2.85 ม.</v>
      </c>
      <c r="F864" s="1260">
        <f>Arch!F228</f>
        <v>0</v>
      </c>
      <c r="G864" s="1260">
        <f>Arch!E228</f>
        <v>0</v>
      </c>
      <c r="H864" s="1260">
        <f>Arch!I228</f>
        <v>0</v>
      </c>
      <c r="I864" s="1260">
        <f>Arch!L228</f>
        <v>0</v>
      </c>
      <c r="J864" s="1260">
        <f>Arch!M228</f>
        <v>0</v>
      </c>
    </row>
    <row r="865" spans="1:10" outlineLevel="1">
      <c r="A865" t="s">
        <v>86</v>
      </c>
      <c r="B865" t="s">
        <v>133</v>
      </c>
      <c r="C865" t="s">
        <v>134</v>
      </c>
      <c r="D865" t="s">
        <v>135</v>
      </c>
      <c r="E865" t="str">
        <f>IF(LEN(Arch!C229)&gt;0, Arch!C229, Arch!B229)</f>
        <v xml:space="preserve">บานเปิดเดี่ยว/บานติดตาย วงกบอะลูมิเนียมสี Grey Sahara </v>
      </c>
      <c r="F865" s="1260" t="str">
        <f>Arch!F229</f>
        <v>ชุด</v>
      </c>
      <c r="G865" s="1260">
        <f>Arch!E229</f>
        <v>1</v>
      </c>
      <c r="H865" s="1260">
        <f>Arch!I229</f>
        <v>104401.18160848999</v>
      </c>
      <c r="I865" s="1260">
        <f>Arch!L229</f>
        <v>27065.587960649998</v>
      </c>
      <c r="J865" s="1260">
        <f>Arch!M229</f>
        <v>131466.76956913999</v>
      </c>
    </row>
    <row r="866" spans="1:10" outlineLevel="1">
      <c r="A866" t="s">
        <v>86</v>
      </c>
      <c r="B866" t="s">
        <v>133</v>
      </c>
      <c r="C866" t="s">
        <v>134</v>
      </c>
      <c r="D866" t="s">
        <v>135</v>
      </c>
      <c r="E866" t="str">
        <f>IF(LEN(Arch!C230)&gt;0, Arch!C230, Arch!B230)</f>
        <v>ลูกฟักกระจกโฟลทใสและกระจกเทมเปอร์ ขนาด 6.45 x 2.65 ม.</v>
      </c>
      <c r="F866" s="1260">
        <f>Arch!F230</f>
        <v>0</v>
      </c>
      <c r="G866" s="1260">
        <f>Arch!E230</f>
        <v>0</v>
      </c>
      <c r="H866" s="1260">
        <f>Arch!I230</f>
        <v>0</v>
      </c>
      <c r="I866" s="1260">
        <f>Arch!L230</f>
        <v>0</v>
      </c>
      <c r="J866" s="1260">
        <f>Arch!M230</f>
        <v>0</v>
      </c>
    </row>
    <row r="867" spans="1:10" outlineLevel="1">
      <c r="A867" t="s">
        <v>86</v>
      </c>
      <c r="B867" t="s">
        <v>133</v>
      </c>
      <c r="C867" t="s">
        <v>134</v>
      </c>
      <c r="D867" t="s">
        <v>135</v>
      </c>
      <c r="E867" t="str">
        <f>IF(LEN(Arch!C231)&gt;0, Arch!C231, Arch!B231)</f>
        <v xml:space="preserve">บานเปิดเดี่ยว/บานติดตาย วงกบอะลูมิเนียมสี Grey Sahara </v>
      </c>
      <c r="F867" s="1260" t="str">
        <f>Arch!F231</f>
        <v>ชุด</v>
      </c>
      <c r="G867" s="1260">
        <f>Arch!E231</f>
        <v>2</v>
      </c>
      <c r="H867" s="1260">
        <f>Arch!I231</f>
        <v>54177.92132365</v>
      </c>
      <c r="I867" s="1260">
        <f>Arch!L231</f>
        <v>21858.150138860001</v>
      </c>
      <c r="J867" s="1260">
        <f>Arch!M231</f>
        <v>76036.071462510008</v>
      </c>
    </row>
    <row r="868" spans="1:10" outlineLevel="1">
      <c r="A868" t="s">
        <v>86</v>
      </c>
      <c r="B868" t="s">
        <v>133</v>
      </c>
      <c r="C868" t="s">
        <v>134</v>
      </c>
      <c r="D868" t="s">
        <v>135</v>
      </c>
      <c r="E868" t="str">
        <f>IF(LEN(Arch!C232)&gt;0, Arch!C232, Arch!B232)</f>
        <v>ลูกฟักกระจกโฟลทใสและกระจกเทมเปอร์ ขนาด 1.45 x 3.45 ม.</v>
      </c>
      <c r="F868" s="1260">
        <f>Arch!F232</f>
        <v>0</v>
      </c>
      <c r="G868" s="1260">
        <f>Arch!E232</f>
        <v>0</v>
      </c>
      <c r="H868" s="1260">
        <f>Arch!I232</f>
        <v>0</v>
      </c>
      <c r="I868" s="1260">
        <f>Arch!L232</f>
        <v>0</v>
      </c>
      <c r="J868" s="1260">
        <f>Arch!M232</f>
        <v>0</v>
      </c>
    </row>
    <row r="869" spans="1:10" outlineLevel="1">
      <c r="A869" t="s">
        <v>86</v>
      </c>
      <c r="B869" t="s">
        <v>133</v>
      </c>
      <c r="C869" t="s">
        <v>134</v>
      </c>
      <c r="D869" t="s">
        <v>135</v>
      </c>
      <c r="E869" t="str">
        <f>IF(LEN(Arch!C233)&gt;0, Arch!C233, Arch!B233)</f>
        <v xml:space="preserve">บานเปิดคู่/บานติดตาย วงกบอะลูมิเนียมสี Grey Sahara </v>
      </c>
      <c r="F869" s="1260" t="str">
        <f>Arch!F233</f>
        <v>ชุด</v>
      </c>
      <c r="G869" s="1260">
        <f>Arch!E233</f>
        <v>2</v>
      </c>
      <c r="H869" s="1260">
        <f>Arch!I233</f>
        <v>172808.40340747999</v>
      </c>
      <c r="I869" s="1260">
        <f>Arch!L233</f>
        <v>77653.462383819991</v>
      </c>
      <c r="J869" s="1260">
        <f>Arch!M233</f>
        <v>250461.86579129996</v>
      </c>
    </row>
    <row r="870" spans="1:10" outlineLevel="1">
      <c r="A870" t="s">
        <v>86</v>
      </c>
      <c r="B870" t="s">
        <v>133</v>
      </c>
      <c r="C870" t="s">
        <v>134</v>
      </c>
      <c r="D870" t="s">
        <v>135</v>
      </c>
      <c r="E870" t="str">
        <f>IF(LEN(Arch!C234)&gt;0, Arch!C234, Arch!B234)</f>
        <v>ลูกฟักกระจกโฟลทใสและกระจกเทมเปอร์ ขนาด 3.85 x 3.80 ม.</v>
      </c>
      <c r="F870" s="1260">
        <f>Arch!F234</f>
        <v>0</v>
      </c>
      <c r="G870" s="1260">
        <f>Arch!E234</f>
        <v>0</v>
      </c>
      <c r="H870" s="1260">
        <f>Arch!I234</f>
        <v>0</v>
      </c>
      <c r="I870" s="1260">
        <f>Arch!L234</f>
        <v>0</v>
      </c>
      <c r="J870" s="1260">
        <f>Arch!M234</f>
        <v>0</v>
      </c>
    </row>
    <row r="871" spans="1:10" outlineLevel="1">
      <c r="A871" t="s">
        <v>86</v>
      </c>
      <c r="B871" t="s">
        <v>133</v>
      </c>
      <c r="C871" t="s">
        <v>134</v>
      </c>
      <c r="D871" t="s">
        <v>135</v>
      </c>
      <c r="E871" t="str">
        <f>IF(LEN(Arch!C235)&gt;0, Arch!C235, Arch!B235)</f>
        <v xml:space="preserve">บานเปิดเดี่ยว/บานติดตาย วงกบอะลูมิเนียมสี Grey Sahara </v>
      </c>
      <c r="F871" s="1260" t="str">
        <f>Arch!F235</f>
        <v>ชุด</v>
      </c>
      <c r="G871" s="1260">
        <f>Arch!E235</f>
        <v>1</v>
      </c>
      <c r="H871" s="1260">
        <f>Arch!I235</f>
        <v>227177.98088076498</v>
      </c>
      <c r="I871" s="1260">
        <f>Arch!L235</f>
        <v>115096.52966617</v>
      </c>
      <c r="J871" s="1260">
        <f>Arch!M235</f>
        <v>342274.51054693497</v>
      </c>
    </row>
    <row r="872" spans="1:10" outlineLevel="1">
      <c r="A872" t="s">
        <v>86</v>
      </c>
      <c r="B872" t="s">
        <v>133</v>
      </c>
      <c r="C872" t="s">
        <v>134</v>
      </c>
      <c r="D872" t="s">
        <v>135</v>
      </c>
      <c r="E872" t="str">
        <f>IF(LEN(Arch!C236)&gt;0, Arch!C236, Arch!B236)</f>
        <v>ลูกฟักกระจกโฟลทใสและกระจกเทมเปอร์ ขนาด 10.025 x 3.85 ม.</v>
      </c>
      <c r="F872" s="1260">
        <f>Arch!F236</f>
        <v>0</v>
      </c>
      <c r="G872" s="1260">
        <f>Arch!E236</f>
        <v>0</v>
      </c>
      <c r="H872" s="1260">
        <f>Arch!I236</f>
        <v>0</v>
      </c>
      <c r="I872" s="1260">
        <f>Arch!L236</f>
        <v>0</v>
      </c>
      <c r="J872" s="1260">
        <f>Arch!M236</f>
        <v>0</v>
      </c>
    </row>
    <row r="873" spans="1:10" outlineLevel="1">
      <c r="A873" t="s">
        <v>86</v>
      </c>
      <c r="B873" t="s">
        <v>133</v>
      </c>
      <c r="C873" t="s">
        <v>134</v>
      </c>
      <c r="D873" t="s">
        <v>135</v>
      </c>
      <c r="E873" t="str">
        <f>IF(LEN(Arch!C237)&gt;0, Arch!C237, Arch!B237)</f>
        <v xml:space="preserve">บานเปิดคู่/บานติดตาย วงกบอะลูมิเนียมสี Grey Sahara </v>
      </c>
      <c r="F873" s="1260" t="str">
        <f>Arch!F237</f>
        <v>ชุด</v>
      </c>
      <c r="G873" s="1260">
        <f>Arch!E237</f>
        <v>1</v>
      </c>
      <c r="H873" s="1260">
        <f>Arch!I237</f>
        <v>86165.800151755</v>
      </c>
      <c r="I873" s="1260">
        <f>Arch!L237</f>
        <v>31515.750264369999</v>
      </c>
      <c r="J873" s="1260">
        <f>Arch!M237</f>
        <v>117681.550416125</v>
      </c>
    </row>
    <row r="874" spans="1:10" outlineLevel="1">
      <c r="A874" t="s">
        <v>86</v>
      </c>
      <c r="B874" t="s">
        <v>133</v>
      </c>
      <c r="C874" t="s">
        <v>134</v>
      </c>
      <c r="D874" t="s">
        <v>135</v>
      </c>
      <c r="E874" t="str">
        <f>IF(LEN(Arch!C238)&gt;0, Arch!C238, Arch!B238)</f>
        <v>ลูกฟักกระจกโฟลทใสและกระจกเทมเปอร์ ขนาด 3.22 x 3.175 ม.</v>
      </c>
      <c r="F874" s="1260">
        <f>Arch!F238</f>
        <v>0</v>
      </c>
      <c r="G874" s="1260">
        <f>Arch!E238</f>
        <v>0</v>
      </c>
      <c r="H874" s="1260">
        <f>Arch!I238</f>
        <v>0</v>
      </c>
      <c r="I874" s="1260">
        <f>Arch!L238</f>
        <v>0</v>
      </c>
      <c r="J874" s="1260">
        <f>Arch!M238</f>
        <v>0</v>
      </c>
    </row>
    <row r="875" spans="1:10" outlineLevel="1">
      <c r="A875" t="s">
        <v>86</v>
      </c>
      <c r="B875" t="s">
        <v>133</v>
      </c>
      <c r="C875" t="s">
        <v>134</v>
      </c>
      <c r="D875" t="s">
        <v>135</v>
      </c>
      <c r="E875" t="str">
        <f>IF(LEN(Arch!C239)&gt;0, Arch!C239, Arch!B239)</f>
        <v xml:space="preserve">บานเปิดเดี่ยว/บานติดตาย วงกบอะลูมิเนียมสี Grey Sahara </v>
      </c>
      <c r="F875" s="1260" t="str">
        <f>Arch!F239</f>
        <v>ชุด</v>
      </c>
      <c r="G875" s="1260">
        <f>Arch!E239</f>
        <v>1</v>
      </c>
      <c r="H875" s="1260">
        <f>Arch!I239</f>
        <v>46535.048039424997</v>
      </c>
      <c r="I875" s="1260">
        <f>Arch!L239</f>
        <v>15650.360706779999</v>
      </c>
      <c r="J875" s="1260">
        <f>Arch!M239</f>
        <v>62185.408746204994</v>
      </c>
    </row>
    <row r="876" spans="1:10" outlineLevel="1">
      <c r="A876" t="s">
        <v>86</v>
      </c>
      <c r="B876" t="s">
        <v>133</v>
      </c>
      <c r="C876" t="s">
        <v>134</v>
      </c>
      <c r="D876" t="s">
        <v>135</v>
      </c>
      <c r="E876" t="str">
        <f>IF(LEN(Arch!C240)&gt;0, Arch!C240, Arch!B240)</f>
        <v>ลูกฟักกระจกโฟลทใสและกระจกเทมเปอร์ ขนาด 1.275 x 3.45 ม.</v>
      </c>
      <c r="F876" s="1260">
        <f>Arch!F240</f>
        <v>0</v>
      </c>
      <c r="G876" s="1260">
        <f>Arch!E240</f>
        <v>0</v>
      </c>
      <c r="H876" s="1260">
        <f>Arch!I240</f>
        <v>0</v>
      </c>
      <c r="I876" s="1260">
        <f>Arch!L240</f>
        <v>0</v>
      </c>
      <c r="J876" s="1260">
        <f>Arch!M240</f>
        <v>0</v>
      </c>
    </row>
    <row r="877" spans="1:10" outlineLevel="1">
      <c r="A877" t="s">
        <v>86</v>
      </c>
      <c r="B877" t="s">
        <v>133</v>
      </c>
      <c r="C877" t="s">
        <v>134</v>
      </c>
      <c r="D877" t="s">
        <v>135</v>
      </c>
      <c r="E877" t="str">
        <f>IF(LEN(Arch!C241)&gt;0, Arch!C241, Arch!B241)</f>
        <v xml:space="preserve">บานเปิดเดี่ยว/บานติดตาย วงกบอะลูมิเนียมสี Grey Sahara </v>
      </c>
      <c r="F877" s="1260" t="str">
        <f>Arch!F241</f>
        <v>ชุด</v>
      </c>
      <c r="G877" s="1260">
        <f>Arch!E241</f>
        <v>1</v>
      </c>
      <c r="H877" s="1260">
        <f>Arch!I241</f>
        <v>46535.048039424997</v>
      </c>
      <c r="I877" s="1260">
        <f>Arch!L241</f>
        <v>15650.360706779999</v>
      </c>
      <c r="J877" s="1260">
        <f>Arch!M241</f>
        <v>62185.408746204994</v>
      </c>
    </row>
    <row r="878" spans="1:10" outlineLevel="1">
      <c r="A878" t="s">
        <v>86</v>
      </c>
      <c r="B878" t="s">
        <v>133</v>
      </c>
      <c r="C878" t="s">
        <v>134</v>
      </c>
      <c r="D878" t="s">
        <v>135</v>
      </c>
      <c r="E878" t="str">
        <f>IF(LEN(Arch!C242)&gt;0, Arch!C242, Arch!B242)</f>
        <v>ลูกฟักกระจกโฟลทใสและกระจกเทมเปอร์ ขนาด 1.275 x 3.45 ม.</v>
      </c>
      <c r="F878" s="1260">
        <f>Arch!F242</f>
        <v>0</v>
      </c>
      <c r="G878" s="1260">
        <f>Arch!E242</f>
        <v>0</v>
      </c>
      <c r="H878" s="1260">
        <f>Arch!I242</f>
        <v>0</v>
      </c>
      <c r="I878" s="1260">
        <f>Arch!L242</f>
        <v>0</v>
      </c>
      <c r="J878" s="1260">
        <f>Arch!M242</f>
        <v>0</v>
      </c>
    </row>
    <row r="879" spans="1:10" outlineLevel="1">
      <c r="A879" t="s">
        <v>86</v>
      </c>
      <c r="B879" t="s">
        <v>133</v>
      </c>
      <c r="C879" t="s">
        <v>134</v>
      </c>
      <c r="D879" t="s">
        <v>135</v>
      </c>
      <c r="E879">
        <f>IF(LEN(Arch!C243)&gt;0, Arch!C243, Arch!B243)</f>
        <v>0</v>
      </c>
      <c r="F879" s="1260">
        <f>Arch!F243</f>
        <v>0</v>
      </c>
      <c r="G879" s="1260">
        <f>Arch!E243</f>
        <v>0</v>
      </c>
      <c r="H879" s="1260">
        <f>Arch!I243</f>
        <v>0</v>
      </c>
      <c r="I879" s="1260">
        <f>Arch!L243</f>
        <v>0</v>
      </c>
      <c r="J879" s="1260">
        <f>Arch!M243</f>
        <v>0</v>
      </c>
    </row>
    <row r="880" spans="1:10" outlineLevel="1">
      <c r="A880" t="s">
        <v>86</v>
      </c>
      <c r="B880" t="s">
        <v>133</v>
      </c>
      <c r="C880" t="s">
        <v>134</v>
      </c>
      <c r="D880" t="s">
        <v>135</v>
      </c>
      <c r="E880" t="str">
        <f>IF(LEN(Arch!C244)&gt;0, Arch!C244, Arch!B244)</f>
        <v xml:space="preserve">บานเปิดเดี่ยว/บานติดตาย วงกบอะลูมิเนียมสี Grey Sahara </v>
      </c>
      <c r="F880" s="1260" t="str">
        <f>Arch!F244</f>
        <v>ชุด</v>
      </c>
      <c r="G880" s="1260">
        <f>Arch!E244</f>
        <v>1</v>
      </c>
      <c r="H880" s="1260">
        <f>Arch!I244</f>
        <v>192530.28865894501</v>
      </c>
      <c r="I880" s="1260">
        <f>Arch!L244</f>
        <v>71090.407893879994</v>
      </c>
      <c r="J880" s="1260">
        <f>Arch!M244</f>
        <v>263620.69655282499</v>
      </c>
    </row>
    <row r="881" spans="1:10" outlineLevel="1">
      <c r="A881" t="s">
        <v>86</v>
      </c>
      <c r="B881" t="s">
        <v>133</v>
      </c>
      <c r="C881" t="s">
        <v>134</v>
      </c>
      <c r="D881" t="s">
        <v>135</v>
      </c>
      <c r="E881" t="str">
        <f>IF(LEN(Arch!C245)&gt;0, Arch!C245, Arch!B245)</f>
        <v>ลูกฟักกระจกโฟลทใสและกระจกเทมเปอร์ ขนาด 8.475 x 3.45 ม.</v>
      </c>
      <c r="F881" s="1260">
        <f>Arch!F245</f>
        <v>0</v>
      </c>
      <c r="G881" s="1260">
        <f>Arch!E245</f>
        <v>0</v>
      </c>
      <c r="H881" s="1260">
        <f>Arch!I245</f>
        <v>0</v>
      </c>
      <c r="I881" s="1260">
        <f>Arch!L245</f>
        <v>0</v>
      </c>
      <c r="J881" s="1260">
        <f>Arch!M245</f>
        <v>0</v>
      </c>
    </row>
    <row r="882" spans="1:10" outlineLevel="1">
      <c r="A882" t="s">
        <v>86</v>
      </c>
      <c r="B882" t="s">
        <v>133</v>
      </c>
      <c r="C882" t="s">
        <v>134</v>
      </c>
      <c r="D882" t="s">
        <v>135</v>
      </c>
      <c r="E882" t="str">
        <f>IF(LEN(Arch!C246)&gt;0, Arch!C246, Arch!B246)</f>
        <v xml:space="preserve">บานเปิดเดี่ยว/บานติดตาย วงกบอะลูมิเนียมสี Grey Sahara </v>
      </c>
      <c r="F882" s="1260" t="str">
        <f>Arch!F246</f>
        <v>ชุด</v>
      </c>
      <c r="G882" s="1260">
        <f>Arch!E246</f>
        <v>1</v>
      </c>
      <c r="H882" s="1260">
        <f>Arch!I246</f>
        <v>84364.232345185999</v>
      </c>
      <c r="I882" s="1260">
        <f>Arch!L246</f>
        <v>25289.262671349999</v>
      </c>
      <c r="J882" s="1260">
        <f>Arch!M246</f>
        <v>109653.49501653601</v>
      </c>
    </row>
    <row r="883" spans="1:10" outlineLevel="1">
      <c r="A883" t="s">
        <v>86</v>
      </c>
      <c r="B883" t="s">
        <v>133</v>
      </c>
      <c r="C883" t="s">
        <v>134</v>
      </c>
      <c r="D883" t="s">
        <v>135</v>
      </c>
      <c r="E883" t="str">
        <f>IF(LEN(Arch!C247)&gt;0, Arch!C247, Arch!B247)</f>
        <v>ลูกฟักกระจกโฟลทใสและกระจกเทมเปอร์ ขนาด 5.95 x 3.45 ม.</v>
      </c>
      <c r="F883" s="1260">
        <f>Arch!F247</f>
        <v>0</v>
      </c>
      <c r="G883" s="1260">
        <f>Arch!E247</f>
        <v>0</v>
      </c>
      <c r="H883" s="1260">
        <f>Arch!I247</f>
        <v>0</v>
      </c>
      <c r="I883" s="1260">
        <f>Arch!L247</f>
        <v>0</v>
      </c>
      <c r="J883" s="1260">
        <f>Arch!M247</f>
        <v>0</v>
      </c>
    </row>
    <row r="884" spans="1:10" outlineLevel="1">
      <c r="A884" t="s">
        <v>86</v>
      </c>
      <c r="B884" t="s">
        <v>133</v>
      </c>
      <c r="C884" t="s">
        <v>134</v>
      </c>
      <c r="D884" t="s">
        <v>135</v>
      </c>
      <c r="E884" t="str">
        <f>IF(LEN(Arch!C248)&gt;0, Arch!C248, Arch!B248)</f>
        <v xml:space="preserve">บานเปิดคู่/บานติดตาย วงกบอะลูมิเนียมสี Grey Sahara </v>
      </c>
      <c r="F884" s="1260" t="str">
        <f>Arch!F248</f>
        <v>ชุด</v>
      </c>
      <c r="G884" s="1260">
        <f>Arch!E248</f>
        <v>1</v>
      </c>
      <c r="H884" s="1260">
        <f>Arch!I248</f>
        <v>82767.409400909994</v>
      </c>
      <c r="I884" s="1260">
        <f>Arch!L248</f>
        <v>30150.784515749998</v>
      </c>
      <c r="J884" s="1260">
        <f>Arch!M248</f>
        <v>112918.19391665999</v>
      </c>
    </row>
    <row r="885" spans="1:10" outlineLevel="1">
      <c r="A885" t="s">
        <v>86</v>
      </c>
      <c r="B885" t="s">
        <v>133</v>
      </c>
      <c r="C885" t="s">
        <v>134</v>
      </c>
      <c r="D885" t="s">
        <v>135</v>
      </c>
      <c r="E885" t="str">
        <f>IF(LEN(Arch!C249)&gt;0, Arch!C249, Arch!B249)</f>
        <v>ลูกฟักกระจกโฟลทใสและกระจกเทมเปอร์ ขนาด 2.95 x 3.175 ม.</v>
      </c>
      <c r="F885" s="1260">
        <f>Arch!F249</f>
        <v>0</v>
      </c>
      <c r="G885" s="1260">
        <f>Arch!E249</f>
        <v>0</v>
      </c>
      <c r="H885" s="1260">
        <f>Arch!I249</f>
        <v>0</v>
      </c>
      <c r="I885" s="1260">
        <f>Arch!L249</f>
        <v>0</v>
      </c>
      <c r="J885" s="1260">
        <f>Arch!M249</f>
        <v>0</v>
      </c>
    </row>
    <row r="886" spans="1:10" outlineLevel="1">
      <c r="A886" t="s">
        <v>86</v>
      </c>
      <c r="B886" t="s">
        <v>133</v>
      </c>
      <c r="C886" t="s">
        <v>134</v>
      </c>
      <c r="D886" t="s">
        <v>135</v>
      </c>
      <c r="E886" t="str">
        <f>IF(LEN(Arch!C250)&gt;0, Arch!C250, Arch!B250)</f>
        <v xml:space="preserve">บานเปิดเดี่ยว/บานติดตาย วงกบอะลูมิเนียมสี Grey Sahara </v>
      </c>
      <c r="F886" s="1260" t="str">
        <f>Arch!F250</f>
        <v>ชุด</v>
      </c>
      <c r="G886" s="1260">
        <f>Arch!E250</f>
        <v>1</v>
      </c>
      <c r="H886" s="1260">
        <f>Arch!I250</f>
        <v>74998.32353034</v>
      </c>
      <c r="I886" s="1260">
        <f>Arch!L250</f>
        <v>26345.70876446</v>
      </c>
      <c r="J886" s="1260">
        <f>Arch!M250</f>
        <v>101344.0322948</v>
      </c>
    </row>
    <row r="887" spans="1:10" outlineLevel="1">
      <c r="A887" t="s">
        <v>86</v>
      </c>
      <c r="B887" t="s">
        <v>133</v>
      </c>
      <c r="C887" t="s">
        <v>134</v>
      </c>
      <c r="D887" t="s">
        <v>135</v>
      </c>
      <c r="E887" t="str">
        <f>IF(LEN(Arch!C251)&gt;0, Arch!C251, Arch!B251)</f>
        <v>ลูกฟักกระจกโฟลทใสและกระจกเทมเปอร์ ขนาด 3.05 x 3.65 ม.</v>
      </c>
      <c r="F887" s="1260">
        <f>Arch!F251</f>
        <v>0</v>
      </c>
      <c r="G887" s="1260">
        <f>Arch!E251</f>
        <v>0</v>
      </c>
      <c r="H887" s="1260">
        <f>Arch!I251</f>
        <v>0</v>
      </c>
      <c r="I887" s="1260">
        <f>Arch!L251</f>
        <v>0</v>
      </c>
      <c r="J887" s="1260">
        <f>Arch!M251</f>
        <v>0</v>
      </c>
    </row>
    <row r="888" spans="1:10" outlineLevel="1">
      <c r="A888" t="s">
        <v>86</v>
      </c>
      <c r="B888" t="s">
        <v>133</v>
      </c>
      <c r="C888" t="s">
        <v>134</v>
      </c>
      <c r="D888" t="s">
        <v>135</v>
      </c>
      <c r="E888" t="str">
        <f>IF(LEN(Arch!C252)&gt;0, Arch!C252, Arch!B252)</f>
        <v xml:space="preserve">บานเปิดเดี่ยว/บานติดตาย วงกบอะลูมิเนียมสี Grey Sahara </v>
      </c>
      <c r="F888" s="1260" t="str">
        <f>Arch!F252</f>
        <v>ชุด</v>
      </c>
      <c r="G888" s="1260">
        <f>Arch!E252</f>
        <v>1</v>
      </c>
      <c r="H888" s="1260">
        <f>Arch!I252</f>
        <v>387173.46950410999</v>
      </c>
      <c r="I888" s="1260">
        <f>Arch!L252</f>
        <v>143083.00205311499</v>
      </c>
      <c r="J888" s="1260">
        <f>Arch!M252</f>
        <v>530256.47155722498</v>
      </c>
    </row>
    <row r="889" spans="1:10" outlineLevel="1">
      <c r="A889" t="s">
        <v>86</v>
      </c>
      <c r="B889" t="s">
        <v>133</v>
      </c>
      <c r="C889" t="s">
        <v>134</v>
      </c>
      <c r="D889" t="s">
        <v>135</v>
      </c>
      <c r="E889" t="str">
        <f>IF(LEN(Arch!C253)&gt;0, Arch!C253, Arch!B253)</f>
        <v>ลูกฟักกระจกโฟลทใสและกระจกเทมเปอร์ ขนาด 16.625 x 3.85 ม.</v>
      </c>
      <c r="F889" s="1260">
        <f>Arch!F253</f>
        <v>0</v>
      </c>
      <c r="G889" s="1260">
        <f>Arch!E253</f>
        <v>0</v>
      </c>
      <c r="H889" s="1260">
        <f>Arch!I253</f>
        <v>0</v>
      </c>
      <c r="I889" s="1260">
        <f>Arch!L253</f>
        <v>0</v>
      </c>
      <c r="J889" s="1260">
        <f>Arch!M253</f>
        <v>0</v>
      </c>
    </row>
    <row r="890" spans="1:10" outlineLevel="1">
      <c r="A890" t="s">
        <v>86</v>
      </c>
      <c r="B890" t="s">
        <v>133</v>
      </c>
      <c r="C890" t="s">
        <v>134</v>
      </c>
      <c r="D890" t="s">
        <v>135</v>
      </c>
      <c r="E890" t="str">
        <f>IF(LEN(Arch!C254)&gt;0, Arch!C254, Arch!B254)</f>
        <v xml:space="preserve">บานเปิดเดี่ยว/บานติดตาย วงกบอะลูมิเนียมสี Grey Sahara </v>
      </c>
      <c r="F890" s="1260" t="str">
        <f>Arch!F254</f>
        <v>ชุด</v>
      </c>
      <c r="G890" s="1260">
        <f>Arch!E254</f>
        <v>1</v>
      </c>
      <c r="H890" s="1260">
        <f>Arch!I254</f>
        <v>64228.182828899997</v>
      </c>
      <c r="I890" s="1260">
        <f>Arch!L254</f>
        <v>23812.10795709</v>
      </c>
      <c r="J890" s="1260">
        <f>Arch!M254</f>
        <v>88040.290785990001</v>
      </c>
    </row>
    <row r="891" spans="1:10" outlineLevel="1">
      <c r="A891" t="s">
        <v>86</v>
      </c>
      <c r="B891" t="s">
        <v>133</v>
      </c>
      <c r="C891" t="s">
        <v>134</v>
      </c>
      <c r="D891" t="s">
        <v>135</v>
      </c>
      <c r="E891" t="str">
        <f>IF(LEN(Arch!C255)&gt;0, Arch!C255, Arch!B255)</f>
        <v>ลูกฟักกระจกโฟลทใสและกระจกเทมเปอร์ ขนาด 3.35 x 3.07 ม.</v>
      </c>
      <c r="F891" s="1260">
        <f>Arch!F255</f>
        <v>0</v>
      </c>
      <c r="G891" s="1260">
        <f>Arch!E255</f>
        <v>0</v>
      </c>
      <c r="H891" s="1260">
        <f>Arch!I255</f>
        <v>0</v>
      </c>
      <c r="I891" s="1260">
        <f>Arch!L255</f>
        <v>0</v>
      </c>
      <c r="J891" s="1260">
        <f>Arch!M255</f>
        <v>0</v>
      </c>
    </row>
    <row r="892" spans="1:10" outlineLevel="1">
      <c r="A892" t="s">
        <v>86</v>
      </c>
      <c r="B892" t="s">
        <v>133</v>
      </c>
      <c r="C892" t="s">
        <v>134</v>
      </c>
      <c r="D892" t="s">
        <v>135</v>
      </c>
      <c r="E892" t="str">
        <f>IF(LEN(Arch!C256)&gt;0, Arch!C256, Arch!B256)</f>
        <v xml:space="preserve">บานเปิดเดี่ยว/บานติดตาย วงกบอะลูมิเนียมสี Grey Sahara </v>
      </c>
      <c r="F892" s="1260" t="str">
        <f>Arch!F256</f>
        <v>ชุด</v>
      </c>
      <c r="G892" s="1260">
        <f>Arch!E256</f>
        <v>1</v>
      </c>
      <c r="H892" s="1260">
        <f>Arch!I256</f>
        <v>118265.86794549999</v>
      </c>
      <c r="I892" s="1260">
        <f>Arch!L256</f>
        <v>45193.454991979997</v>
      </c>
      <c r="J892" s="1260">
        <f>Arch!M256</f>
        <v>163459.32293748</v>
      </c>
    </row>
    <row r="893" spans="1:10" outlineLevel="1">
      <c r="A893" t="s">
        <v>86</v>
      </c>
      <c r="B893" t="s">
        <v>133</v>
      </c>
      <c r="C893" t="s">
        <v>134</v>
      </c>
      <c r="D893" t="s">
        <v>135</v>
      </c>
      <c r="E893" t="str">
        <f>IF(LEN(Arch!C257)&gt;0, Arch!C257, Arch!B257)</f>
        <v>ลูกฟักกระจกโฟลทใสและกระจกเทมเปอร์ ขนาด 3.35 + 2.85 x 3.10 ม.</v>
      </c>
      <c r="F893" s="1260">
        <f>Arch!F257</f>
        <v>0</v>
      </c>
      <c r="G893" s="1260">
        <f>Arch!E257</f>
        <v>0</v>
      </c>
      <c r="H893" s="1260">
        <f>Arch!I257</f>
        <v>0</v>
      </c>
      <c r="I893" s="1260">
        <f>Arch!L257</f>
        <v>0</v>
      </c>
      <c r="J893" s="1260">
        <f>Arch!M257</f>
        <v>0</v>
      </c>
    </row>
    <row r="894" spans="1:10" outlineLevel="1">
      <c r="A894" t="s">
        <v>86</v>
      </c>
      <c r="B894" t="s">
        <v>133</v>
      </c>
      <c r="C894" t="s">
        <v>134</v>
      </c>
      <c r="D894" t="s">
        <v>135</v>
      </c>
      <c r="E894" t="str">
        <f>IF(LEN(Arch!C258)&gt;0, Arch!C258, Arch!B258)</f>
        <v xml:space="preserve">บานเปิดคู่/บานติดตาย วงกบอะลูมิเนียมสี Grey Sahara </v>
      </c>
      <c r="F894" s="1260" t="str">
        <f>Arch!F258</f>
        <v>ชุด</v>
      </c>
      <c r="G894" s="1260">
        <f>Arch!E258</f>
        <v>1</v>
      </c>
      <c r="H894" s="1260">
        <f>Arch!I258</f>
        <v>69370.177087399992</v>
      </c>
      <c r="I894" s="1260">
        <f>Arch!L258</f>
        <v>27336.711294279998</v>
      </c>
      <c r="J894" s="1260">
        <f>Arch!M258</f>
        <v>96706.888381679993</v>
      </c>
    </row>
    <row r="895" spans="1:10" outlineLevel="1">
      <c r="A895" t="s">
        <v>86</v>
      </c>
      <c r="B895" t="s">
        <v>133</v>
      </c>
      <c r="C895" t="s">
        <v>134</v>
      </c>
      <c r="D895" t="s">
        <v>135</v>
      </c>
      <c r="E895" t="str">
        <f>IF(LEN(Arch!C259)&gt;0, Arch!C259, Arch!B259)</f>
        <v>ลูกฟักกระจกโฟลทใสและกระจกเทมเปอร์ ขนาด 2.85 x 2.95 ม.</v>
      </c>
      <c r="F895" s="1260">
        <f>Arch!F259</f>
        <v>0</v>
      </c>
      <c r="G895" s="1260">
        <f>Arch!E259</f>
        <v>0</v>
      </c>
      <c r="H895" s="1260">
        <f>Arch!I259</f>
        <v>0</v>
      </c>
      <c r="I895" s="1260">
        <f>Arch!L259</f>
        <v>0</v>
      </c>
      <c r="J895" s="1260">
        <f>Arch!M259</f>
        <v>0</v>
      </c>
    </row>
    <row r="896" spans="1:10" outlineLevel="1">
      <c r="A896" t="s">
        <v>86</v>
      </c>
      <c r="B896" t="s">
        <v>133</v>
      </c>
      <c r="C896" t="s">
        <v>134</v>
      </c>
      <c r="D896" t="s">
        <v>135</v>
      </c>
      <c r="E896" t="str">
        <f>IF(LEN(Arch!C260)&gt;0, Arch!C260, Arch!B260)</f>
        <v xml:space="preserve">บานเปิดเดี่ยว/บานติดตาย วงกบอะลูมิเนียมสี Grey Sahara </v>
      </c>
      <c r="F896" s="1260" t="str">
        <f>Arch!F260</f>
        <v>ชุด</v>
      </c>
      <c r="G896" s="1260">
        <f>Arch!E260</f>
        <v>1</v>
      </c>
      <c r="H896" s="1260">
        <f>Arch!I260</f>
        <v>297487.74055539997</v>
      </c>
      <c r="I896" s="1260">
        <f>Arch!L260</f>
        <v>117882.55564623</v>
      </c>
      <c r="J896" s="1260">
        <f>Arch!M260</f>
        <v>415370.29620162997</v>
      </c>
    </row>
    <row r="897" spans="1:10" outlineLevel="1">
      <c r="A897" t="s">
        <v>86</v>
      </c>
      <c r="B897" t="s">
        <v>133</v>
      </c>
      <c r="C897" t="s">
        <v>134</v>
      </c>
      <c r="D897" t="s">
        <v>135</v>
      </c>
      <c r="E897" t="str">
        <f>IF(LEN(Arch!C261)&gt;0, Arch!C261, Arch!B261)</f>
        <v>ลูกฟักกระจกโฟลทใสและกระจกเทมเปอร์ ขนาด 13.20 x 4.25 ม.</v>
      </c>
      <c r="F897" s="1260">
        <f>Arch!F261</f>
        <v>0</v>
      </c>
      <c r="G897" s="1260">
        <f>Arch!E261</f>
        <v>0</v>
      </c>
      <c r="H897" s="1260">
        <f>Arch!I261</f>
        <v>0</v>
      </c>
      <c r="I897" s="1260">
        <f>Arch!L261</f>
        <v>0</v>
      </c>
      <c r="J897" s="1260">
        <f>Arch!M261</f>
        <v>0</v>
      </c>
    </row>
    <row r="898" spans="1:10" outlineLevel="1">
      <c r="A898" t="s">
        <v>86</v>
      </c>
      <c r="B898" t="s">
        <v>133</v>
      </c>
      <c r="C898" t="s">
        <v>134</v>
      </c>
      <c r="D898" t="s">
        <v>135</v>
      </c>
      <c r="E898" t="str">
        <f>IF(LEN(Arch!C262)&gt;0, Arch!C262, Arch!B262)</f>
        <v xml:space="preserve">บานเปิดเดี่ยว/บานติดตาย วงกบอะลูมิเนียมสี Grey Sahara </v>
      </c>
      <c r="F898" s="1260" t="str">
        <f>Arch!F262</f>
        <v>ชุด</v>
      </c>
      <c r="G898" s="1260">
        <f>Arch!E262</f>
        <v>1</v>
      </c>
      <c r="H898" s="1260">
        <f>Arch!I262</f>
        <v>90125.135730800001</v>
      </c>
      <c r="I898" s="1260">
        <f>Arch!L262</f>
        <v>34152.190956909995</v>
      </c>
      <c r="J898" s="1260">
        <f>Arch!M262</f>
        <v>124277.32668771</v>
      </c>
    </row>
    <row r="899" spans="1:10" outlineLevel="1">
      <c r="A899" t="s">
        <v>86</v>
      </c>
      <c r="B899" t="s">
        <v>133</v>
      </c>
      <c r="C899" t="s">
        <v>134</v>
      </c>
      <c r="D899" t="s">
        <v>135</v>
      </c>
      <c r="E899" t="str">
        <f>IF(LEN(Arch!C263)&gt;0, Arch!C263, Arch!B263)</f>
        <v>ลูกฟักกระจกโฟลทใสและกระจกเทมเปอร์ ขนาด 3.22 x 3.85 ม.</v>
      </c>
      <c r="F899" s="1260">
        <f>Arch!F263</f>
        <v>0</v>
      </c>
      <c r="G899" s="1260">
        <f>Arch!E263</f>
        <v>0</v>
      </c>
      <c r="H899" s="1260">
        <f>Arch!I263</f>
        <v>0</v>
      </c>
      <c r="I899" s="1260">
        <f>Arch!L263</f>
        <v>0</v>
      </c>
      <c r="J899" s="1260">
        <f>Arch!M263</f>
        <v>0</v>
      </c>
    </row>
    <row r="900" spans="1:10" outlineLevel="1">
      <c r="A900" t="s">
        <v>86</v>
      </c>
      <c r="B900" t="s">
        <v>133</v>
      </c>
      <c r="C900" t="s">
        <v>134</v>
      </c>
      <c r="D900" t="s">
        <v>135</v>
      </c>
      <c r="E900" t="str">
        <f>IF(LEN(Arch!C264)&gt;0, Arch!C264, Arch!B264)</f>
        <v xml:space="preserve">บานจุดหมุน/บานติดตาย วงกบอะลูมิเนียมสี Grey Sahara </v>
      </c>
      <c r="F900" s="1260" t="str">
        <f>Arch!F264</f>
        <v>ชุด</v>
      </c>
      <c r="G900" s="1260">
        <f>Arch!E264</f>
        <v>1</v>
      </c>
      <c r="H900" s="1260">
        <f>Arch!I264</f>
        <v>30964.154516639999</v>
      </c>
      <c r="I900" s="1260">
        <f>Arch!L264</f>
        <v>11181.500242119999</v>
      </c>
      <c r="J900" s="1260">
        <f>Arch!M264</f>
        <v>42145.65475876</v>
      </c>
    </row>
    <row r="901" spans="1:10" outlineLevel="1">
      <c r="A901" t="s">
        <v>86</v>
      </c>
      <c r="B901" t="s">
        <v>133</v>
      </c>
      <c r="C901" t="s">
        <v>134</v>
      </c>
      <c r="D901" t="s">
        <v>135</v>
      </c>
      <c r="E901" t="str">
        <f>IF(LEN(Arch!C265)&gt;0, Arch!C265, Arch!B265)</f>
        <v>ลูกฟักกระจกเทมเปอร์ ขนาด 1.45 x 2.40 ม.</v>
      </c>
      <c r="F901" s="1260">
        <f>Arch!F265</f>
        <v>0</v>
      </c>
      <c r="G901" s="1260">
        <f>Arch!E265</f>
        <v>0</v>
      </c>
      <c r="H901" s="1260">
        <f>Arch!I265</f>
        <v>0</v>
      </c>
      <c r="I901" s="1260">
        <f>Arch!L265</f>
        <v>0</v>
      </c>
      <c r="J901" s="1260">
        <f>Arch!M265</f>
        <v>0</v>
      </c>
    </row>
    <row r="902" spans="1:10" outlineLevel="1">
      <c r="A902" t="s">
        <v>86</v>
      </c>
      <c r="B902" t="s">
        <v>133</v>
      </c>
      <c r="C902" t="s">
        <v>134</v>
      </c>
      <c r="D902" t="s">
        <v>135</v>
      </c>
      <c r="E902" t="str">
        <f>IF(LEN(Arch!C266)&gt;0, Arch!C266, Arch!B266)</f>
        <v xml:space="preserve">กระจก U-Glass  262 x 60 x 7 mm </v>
      </c>
      <c r="F902" s="1260">
        <f>Arch!F266</f>
        <v>0</v>
      </c>
      <c r="G902" s="1260" t="str">
        <f>Arch!E266</f>
        <v>*คิดรวมในผนัง P3.1</v>
      </c>
      <c r="H902" s="1260">
        <f>Arch!I266</f>
        <v>0</v>
      </c>
      <c r="I902" s="1260">
        <f>Arch!L266</f>
        <v>0</v>
      </c>
      <c r="J902" s="1260">
        <f>Arch!M266</f>
        <v>0</v>
      </c>
    </row>
    <row r="903" spans="1:10" outlineLevel="1">
      <c r="A903" t="s">
        <v>86</v>
      </c>
      <c r="B903" t="s">
        <v>133</v>
      </c>
      <c r="C903" t="s">
        <v>134</v>
      </c>
      <c r="D903" t="s">
        <v>135</v>
      </c>
      <c r="E903" t="str">
        <f>IF(LEN(Arch!C267)&gt;0, Arch!C267, Arch!B267)</f>
        <v>ช่องแสงกระจกโฟลทใส หนา 8 มม. ขนาด 1.675 x 0.70 และ 6.21 x 1.35 เมตร</v>
      </c>
      <c r="F903" s="1260" t="str">
        <f>Arch!F267</f>
        <v>ชุด</v>
      </c>
      <c r="G903" s="1260">
        <f>Arch!E267</f>
        <v>1</v>
      </c>
      <c r="H903" s="1260">
        <f>Arch!I267</f>
        <v>18903.840710339999</v>
      </c>
      <c r="I903" s="1260">
        <f>Arch!L267</f>
        <v>6380.7474207750001</v>
      </c>
      <c r="J903" s="1260">
        <f>Arch!M267</f>
        <v>25284.588131115001</v>
      </c>
    </row>
    <row r="904" spans="1:10" outlineLevel="1">
      <c r="A904" t="s">
        <v>86</v>
      </c>
      <c r="B904" t="s">
        <v>133</v>
      </c>
      <c r="C904" t="s">
        <v>134</v>
      </c>
      <c r="D904" t="s">
        <v>135</v>
      </c>
      <c r="E904" t="str">
        <f>IF(LEN(Arch!C268)&gt;0, Arch!C268, Arch!B268)</f>
        <v xml:space="preserve">บานติดตาย วงกบอะลูมิเนียมสี Grey Sahara </v>
      </c>
      <c r="F904" s="1260">
        <f>Arch!F268</f>
        <v>0</v>
      </c>
      <c r="G904" s="1260">
        <f>Arch!E268</f>
        <v>0</v>
      </c>
      <c r="H904" s="1260">
        <f>Arch!I268</f>
        <v>0</v>
      </c>
      <c r="I904" s="1260">
        <f>Arch!L268</f>
        <v>0</v>
      </c>
      <c r="J904" s="1260">
        <f>Arch!M268</f>
        <v>0</v>
      </c>
    </row>
    <row r="905" spans="1:10" outlineLevel="1">
      <c r="A905" t="s">
        <v>86</v>
      </c>
      <c r="B905" t="s">
        <v>133</v>
      </c>
      <c r="C905" t="s">
        <v>134</v>
      </c>
      <c r="D905" t="s">
        <v>135</v>
      </c>
      <c r="E905" t="str">
        <f>IF(LEN(Arch!C269)&gt;0, Arch!C269, Arch!B269)</f>
        <v xml:space="preserve">กระจก U-Glass  262 x 60 x 7 mm </v>
      </c>
      <c r="F905" s="1260">
        <f>Arch!F269</f>
        <v>0</v>
      </c>
      <c r="G905" s="1260" t="str">
        <f>Arch!E269</f>
        <v>*คิดรวมในผนัง P3.1</v>
      </c>
      <c r="H905" s="1260">
        <f>Arch!I269</f>
        <v>0</v>
      </c>
      <c r="I905" s="1260">
        <f>Arch!L269</f>
        <v>0</v>
      </c>
      <c r="J905" s="1260">
        <f>Arch!M269</f>
        <v>0</v>
      </c>
    </row>
    <row r="906" spans="1:10" outlineLevel="1">
      <c r="A906" t="s">
        <v>86</v>
      </c>
      <c r="B906" t="s">
        <v>133</v>
      </c>
      <c r="C906" t="s">
        <v>134</v>
      </c>
      <c r="D906" t="s">
        <v>135</v>
      </c>
      <c r="E906" t="str">
        <f>IF(LEN(Arch!C270)&gt;0, Arch!C270, Arch!B270)</f>
        <v>ช่องแสงกระจกโฟลทใส หนา 8 มม. ขนาด 4.05 x 1.00 เมตร</v>
      </c>
      <c r="F906" s="1260" t="str">
        <f>Arch!F270</f>
        <v>ชุด</v>
      </c>
      <c r="G906" s="1260">
        <f>Arch!E270</f>
        <v>1</v>
      </c>
      <c r="H906" s="1260">
        <f>Arch!I270</f>
        <v>10527.06460922</v>
      </c>
      <c r="I906" s="1260">
        <f>Arch!L270</f>
        <v>3921.9392571650001</v>
      </c>
      <c r="J906" s="1260">
        <f>Arch!M270</f>
        <v>14449.003866385001</v>
      </c>
    </row>
    <row r="907" spans="1:10" outlineLevel="1">
      <c r="A907" t="s">
        <v>86</v>
      </c>
      <c r="B907" t="s">
        <v>133</v>
      </c>
      <c r="C907" t="s">
        <v>134</v>
      </c>
      <c r="D907" t="s">
        <v>135</v>
      </c>
      <c r="E907">
        <f>IF(LEN(Arch!C271)&gt;0, Arch!C271, Arch!B271)</f>
        <v>0</v>
      </c>
      <c r="F907" s="1260">
        <f>Arch!F271</f>
        <v>0</v>
      </c>
      <c r="G907" s="1260">
        <f>Arch!E271</f>
        <v>0</v>
      </c>
      <c r="H907" s="1260">
        <f>Arch!I271</f>
        <v>0</v>
      </c>
      <c r="I907" s="1260">
        <f>Arch!L271</f>
        <v>0</v>
      </c>
      <c r="J907" s="1260">
        <f>Arch!M271</f>
        <v>0</v>
      </c>
    </row>
    <row r="908" spans="1:10" outlineLevel="1">
      <c r="A908" t="s">
        <v>86</v>
      </c>
      <c r="B908" t="s">
        <v>133</v>
      </c>
      <c r="C908" t="s">
        <v>134</v>
      </c>
      <c r="D908" t="s">
        <v>135</v>
      </c>
      <c r="E908" t="str">
        <f>IF(LEN(Arch!C272)&gt;0, Arch!C272, Arch!B272)</f>
        <v xml:space="preserve">บานจุดหมุน/บานเปิดเดี่ยว/บานติดตาย วงกบอะลูมิเนียมสี Grey Sahara </v>
      </c>
      <c r="F908" s="1260" t="str">
        <f>Arch!F272</f>
        <v>ชุด</v>
      </c>
      <c r="G908" s="1260">
        <f>Arch!E272</f>
        <v>1</v>
      </c>
      <c r="H908" s="1260">
        <f>Arch!I272</f>
        <v>59787.369605649998</v>
      </c>
      <c r="I908" s="1260">
        <f>Arch!L272</f>
        <v>27682.62727167</v>
      </c>
      <c r="J908" s="1260">
        <f>Arch!M272</f>
        <v>87469.996877319994</v>
      </c>
    </row>
    <row r="909" spans="1:10" outlineLevel="1">
      <c r="A909" t="s">
        <v>86</v>
      </c>
      <c r="B909" t="s">
        <v>133</v>
      </c>
      <c r="C909" t="s">
        <v>134</v>
      </c>
      <c r="D909" t="s">
        <v>135</v>
      </c>
      <c r="E909" t="str">
        <f>IF(LEN(Arch!C273)&gt;0, Arch!C273, Arch!B273)</f>
        <v>ลูกฟักกระจกเทมเปอร์ ขนาด 2.00 x 1.00 x 2.95 ม.+ 1.675 x 3.65 ม.</v>
      </c>
      <c r="F909" s="1260">
        <f>Arch!F273</f>
        <v>0</v>
      </c>
      <c r="G909" s="1260">
        <f>Arch!E273</f>
        <v>0</v>
      </c>
      <c r="H909" s="1260">
        <f>Arch!I273</f>
        <v>0</v>
      </c>
      <c r="I909" s="1260">
        <f>Arch!L273</f>
        <v>0</v>
      </c>
      <c r="J909" s="1260">
        <f>Arch!M273</f>
        <v>0</v>
      </c>
    </row>
    <row r="910" spans="1:10" outlineLevel="1">
      <c r="A910" t="s">
        <v>86</v>
      </c>
      <c r="B910" t="s">
        <v>133</v>
      </c>
      <c r="C910" t="s">
        <v>134</v>
      </c>
      <c r="D910" t="s">
        <v>135</v>
      </c>
      <c r="E910" t="str">
        <f>IF(LEN(Arch!C274)&gt;0, Arch!C274, Arch!B274)</f>
        <v xml:space="preserve">กระจก U-Glass  262 x 60 x 7 mm </v>
      </c>
      <c r="F910" s="1260">
        <f>Arch!F274</f>
        <v>0</v>
      </c>
      <c r="G910" s="1260" t="str">
        <f>Arch!E274</f>
        <v>*คิดรวมในผนัง P3.1</v>
      </c>
      <c r="H910" s="1260">
        <f>Arch!I274</f>
        <v>0</v>
      </c>
      <c r="I910" s="1260">
        <f>Arch!L274</f>
        <v>0</v>
      </c>
      <c r="J910" s="1260">
        <f>Arch!M274</f>
        <v>0</v>
      </c>
    </row>
    <row r="911" spans="1:10" outlineLevel="1">
      <c r="A911" t="s">
        <v>86</v>
      </c>
      <c r="B911" t="s">
        <v>133</v>
      </c>
      <c r="C911" t="s">
        <v>134</v>
      </c>
      <c r="D911" t="s">
        <v>135</v>
      </c>
      <c r="E911" t="str">
        <f>IF(LEN(Arch!C275)&gt;0, Arch!C275, Arch!B275)</f>
        <v>ช่องแสงกระจกโฟลทใส หนา 8 มม. ขนาด 13.445 x 1.35 เมตร</v>
      </c>
      <c r="F911" s="1260" t="str">
        <f>Arch!F275</f>
        <v>ชุด</v>
      </c>
      <c r="G911" s="1260">
        <f>Arch!E275</f>
        <v>1</v>
      </c>
      <c r="H911" s="1260">
        <f>Arch!I275</f>
        <v>30945.4563557</v>
      </c>
      <c r="I911" s="1260">
        <f>Arch!L275</f>
        <v>11181.500242119999</v>
      </c>
      <c r="J911" s="1260">
        <f>Arch!M275</f>
        <v>42126.956597819997</v>
      </c>
    </row>
    <row r="912" spans="1:10" outlineLevel="1">
      <c r="A912" t="s">
        <v>86</v>
      </c>
      <c r="B912" t="s">
        <v>133</v>
      </c>
      <c r="C912" t="s">
        <v>134</v>
      </c>
      <c r="D912" t="s">
        <v>135</v>
      </c>
      <c r="E912" t="str">
        <f>IF(LEN(Arch!C276)&gt;0, Arch!C276, Arch!B276)</f>
        <v xml:space="preserve">บานจุดหมุน/บานติดตาย วงกบอะลูมิเนียมสี Grey Sahara </v>
      </c>
      <c r="F912" s="1260" t="str">
        <f>Arch!F276</f>
        <v>ชุด</v>
      </c>
      <c r="G912" s="1260">
        <f>Arch!E276</f>
        <v>1</v>
      </c>
      <c r="H912" s="1260">
        <f>Arch!I276</f>
        <v>24270.212900119997</v>
      </c>
      <c r="I912" s="1260">
        <f>Arch!L276</f>
        <v>9769.7890911499999</v>
      </c>
      <c r="J912" s="1260">
        <f>Arch!M276</f>
        <v>34040.001991269994</v>
      </c>
    </row>
    <row r="913" spans="1:10" outlineLevel="1">
      <c r="A913" t="s">
        <v>86</v>
      </c>
      <c r="B913" t="s">
        <v>133</v>
      </c>
      <c r="C913" t="s">
        <v>134</v>
      </c>
      <c r="D913" t="s">
        <v>135</v>
      </c>
      <c r="E913" t="str">
        <f>IF(LEN(Arch!C277)&gt;0, Arch!C277, Arch!B277)</f>
        <v>ลูกฟักกระจกโฟลทใส  ขนาด 1.675 x 3.65 ม.</v>
      </c>
      <c r="F913" s="1260">
        <f>Arch!F277</f>
        <v>0</v>
      </c>
      <c r="G913" s="1260">
        <f>Arch!E277</f>
        <v>0</v>
      </c>
      <c r="H913" s="1260">
        <f>Arch!I277</f>
        <v>0</v>
      </c>
      <c r="I913" s="1260">
        <f>Arch!L277</f>
        <v>0</v>
      </c>
      <c r="J913" s="1260">
        <f>Arch!M277</f>
        <v>0</v>
      </c>
    </row>
    <row r="914" spans="1:10" outlineLevel="1">
      <c r="A914" t="s">
        <v>86</v>
      </c>
      <c r="B914" t="s">
        <v>133</v>
      </c>
      <c r="C914" t="s">
        <v>134</v>
      </c>
      <c r="D914" t="s">
        <v>135</v>
      </c>
      <c r="E914" t="str">
        <f>IF(LEN(Arch!C278)&gt;0, Arch!C278, Arch!B278)</f>
        <v xml:space="preserve">บานเปิดคู่/บานติดตาย วงกบอะลูมิเนียมสี Grey Sahara </v>
      </c>
      <c r="F914" s="1260" t="str">
        <f>Arch!F278</f>
        <v>ชุด</v>
      </c>
      <c r="G914" s="1260">
        <f>Arch!E278</f>
        <v>1</v>
      </c>
      <c r="H914" s="1260">
        <f>Arch!I278</f>
        <v>30085.340952459999</v>
      </c>
      <c r="I914" s="1260">
        <f>Arch!L278</f>
        <v>17295.798869499999</v>
      </c>
      <c r="J914" s="1260">
        <f>Arch!M278</f>
        <v>47381.139821959994</v>
      </c>
    </row>
    <row r="915" spans="1:10" outlineLevel="1">
      <c r="A915" t="s">
        <v>86</v>
      </c>
      <c r="B915" t="s">
        <v>133</v>
      </c>
      <c r="C915" t="s">
        <v>134</v>
      </c>
      <c r="D915" t="s">
        <v>135</v>
      </c>
      <c r="E915" t="str">
        <f>IF(LEN(Arch!C279)&gt;0, Arch!C279, Arch!B279)</f>
        <v>ลูกฟักกระจกโฟลทใสและกระจกเทมเปอร์ ขนาด 2.95 x 2.95 ม.</v>
      </c>
      <c r="F915" s="1260">
        <f>Arch!F279</f>
        <v>0</v>
      </c>
      <c r="G915" s="1260">
        <f>Arch!E279</f>
        <v>0</v>
      </c>
      <c r="H915" s="1260">
        <f>Arch!I279</f>
        <v>0</v>
      </c>
      <c r="I915" s="1260">
        <f>Arch!L279</f>
        <v>0</v>
      </c>
      <c r="J915" s="1260">
        <f>Arch!M279</f>
        <v>0</v>
      </c>
    </row>
    <row r="916" spans="1:10" outlineLevel="1">
      <c r="A916" t="s">
        <v>86</v>
      </c>
      <c r="B916" t="s">
        <v>133</v>
      </c>
      <c r="C916" t="s">
        <v>134</v>
      </c>
      <c r="D916" t="s">
        <v>135</v>
      </c>
      <c r="E916" t="str">
        <f>IF(LEN(Arch!C280)&gt;0, Arch!C280, Arch!B280)</f>
        <v xml:space="preserve">บานเปิดเดี่ยว/บานติดตาย วงกบอะลูมิเนียมสี Grey Sahara </v>
      </c>
      <c r="F916" s="1260" t="str">
        <f>Arch!F280</f>
        <v>ชุด</v>
      </c>
      <c r="G916" s="1260">
        <f>Arch!E280</f>
        <v>1</v>
      </c>
      <c r="H916" s="1260">
        <f>Arch!I280</f>
        <v>118247.16978456</v>
      </c>
      <c r="I916" s="1260">
        <f>Arch!L280</f>
        <v>49316.399479250002</v>
      </c>
      <c r="J916" s="1260">
        <f>Arch!M280</f>
        <v>167563.56926381</v>
      </c>
    </row>
    <row r="917" spans="1:10" outlineLevel="1">
      <c r="A917" t="s">
        <v>86</v>
      </c>
      <c r="B917" t="s">
        <v>133</v>
      </c>
      <c r="C917" t="s">
        <v>134</v>
      </c>
      <c r="D917" t="s">
        <v>135</v>
      </c>
      <c r="E917" t="str">
        <f>IF(LEN(Arch!C281)&gt;0, Arch!C281, Arch!B281)</f>
        <v>ลูกฟักกระจกโฟลทใสและกระจกเทมเปอร์ ขนาด 5.95 x 4.30 ม.</v>
      </c>
      <c r="F917" s="1260">
        <f>Arch!F281</f>
        <v>0</v>
      </c>
      <c r="G917" s="1260">
        <f>Arch!E281</f>
        <v>0</v>
      </c>
      <c r="H917" s="1260">
        <f>Arch!I281</f>
        <v>0</v>
      </c>
      <c r="I917" s="1260">
        <f>Arch!L281</f>
        <v>0</v>
      </c>
      <c r="J917" s="1260">
        <f>Arch!M281</f>
        <v>0</v>
      </c>
    </row>
    <row r="918" spans="1:10" outlineLevel="1">
      <c r="A918" t="s">
        <v>86</v>
      </c>
      <c r="B918" t="s">
        <v>133</v>
      </c>
      <c r="C918" t="s">
        <v>134</v>
      </c>
      <c r="D918" t="s">
        <v>135</v>
      </c>
      <c r="E918" t="str">
        <f>IF(LEN(Arch!C282)&gt;0, Arch!C282, Arch!B282)</f>
        <v>บานติดตาย วงกบอะลูมิเนียมสี Grey Sahara ลูกฟักกระจกโฟลทใส</v>
      </c>
      <c r="F918" s="1260" t="str">
        <f>Arch!F282</f>
        <v>ชุด</v>
      </c>
      <c r="G918" s="1260">
        <f>Arch!E282</f>
        <v>1</v>
      </c>
      <c r="H918" s="1260">
        <f>Arch!I282</f>
        <v>57356.608683449995</v>
      </c>
      <c r="I918" s="1260">
        <f>Arch!L282</f>
        <v>22484.538530350001</v>
      </c>
      <c r="J918" s="1260">
        <f>Arch!M282</f>
        <v>79841.147213799995</v>
      </c>
    </row>
    <row r="919" spans="1:10" outlineLevel="1">
      <c r="A919" t="s">
        <v>86</v>
      </c>
      <c r="B919" t="s">
        <v>133</v>
      </c>
      <c r="C919" t="s">
        <v>134</v>
      </c>
      <c r="D919" t="s">
        <v>135</v>
      </c>
      <c r="E919" t="str">
        <f>IF(LEN(Arch!C283)&gt;0, Arch!C283, Arch!B283)</f>
        <v>ขนาด 3.138 x 4.30 ม.</v>
      </c>
      <c r="F919" s="1260">
        <f>Arch!F283</f>
        <v>0</v>
      </c>
      <c r="G919" s="1260">
        <f>Arch!E283</f>
        <v>0</v>
      </c>
      <c r="H919" s="1260">
        <f>Arch!I283</f>
        <v>0</v>
      </c>
      <c r="I919" s="1260">
        <f>Arch!L283</f>
        <v>0</v>
      </c>
      <c r="J919" s="1260">
        <f>Arch!M283</f>
        <v>0</v>
      </c>
    </row>
    <row r="920" spans="1:10" outlineLevel="1">
      <c r="A920" t="s">
        <v>86</v>
      </c>
      <c r="B920" t="s">
        <v>133</v>
      </c>
      <c r="C920" t="s">
        <v>134</v>
      </c>
      <c r="D920" t="s">
        <v>135</v>
      </c>
      <c r="E920" t="str">
        <f>IF(LEN(Arch!C284)&gt;0, Arch!C284, Arch!B284)</f>
        <v xml:space="preserve">บานเปิดเดี่ยว/บานติดตาย วงกบอะลูมิเนียมสี Grey Sahara </v>
      </c>
      <c r="F920" s="1260" t="str">
        <f>Arch!F284</f>
        <v>ชุด</v>
      </c>
      <c r="G920" s="1260">
        <f>Arch!E284</f>
        <v>1</v>
      </c>
      <c r="H920" s="1260">
        <f>Arch!I284</f>
        <v>209045.43930919998</v>
      </c>
      <c r="I920" s="1260">
        <f>Arch!L284</f>
        <v>91443.356077069999</v>
      </c>
      <c r="J920" s="1260">
        <f>Arch!M284</f>
        <v>300488.79538626998</v>
      </c>
    </row>
    <row r="921" spans="1:10" outlineLevel="1">
      <c r="A921" t="s">
        <v>86</v>
      </c>
      <c r="B921" t="s">
        <v>133</v>
      </c>
      <c r="C921" t="s">
        <v>134</v>
      </c>
      <c r="D921" t="s">
        <v>135</v>
      </c>
      <c r="E921" t="str">
        <f>IF(LEN(Arch!C285)&gt;0, Arch!C285, Arch!B285)</f>
        <v>ลูกฟักกระจกโฟลทใสและกระจกเทมเปอร์ ขนาด 11.375 x 4.30 ม.</v>
      </c>
      <c r="F921" s="1260">
        <f>Arch!F285</f>
        <v>0</v>
      </c>
      <c r="G921" s="1260">
        <f>Arch!E285</f>
        <v>0</v>
      </c>
      <c r="H921" s="1260">
        <f>Arch!I285</f>
        <v>0</v>
      </c>
      <c r="I921" s="1260">
        <f>Arch!L285</f>
        <v>0</v>
      </c>
      <c r="J921" s="1260">
        <f>Arch!M285</f>
        <v>0</v>
      </c>
    </row>
    <row r="922" spans="1:10" outlineLevel="1">
      <c r="A922" t="s">
        <v>86</v>
      </c>
      <c r="B922" t="s">
        <v>133</v>
      </c>
      <c r="C922" t="s">
        <v>134</v>
      </c>
      <c r="D922" t="s">
        <v>135</v>
      </c>
      <c r="E922" t="str">
        <f>IF(LEN(Arch!C286)&gt;0, Arch!C286, Arch!B286)</f>
        <v xml:space="preserve">บานเปิดเดี่ยว/บานติดตาย วงกบอะลูมิเนียมสี Grey Sahara </v>
      </c>
      <c r="F922" s="1260" t="str">
        <f>Arch!F286</f>
        <v>ชุด</v>
      </c>
      <c r="G922" s="1260">
        <f>Arch!E286</f>
        <v>1</v>
      </c>
      <c r="H922" s="1260">
        <f>Arch!I286</f>
        <v>706603.50192259997</v>
      </c>
      <c r="I922" s="1260">
        <f>Arch!L286</f>
        <v>239542.13980233998</v>
      </c>
      <c r="J922" s="1260">
        <f>Arch!M286</f>
        <v>946145.64172493992</v>
      </c>
    </row>
    <row r="923" spans="1:10" outlineLevel="1">
      <c r="A923" t="s">
        <v>86</v>
      </c>
      <c r="B923" t="s">
        <v>133</v>
      </c>
      <c r="C923" t="s">
        <v>134</v>
      </c>
      <c r="D923" t="s">
        <v>135</v>
      </c>
      <c r="E923" t="str">
        <f>IF(LEN(Arch!C287)&gt;0, Arch!C287, Arch!B287)</f>
        <v>ลูกฟักกระจกโฟลทใสและกระจกเทมเปอร์ ขนาด 25.82 x 4.30 ม.</v>
      </c>
      <c r="F923" s="1260">
        <f>Arch!F287</f>
        <v>0</v>
      </c>
      <c r="G923" s="1260">
        <f>Arch!E287</f>
        <v>0</v>
      </c>
      <c r="H923" s="1260">
        <f>Arch!I287</f>
        <v>0</v>
      </c>
      <c r="I923" s="1260">
        <f>Arch!L287</f>
        <v>0</v>
      </c>
      <c r="J923" s="1260">
        <f>Arch!M287</f>
        <v>0</v>
      </c>
    </row>
    <row r="924" spans="1:10" outlineLevel="1">
      <c r="A924" t="s">
        <v>86</v>
      </c>
      <c r="B924" t="s">
        <v>133</v>
      </c>
      <c r="C924" t="s">
        <v>134</v>
      </c>
      <c r="D924" t="s">
        <v>135</v>
      </c>
      <c r="E924" t="str">
        <f>IF(LEN(Arch!C288)&gt;0, Arch!C288, Arch!B288)</f>
        <v xml:space="preserve">บานเปิดเดี่ยว/บานติดตาย วงกบอะลูมิเนียมสี Grey Sahara </v>
      </c>
      <c r="F924" s="1260" t="str">
        <f>Arch!F288</f>
        <v>ชุด</v>
      </c>
      <c r="G924" s="1260">
        <f>Arch!E288</f>
        <v>1</v>
      </c>
      <c r="H924" s="1260">
        <f>Arch!I288</f>
        <v>284441.09875951498</v>
      </c>
      <c r="I924" s="1260">
        <f>Arch!L288</f>
        <v>114956.29345912</v>
      </c>
      <c r="J924" s="1260">
        <f>Arch!M288</f>
        <v>399397.39221863495</v>
      </c>
    </row>
    <row r="925" spans="1:10" outlineLevel="1">
      <c r="A925" t="s">
        <v>86</v>
      </c>
      <c r="B925" t="s">
        <v>133</v>
      </c>
      <c r="C925" t="s">
        <v>134</v>
      </c>
      <c r="D925" t="s">
        <v>135</v>
      </c>
      <c r="E925" t="str">
        <f>IF(LEN(Arch!C289)&gt;0, Arch!C289, Arch!B289)</f>
        <v>ลูกฟักกระจกโฟลทใสและกระจกเทมเปอร์ ขนาด 5.95 + 3.138 x 4.30 ม.</v>
      </c>
      <c r="F925" s="1260">
        <f>Arch!F289</f>
        <v>0</v>
      </c>
      <c r="G925" s="1260">
        <f>Arch!E289</f>
        <v>0</v>
      </c>
      <c r="H925" s="1260">
        <f>Arch!I289</f>
        <v>0</v>
      </c>
      <c r="I925" s="1260">
        <f>Arch!L289</f>
        <v>0</v>
      </c>
      <c r="J925" s="1260">
        <f>Arch!M289</f>
        <v>0</v>
      </c>
    </row>
    <row r="926" spans="1:10" outlineLevel="1">
      <c r="A926" t="s">
        <v>86</v>
      </c>
      <c r="B926" t="s">
        <v>133</v>
      </c>
      <c r="C926" t="s">
        <v>134</v>
      </c>
      <c r="D926" t="s">
        <v>135</v>
      </c>
      <c r="E926" t="str">
        <f>IF(LEN(Arch!C290)&gt;0, Arch!C290, Arch!B290)</f>
        <v xml:space="preserve">บานเปิดคู่/บานติดตาย วงกบอะลูมิเนียมสี Grey Sahara </v>
      </c>
      <c r="F926" s="1260" t="str">
        <f>Arch!F290</f>
        <v>ชุด</v>
      </c>
      <c r="G926" s="1260">
        <f>Arch!E290</f>
        <v>1</v>
      </c>
      <c r="H926" s="1260">
        <f>Arch!I290</f>
        <v>31567.170206954997</v>
      </c>
      <c r="I926" s="1260">
        <f>Arch!L290</f>
        <v>17781.95105394</v>
      </c>
      <c r="J926" s="1260">
        <f>Arch!M290</f>
        <v>49349.121260895001</v>
      </c>
    </row>
    <row r="927" spans="1:10" outlineLevel="1">
      <c r="A927" t="s">
        <v>86</v>
      </c>
      <c r="B927" t="s">
        <v>133</v>
      </c>
      <c r="C927" t="s">
        <v>134</v>
      </c>
      <c r="D927" t="s">
        <v>135</v>
      </c>
      <c r="E927" t="str">
        <f>IF(LEN(Arch!C291)&gt;0, Arch!C291, Arch!B291)</f>
        <v>ลูกฟักกระจกโฟลทใสและกระจกเทมเปอร์ ขนาด 3.25 x 2.95 ม.</v>
      </c>
      <c r="F927" s="1260">
        <f>Arch!F291</f>
        <v>0</v>
      </c>
      <c r="G927" s="1260">
        <f>Arch!E291</f>
        <v>0</v>
      </c>
      <c r="H927" s="1260">
        <f>Arch!I291</f>
        <v>0</v>
      </c>
      <c r="I927" s="1260">
        <f>Arch!L291</f>
        <v>0</v>
      </c>
      <c r="J927" s="1260">
        <f>Arch!M291</f>
        <v>0</v>
      </c>
    </row>
    <row r="928" spans="1:10" outlineLevel="1">
      <c r="A928" t="s">
        <v>86</v>
      </c>
      <c r="B928" t="s">
        <v>133</v>
      </c>
      <c r="C928" t="s">
        <v>134</v>
      </c>
      <c r="D928" t="s">
        <v>135</v>
      </c>
      <c r="E928" t="str">
        <f>IF(LEN(Arch!C292)&gt;0, Arch!C292, Arch!B292)</f>
        <v xml:space="preserve">บานเปิดเดี่ยว วงกบอะลูมิเนียมสี Grey Sahara ลูกฟักกระจกเทมเปอร์ </v>
      </c>
      <c r="F928" s="1260">
        <f>Arch!F292</f>
        <v>0</v>
      </c>
      <c r="G928" s="1260" t="str">
        <f>Arch!E292</f>
        <v>ยกเลิกรายการ</v>
      </c>
      <c r="H928" s="1260">
        <f>Arch!I292</f>
        <v>0</v>
      </c>
      <c r="I928" s="1260">
        <f>Arch!L292</f>
        <v>0</v>
      </c>
      <c r="J928" s="1260">
        <f>Arch!M292</f>
        <v>0</v>
      </c>
    </row>
    <row r="929" spans="1:10" outlineLevel="1">
      <c r="A929" t="s">
        <v>86</v>
      </c>
      <c r="B929" t="s">
        <v>133</v>
      </c>
      <c r="C929" t="s">
        <v>134</v>
      </c>
      <c r="D929" t="s">
        <v>135</v>
      </c>
      <c r="E929" t="str">
        <f>IF(LEN(Arch!C293)&gt;0, Arch!C293, Arch!B293)</f>
        <v>ขนาด 1.00 x 2.65 ม.</v>
      </c>
      <c r="F929" s="1260">
        <f>Arch!F293</f>
        <v>0</v>
      </c>
      <c r="G929" s="1260">
        <f>Arch!E293</f>
        <v>0</v>
      </c>
      <c r="H929" s="1260">
        <f>Arch!I293</f>
        <v>0</v>
      </c>
      <c r="I929" s="1260">
        <f>Arch!L293</f>
        <v>0</v>
      </c>
      <c r="J929" s="1260">
        <f>Arch!M293</f>
        <v>0</v>
      </c>
    </row>
    <row r="930" spans="1:10" outlineLevel="1">
      <c r="A930" t="s">
        <v>86</v>
      </c>
      <c r="B930" t="s">
        <v>133</v>
      </c>
      <c r="C930" t="s">
        <v>134</v>
      </c>
      <c r="D930" t="s">
        <v>135</v>
      </c>
      <c r="E930" t="str">
        <f>IF(LEN(Arch!C294)&gt;0, Arch!C294, Arch!B294)</f>
        <v xml:space="preserve">บานเปิดเดี่ยว/บานติดตาย วงกบอะลูมิเนียมสี Grey Sahara </v>
      </c>
      <c r="F930" s="1260" t="str">
        <f>Arch!F294</f>
        <v>ชุด</v>
      </c>
      <c r="G930" s="1260">
        <f>Arch!E294</f>
        <v>1</v>
      </c>
      <c r="H930" s="1260">
        <f>Arch!I294</f>
        <v>18539.22657201</v>
      </c>
      <c r="I930" s="1260">
        <f>Arch!L294</f>
        <v>10368.130241229999</v>
      </c>
      <c r="J930" s="1260">
        <f>Arch!M294</f>
        <v>28907.35681324</v>
      </c>
    </row>
    <row r="931" spans="1:10" outlineLevel="1">
      <c r="A931" t="s">
        <v>86</v>
      </c>
      <c r="B931" t="s">
        <v>133</v>
      </c>
      <c r="C931" t="s">
        <v>134</v>
      </c>
      <c r="D931" t="s">
        <v>135</v>
      </c>
      <c r="E931" t="str">
        <f>IF(LEN(Arch!C295)&gt;0, Arch!C295, Arch!B295)</f>
        <v>ลูกฟักกระจกโฟลทใสและกระจกเทมเปอร์ ขนาด 2.05 x 2.65 ม.</v>
      </c>
      <c r="F931" s="1260">
        <f>Arch!F295</f>
        <v>0</v>
      </c>
      <c r="G931" s="1260">
        <f>Arch!E295</f>
        <v>0</v>
      </c>
      <c r="H931" s="1260">
        <f>Arch!I295</f>
        <v>0</v>
      </c>
      <c r="I931" s="1260">
        <f>Arch!L295</f>
        <v>0</v>
      </c>
      <c r="J931" s="1260">
        <f>Arch!M295</f>
        <v>0</v>
      </c>
    </row>
    <row r="932" spans="1:10" outlineLevel="1">
      <c r="A932" t="s">
        <v>86</v>
      </c>
      <c r="B932" t="s">
        <v>133</v>
      </c>
      <c r="C932" t="s">
        <v>134</v>
      </c>
      <c r="D932" t="s">
        <v>135</v>
      </c>
      <c r="E932" t="str">
        <f>IF(LEN(Arch!C296)&gt;0, Arch!C296, Arch!B296)</f>
        <v xml:space="preserve">บานเปิดเดี่ยว/บานติดตาย วงกบอะลูมิเนียมสี Grey Sahara </v>
      </c>
      <c r="F932" s="1260" t="str">
        <f>Arch!F296</f>
        <v>ชุด</v>
      </c>
      <c r="G932" s="1260">
        <f>Arch!E296</f>
        <v>1</v>
      </c>
      <c r="H932" s="1260">
        <f>Arch!I296</f>
        <v>116433.44817337999</v>
      </c>
      <c r="I932" s="1260">
        <f>Arch!L296</f>
        <v>46586.467982009999</v>
      </c>
      <c r="J932" s="1260">
        <f>Arch!M296</f>
        <v>163019.91615538998</v>
      </c>
    </row>
    <row r="933" spans="1:10" outlineLevel="1">
      <c r="A933" t="s">
        <v>86</v>
      </c>
      <c r="B933" t="s">
        <v>133</v>
      </c>
      <c r="C933" t="s">
        <v>134</v>
      </c>
      <c r="D933" t="s">
        <v>135</v>
      </c>
      <c r="E933" t="str">
        <f>IF(LEN(Arch!C297)&gt;0, Arch!C297, Arch!B297)</f>
        <v>ลูกฟักกระจกโฟลทใสและกระจกเทมเปอร์ ขนาด 6.136 x 4.00 ม.</v>
      </c>
      <c r="F933" s="1260">
        <f>Arch!F297</f>
        <v>0</v>
      </c>
      <c r="G933" s="1260">
        <f>Arch!E297</f>
        <v>0</v>
      </c>
      <c r="H933" s="1260">
        <f>Arch!I297</f>
        <v>0</v>
      </c>
      <c r="I933" s="1260">
        <f>Arch!L297</f>
        <v>0</v>
      </c>
      <c r="J933" s="1260">
        <f>Arch!M297</f>
        <v>0</v>
      </c>
    </row>
    <row r="934" spans="1:10" outlineLevel="1">
      <c r="A934" t="s">
        <v>86</v>
      </c>
      <c r="B934" t="s">
        <v>133</v>
      </c>
      <c r="C934" t="s">
        <v>134</v>
      </c>
      <c r="D934" t="s">
        <v>135</v>
      </c>
      <c r="E934" t="str">
        <f>IF(LEN(Arch!C298)&gt;0, Arch!C298, Arch!B298)</f>
        <v xml:space="preserve">บานเปิดเดี่ยว วงกบอะลูมิเนียมสี Grey Sahara ลูกฟักกระจกเทมเปอร์ </v>
      </c>
      <c r="F934" s="1260">
        <f>Arch!F298</f>
        <v>0</v>
      </c>
      <c r="G934" s="1260" t="str">
        <f>Arch!E298</f>
        <v>ยกเลิกรายการ</v>
      </c>
      <c r="H934" s="1260">
        <f>Arch!I298</f>
        <v>0</v>
      </c>
      <c r="I934" s="1260">
        <f>Arch!L298</f>
        <v>0</v>
      </c>
      <c r="J934" s="1260">
        <f>Arch!M298</f>
        <v>0</v>
      </c>
    </row>
    <row r="935" spans="1:10" outlineLevel="1">
      <c r="A935" t="s">
        <v>86</v>
      </c>
      <c r="B935" t="s">
        <v>133</v>
      </c>
      <c r="C935" t="s">
        <v>134</v>
      </c>
      <c r="D935" t="s">
        <v>135</v>
      </c>
      <c r="E935" t="str">
        <f>IF(LEN(Arch!C299)&gt;0, Arch!C299, Arch!B299)</f>
        <v>ขนาด 1.75 x 2.95 ม.</v>
      </c>
      <c r="F935" s="1260">
        <f>Arch!F299</f>
        <v>0</v>
      </c>
      <c r="G935" s="1260">
        <f>Arch!E299</f>
        <v>0</v>
      </c>
      <c r="H935" s="1260">
        <f>Arch!I299</f>
        <v>0</v>
      </c>
      <c r="I935" s="1260">
        <f>Arch!L299</f>
        <v>0</v>
      </c>
      <c r="J935" s="1260">
        <f>Arch!M299</f>
        <v>0</v>
      </c>
    </row>
    <row r="936" spans="1:10" outlineLevel="1">
      <c r="A936" t="s">
        <v>86</v>
      </c>
      <c r="B936" t="s">
        <v>133</v>
      </c>
      <c r="C936" t="s">
        <v>134</v>
      </c>
      <c r="D936" t="s">
        <v>136</v>
      </c>
      <c r="E936" t="str">
        <f>IF(LEN(Arch!C300)&gt;0, Arch!C300, Arch!B300)</f>
        <v xml:space="preserve">บานเปิดเดี่ยว วงกบไม้สัก บานไม้สัก พร้อมลูกฟักไม้สัก ทำสีธรรมชาติ </v>
      </c>
      <c r="F936" s="1260" t="str">
        <f>Arch!F300</f>
        <v>ชุด</v>
      </c>
      <c r="G936" s="1260">
        <f>Arch!E300</f>
        <v>2</v>
      </c>
      <c r="H936" s="1260">
        <f>Arch!I300</f>
        <v>25242.517269</v>
      </c>
      <c r="I936" s="1260">
        <f>Arch!L300</f>
        <v>2804.7241409999997</v>
      </c>
      <c r="J936" s="1260">
        <f>Arch!M300</f>
        <v>28047.241409999999</v>
      </c>
    </row>
    <row r="937" spans="1:10" outlineLevel="1">
      <c r="A937" t="s">
        <v>86</v>
      </c>
      <c r="B937" t="s">
        <v>133</v>
      </c>
      <c r="C937" t="s">
        <v>134</v>
      </c>
      <c r="D937" t="s">
        <v>136</v>
      </c>
      <c r="E937" t="str">
        <f>IF(LEN(Arch!C301)&gt;0, Arch!C301, Arch!B301)</f>
        <v>ขนาด 0.90 x 2.35 ม.</v>
      </c>
      <c r="F937" s="1260">
        <f>Arch!F301</f>
        <v>0</v>
      </c>
      <c r="G937" s="1260">
        <f>Arch!E301</f>
        <v>0</v>
      </c>
      <c r="H937" s="1260">
        <f>Arch!I301</f>
        <v>0</v>
      </c>
      <c r="I937" s="1260">
        <f>Arch!L301</f>
        <v>0</v>
      </c>
      <c r="J937" s="1260">
        <f>Arch!M301</f>
        <v>0</v>
      </c>
    </row>
    <row r="938" spans="1:10" outlineLevel="1">
      <c r="A938" t="s">
        <v>86</v>
      </c>
      <c r="B938" t="s">
        <v>133</v>
      </c>
      <c r="C938" t="s">
        <v>134</v>
      </c>
      <c r="D938" t="s">
        <v>136</v>
      </c>
      <c r="E938" t="str">
        <f>IF(LEN(Arch!C302)&gt;0, Arch!C302, Arch!B302)</f>
        <v>บานเปิดเดี่ยว วงกบไม้สัก บานไม้สัก ทำสีธรรมชาติ ขนาด 0.90 x 2.00 ม.</v>
      </c>
      <c r="F938" s="1260" t="str">
        <f>Arch!F302</f>
        <v>ชุด</v>
      </c>
      <c r="G938" s="1260">
        <f>Arch!E302</f>
        <v>1</v>
      </c>
      <c r="H938" s="1260">
        <f>Arch!I302</f>
        <v>7946.7183994999996</v>
      </c>
      <c r="I938" s="1260">
        <f>Arch!L302</f>
        <v>934.90804700000001</v>
      </c>
      <c r="J938" s="1260">
        <f>Arch!M302</f>
        <v>8881.6264465000004</v>
      </c>
    </row>
    <row r="939" spans="1:10" outlineLevel="1">
      <c r="A939" t="s">
        <v>86</v>
      </c>
      <c r="B939" t="s">
        <v>133</v>
      </c>
      <c r="C939" t="s">
        <v>134</v>
      </c>
      <c r="D939" t="s">
        <v>137</v>
      </c>
      <c r="E939" t="str">
        <f>IF(LEN(Arch!C303)&gt;0, Arch!C303, Arch!B303)</f>
        <v>บานเปิดเดี่ยว บานประตูเหล็กทนไฟ ลูกฟักกระจกกันไฟ วงกบเหล็ก</v>
      </c>
      <c r="F939" s="1260" t="str">
        <f>Arch!F303</f>
        <v>ชุด</v>
      </c>
      <c r="G939" s="1260">
        <f>Arch!E303</f>
        <v>8</v>
      </c>
      <c r="H939" s="1260">
        <f>Arch!I303</f>
        <v>150108.83602632</v>
      </c>
      <c r="I939" s="1260">
        <f>Arch!L303</f>
        <v>7479.2643760000001</v>
      </c>
      <c r="J939" s="1260">
        <f>Arch!M303</f>
        <v>157588.10040232001</v>
      </c>
    </row>
    <row r="940" spans="1:10" outlineLevel="1">
      <c r="A940" t="s">
        <v>86</v>
      </c>
      <c r="B940" t="s">
        <v>133</v>
      </c>
      <c r="C940" t="s">
        <v>134</v>
      </c>
      <c r="D940" t="s">
        <v>137</v>
      </c>
      <c r="E940" t="str">
        <f>IF(LEN(Arch!C304)&gt;0, Arch!C304, Arch!B304)</f>
        <v>พร้อมยางกันควัน ขนาด 0.90 x 2.20 ม.</v>
      </c>
      <c r="F940" s="1260">
        <f>Arch!F304</f>
        <v>0</v>
      </c>
      <c r="G940" s="1260">
        <f>Arch!E304</f>
        <v>0</v>
      </c>
      <c r="H940" s="1260">
        <f>Arch!I304</f>
        <v>0</v>
      </c>
      <c r="I940" s="1260">
        <f>Arch!L304</f>
        <v>0</v>
      </c>
      <c r="J940" s="1260">
        <f>Arch!M304</f>
        <v>0</v>
      </c>
    </row>
    <row r="941" spans="1:10" outlineLevel="1">
      <c r="A941" t="s">
        <v>86</v>
      </c>
      <c r="B941" t="s">
        <v>133</v>
      </c>
      <c r="C941" t="s">
        <v>134</v>
      </c>
      <c r="D941" t="s">
        <v>137</v>
      </c>
      <c r="E941" t="str">
        <f>IF(LEN(Arch!C305)&gt;0, Arch!C305, Arch!B305)</f>
        <v>บานเปิดเดี่ยว บานประตูเหล็ก วงกบเหล็ก ขนาด 0.70 x 1.80 ม.</v>
      </c>
      <c r="F941" s="1260" t="str">
        <f>Arch!F305</f>
        <v>ชุด</v>
      </c>
      <c r="G941" s="1260">
        <f>Arch!E305</f>
        <v>4</v>
      </c>
      <c r="H941" s="1260">
        <f>Arch!I305</f>
        <v>34591.597738999997</v>
      </c>
      <c r="I941" s="1260">
        <f>Arch!L305</f>
        <v>3739.632188</v>
      </c>
      <c r="J941" s="1260">
        <f>Arch!M305</f>
        <v>38331.229927</v>
      </c>
    </row>
    <row r="942" spans="1:10" outlineLevel="1">
      <c r="A942" t="s">
        <v>86</v>
      </c>
      <c r="B942" t="s">
        <v>133</v>
      </c>
      <c r="C942" t="s">
        <v>134</v>
      </c>
      <c r="D942" t="s">
        <v>137</v>
      </c>
      <c r="E942" t="str">
        <f>IF(LEN(Arch!C306)&gt;0, Arch!C306, Arch!B306)</f>
        <v>บานเปิดคู่ บานประตูเหล็ก วงกบเหล็ก ขนาด 1.20 x 1.80 ม.</v>
      </c>
      <c r="F942" s="1260" t="str">
        <f>Arch!F306</f>
        <v>ชุด</v>
      </c>
      <c r="G942" s="1260">
        <f>Arch!E306</f>
        <v>3</v>
      </c>
      <c r="H942" s="1260">
        <f>Arch!I306</f>
        <v>39294.185215409998</v>
      </c>
      <c r="I942" s="1260">
        <f>Arch!L306</f>
        <v>5609.4482820000003</v>
      </c>
      <c r="J942" s="1260">
        <f>Arch!M306</f>
        <v>44903.633497409995</v>
      </c>
    </row>
    <row r="943" spans="1:10" outlineLevel="1">
      <c r="A943" t="s">
        <v>86</v>
      </c>
      <c r="B943" t="s">
        <v>133</v>
      </c>
      <c r="C943" t="s">
        <v>134</v>
      </c>
      <c r="D943" t="s">
        <v>137</v>
      </c>
      <c r="E943" t="str">
        <f>IF(LEN(Arch!C307)&gt;0, Arch!C307, Arch!B307)</f>
        <v>บานเปิดเดี่ยว บานประตูเหล็ก ลูกฟักเกล็ดเหล็ก วงกบเหล็ก ขนาด 0.70 x 2.20 ม.</v>
      </c>
      <c r="F943" s="1260" t="str">
        <f>Arch!F307</f>
        <v>ชุด</v>
      </c>
      <c r="G943" s="1260">
        <f>Arch!E307</f>
        <v>6</v>
      </c>
      <c r="H943" s="1260">
        <f>Arch!I307</f>
        <v>69108.402834239998</v>
      </c>
      <c r="I943" s="1260">
        <f>Arch!L307</f>
        <v>5609.4482820000003</v>
      </c>
      <c r="J943" s="1260">
        <f>Arch!M307</f>
        <v>74717.851116239995</v>
      </c>
    </row>
    <row r="944" spans="1:10" outlineLevel="1">
      <c r="A944" t="s">
        <v>86</v>
      </c>
      <c r="B944" t="s">
        <v>133</v>
      </c>
      <c r="C944" t="s">
        <v>134</v>
      </c>
      <c r="D944" t="s">
        <v>137</v>
      </c>
      <c r="E944" t="str">
        <f>IF(LEN(Arch!C308)&gt;0, Arch!C308, Arch!B308)</f>
        <v>บานเปิดเดี่ยว บานประตูเหล็ก ลูกฟักเกล็ดเหล็กและช่องแสงกระจกใส วงกบเหล็ก</v>
      </c>
      <c r="F944" s="1260" t="str">
        <f>Arch!F308</f>
        <v>ชุด</v>
      </c>
      <c r="G944" s="1260">
        <f>Arch!E308</f>
        <v>4</v>
      </c>
      <c r="H944" s="1260">
        <f>Arch!I308</f>
        <v>48316.047868959999</v>
      </c>
      <c r="I944" s="1260">
        <f>Arch!L308</f>
        <v>3739.632188</v>
      </c>
      <c r="J944" s="1260">
        <f>Arch!M308</f>
        <v>52055.680056960002</v>
      </c>
    </row>
    <row r="945" spans="1:10" outlineLevel="1">
      <c r="A945" t="s">
        <v>86</v>
      </c>
      <c r="B945" t="s">
        <v>133</v>
      </c>
      <c r="C945" t="s">
        <v>134</v>
      </c>
      <c r="D945" t="s">
        <v>137</v>
      </c>
      <c r="E945" t="str">
        <f>IF(LEN(Arch!C309)&gt;0, Arch!C309, Arch!B309)</f>
        <v>ขนาด 0.70 x 2.20 ม.</v>
      </c>
      <c r="F945" s="1260">
        <f>Arch!F309</f>
        <v>0</v>
      </c>
      <c r="G945" s="1260">
        <f>Arch!E309</f>
        <v>0</v>
      </c>
      <c r="H945" s="1260">
        <f>Arch!I309</f>
        <v>0</v>
      </c>
      <c r="I945" s="1260">
        <f>Arch!L309</f>
        <v>0</v>
      </c>
      <c r="J945" s="1260">
        <f>Arch!M309</f>
        <v>0</v>
      </c>
    </row>
    <row r="946" spans="1:10" outlineLevel="1">
      <c r="A946" t="s">
        <v>86</v>
      </c>
      <c r="B946" t="s">
        <v>133</v>
      </c>
      <c r="C946" t="s">
        <v>134</v>
      </c>
      <c r="D946" t="s">
        <v>137</v>
      </c>
      <c r="E946" t="str">
        <f>IF(LEN(Arch!C310)&gt;0, Arch!C310, Arch!B310)</f>
        <v>บานม้วน Stainless Steel ขนาด 3.00 x 2.75 ม.</v>
      </c>
      <c r="F946" s="1260" t="str">
        <f>Arch!F310</f>
        <v>ชุด</v>
      </c>
      <c r="G946" s="1260">
        <f>Arch!E310</f>
        <v>1</v>
      </c>
      <c r="H946" s="1260">
        <f>Arch!I310</f>
        <v>26364.406925399999</v>
      </c>
      <c r="I946" s="1260">
        <f>Arch!L310</f>
        <v>0</v>
      </c>
      <c r="J946" s="1260">
        <f>Arch!M310</f>
        <v>26364.406925399999</v>
      </c>
    </row>
    <row r="947" spans="1:10" outlineLevel="1">
      <c r="A947" t="s">
        <v>86</v>
      </c>
      <c r="B947" t="s">
        <v>133</v>
      </c>
      <c r="C947" t="s">
        <v>134</v>
      </c>
      <c r="D947" t="s">
        <v>137</v>
      </c>
      <c r="E947" t="str">
        <f>IF(LEN(Arch!C311)&gt;0, Arch!C311, Arch!B311)</f>
        <v>บานเปิดเดี่ยว บานประตูเหล็ก วงกบเหล็ก ขนาด 0.90 x 2.20 ม.</v>
      </c>
      <c r="F947" s="1260" t="str">
        <f>Arch!F311</f>
        <v>ชุด</v>
      </c>
      <c r="G947" s="1260">
        <f>Arch!E311</f>
        <v>1</v>
      </c>
      <c r="H947" s="1260">
        <f>Arch!I311</f>
        <v>10283.988517</v>
      </c>
      <c r="I947" s="1260">
        <f>Arch!L311</f>
        <v>934.90804700000001</v>
      </c>
      <c r="J947" s="1260">
        <f>Arch!M311</f>
        <v>11218.896564000001</v>
      </c>
    </row>
    <row r="948" spans="1:10" outlineLevel="1">
      <c r="A948" t="s">
        <v>86</v>
      </c>
      <c r="B948" t="s">
        <v>133</v>
      </c>
      <c r="C948" t="s">
        <v>134</v>
      </c>
      <c r="D948" t="s">
        <v>137</v>
      </c>
      <c r="E948" t="str">
        <f>IF(LEN(Arch!C312)&gt;0, Arch!C312, Arch!B312)</f>
        <v>บานเปิดคู่ บานประตูเหล็ก วงกบเหล็ก ขนาด 1.40 x 2.20 ม.</v>
      </c>
      <c r="F948" s="1260" t="str">
        <f>Arch!F312</f>
        <v>ชุด</v>
      </c>
      <c r="G948" s="1260">
        <f>Arch!E312</f>
        <v>2</v>
      </c>
      <c r="H948" s="1260">
        <f>Arch!I312</f>
        <v>49606.220973819996</v>
      </c>
      <c r="I948" s="1260">
        <f>Arch!L312</f>
        <v>3739.632188</v>
      </c>
      <c r="J948" s="1260">
        <f>Arch!M312</f>
        <v>53345.85316182</v>
      </c>
    </row>
    <row r="949" spans="1:10" outlineLevel="1">
      <c r="A949" t="s">
        <v>86</v>
      </c>
      <c r="B949" t="s">
        <v>133</v>
      </c>
      <c r="C949" t="s">
        <v>134</v>
      </c>
      <c r="D949" t="s">
        <v>137</v>
      </c>
      <c r="E949" t="str">
        <f>IF(LEN(Arch!C313)&gt;0, Arch!C313, Arch!B313)</f>
        <v>บานเปิดคู่ บานประตูเหล็ก ลูกฟักเกล็ดเหล็ก วงกบเหล็ก ขนาด 1.40 x 2.10 ม.</v>
      </c>
      <c r="F949" s="1260" t="str">
        <f>Arch!F313</f>
        <v>ชุด</v>
      </c>
      <c r="G949" s="1260">
        <f>Arch!E313</f>
        <v>2</v>
      </c>
      <c r="H949" s="1260">
        <f>Arch!I313</f>
        <v>35732.185556340002</v>
      </c>
      <c r="I949" s="1260">
        <f>Arch!L313</f>
        <v>3739.632188</v>
      </c>
      <c r="J949" s="1260">
        <f>Arch!M313</f>
        <v>39471.817744340005</v>
      </c>
    </row>
    <row r="950" spans="1:10" outlineLevel="1">
      <c r="A950" t="s">
        <v>86</v>
      </c>
      <c r="B950" t="s">
        <v>133</v>
      </c>
      <c r="C950" t="s">
        <v>134</v>
      </c>
      <c r="D950" t="s">
        <v>137</v>
      </c>
      <c r="E950" t="str">
        <f>IF(LEN(Arch!C314)&gt;0, Arch!C314, Arch!B314)</f>
        <v>บานเปิดเดี่ยว บานประตูเหล็ก กรุผิวแผ่นลามิเนทลายโลหะ (ทั้ง 2 ด้าน)</v>
      </c>
      <c r="F950" s="1260" t="str">
        <f>Arch!F314</f>
        <v>ชุด</v>
      </c>
      <c r="G950" s="1260">
        <f>Arch!E314</f>
        <v>6</v>
      </c>
      <c r="H950" s="1260">
        <f>Arch!I314</f>
        <v>66359.77317606</v>
      </c>
      <c r="I950" s="1260">
        <f>Arch!L314</f>
        <v>5609.4482820000003</v>
      </c>
      <c r="J950" s="1260">
        <f>Arch!M314</f>
        <v>71969.221458059998</v>
      </c>
    </row>
    <row r="951" spans="1:10" outlineLevel="1">
      <c r="A951" t="s">
        <v>86</v>
      </c>
      <c r="B951" t="s">
        <v>133</v>
      </c>
      <c r="C951" t="s">
        <v>134</v>
      </c>
      <c r="D951" t="s">
        <v>137</v>
      </c>
      <c r="E951" t="str">
        <f>IF(LEN(Arch!C315)&gt;0, Arch!C315, Arch!B315)</f>
        <v>ขนาด 0.90 x 2.10 ม.</v>
      </c>
      <c r="F951" s="1260">
        <f>Arch!F315</f>
        <v>0</v>
      </c>
      <c r="G951" s="1260">
        <f>Arch!E315</f>
        <v>0</v>
      </c>
      <c r="H951" s="1260">
        <f>Arch!I315</f>
        <v>0</v>
      </c>
      <c r="I951" s="1260">
        <f>Arch!L315</f>
        <v>0</v>
      </c>
      <c r="J951" s="1260">
        <f>Arch!M315</f>
        <v>0</v>
      </c>
    </row>
    <row r="952" spans="1:10" outlineLevel="1">
      <c r="A952" t="s">
        <v>86</v>
      </c>
      <c r="B952" t="s">
        <v>133</v>
      </c>
      <c r="C952" t="s">
        <v>134</v>
      </c>
      <c r="D952" t="s">
        <v>137</v>
      </c>
      <c r="E952" t="str">
        <f>IF(LEN(Arch!C316)&gt;0, Arch!C316, Arch!B316)</f>
        <v xml:space="preserve">บานเปิดเดี่ยว บานประตูเหล็ก กรุผิวแผ่นลามิเนทลายโลหะ (ทั้ง 2 ด้าน) </v>
      </c>
      <c r="F952" s="1260" t="str">
        <f>Arch!F316</f>
        <v>ชุด</v>
      </c>
      <c r="G952" s="1260">
        <f>Arch!E316</f>
        <v>4</v>
      </c>
      <c r="H952" s="1260">
        <f>Arch!I316</f>
        <v>51232.960975599999</v>
      </c>
      <c r="I952" s="1260">
        <f>Arch!L316</f>
        <v>3739.632188</v>
      </c>
      <c r="J952" s="1260">
        <f>Arch!M316</f>
        <v>54972.593163600002</v>
      </c>
    </row>
    <row r="953" spans="1:10" outlineLevel="1">
      <c r="A953" t="s">
        <v>86</v>
      </c>
      <c r="B953" t="s">
        <v>133</v>
      </c>
      <c r="C953" t="s">
        <v>134</v>
      </c>
      <c r="D953" t="s">
        <v>137</v>
      </c>
      <c r="E953" t="str">
        <f>IF(LEN(Arch!C317)&gt;0, Arch!C317, Arch!B317)</f>
        <v>ขนาด 1.00 x 2.10 ม.</v>
      </c>
      <c r="F953" s="1260">
        <f>Arch!F317</f>
        <v>0</v>
      </c>
      <c r="G953" s="1260">
        <f>Arch!E317</f>
        <v>0</v>
      </c>
      <c r="H953" s="1260">
        <f>Arch!I317</f>
        <v>0</v>
      </c>
      <c r="I953" s="1260">
        <f>Arch!L317</f>
        <v>0</v>
      </c>
      <c r="J953" s="1260">
        <f>Arch!M317</f>
        <v>0</v>
      </c>
    </row>
    <row r="954" spans="1:10" outlineLevel="1">
      <c r="A954" t="s">
        <v>86</v>
      </c>
      <c r="B954" t="s">
        <v>133</v>
      </c>
      <c r="C954" t="s">
        <v>134</v>
      </c>
      <c r="D954" t="s">
        <v>137</v>
      </c>
      <c r="E954" t="str">
        <f>IF(LEN(Arch!C318)&gt;0, Arch!C318, Arch!B318)</f>
        <v>บานเลื่อน บานประตูเหล็ก กรุผิวแผ่นลามิเนทลายโลหะ (ทั้ง 2 ด้าน)</v>
      </c>
      <c r="F954" s="1260" t="str">
        <f>Arch!F318</f>
        <v>ชุด</v>
      </c>
      <c r="G954" s="1260">
        <f>Arch!E318</f>
        <v>1</v>
      </c>
      <c r="H954" s="1260">
        <f>Arch!I318</f>
        <v>16342.192661559999</v>
      </c>
      <c r="I954" s="1260">
        <f>Arch!L318</f>
        <v>934.90804700000001</v>
      </c>
      <c r="J954" s="1260">
        <f>Arch!M318</f>
        <v>17277.100708559999</v>
      </c>
    </row>
    <row r="955" spans="1:10" outlineLevel="1">
      <c r="A955" t="s">
        <v>86</v>
      </c>
      <c r="B955" t="s">
        <v>133</v>
      </c>
      <c r="C955" t="s">
        <v>134</v>
      </c>
      <c r="D955" t="s">
        <v>137</v>
      </c>
      <c r="E955" t="str">
        <f>IF(LEN(Arch!C319)&gt;0, Arch!C319, Arch!B319)</f>
        <v>ขนาด 0.90 x 2.35 ม.</v>
      </c>
      <c r="F955" s="1260">
        <f>Arch!F319</f>
        <v>0</v>
      </c>
      <c r="G955" s="1260">
        <f>Arch!E319</f>
        <v>0</v>
      </c>
      <c r="H955" s="1260">
        <f>Arch!I319</f>
        <v>0</v>
      </c>
      <c r="I955" s="1260">
        <f>Arch!L319</f>
        <v>0</v>
      </c>
      <c r="J955" s="1260">
        <f>Arch!M319</f>
        <v>0</v>
      </c>
    </row>
    <row r="956" spans="1:10" outlineLevel="1">
      <c r="A956" t="s">
        <v>86</v>
      </c>
      <c r="B956" t="s">
        <v>133</v>
      </c>
      <c r="C956" t="s">
        <v>134</v>
      </c>
      <c r="D956" t="s">
        <v>137</v>
      </c>
      <c r="E956" t="str">
        <f>IF(LEN(Arch!C320)&gt;0, Arch!C320, Arch!B320)</f>
        <v xml:space="preserve">บานเลื่อน บานประตูเหล็ก กรุผิวแผ่นลามิเนทลายโลหะ (ทั้ง 2 ด้าน) </v>
      </c>
      <c r="F956" s="1260" t="str">
        <f>Arch!F320</f>
        <v>ชุด</v>
      </c>
      <c r="G956" s="1260">
        <f>Arch!E320</f>
        <v>2</v>
      </c>
      <c r="H956" s="1260">
        <f>Arch!I320</f>
        <v>38144.248317599995</v>
      </c>
      <c r="I956" s="1260">
        <f>Arch!L320</f>
        <v>1869.816094</v>
      </c>
      <c r="J956" s="1260">
        <f>Arch!M320</f>
        <v>40014.064411599997</v>
      </c>
    </row>
    <row r="957" spans="1:10" outlineLevel="1">
      <c r="A957" t="s">
        <v>86</v>
      </c>
      <c r="B957" t="s">
        <v>133</v>
      </c>
      <c r="C957" t="s">
        <v>134</v>
      </c>
      <c r="D957" t="s">
        <v>137</v>
      </c>
      <c r="E957" t="str">
        <f>IF(LEN(Arch!C321)&gt;0, Arch!C321, Arch!B321)</f>
        <v>ขนาด 1.00 x 2.35 ม.</v>
      </c>
      <c r="F957" s="1260">
        <f>Arch!F321</f>
        <v>0</v>
      </c>
      <c r="G957" s="1260">
        <f>Arch!E321</f>
        <v>0</v>
      </c>
      <c r="H957" s="1260">
        <f>Arch!I321</f>
        <v>0</v>
      </c>
      <c r="I957" s="1260">
        <f>Arch!L321</f>
        <v>0</v>
      </c>
      <c r="J957" s="1260">
        <f>Arch!M321</f>
        <v>0</v>
      </c>
    </row>
    <row r="958" spans="1:10" outlineLevel="1">
      <c r="A958" t="s">
        <v>86</v>
      </c>
      <c r="B958" t="s">
        <v>133</v>
      </c>
      <c r="C958" t="s">
        <v>134</v>
      </c>
      <c r="D958" t="s">
        <v>137</v>
      </c>
      <c r="E958" t="str">
        <f>IF(LEN(Arch!C322)&gt;0, Arch!C322, Arch!B322)</f>
        <v>บานเปิดเดี่ยว บานประตูเหล็ก วงกบเหล็ก ขนาด 0.90 x 2.20 ม.</v>
      </c>
      <c r="F958" s="1260" t="str">
        <f>Arch!F322</f>
        <v>ชุด</v>
      </c>
      <c r="G958" s="1260">
        <f>Arch!E322</f>
        <v>0</v>
      </c>
      <c r="H958" s="1260">
        <f>Arch!I322</f>
        <v>0</v>
      </c>
      <c r="I958" s="1260">
        <f>Arch!L322</f>
        <v>0</v>
      </c>
      <c r="J958" s="1260">
        <f>Arch!M322</f>
        <v>0</v>
      </c>
    </row>
    <row r="959" spans="1:10" outlineLevel="1">
      <c r="A959" t="s">
        <v>86</v>
      </c>
      <c r="E959" t="str">
        <f>IF(LEN(Arch!C323)&gt;0, Arch!C323, Arch!B323)</f>
        <v>งานอุปกรณ์ประตู</v>
      </c>
      <c r="F959" s="1260">
        <f>Arch!F323</f>
        <v>0</v>
      </c>
      <c r="G959" s="1260">
        <f>Arch!E323</f>
        <v>0</v>
      </c>
      <c r="H959" s="1260">
        <f>Arch!I323</f>
        <v>0</v>
      </c>
      <c r="I959" s="1260">
        <f>Arch!L323</f>
        <v>0</v>
      </c>
      <c r="J959" s="1260">
        <f>Arch!M323</f>
        <v>0</v>
      </c>
    </row>
    <row r="960" spans="1:10" outlineLevel="1">
      <c r="A960" t="s">
        <v>86</v>
      </c>
      <c r="B960" t="s">
        <v>133</v>
      </c>
      <c r="C960" t="s">
        <v>134</v>
      </c>
      <c r="D960" t="s">
        <v>138</v>
      </c>
      <c r="E960" t="str">
        <f>IF(LEN(Arch!C324)&gt;0, Arch!C324, Arch!B324)</f>
        <v>HW1</v>
      </c>
      <c r="F960" s="1260" t="str">
        <f>Arch!F324</f>
        <v>ชุด</v>
      </c>
      <c r="G960" s="1260">
        <f>Arch!E324</f>
        <v>12</v>
      </c>
      <c r="H960" s="1260">
        <f>Arch!I324</f>
        <v>214280.92437239998</v>
      </c>
      <c r="I960" s="1260">
        <f>Arch!L324</f>
        <v>0</v>
      </c>
      <c r="J960" s="1260">
        <f>Arch!M324</f>
        <v>214280.92437239998</v>
      </c>
    </row>
    <row r="961" spans="1:10" outlineLevel="1">
      <c r="A961" t="s">
        <v>86</v>
      </c>
      <c r="B961" t="s">
        <v>133</v>
      </c>
      <c r="C961" t="s">
        <v>134</v>
      </c>
      <c r="D961" t="s">
        <v>138</v>
      </c>
      <c r="E961" t="str">
        <f>IF(LEN(Arch!C325)&gt;0, Arch!C325, Arch!B325)</f>
        <v>HW2</v>
      </c>
      <c r="F961" s="1260" t="str">
        <f>Arch!F325</f>
        <v>ชุด</v>
      </c>
      <c r="G961" s="1260">
        <f>Arch!E325</f>
        <v>11</v>
      </c>
      <c r="H961" s="1260">
        <f>Arch!I325</f>
        <v>224190.94967059998</v>
      </c>
      <c r="I961" s="1260">
        <f>Arch!L325</f>
        <v>0</v>
      </c>
      <c r="J961" s="1260">
        <f>Arch!M325</f>
        <v>224190.94967059998</v>
      </c>
    </row>
    <row r="962" spans="1:10" outlineLevel="1">
      <c r="A962" t="s">
        <v>86</v>
      </c>
      <c r="B962" t="s">
        <v>133</v>
      </c>
      <c r="C962" t="s">
        <v>134</v>
      </c>
      <c r="D962" t="s">
        <v>138</v>
      </c>
      <c r="E962" t="str">
        <f>IF(LEN(Arch!C326)&gt;0, Arch!C326, Arch!B326)</f>
        <v>HW3</v>
      </c>
      <c r="F962" s="1260" t="str">
        <f>Arch!F326</f>
        <v>ชุด</v>
      </c>
      <c r="G962" s="1260">
        <f>Arch!E326</f>
        <v>1</v>
      </c>
      <c r="H962" s="1260">
        <f>Arch!I326</f>
        <v>35713.4873954</v>
      </c>
      <c r="I962" s="1260">
        <f>Arch!L326</f>
        <v>0</v>
      </c>
      <c r="J962" s="1260">
        <f>Arch!M326</f>
        <v>35713.4873954</v>
      </c>
    </row>
    <row r="963" spans="1:10" outlineLevel="1">
      <c r="F963" s="1260"/>
      <c r="G963" s="1260"/>
      <c r="H963" s="1260"/>
      <c r="I963" s="1260"/>
      <c r="J963" s="1260"/>
    </row>
    <row r="964" spans="1:10" outlineLevel="1">
      <c r="F964" s="1260"/>
      <c r="G964" s="1260"/>
      <c r="H964" s="1260"/>
      <c r="I964" s="1260"/>
      <c r="J964" s="1260"/>
    </row>
    <row r="965" spans="1:10" outlineLevel="1">
      <c r="A965" t="s">
        <v>86</v>
      </c>
      <c r="B965" t="s">
        <v>133</v>
      </c>
      <c r="C965" t="s">
        <v>134</v>
      </c>
      <c r="D965" t="s">
        <v>138</v>
      </c>
      <c r="E965" t="str">
        <f>IF(LEN(Arch!C329)&gt;0, Arch!C329, Arch!B329)</f>
        <v>HW4</v>
      </c>
      <c r="F965" s="1260" t="str">
        <f>Arch!F329</f>
        <v>ชุด</v>
      </c>
      <c r="G965" s="1260">
        <f>Arch!E329</f>
        <v>8</v>
      </c>
      <c r="H965" s="1260">
        <f>Arch!I329</f>
        <v>316896.43161112</v>
      </c>
      <c r="I965" s="1260">
        <f>Arch!L329</f>
        <v>0</v>
      </c>
      <c r="J965" s="1260">
        <f>Arch!M329</f>
        <v>316896.43161112</v>
      </c>
    </row>
    <row r="966" spans="1:10" outlineLevel="1">
      <c r="A966" t="s">
        <v>86</v>
      </c>
      <c r="B966" t="s">
        <v>133</v>
      </c>
      <c r="C966" t="s">
        <v>134</v>
      </c>
      <c r="D966" t="s">
        <v>138</v>
      </c>
      <c r="E966" t="str">
        <f>IF(LEN(Arch!C330)&gt;0, Arch!C330, Arch!B330)</f>
        <v>HW5</v>
      </c>
      <c r="F966" s="1260" t="str">
        <f>Arch!F330</f>
        <v>ชุด</v>
      </c>
      <c r="G966" s="1260">
        <f>Arch!E330</f>
        <v>1</v>
      </c>
      <c r="H966" s="1260">
        <f>Arch!I330</f>
        <v>35713.4873954</v>
      </c>
      <c r="I966" s="1260">
        <f>Arch!L330</f>
        <v>0</v>
      </c>
      <c r="J966" s="1260">
        <f>Arch!M330</f>
        <v>35713.4873954</v>
      </c>
    </row>
    <row r="967" spans="1:10" outlineLevel="1">
      <c r="A967" t="s">
        <v>86</v>
      </c>
      <c r="B967" t="s">
        <v>133</v>
      </c>
      <c r="C967" t="s">
        <v>134</v>
      </c>
      <c r="D967" t="s">
        <v>138</v>
      </c>
      <c r="E967" t="str">
        <f>IF(LEN(Arch!C331)&gt;0, Arch!C331, Arch!B331)</f>
        <v>HW6</v>
      </c>
      <c r="F967" s="1260" t="str">
        <f>Arch!F331</f>
        <v>ชุด</v>
      </c>
      <c r="G967" s="1260">
        <f>Arch!E331</f>
        <v>4</v>
      </c>
      <c r="H967" s="1260">
        <f>Arch!I331</f>
        <v>163047.96339679998</v>
      </c>
      <c r="I967" s="1260">
        <f>Arch!L331</f>
        <v>0</v>
      </c>
      <c r="J967" s="1260">
        <f>Arch!M331</f>
        <v>163047.96339679998</v>
      </c>
    </row>
    <row r="968" spans="1:10" outlineLevel="1">
      <c r="A968" t="s">
        <v>86</v>
      </c>
      <c r="B968" t="s">
        <v>133</v>
      </c>
      <c r="C968" t="s">
        <v>134</v>
      </c>
      <c r="D968" t="s">
        <v>138</v>
      </c>
      <c r="E968" t="str">
        <f>IF(LEN(Arch!C332)&gt;0, Arch!C332, Arch!B332)</f>
        <v>HW7</v>
      </c>
      <c r="F968" s="1260" t="str">
        <f>Arch!F332</f>
        <v>ชุด</v>
      </c>
      <c r="G968" s="1260">
        <f>Arch!E332</f>
        <v>2</v>
      </c>
      <c r="H968" s="1260">
        <f>Arch!I332</f>
        <v>122285.9725476</v>
      </c>
      <c r="I968" s="1260">
        <f>Arch!L332</f>
        <v>0</v>
      </c>
      <c r="J968" s="1260">
        <f>Arch!M332</f>
        <v>122285.9725476</v>
      </c>
    </row>
    <row r="969" spans="1:10" outlineLevel="1">
      <c r="A969" t="s">
        <v>86</v>
      </c>
      <c r="B969" t="s">
        <v>133</v>
      </c>
      <c r="C969" t="s">
        <v>134</v>
      </c>
      <c r="D969" t="s">
        <v>138</v>
      </c>
      <c r="E969" t="str">
        <f>IF(LEN(Arch!C333)&gt;0, Arch!C333, Arch!B333)</f>
        <v>HW8</v>
      </c>
      <c r="F969" s="1260" t="str">
        <f>Arch!F333</f>
        <v>ชุด</v>
      </c>
      <c r="G969" s="1260">
        <f>Arch!E333</f>
        <v>3</v>
      </c>
      <c r="H969" s="1260">
        <f>Arch!I333</f>
        <v>244571.94509519998</v>
      </c>
      <c r="I969" s="1260">
        <f>Arch!L333</f>
        <v>0</v>
      </c>
      <c r="J969" s="1260">
        <f>Arch!M333</f>
        <v>244571.94509519998</v>
      </c>
    </row>
    <row r="970" spans="1:10" outlineLevel="1">
      <c r="A970" t="s">
        <v>86</v>
      </c>
      <c r="B970" t="s">
        <v>133</v>
      </c>
      <c r="C970" t="s">
        <v>134</v>
      </c>
      <c r="D970" t="s">
        <v>138</v>
      </c>
      <c r="E970" t="str">
        <f>IF(LEN(Arch!C334)&gt;0, Arch!C334, Arch!B334)</f>
        <v>HW9</v>
      </c>
      <c r="F970" s="1260" t="str">
        <f>Arch!F334</f>
        <v>ชุด</v>
      </c>
      <c r="G970" s="1260">
        <f>Arch!E334</f>
        <v>1</v>
      </c>
      <c r="H970" s="1260">
        <f>Arch!I334</f>
        <v>101904.97712299999</v>
      </c>
      <c r="I970" s="1260">
        <f>Arch!L334</f>
        <v>0</v>
      </c>
      <c r="J970" s="1260">
        <f>Arch!M334</f>
        <v>101904.97712299999</v>
      </c>
    </row>
    <row r="971" spans="1:10" outlineLevel="1">
      <c r="A971" t="s">
        <v>86</v>
      </c>
      <c r="B971" t="s">
        <v>133</v>
      </c>
      <c r="C971" t="s">
        <v>134</v>
      </c>
      <c r="D971" t="s">
        <v>138</v>
      </c>
      <c r="E971" t="str">
        <f>IF(LEN(Arch!C335)&gt;0, Arch!C335, Arch!B335)</f>
        <v>HW10</v>
      </c>
      <c r="F971" s="1260" t="str">
        <f>Arch!F335</f>
        <v>ชุด</v>
      </c>
      <c r="G971" s="1260">
        <f>Arch!E335</f>
        <v>1</v>
      </c>
      <c r="H971" s="1260">
        <f>Arch!I335</f>
        <v>121538.04611</v>
      </c>
      <c r="I971" s="1260">
        <f>Arch!L335</f>
        <v>0</v>
      </c>
      <c r="J971" s="1260">
        <f>Arch!M335</f>
        <v>121538.04611</v>
      </c>
    </row>
    <row r="972" spans="1:10" outlineLevel="1">
      <c r="A972" t="s">
        <v>86</v>
      </c>
      <c r="B972" t="s">
        <v>133</v>
      </c>
      <c r="C972" t="s">
        <v>134</v>
      </c>
      <c r="D972" t="s">
        <v>138</v>
      </c>
      <c r="E972" t="str">
        <f>IF(LEN(Arch!C336)&gt;0, Arch!C336, Arch!B336)</f>
        <v>HW11</v>
      </c>
      <c r="F972" s="1260" t="str">
        <f>Arch!F336</f>
        <v>ชุด</v>
      </c>
      <c r="G972" s="1260">
        <f>Arch!E336</f>
        <v>3</v>
      </c>
      <c r="H972" s="1260">
        <f>Arch!I336</f>
        <v>30347.115205619997</v>
      </c>
      <c r="I972" s="1260">
        <f>Arch!L336</f>
        <v>0</v>
      </c>
      <c r="J972" s="1260">
        <f>Arch!M336</f>
        <v>30347.115205619997</v>
      </c>
    </row>
    <row r="973" spans="1:10" outlineLevel="1">
      <c r="A973" t="s">
        <v>86</v>
      </c>
      <c r="B973" t="s">
        <v>133</v>
      </c>
      <c r="C973" t="s">
        <v>134</v>
      </c>
      <c r="D973" t="s">
        <v>138</v>
      </c>
      <c r="E973" t="str">
        <f>IF(LEN(Arch!C337)&gt;0, Arch!C337, Arch!B337)</f>
        <v>HW12</v>
      </c>
      <c r="F973" s="1260" t="str">
        <f>Arch!F337</f>
        <v>ชุด</v>
      </c>
      <c r="G973" s="1260">
        <f>Arch!E337</f>
        <v>3</v>
      </c>
      <c r="H973" s="1260">
        <f>Arch!I337</f>
        <v>56206.671785639999</v>
      </c>
      <c r="I973" s="1260">
        <f>Arch!L337</f>
        <v>0</v>
      </c>
      <c r="J973" s="1260">
        <f>Arch!M337</f>
        <v>56206.671785639999</v>
      </c>
    </row>
    <row r="974" spans="1:10" outlineLevel="1">
      <c r="A974" t="s">
        <v>86</v>
      </c>
      <c r="B974" t="s">
        <v>133</v>
      </c>
      <c r="C974" t="s">
        <v>134</v>
      </c>
      <c r="D974" t="s">
        <v>138</v>
      </c>
      <c r="E974" t="str">
        <f>IF(LEN(Arch!C338)&gt;0, Arch!C338, Arch!B338)</f>
        <v>HW13</v>
      </c>
      <c r="F974" s="1260" t="str">
        <f>Arch!F338</f>
        <v>ชุด</v>
      </c>
      <c r="G974" s="1260">
        <f>Arch!E338</f>
        <v>1</v>
      </c>
      <c r="H974" s="1260">
        <f>Arch!I338</f>
        <v>28673.629801489998</v>
      </c>
      <c r="I974" s="1260">
        <f>Arch!L338</f>
        <v>0</v>
      </c>
      <c r="J974" s="1260">
        <f>Arch!M338</f>
        <v>28673.629801489998</v>
      </c>
    </row>
    <row r="975" spans="1:10" outlineLevel="1">
      <c r="A975" t="s">
        <v>86</v>
      </c>
      <c r="B975" t="s">
        <v>133</v>
      </c>
      <c r="C975" t="s">
        <v>134</v>
      </c>
      <c r="D975" t="s">
        <v>138</v>
      </c>
      <c r="E975" t="str">
        <f>IF(LEN(Arch!C339)&gt;0, Arch!C339, Arch!B339)</f>
        <v>HW14</v>
      </c>
      <c r="F975" s="1260" t="str">
        <f>Arch!F339</f>
        <v>ชุด</v>
      </c>
      <c r="G975" s="1260">
        <f>Arch!E339</f>
        <v>1</v>
      </c>
      <c r="H975" s="1260">
        <f>Arch!I339</f>
        <v>69435.620650689991</v>
      </c>
      <c r="I975" s="1260">
        <f>Arch!L339</f>
        <v>0</v>
      </c>
      <c r="J975" s="1260">
        <f>Arch!M339</f>
        <v>69435.620650689991</v>
      </c>
    </row>
    <row r="976" spans="1:10" outlineLevel="1">
      <c r="A976" t="s">
        <v>86</v>
      </c>
      <c r="B976" t="s">
        <v>133</v>
      </c>
      <c r="C976" t="s">
        <v>134</v>
      </c>
      <c r="D976" t="s">
        <v>138</v>
      </c>
      <c r="E976" t="str">
        <f>IF(LEN(Arch!C340)&gt;0, Arch!C340, Arch!B340)</f>
        <v>HW15</v>
      </c>
      <c r="F976" s="1260" t="str">
        <f>Arch!F340</f>
        <v>ชุด</v>
      </c>
      <c r="G976" s="1260">
        <f>Arch!E340</f>
        <v>1</v>
      </c>
      <c r="H976" s="1260">
        <f>Arch!I340</f>
        <v>9620.20380363</v>
      </c>
      <c r="I976" s="1260">
        <f>Arch!L340</f>
        <v>0</v>
      </c>
      <c r="J976" s="1260">
        <f>Arch!M340</f>
        <v>9620.20380363</v>
      </c>
    </row>
    <row r="977" spans="1:10" outlineLevel="1">
      <c r="A977" t="s">
        <v>86</v>
      </c>
      <c r="B977" t="s">
        <v>133</v>
      </c>
      <c r="C977" t="s">
        <v>134</v>
      </c>
      <c r="D977" t="s">
        <v>138</v>
      </c>
      <c r="E977" t="str">
        <f>IF(LEN(Arch!C341)&gt;0, Arch!C341, Arch!B341)</f>
        <v>HW16</v>
      </c>
      <c r="F977" s="1260" t="str">
        <f>Arch!F341</f>
        <v>ชุด</v>
      </c>
      <c r="G977" s="1260">
        <f>Arch!E341</f>
        <v>2</v>
      </c>
      <c r="H977" s="1260">
        <f>Arch!I341</f>
        <v>6506.9600071199993</v>
      </c>
      <c r="I977" s="1260">
        <f>Arch!L341</f>
        <v>0</v>
      </c>
      <c r="J977" s="1260">
        <f>Arch!M341</f>
        <v>6506.9600071199993</v>
      </c>
    </row>
    <row r="978" spans="1:10" outlineLevel="1">
      <c r="A978" t="s">
        <v>86</v>
      </c>
      <c r="B978" t="s">
        <v>133</v>
      </c>
      <c r="C978" t="s">
        <v>134</v>
      </c>
      <c r="D978" t="s">
        <v>138</v>
      </c>
      <c r="E978" t="str">
        <f>IF(LEN(Arch!C342)&gt;0, Arch!C342, Arch!B342)</f>
        <v>HW17</v>
      </c>
      <c r="F978" s="1260" t="str">
        <f>Arch!F342</f>
        <v>ชุด</v>
      </c>
      <c r="G978" s="1260">
        <f>Arch!E342</f>
        <v>1</v>
      </c>
      <c r="H978" s="1260">
        <f>Arch!I342</f>
        <v>5113.9470170899995</v>
      </c>
      <c r="I978" s="1260">
        <f>Arch!L342</f>
        <v>0</v>
      </c>
      <c r="J978" s="1260">
        <f>Arch!M342</f>
        <v>5113.9470170899995</v>
      </c>
    </row>
    <row r="979" spans="1:10" outlineLevel="1">
      <c r="A979" t="s">
        <v>86</v>
      </c>
      <c r="B979" t="s">
        <v>133</v>
      </c>
      <c r="C979" t="s">
        <v>134</v>
      </c>
      <c r="D979" t="s">
        <v>138</v>
      </c>
      <c r="E979" t="str">
        <f>IF(LEN(Arch!C343)&gt;0, Arch!C343, Arch!B343)</f>
        <v>HW18</v>
      </c>
      <c r="F979" s="1260" t="str">
        <f>Arch!F343</f>
        <v>ชุด</v>
      </c>
      <c r="G979" s="1260">
        <f>Arch!E343</f>
        <v>8</v>
      </c>
      <c r="H979" s="1260">
        <f>Arch!I343</f>
        <v>78158.312729199999</v>
      </c>
      <c r="I979" s="1260">
        <f>Arch!L343</f>
        <v>0</v>
      </c>
      <c r="J979" s="1260">
        <f>Arch!M343</f>
        <v>78158.312729199999</v>
      </c>
    </row>
    <row r="980" spans="1:10" outlineLevel="1">
      <c r="A980" t="s">
        <v>86</v>
      </c>
      <c r="B980" t="s">
        <v>133</v>
      </c>
      <c r="C980" t="s">
        <v>134</v>
      </c>
      <c r="D980" t="s">
        <v>138</v>
      </c>
      <c r="E980" t="str">
        <f>IF(LEN(Arch!C344)&gt;0, Arch!C344, Arch!B344)</f>
        <v>HW19</v>
      </c>
      <c r="F980" s="1260" t="str">
        <f>Arch!F344</f>
        <v>ชุด</v>
      </c>
      <c r="G980" s="1260">
        <f>Arch!E344</f>
        <v>4</v>
      </c>
      <c r="H980" s="1260">
        <f>Arch!I344</f>
        <v>1290.17310486</v>
      </c>
      <c r="I980" s="1260">
        <f>Arch!L344</f>
        <v>0</v>
      </c>
      <c r="J980" s="1260">
        <f>Arch!M344</f>
        <v>1290.17310486</v>
      </c>
    </row>
    <row r="981" spans="1:10" outlineLevel="1">
      <c r="A981" t="s">
        <v>86</v>
      </c>
      <c r="B981" t="s">
        <v>133</v>
      </c>
      <c r="C981" t="s">
        <v>134</v>
      </c>
      <c r="D981" t="s">
        <v>138</v>
      </c>
      <c r="E981" t="str">
        <f>IF(LEN(Arch!C345)&gt;0, Arch!C345, Arch!B345)</f>
        <v>HW20</v>
      </c>
      <c r="F981" s="1260" t="str">
        <f>Arch!F345</f>
        <v>ชุด</v>
      </c>
      <c r="G981" s="1260">
        <f>Arch!E345</f>
        <v>3</v>
      </c>
      <c r="H981" s="1260">
        <f>Arch!I345</f>
        <v>3576.0232797749995</v>
      </c>
      <c r="I981" s="1260">
        <f>Arch!L345</f>
        <v>0</v>
      </c>
      <c r="J981" s="1260">
        <f>Arch!M345</f>
        <v>3576.0232797749995</v>
      </c>
    </row>
    <row r="982" spans="1:10" outlineLevel="1">
      <c r="A982" t="s">
        <v>86</v>
      </c>
      <c r="B982" t="s">
        <v>133</v>
      </c>
      <c r="C982" t="s">
        <v>134</v>
      </c>
      <c r="D982" t="s">
        <v>138</v>
      </c>
      <c r="E982" t="str">
        <f>IF(LEN(Arch!C346)&gt;0, Arch!C346, Arch!B346)</f>
        <v>HW21</v>
      </c>
      <c r="F982" s="1260" t="str">
        <f>Arch!F346</f>
        <v>ชุด</v>
      </c>
      <c r="G982" s="1260">
        <f>Arch!E346</f>
        <v>13</v>
      </c>
      <c r="H982" s="1260">
        <f>Arch!I346</f>
        <v>66481.311222169999</v>
      </c>
      <c r="I982" s="1260">
        <f>Arch!L346</f>
        <v>0</v>
      </c>
      <c r="J982" s="1260">
        <f>Arch!M346</f>
        <v>66481.311222169999</v>
      </c>
    </row>
    <row r="983" spans="1:10" outlineLevel="1">
      <c r="A983" t="s">
        <v>86</v>
      </c>
      <c r="B983" t="s">
        <v>133</v>
      </c>
      <c r="C983" t="s">
        <v>134</v>
      </c>
      <c r="D983" t="s">
        <v>138</v>
      </c>
      <c r="E983" t="str">
        <f>IF(LEN(Arch!C347)&gt;0, Arch!C347, Arch!B347)</f>
        <v>HW22</v>
      </c>
      <c r="F983" s="1260" t="str">
        <f>Arch!F347</f>
        <v>ชุด</v>
      </c>
      <c r="G983" s="1260">
        <f>Arch!E347</f>
        <v>4</v>
      </c>
      <c r="H983" s="1260">
        <f>Arch!I347</f>
        <v>29430.905319559999</v>
      </c>
      <c r="I983" s="1260">
        <f>Arch!L347</f>
        <v>0</v>
      </c>
      <c r="J983" s="1260">
        <f>Arch!M347</f>
        <v>29430.905319559999</v>
      </c>
    </row>
    <row r="984" spans="1:10" outlineLevel="1">
      <c r="A984" t="s">
        <v>86</v>
      </c>
      <c r="B984" t="s">
        <v>133</v>
      </c>
      <c r="C984" t="s">
        <v>134</v>
      </c>
      <c r="D984" t="s">
        <v>138</v>
      </c>
      <c r="E984" t="str">
        <f>IF(LEN(Arch!C348)&gt;0, Arch!C348, Arch!B348)</f>
        <v>HW23</v>
      </c>
      <c r="F984" s="1260" t="str">
        <f>Arch!F348</f>
        <v>ชุด</v>
      </c>
      <c r="G984" s="1260">
        <f>Arch!E348</f>
        <v>8</v>
      </c>
      <c r="H984" s="1260">
        <f>Arch!I348</f>
        <v>114806.7081716</v>
      </c>
      <c r="I984" s="1260">
        <f>Arch!L348</f>
        <v>0</v>
      </c>
      <c r="J984" s="1260">
        <f>Arch!M348</f>
        <v>114806.7081716</v>
      </c>
    </row>
    <row r="985" spans="1:10" outlineLevel="1">
      <c r="A985" t="s">
        <v>86</v>
      </c>
      <c r="B985" t="s">
        <v>133</v>
      </c>
      <c r="C985" t="s">
        <v>134</v>
      </c>
      <c r="D985" t="s">
        <v>138</v>
      </c>
      <c r="E985" t="str">
        <f>IF(LEN(Arch!C349)&gt;0, Arch!C349, Arch!B349)</f>
        <v>HW24</v>
      </c>
      <c r="F985" s="1260" t="str">
        <f>Arch!F349</f>
        <v>ชุด</v>
      </c>
      <c r="G985" s="1260">
        <f>Arch!E349</f>
        <v>3</v>
      </c>
      <c r="H985" s="1260">
        <f>Arch!I349</f>
        <v>15089.415878579999</v>
      </c>
      <c r="I985" s="1260">
        <f>Arch!L349</f>
        <v>0</v>
      </c>
      <c r="J985" s="1260">
        <f>Arch!M349</f>
        <v>15089.415878579999</v>
      </c>
    </row>
    <row r="986" spans="1:10" outlineLevel="1">
      <c r="F986" s="1260"/>
      <c r="G986" s="1260"/>
      <c r="H986" s="1260"/>
      <c r="I986" s="1260"/>
      <c r="J986" s="1260"/>
    </row>
    <row r="987" spans="1:10" outlineLevel="1">
      <c r="F987" s="1260"/>
      <c r="G987" s="1260"/>
      <c r="H987" s="1260"/>
      <c r="I987" s="1260"/>
      <c r="J987" s="1260"/>
    </row>
    <row r="988" spans="1:10" outlineLevel="1">
      <c r="F988" s="1260"/>
      <c r="G988" s="1260"/>
      <c r="H988" s="1260"/>
      <c r="I988" s="1260"/>
      <c r="J988" s="1260"/>
    </row>
    <row r="989" spans="1:10" outlineLevel="1">
      <c r="F989" s="1260"/>
      <c r="G989" s="1260"/>
      <c r="H989" s="1260"/>
      <c r="I989" s="1260"/>
      <c r="J989" s="1260"/>
    </row>
    <row r="990" spans="1:10" outlineLevel="1">
      <c r="F990" s="1260"/>
      <c r="G990" s="1260"/>
      <c r="H990" s="1260"/>
      <c r="I990" s="1260"/>
      <c r="J990" s="1260"/>
    </row>
    <row r="991" spans="1:10" outlineLevel="1">
      <c r="F991" s="1260"/>
      <c r="G991" s="1260"/>
      <c r="H991" s="1260"/>
      <c r="I991" s="1260"/>
      <c r="J991" s="1260"/>
    </row>
    <row r="992" spans="1:10" outlineLevel="1">
      <c r="A992" t="s">
        <v>86</v>
      </c>
      <c r="E992" t="str">
        <f>IF(LEN(Arch!C356)&gt;0, Arch!C356, Arch!B356)</f>
        <v>งานหน้าต่าง</v>
      </c>
      <c r="F992" s="1260">
        <f>Arch!F356</f>
        <v>0</v>
      </c>
      <c r="G992" s="1260">
        <f>Arch!E356</f>
        <v>0</v>
      </c>
      <c r="H992" s="1260">
        <f>Arch!I356</f>
        <v>0</v>
      </c>
      <c r="I992" s="1260">
        <f>Arch!L356</f>
        <v>0</v>
      </c>
      <c r="J992" s="1260">
        <f>Arch!M356</f>
        <v>0</v>
      </c>
    </row>
    <row r="993" spans="1:10" outlineLevel="1">
      <c r="A993" t="s">
        <v>86</v>
      </c>
      <c r="E993">
        <f>IF(LEN(Arch!C357)&gt;0, Arch!C357, Arch!B357)</f>
        <v>0</v>
      </c>
      <c r="F993" s="1260">
        <f>Arch!F357</f>
        <v>0</v>
      </c>
      <c r="G993" s="1260">
        <f>Arch!E357</f>
        <v>0</v>
      </c>
      <c r="H993" s="1260">
        <f>Arch!I357</f>
        <v>0</v>
      </c>
      <c r="I993" s="1260">
        <f>Arch!L357</f>
        <v>0</v>
      </c>
      <c r="J993" s="1260">
        <f>Arch!M357</f>
        <v>0</v>
      </c>
    </row>
    <row r="994" spans="1:10" outlineLevel="1">
      <c r="A994" t="s">
        <v>86</v>
      </c>
      <c r="B994" t="s">
        <v>133</v>
      </c>
      <c r="C994" t="s">
        <v>139</v>
      </c>
      <c r="D994" t="s">
        <v>140</v>
      </c>
      <c r="E994" t="str">
        <f>IF(LEN(Arch!C358)&gt;0, Arch!C358, Arch!B358)</f>
        <v>บานติดตาย วงกบอะลูมิเนียมสี Grey Sahara ลูกฟักกระจก Heatstrengthen</v>
      </c>
      <c r="F994" s="1260" t="str">
        <f>Arch!F358</f>
        <v>ชุด</v>
      </c>
      <c r="G994" s="1260">
        <f>Arch!E358</f>
        <v>1</v>
      </c>
      <c r="H994" s="1260">
        <f>Arch!I358</f>
        <v>52027.632815550001</v>
      </c>
      <c r="I994" s="1260">
        <f>Arch!L358</f>
        <v>14537.820130849999</v>
      </c>
      <c r="J994" s="1260">
        <f>Arch!M358</f>
        <v>66565.452946400008</v>
      </c>
    </row>
    <row r="995" spans="1:10" outlineLevel="1">
      <c r="A995" t="s">
        <v>86</v>
      </c>
      <c r="B995" t="s">
        <v>133</v>
      </c>
      <c r="C995" t="s">
        <v>139</v>
      </c>
      <c r="D995" t="s">
        <v>140</v>
      </c>
      <c r="E995" t="str">
        <f>IF(LEN(Arch!C359)&gt;0, Arch!C359, Arch!B359)</f>
        <v>Laminated Glass + LOW - E  ขนาด 6.055 x 2.80 ม.</v>
      </c>
      <c r="F995" s="1260">
        <f>Arch!F359</f>
        <v>0</v>
      </c>
      <c r="G995" s="1260">
        <f>Arch!E359</f>
        <v>0</v>
      </c>
      <c r="H995" s="1260">
        <f>Arch!I359</f>
        <v>0</v>
      </c>
      <c r="I995" s="1260">
        <f>Arch!L359</f>
        <v>0</v>
      </c>
      <c r="J995" s="1260">
        <f>Arch!M359</f>
        <v>0</v>
      </c>
    </row>
    <row r="996" spans="1:10" outlineLevel="1">
      <c r="A996" t="s">
        <v>86</v>
      </c>
      <c r="B996" t="s">
        <v>133</v>
      </c>
      <c r="C996" t="s">
        <v>139</v>
      </c>
      <c r="D996" t="s">
        <v>140</v>
      </c>
      <c r="E996" t="str">
        <f>IF(LEN(Arch!C360)&gt;0, Arch!C360, Arch!B360)</f>
        <v>บานติดตาย วงกบอะลูมิเนียมสี Grey Sahara ลูกฟักกระจก Heatstrengthen</v>
      </c>
      <c r="F996" s="1260" t="str">
        <f>Arch!F360</f>
        <v>ชุด</v>
      </c>
      <c r="G996" s="1260">
        <f>Arch!E360</f>
        <v>1</v>
      </c>
      <c r="H996" s="1260">
        <f>Arch!I360</f>
        <v>48792.850972929999</v>
      </c>
      <c r="I996" s="1260">
        <f>Arch!L360</f>
        <v>13705.751969019999</v>
      </c>
      <c r="J996" s="1260">
        <f>Arch!M360</f>
        <v>62498.602941949997</v>
      </c>
    </row>
    <row r="997" spans="1:10" outlineLevel="1">
      <c r="A997" t="s">
        <v>86</v>
      </c>
      <c r="B997" t="s">
        <v>133</v>
      </c>
      <c r="C997" t="s">
        <v>139</v>
      </c>
      <c r="D997" t="s">
        <v>140</v>
      </c>
      <c r="E997" t="str">
        <f>IF(LEN(Arch!C361)&gt;0, Arch!C361, Arch!B361)</f>
        <v>Laminated Glass + LOW - E  ขนาด 5.55 x 2.80 ม.</v>
      </c>
      <c r="F997" s="1260">
        <f>Arch!F361</f>
        <v>0</v>
      </c>
      <c r="G997" s="1260">
        <f>Arch!E361</f>
        <v>0</v>
      </c>
      <c r="H997" s="1260">
        <f>Arch!I361</f>
        <v>0</v>
      </c>
      <c r="I997" s="1260">
        <f>Arch!L361</f>
        <v>0</v>
      </c>
      <c r="J997" s="1260">
        <f>Arch!M361</f>
        <v>0</v>
      </c>
    </row>
    <row r="998" spans="1:10" outlineLevel="1">
      <c r="A998" t="s">
        <v>86</v>
      </c>
      <c r="B998" t="s">
        <v>133</v>
      </c>
      <c r="C998" t="s">
        <v>139</v>
      </c>
      <c r="D998" t="s">
        <v>140</v>
      </c>
      <c r="E998" t="str">
        <f>IF(LEN(Arch!C362)&gt;0, Arch!C362, Arch!B362)</f>
        <v>บานติดตาย วงกบอะลูมิเนียมสี Grey Sahara ลูกฟักกระจก Heatstrengthen</v>
      </c>
      <c r="F998" s="1260" t="str">
        <f>Arch!F362</f>
        <v>ชุด</v>
      </c>
      <c r="G998" s="1260">
        <f>Arch!E362</f>
        <v>1</v>
      </c>
      <c r="H998" s="1260">
        <f>Arch!I362</f>
        <v>49110.719708910001</v>
      </c>
      <c r="I998" s="1260">
        <f>Arch!L362</f>
        <v>13794.568233484999</v>
      </c>
      <c r="J998" s="1260">
        <f>Arch!M362</f>
        <v>62905.287942395</v>
      </c>
    </row>
    <row r="999" spans="1:10" outlineLevel="1">
      <c r="A999" t="s">
        <v>86</v>
      </c>
      <c r="B999" t="s">
        <v>133</v>
      </c>
      <c r="C999" t="s">
        <v>139</v>
      </c>
      <c r="D999" t="s">
        <v>140</v>
      </c>
      <c r="E999" t="str">
        <f>IF(LEN(Arch!C363)&gt;0, Arch!C363, Arch!B363)</f>
        <v>Laminated Glass + LOW - E  ขนาด 5.611 x 2.80 ม.</v>
      </c>
      <c r="F999" s="1260">
        <f>Arch!F363</f>
        <v>0</v>
      </c>
      <c r="G999" s="1260">
        <f>Arch!E363</f>
        <v>0</v>
      </c>
      <c r="H999" s="1260">
        <f>Arch!I363</f>
        <v>0</v>
      </c>
      <c r="I999" s="1260">
        <f>Arch!L363</f>
        <v>0</v>
      </c>
      <c r="J999" s="1260">
        <f>Arch!M363</f>
        <v>0</v>
      </c>
    </row>
    <row r="1000" spans="1:10" outlineLevel="1">
      <c r="A1000" t="s">
        <v>86</v>
      </c>
      <c r="B1000" t="s">
        <v>133</v>
      </c>
      <c r="C1000" t="s">
        <v>139</v>
      </c>
      <c r="D1000" t="s">
        <v>140</v>
      </c>
      <c r="E1000" t="str">
        <f>IF(LEN(Arch!C364)&gt;0, Arch!C364, Arch!B364)</f>
        <v>บานติดตาย วงกบอะลูมิเนียมสี Grey Sahara ลูกฟักกระจกโฟลท</v>
      </c>
      <c r="F1000" s="1260" t="str">
        <f>Arch!F364</f>
        <v>ชุด</v>
      </c>
      <c r="G1000" s="1260">
        <f>Arch!E364</f>
        <v>1</v>
      </c>
      <c r="H1000" s="1260">
        <f>Arch!I364</f>
        <v>9442.5712746999998</v>
      </c>
      <c r="I1000" s="1260">
        <f>Arch!L364</f>
        <v>2589.6952901899999</v>
      </c>
      <c r="J1000" s="1260">
        <f>Arch!M364</f>
        <v>12032.26656489</v>
      </c>
    </row>
    <row r="1001" spans="1:10" outlineLevel="1">
      <c r="A1001" t="s">
        <v>86</v>
      </c>
      <c r="B1001" t="s">
        <v>133</v>
      </c>
      <c r="C1001" t="s">
        <v>139</v>
      </c>
      <c r="D1001" t="s">
        <v>140</v>
      </c>
      <c r="E1001" t="str">
        <f>IF(LEN(Arch!C365)&gt;0, Arch!C365, Arch!B365)</f>
        <v>ขนาด 0.70 x 2.470 ม.</v>
      </c>
      <c r="F1001" s="1260">
        <f>Arch!F365</f>
        <v>0</v>
      </c>
      <c r="G1001" s="1260">
        <f>Arch!E365</f>
        <v>0</v>
      </c>
      <c r="H1001" s="1260">
        <f>Arch!I365</f>
        <v>0</v>
      </c>
      <c r="I1001" s="1260">
        <f>Arch!L365</f>
        <v>0</v>
      </c>
      <c r="J1001" s="1260">
        <f>Arch!M365</f>
        <v>0</v>
      </c>
    </row>
    <row r="1002" spans="1:10" outlineLevel="1">
      <c r="A1002" t="s">
        <v>86</v>
      </c>
      <c r="B1002" t="s">
        <v>133</v>
      </c>
      <c r="C1002" t="s">
        <v>139</v>
      </c>
      <c r="D1002" t="s">
        <v>140</v>
      </c>
      <c r="E1002" t="str">
        <f>IF(LEN(Arch!C366)&gt;0, Arch!C366, Arch!B366)</f>
        <v>บานติดตาย วงกบอะลูมิเนียมสี Grey Sahara ลูกฟักกระจก Heatstrengthen</v>
      </c>
      <c r="F1002" s="1260" t="str">
        <f>Arch!F366</f>
        <v>ชุด</v>
      </c>
      <c r="G1002" s="1260">
        <f>Arch!E366</f>
        <v>1</v>
      </c>
      <c r="H1002" s="1260">
        <f>Arch!I366</f>
        <v>67762.135246559992</v>
      </c>
      <c r="I1002" s="1260">
        <f>Arch!L366</f>
        <v>19287.15300961</v>
      </c>
      <c r="J1002" s="1260">
        <f>Arch!M366</f>
        <v>87049.288256169995</v>
      </c>
    </row>
    <row r="1003" spans="1:10" outlineLevel="1">
      <c r="A1003" t="s">
        <v>86</v>
      </c>
      <c r="B1003" t="s">
        <v>133</v>
      </c>
      <c r="C1003" t="s">
        <v>139</v>
      </c>
      <c r="D1003" t="s">
        <v>140</v>
      </c>
      <c r="E1003" t="str">
        <f>IF(LEN(Arch!C367)&gt;0, Arch!C367, Arch!B367)</f>
        <v>Laminated Glass + LOW - E ขนาด 8.20 x 2.80 ม.</v>
      </c>
      <c r="F1003" s="1260">
        <f>Arch!F367</f>
        <v>0</v>
      </c>
      <c r="G1003" s="1260">
        <f>Arch!E367</f>
        <v>0</v>
      </c>
      <c r="H1003" s="1260">
        <f>Arch!I367</f>
        <v>0</v>
      </c>
      <c r="I1003" s="1260">
        <f>Arch!L367</f>
        <v>0</v>
      </c>
      <c r="J1003" s="1260">
        <f>Arch!M367</f>
        <v>0</v>
      </c>
    </row>
    <row r="1004" spans="1:10" outlineLevel="1">
      <c r="A1004" t="s">
        <v>86</v>
      </c>
      <c r="B1004" t="s">
        <v>133</v>
      </c>
      <c r="C1004" t="s">
        <v>139</v>
      </c>
      <c r="D1004" t="s">
        <v>140</v>
      </c>
      <c r="E1004" t="str">
        <f>IF(LEN(Arch!C368)&gt;0, Arch!C368, Arch!B368)</f>
        <v>บานติดตาย วงกบอะลูมิเนียมสี Grey Sahara ลูกฟักกระจก Heatstrengthen</v>
      </c>
      <c r="F1004" s="1260" t="str">
        <f>Arch!F368</f>
        <v>ชุด</v>
      </c>
      <c r="G1004" s="1260">
        <f>Arch!E368</f>
        <v>2</v>
      </c>
      <c r="H1004" s="1260">
        <f>Arch!I368</f>
        <v>98875.875050720002</v>
      </c>
      <c r="I1004" s="1260">
        <f>Arch!L368</f>
        <v>27748.070834959999</v>
      </c>
      <c r="J1004" s="1260">
        <f>Arch!M368</f>
        <v>126623.94588568</v>
      </c>
    </row>
    <row r="1005" spans="1:10" outlineLevel="1">
      <c r="A1005" t="s">
        <v>86</v>
      </c>
      <c r="B1005" t="s">
        <v>133</v>
      </c>
      <c r="C1005" t="s">
        <v>139</v>
      </c>
      <c r="D1005" t="s">
        <v>140</v>
      </c>
      <c r="E1005" t="str">
        <f>IF(LEN(Arch!C369)&gt;0, Arch!C369, Arch!B369)</f>
        <v>Laminated Glass + LOW - E  ขนาด 5.65 x 2.80 ม.</v>
      </c>
      <c r="F1005" s="1260">
        <f>Arch!F369</f>
        <v>0</v>
      </c>
      <c r="G1005" s="1260">
        <f>Arch!E369</f>
        <v>0</v>
      </c>
      <c r="H1005" s="1260">
        <f>Arch!I369</f>
        <v>0</v>
      </c>
      <c r="I1005" s="1260">
        <f>Arch!L369</f>
        <v>0</v>
      </c>
      <c r="J1005" s="1260">
        <f>Arch!M369</f>
        <v>0</v>
      </c>
    </row>
    <row r="1006" spans="1:10" outlineLevel="1">
      <c r="A1006" t="s">
        <v>86</v>
      </c>
      <c r="B1006" t="s">
        <v>133</v>
      </c>
      <c r="C1006" t="s">
        <v>139</v>
      </c>
      <c r="D1006" t="s">
        <v>140</v>
      </c>
      <c r="E1006" t="str">
        <f>IF(LEN(Arch!C370)&gt;0, Arch!C370, Arch!B370)</f>
        <v>บานติดตาย วงกบอะลูมิเนียมสี Grey Sahara ลูกฟักกระจก Heatstrengthen</v>
      </c>
      <c r="F1006" s="1260" t="str">
        <f>Arch!F370</f>
        <v>ชุด</v>
      </c>
      <c r="G1006" s="1260">
        <f>Arch!E370</f>
        <v>1</v>
      </c>
      <c r="H1006" s="1260">
        <f>Arch!I370</f>
        <v>48792.850972929999</v>
      </c>
      <c r="I1006" s="1260">
        <f>Arch!L370</f>
        <v>13705.751969019999</v>
      </c>
      <c r="J1006" s="1260">
        <f>Arch!M370</f>
        <v>62498.602941949997</v>
      </c>
    </row>
    <row r="1007" spans="1:10" outlineLevel="1">
      <c r="A1007" t="s">
        <v>86</v>
      </c>
      <c r="B1007" t="s">
        <v>133</v>
      </c>
      <c r="C1007" t="s">
        <v>139</v>
      </c>
      <c r="D1007" t="s">
        <v>140</v>
      </c>
      <c r="E1007" t="str">
        <f>IF(LEN(Arch!C371)&gt;0, Arch!C371, Arch!B371)</f>
        <v>Laminated Glass + LOW - E  ขนาด 5.55 x 2.80 ม.</v>
      </c>
      <c r="F1007" s="1260">
        <f>Arch!F371</f>
        <v>0</v>
      </c>
      <c r="G1007" s="1260">
        <f>Arch!E371</f>
        <v>0</v>
      </c>
      <c r="H1007" s="1260">
        <f>Arch!I371</f>
        <v>0</v>
      </c>
      <c r="I1007" s="1260">
        <f>Arch!L371</f>
        <v>0</v>
      </c>
      <c r="J1007" s="1260">
        <f>Arch!M371</f>
        <v>0</v>
      </c>
    </row>
    <row r="1008" spans="1:10" outlineLevel="1">
      <c r="A1008" t="s">
        <v>86</v>
      </c>
      <c r="B1008" t="s">
        <v>133</v>
      </c>
      <c r="C1008" t="s">
        <v>139</v>
      </c>
      <c r="D1008" t="s">
        <v>140</v>
      </c>
      <c r="E1008" t="str">
        <f>IF(LEN(Arch!C372)&gt;0, Arch!C372, Arch!B372)</f>
        <v>บานติดตาย วงกบอะลูมิเนียมสี Grey Sahara ลูกฟักกระจก Heatstrengthen</v>
      </c>
      <c r="F1008" s="1260" t="str">
        <f>Arch!F372</f>
        <v>ชุด</v>
      </c>
      <c r="G1008" s="1260">
        <f>Arch!E372</f>
        <v>1</v>
      </c>
      <c r="H1008" s="1260">
        <f>Arch!I372</f>
        <v>51317.10269983</v>
      </c>
      <c r="I1008" s="1260">
        <f>Arch!L372</f>
        <v>14364.862142155</v>
      </c>
      <c r="J1008" s="1260">
        <f>Arch!M372</f>
        <v>65681.964841984998</v>
      </c>
    </row>
    <row r="1009" spans="1:10" outlineLevel="1">
      <c r="A1009" t="s">
        <v>86</v>
      </c>
      <c r="B1009" t="s">
        <v>133</v>
      </c>
      <c r="C1009" t="s">
        <v>139</v>
      </c>
      <c r="D1009" t="s">
        <v>140</v>
      </c>
      <c r="E1009" t="str">
        <f>IF(LEN(Arch!C373)&gt;0, Arch!C373, Arch!B373)</f>
        <v>Laminated Glass + LOW - E  ขนาด 5.945 x 2.80 ม.</v>
      </c>
      <c r="F1009" s="1260">
        <f>Arch!F373</f>
        <v>0</v>
      </c>
      <c r="G1009" s="1260">
        <f>Arch!E373</f>
        <v>0</v>
      </c>
      <c r="H1009" s="1260">
        <f>Arch!I373</f>
        <v>0</v>
      </c>
      <c r="I1009" s="1260">
        <f>Arch!L373</f>
        <v>0</v>
      </c>
      <c r="J1009" s="1260">
        <f>Arch!M373</f>
        <v>0</v>
      </c>
    </row>
    <row r="1010" spans="1:10" outlineLevel="1">
      <c r="A1010" t="s">
        <v>86</v>
      </c>
      <c r="B1010" t="s">
        <v>133</v>
      </c>
      <c r="C1010" t="s">
        <v>139</v>
      </c>
      <c r="D1010" t="s">
        <v>140</v>
      </c>
      <c r="E1010" t="str">
        <f>IF(LEN(Arch!C374)&gt;0, Arch!C374, Arch!B374)</f>
        <v xml:space="preserve">บานติดตาย วงกบอะลูมิเนียมสี Grey Sahara ลูกฟักกระจก Laminated LOW - E </v>
      </c>
      <c r="F1010" s="1260" t="str">
        <f>Arch!F374</f>
        <v>ชุด</v>
      </c>
      <c r="G1010" s="1260">
        <f>Arch!E374</f>
        <v>3</v>
      </c>
      <c r="H1010" s="1260">
        <f>Arch!I374</f>
        <v>26504.643132449997</v>
      </c>
      <c r="I1010" s="1260">
        <f>Arch!L374</f>
        <v>7460.5662150600001</v>
      </c>
      <c r="J1010" s="1260">
        <f>Arch!M374</f>
        <v>33965.209347509997</v>
      </c>
    </row>
    <row r="1011" spans="1:10" outlineLevel="1">
      <c r="A1011" t="s">
        <v>86</v>
      </c>
      <c r="B1011" t="s">
        <v>133</v>
      </c>
      <c r="C1011" t="s">
        <v>139</v>
      </c>
      <c r="D1011" t="s">
        <v>140</v>
      </c>
      <c r="E1011" t="str">
        <f>IF(LEN(Arch!C375)&gt;0, Arch!C375, Arch!B375)</f>
        <v>ขนาด 1.05 x 4.58 ม.</v>
      </c>
      <c r="F1011" s="1260">
        <f>Arch!F375</f>
        <v>0</v>
      </c>
      <c r="G1011" s="1260">
        <f>Arch!E375</f>
        <v>0</v>
      </c>
      <c r="H1011" s="1260">
        <f>Arch!I375</f>
        <v>0</v>
      </c>
      <c r="I1011" s="1260">
        <f>Arch!L375</f>
        <v>0</v>
      </c>
      <c r="J1011" s="1260">
        <f>Arch!M375</f>
        <v>0</v>
      </c>
    </row>
    <row r="1012" spans="1:10" outlineLevel="1">
      <c r="A1012" t="s">
        <v>86</v>
      </c>
      <c r="B1012" t="s">
        <v>133</v>
      </c>
      <c r="C1012" t="s">
        <v>139</v>
      </c>
      <c r="D1012" t="s">
        <v>140</v>
      </c>
      <c r="E1012" t="str">
        <f>IF(LEN(Arch!C376)&gt;0, Arch!C376, Arch!B376)</f>
        <v>บานติดตาย วงกบอะลูมิเนียมสี Grey Sahara ลูกฟักกระจก Heatstrengthen</v>
      </c>
      <c r="F1012" s="1260" t="str">
        <f>Arch!F376</f>
        <v>ชุด</v>
      </c>
      <c r="G1012" s="1260">
        <f>Arch!E376</f>
        <v>3</v>
      </c>
      <c r="H1012" s="1260">
        <f>Arch!I376</f>
        <v>41958.673149359995</v>
      </c>
      <c r="I1012" s="1260">
        <f>Arch!L376</f>
        <v>11106.707598360001</v>
      </c>
      <c r="J1012" s="1260">
        <f>Arch!M376</f>
        <v>53065.380747719995</v>
      </c>
    </row>
    <row r="1013" spans="1:10" outlineLevel="1">
      <c r="A1013" t="s">
        <v>86</v>
      </c>
      <c r="B1013" t="s">
        <v>133</v>
      </c>
      <c r="C1013" t="s">
        <v>139</v>
      </c>
      <c r="D1013" t="s">
        <v>140</v>
      </c>
      <c r="E1013" t="str">
        <f>IF(LEN(Arch!C377)&gt;0, Arch!C377, Arch!B377)</f>
        <v>ขนาด 2.965 + 2.980 + 1.680 + 0.865 x 2.10 ม.</v>
      </c>
      <c r="F1013" s="1260">
        <f>Arch!F377</f>
        <v>0</v>
      </c>
      <c r="G1013" s="1260">
        <f>Arch!E377</f>
        <v>0</v>
      </c>
      <c r="H1013" s="1260">
        <f>Arch!I377</f>
        <v>0</v>
      </c>
      <c r="I1013" s="1260">
        <f>Arch!L377</f>
        <v>0</v>
      </c>
      <c r="J1013" s="1260">
        <f>Arch!M377</f>
        <v>0</v>
      </c>
    </row>
    <row r="1014" spans="1:10" outlineLevel="1">
      <c r="A1014" t="s">
        <v>86</v>
      </c>
      <c r="B1014" t="s">
        <v>133</v>
      </c>
      <c r="C1014" t="s">
        <v>139</v>
      </c>
      <c r="D1014" t="s">
        <v>140</v>
      </c>
      <c r="E1014" t="str">
        <f>IF(LEN(Arch!C378)&gt;0, Arch!C378, Arch!B378)</f>
        <v>บานติดตาย วงกบอะลูมิเนียมสี Grey Sahara ลูกฟักกระจกโฟลท ขนาด 2.96x2.10 ม.</v>
      </c>
      <c r="F1014" s="1260" t="str">
        <f>Arch!F378</f>
        <v>ชุด</v>
      </c>
      <c r="G1014" s="1260">
        <f>Arch!E378</f>
        <v>1</v>
      </c>
      <c r="H1014" s="1260">
        <f>Arch!I378</f>
        <v>13518.770359619999</v>
      </c>
      <c r="I1014" s="1260">
        <f>Arch!L378</f>
        <v>5067.20161474</v>
      </c>
      <c r="J1014" s="1260">
        <f>Arch!M378</f>
        <v>18585.97197436</v>
      </c>
    </row>
    <row r="1015" spans="1:10" outlineLevel="1">
      <c r="A1015" t="s">
        <v>86</v>
      </c>
      <c r="B1015" t="s">
        <v>133</v>
      </c>
      <c r="C1015" t="s">
        <v>139</v>
      </c>
      <c r="D1015" t="s">
        <v>140</v>
      </c>
      <c r="E1015" t="str">
        <f>IF(LEN(Arch!C379)&gt;0, Arch!C379, Arch!B379)</f>
        <v>บานติดตาย วงกบอะลูมิเนียมสี Grey Sahara ลูกฟักกระจกโฟลท ขนาด 2.98x2.10 ม.</v>
      </c>
      <c r="F1015" s="1260" t="str">
        <f>Arch!F379</f>
        <v>ชุด</v>
      </c>
      <c r="G1015" s="1260">
        <f>Arch!E379</f>
        <v>1</v>
      </c>
      <c r="H1015" s="1260">
        <f>Arch!I379</f>
        <v>13556.166681499999</v>
      </c>
      <c r="I1015" s="1260">
        <f>Arch!L379</f>
        <v>5085.8997756799999</v>
      </c>
      <c r="J1015" s="1260">
        <f>Arch!M379</f>
        <v>18642.066457180001</v>
      </c>
    </row>
    <row r="1016" spans="1:10" outlineLevel="1">
      <c r="A1016" t="s">
        <v>86</v>
      </c>
      <c r="B1016" t="s">
        <v>133</v>
      </c>
      <c r="C1016" t="s">
        <v>139</v>
      </c>
      <c r="D1016" t="s">
        <v>140</v>
      </c>
      <c r="E1016" t="str">
        <f>IF(LEN(Arch!C380)&gt;0, Arch!C380, Arch!B380)</f>
        <v>บานติดตาย วงกบอะลูมิเนียมสี Grey Sahara ลูกฟักกระจกโฟลท ขนาด 1.68x2.10 ม.</v>
      </c>
      <c r="F1016" s="1260" t="str">
        <f>Arch!F380</f>
        <v>ชุด</v>
      </c>
      <c r="G1016" s="1260">
        <f>Arch!E380</f>
        <v>1</v>
      </c>
      <c r="H1016" s="1260">
        <f>Arch!I380</f>
        <v>8900.3246074399995</v>
      </c>
      <c r="I1016" s="1260">
        <f>Arch!L380</f>
        <v>2804.7241409999997</v>
      </c>
      <c r="J1016" s="1260">
        <f>Arch!M380</f>
        <v>11705.04874844</v>
      </c>
    </row>
    <row r="1017" spans="1:10" outlineLevel="1">
      <c r="A1017" t="s">
        <v>86</v>
      </c>
      <c r="B1017" t="s">
        <v>133</v>
      </c>
      <c r="C1017" t="s">
        <v>139</v>
      </c>
      <c r="D1017" t="s">
        <v>140</v>
      </c>
      <c r="E1017" t="str">
        <f>IF(LEN(Arch!C381)&gt;0, Arch!C381, Arch!B381)</f>
        <v>บานติดตาย วงกบอะลูมิเนียมสี Grey Sahara ลูกฟักกระจกโฟลท ขนาด 0.865x2.10 ม.</v>
      </c>
      <c r="F1017" s="1260" t="str">
        <f>Arch!F381</f>
        <v>ชุด</v>
      </c>
      <c r="G1017" s="1260">
        <f>Arch!E381</f>
        <v>1</v>
      </c>
      <c r="H1017" s="1260">
        <f>Arch!I381</f>
        <v>6506.9600071199993</v>
      </c>
      <c r="I1017" s="1260">
        <f>Arch!L381</f>
        <v>8545.0595495799989</v>
      </c>
      <c r="J1017" s="1260">
        <f>Arch!M381</f>
        <v>15052.019556699997</v>
      </c>
    </row>
    <row r="1018" spans="1:10" outlineLevel="1">
      <c r="A1018" t="s">
        <v>86</v>
      </c>
      <c r="B1018" t="s">
        <v>133</v>
      </c>
      <c r="C1018" t="s">
        <v>139</v>
      </c>
      <c r="D1018" t="s">
        <v>140</v>
      </c>
      <c r="E1018" t="str">
        <f>IF(LEN(Arch!C382)&gt;0, Arch!C382, Arch!B382)</f>
        <v>บานติดตาย วงกบอะลูมิเนียมสี Grey Sahara ลูกฟักกระจก Heatstrengthen</v>
      </c>
      <c r="F1018" s="1260" t="str">
        <f>Arch!F382</f>
        <v>ชุด</v>
      </c>
      <c r="G1018" s="1260">
        <f>Arch!E382</f>
        <v>1</v>
      </c>
      <c r="H1018" s="1260">
        <f>Arch!I382</f>
        <v>28421.204628799998</v>
      </c>
      <c r="I1018" s="1260">
        <f>Arch!L382</f>
        <v>8152.3981698399994</v>
      </c>
      <c r="J1018" s="1260">
        <f>Arch!M382</f>
        <v>36573.60279864</v>
      </c>
    </row>
    <row r="1019" spans="1:10" outlineLevel="1">
      <c r="A1019" t="s">
        <v>86</v>
      </c>
      <c r="B1019" t="s">
        <v>133</v>
      </c>
      <c r="C1019" t="s">
        <v>139</v>
      </c>
      <c r="D1019" t="s">
        <v>140</v>
      </c>
      <c r="E1019" t="str">
        <f>IF(LEN(Arch!C383)&gt;0, Arch!C383, Arch!B383)</f>
        <v>Laminated Glass + LOW - E ขนาด 3.35 x 2.40 ม.</v>
      </c>
      <c r="F1019" s="1260">
        <f>Arch!F383</f>
        <v>0</v>
      </c>
      <c r="G1019" s="1260">
        <f>Arch!E383</f>
        <v>0</v>
      </c>
      <c r="H1019" s="1260">
        <f>Arch!I383</f>
        <v>0</v>
      </c>
      <c r="I1019" s="1260">
        <f>Arch!L383</f>
        <v>0</v>
      </c>
      <c r="J1019" s="1260">
        <f>Arch!M383</f>
        <v>0</v>
      </c>
    </row>
    <row r="1020" spans="1:10" outlineLevel="1">
      <c r="A1020" t="s">
        <v>86</v>
      </c>
      <c r="B1020" t="s">
        <v>133</v>
      </c>
      <c r="C1020" t="s">
        <v>139</v>
      </c>
      <c r="D1020" t="s">
        <v>140</v>
      </c>
      <c r="E1020" t="str">
        <f>IF(LEN(Arch!C384)&gt;0, Arch!C384, Arch!B384)</f>
        <v>บานติดตาย วงกบอะลูมิเนียมสี Grey Sahara ลูกฟักกระจก Heatstrengthen</v>
      </c>
      <c r="F1020" s="1260" t="str">
        <f>Arch!F384</f>
        <v>ชุด</v>
      </c>
      <c r="G1020" s="1260">
        <f>Arch!E384</f>
        <v>1</v>
      </c>
      <c r="H1020" s="1260">
        <f>Arch!I384</f>
        <v>26111.981752709999</v>
      </c>
      <c r="I1020" s="1260">
        <f>Arch!L384</f>
        <v>7572.7551807</v>
      </c>
      <c r="J1020" s="1260">
        <f>Arch!M384</f>
        <v>33684.73693341</v>
      </c>
    </row>
    <row r="1021" spans="1:10" outlineLevel="1">
      <c r="A1021" t="s">
        <v>86</v>
      </c>
      <c r="B1021" t="s">
        <v>133</v>
      </c>
      <c r="C1021" t="s">
        <v>139</v>
      </c>
      <c r="D1021" t="s">
        <v>140</v>
      </c>
      <c r="E1021" t="str">
        <f>IF(LEN(Arch!C385)&gt;0, Arch!C385, Arch!B385)</f>
        <v>Laminated Glass + LOW - E ขนาด 2.95 x 2.40 ม.</v>
      </c>
      <c r="F1021" s="1260">
        <f>Arch!F385</f>
        <v>0</v>
      </c>
      <c r="G1021" s="1260">
        <f>Arch!E385</f>
        <v>0</v>
      </c>
      <c r="H1021" s="1260">
        <f>Arch!I385</f>
        <v>0</v>
      </c>
      <c r="I1021" s="1260" t="str">
        <f>Arch!L385</f>
        <v xml:space="preserve"> </v>
      </c>
      <c r="J1021" s="1260">
        <f>Arch!M385</f>
        <v>0</v>
      </c>
    </row>
    <row r="1022" spans="1:10" outlineLevel="1">
      <c r="A1022" t="s">
        <v>86</v>
      </c>
      <c r="B1022" t="s">
        <v>133</v>
      </c>
      <c r="C1022" t="s">
        <v>139</v>
      </c>
      <c r="D1022" t="s">
        <v>140</v>
      </c>
      <c r="E1022" t="str">
        <f>IF(LEN(Arch!C386)&gt;0, Arch!C386, Arch!B386)</f>
        <v>บานติดตาย วงกบอะลูมิเนียมสี Grey Sahara ลูกฟักกระจก Heatstrengthen</v>
      </c>
      <c r="F1022" s="1260" t="str">
        <f>Arch!F386</f>
        <v>ชุด</v>
      </c>
      <c r="G1022" s="1260">
        <f>Arch!E386</f>
        <v>1</v>
      </c>
      <c r="H1022" s="1260">
        <f>Arch!I386</f>
        <v>22250.8115186</v>
      </c>
      <c r="I1022" s="1260">
        <f>Arch!L386</f>
        <v>6656.5452946400001</v>
      </c>
      <c r="J1022" s="1260">
        <f>Arch!M386</f>
        <v>28907.35681324</v>
      </c>
    </row>
    <row r="1023" spans="1:10" outlineLevel="1">
      <c r="A1023" t="s">
        <v>86</v>
      </c>
      <c r="B1023" t="s">
        <v>133</v>
      </c>
      <c r="C1023" t="s">
        <v>139</v>
      </c>
      <c r="D1023" t="s">
        <v>140</v>
      </c>
      <c r="E1023" t="str">
        <f>IF(LEN(Arch!C387)&gt;0, Arch!C387, Arch!B387)</f>
        <v>Laminated Glass + LOW - E ขนาด 2.85 x 2.00 ม.</v>
      </c>
      <c r="F1023" s="1260">
        <f>Arch!F387</f>
        <v>0</v>
      </c>
      <c r="G1023" s="1260">
        <f>Arch!E387</f>
        <v>0</v>
      </c>
      <c r="H1023" s="1260">
        <f>Arch!I387</f>
        <v>0</v>
      </c>
      <c r="I1023" s="1260" t="str">
        <f>Arch!L387</f>
        <v xml:space="preserve"> </v>
      </c>
      <c r="J1023" s="1260">
        <f>Arch!M387</f>
        <v>0</v>
      </c>
    </row>
    <row r="1024" spans="1:10" outlineLevel="1">
      <c r="A1024" t="s">
        <v>86</v>
      </c>
      <c r="B1024" t="s">
        <v>133</v>
      </c>
      <c r="C1024" t="s">
        <v>139</v>
      </c>
      <c r="D1024" t="s">
        <v>140</v>
      </c>
      <c r="E1024" t="str">
        <f>IF(LEN(Arch!C388)&gt;0, Arch!C388, Arch!B388)</f>
        <v>บานติดตาย วงกบอะลูมิเนียมสี Grey Sahara ลูกฟักกระจก Heatstrengthen</v>
      </c>
      <c r="F1024" s="1260" t="str">
        <f>Arch!F388</f>
        <v>ชุด</v>
      </c>
      <c r="G1024" s="1260">
        <f>Arch!E388</f>
        <v>1</v>
      </c>
      <c r="H1024" s="1260">
        <f>Arch!I388</f>
        <v>22250.8115186</v>
      </c>
      <c r="I1024" s="1260">
        <f>Arch!L388</f>
        <v>6656.5452946400001</v>
      </c>
      <c r="J1024" s="1260">
        <f>Arch!M388</f>
        <v>28907.35681324</v>
      </c>
    </row>
    <row r="1025" spans="1:10" outlineLevel="1">
      <c r="A1025" t="s">
        <v>86</v>
      </c>
      <c r="B1025" t="s">
        <v>133</v>
      </c>
      <c r="C1025" t="s">
        <v>139</v>
      </c>
      <c r="D1025" t="s">
        <v>140</v>
      </c>
      <c r="E1025" t="str">
        <f>IF(LEN(Arch!C389)&gt;0, Arch!C389, Arch!B389)</f>
        <v>Laminated Glass + LOW - E ขนาด 2.85 x 2.00 ม.</v>
      </c>
      <c r="F1025" s="1260">
        <f>Arch!F389</f>
        <v>0</v>
      </c>
      <c r="G1025" s="1260">
        <f>Arch!E389</f>
        <v>0</v>
      </c>
      <c r="H1025" s="1260">
        <f>Arch!I389</f>
        <v>0</v>
      </c>
      <c r="I1025" s="1260" t="str">
        <f>Arch!L389</f>
        <v xml:space="preserve"> </v>
      </c>
      <c r="J1025" s="1260">
        <f>Arch!M389</f>
        <v>0</v>
      </c>
    </row>
    <row r="1026" spans="1:10" outlineLevel="1">
      <c r="A1026" t="s">
        <v>86</v>
      </c>
      <c r="B1026" t="s">
        <v>133</v>
      </c>
      <c r="C1026" t="s">
        <v>139</v>
      </c>
      <c r="D1026" t="s">
        <v>140</v>
      </c>
      <c r="E1026" t="str">
        <f>IF(LEN(Arch!C390)&gt;0, Arch!C390, Arch!B390)</f>
        <v>บานติดตาย วงกบอะลูมิเนียมสี Grey Sahara ลูกฟักกระจก Heatstrengthen</v>
      </c>
      <c r="F1026" s="1260" t="str">
        <f>Arch!F390</f>
        <v>ชุด</v>
      </c>
      <c r="G1026" s="1260">
        <f>Arch!E390</f>
        <v>2</v>
      </c>
      <c r="H1026" s="1260">
        <f>Arch!I390</f>
        <v>45511.32372796</v>
      </c>
      <c r="I1026" s="1260">
        <f>Arch!L390</f>
        <v>13556.166681499999</v>
      </c>
      <c r="J1026" s="1260">
        <f>Arch!M390</f>
        <v>59067.490409459999</v>
      </c>
    </row>
    <row r="1027" spans="1:10" outlineLevel="1">
      <c r="A1027" t="s">
        <v>86</v>
      </c>
      <c r="B1027" t="s">
        <v>133</v>
      </c>
      <c r="C1027" t="s">
        <v>139</v>
      </c>
      <c r="D1027" t="s">
        <v>140</v>
      </c>
      <c r="E1027" t="str">
        <f>IF(LEN(Arch!C391)&gt;0, Arch!C391, Arch!B391)</f>
        <v>Laminated Glass + LOW - E ขนาด 2.95 x 2.00 ม.</v>
      </c>
      <c r="F1027" s="1260">
        <f>Arch!F391</f>
        <v>0</v>
      </c>
      <c r="G1027" s="1260">
        <f>Arch!E391</f>
        <v>0</v>
      </c>
      <c r="H1027" s="1260">
        <f>Arch!I391</f>
        <v>0</v>
      </c>
      <c r="I1027" s="1260" t="str">
        <f>Arch!L391</f>
        <v xml:space="preserve"> </v>
      </c>
      <c r="J1027" s="1260">
        <f>Arch!M391</f>
        <v>0</v>
      </c>
    </row>
    <row r="1028" spans="1:10" outlineLevel="1">
      <c r="A1028" t="s">
        <v>86</v>
      </c>
      <c r="B1028" t="s">
        <v>133</v>
      </c>
      <c r="C1028" t="s">
        <v>139</v>
      </c>
      <c r="D1028" t="s">
        <v>140</v>
      </c>
      <c r="E1028" t="str">
        <f>IF(LEN(Arch!C392)&gt;0, Arch!C392, Arch!B392)</f>
        <v>บานติดตาย วงกบอะลูมิเนียมสี Grey Sahara ลูกฟักกระจก Heatstrengthen</v>
      </c>
      <c r="F1028" s="1260" t="str">
        <f>Arch!F392</f>
        <v>ชุด</v>
      </c>
      <c r="G1028" s="1260">
        <f>Arch!E392</f>
        <v>1</v>
      </c>
      <c r="H1028" s="1260">
        <f>Arch!I392</f>
        <v>24793.76140644</v>
      </c>
      <c r="I1028" s="1260">
        <f>Arch!L392</f>
        <v>7282.9336861299998</v>
      </c>
      <c r="J1028" s="1260">
        <f>Arch!M392</f>
        <v>32076.69509257</v>
      </c>
    </row>
    <row r="1029" spans="1:10" outlineLevel="1">
      <c r="A1029" t="s">
        <v>86</v>
      </c>
      <c r="B1029" t="s">
        <v>133</v>
      </c>
      <c r="C1029" t="s">
        <v>139</v>
      </c>
      <c r="D1029" t="s">
        <v>140</v>
      </c>
      <c r="E1029" t="str">
        <f>IF(LEN(Arch!C393)&gt;0, Arch!C393, Arch!B393)</f>
        <v>Laminated Glass + LOW - E ขนาด  3.35 x 2.00 ม.</v>
      </c>
      <c r="F1029" s="1260">
        <f>Arch!F393</f>
        <v>0</v>
      </c>
      <c r="G1029" s="1260">
        <f>Arch!E393</f>
        <v>0</v>
      </c>
      <c r="H1029" s="1260">
        <f>Arch!I393</f>
        <v>0</v>
      </c>
      <c r="I1029" s="1260">
        <f>Arch!L393</f>
        <v>0</v>
      </c>
      <c r="J1029" s="1260">
        <f>Arch!M393</f>
        <v>0</v>
      </c>
    </row>
    <row r="1030" spans="1:10" outlineLevel="1">
      <c r="A1030" t="s">
        <v>86</v>
      </c>
      <c r="B1030" t="s">
        <v>133</v>
      </c>
      <c r="C1030" t="s">
        <v>139</v>
      </c>
      <c r="D1030" t="s">
        <v>140</v>
      </c>
      <c r="E1030" t="str">
        <f>IF(LEN(Arch!C394)&gt;0, Arch!C394, Arch!B394)</f>
        <v>บานติดตาย วงกบอะลูมิเนียมสี Grey Sahara ลูกฟักกระจก Heatstrengthen</v>
      </c>
      <c r="F1030" s="1260" t="str">
        <f>Arch!F394</f>
        <v>ชุด</v>
      </c>
      <c r="G1030" s="1260">
        <f>Arch!E394</f>
        <v>1</v>
      </c>
      <c r="H1030" s="1260">
        <f>Arch!I394</f>
        <v>49007.879823739997</v>
      </c>
      <c r="I1030" s="1260">
        <f>Arch!L394</f>
        <v>13743.148290899999</v>
      </c>
      <c r="J1030" s="1260">
        <f>Arch!M394</f>
        <v>62751.028114639994</v>
      </c>
    </row>
    <row r="1031" spans="1:10" outlineLevel="1">
      <c r="A1031" t="s">
        <v>86</v>
      </c>
      <c r="B1031" t="s">
        <v>133</v>
      </c>
      <c r="C1031" t="s">
        <v>139</v>
      </c>
      <c r="D1031" t="s">
        <v>140</v>
      </c>
      <c r="E1031" t="str">
        <f>IF(LEN(Arch!C395)&gt;0, Arch!C395, Arch!B395)</f>
        <v>Laminated Glass + LOW - E ขนาด 3.35 x 3.70 ม.</v>
      </c>
      <c r="F1031" s="1260">
        <f>Arch!F395</f>
        <v>0</v>
      </c>
      <c r="G1031" s="1260">
        <f>Arch!E395</f>
        <v>0</v>
      </c>
      <c r="H1031" s="1260">
        <f>Arch!I395</f>
        <v>0</v>
      </c>
      <c r="I1031" s="1260" t="str">
        <f>Arch!L395</f>
        <v xml:space="preserve"> </v>
      </c>
      <c r="J1031" s="1260">
        <f>Arch!M395</f>
        <v>0</v>
      </c>
    </row>
    <row r="1032" spans="1:10" outlineLevel="1">
      <c r="A1032" t="s">
        <v>86</v>
      </c>
      <c r="B1032" t="s">
        <v>133</v>
      </c>
      <c r="C1032" t="s">
        <v>139</v>
      </c>
      <c r="D1032" t="s">
        <v>140</v>
      </c>
      <c r="E1032" t="str">
        <f>IF(LEN(Arch!C396)&gt;0, Arch!C396, Arch!B396)</f>
        <v>บานติดตาย วงกบอะลูมิเนียมสี Grey Sahara ลูกฟักกระจก Heatstrengthen</v>
      </c>
      <c r="F1032" s="1260" t="str">
        <f>Arch!F396</f>
        <v>ชุด</v>
      </c>
      <c r="G1032" s="1260">
        <f>Arch!E396</f>
        <v>1</v>
      </c>
      <c r="H1032" s="1260">
        <f>Arch!I396</f>
        <v>44969.077060700001</v>
      </c>
      <c r="I1032" s="1260">
        <f>Arch!L396</f>
        <v>12639.956795439999</v>
      </c>
      <c r="J1032" s="1260">
        <f>Arch!M396</f>
        <v>57609.033856139999</v>
      </c>
    </row>
    <row r="1033" spans="1:10" outlineLevel="1">
      <c r="A1033" t="s">
        <v>86</v>
      </c>
      <c r="B1033" t="s">
        <v>133</v>
      </c>
      <c r="C1033" t="s">
        <v>139</v>
      </c>
      <c r="D1033" t="s">
        <v>140</v>
      </c>
      <c r="E1033" t="str">
        <f>IF(LEN(Arch!C397)&gt;0, Arch!C397, Arch!B397)</f>
        <v>Laminated Glass + LOW - E ขนาด 2.95 x 3.70 ม.</v>
      </c>
      <c r="F1033" s="1260">
        <f>Arch!F397</f>
        <v>0</v>
      </c>
      <c r="G1033" s="1260">
        <f>Arch!E397</f>
        <v>0</v>
      </c>
      <c r="H1033" s="1260">
        <f>Arch!I397</f>
        <v>0</v>
      </c>
      <c r="I1033" s="1260" t="str">
        <f>Arch!L397</f>
        <v xml:space="preserve"> </v>
      </c>
      <c r="J1033" s="1260">
        <f>Arch!M397</f>
        <v>0</v>
      </c>
    </row>
    <row r="1034" spans="1:10" outlineLevel="1">
      <c r="A1034" t="s">
        <v>86</v>
      </c>
      <c r="B1034" t="s">
        <v>133</v>
      </c>
      <c r="C1034" t="s">
        <v>139</v>
      </c>
      <c r="D1034" t="s">
        <v>140</v>
      </c>
      <c r="E1034" t="str">
        <f>IF(LEN(Arch!C398)&gt;0, Arch!C398, Arch!B398)</f>
        <v>บานติดตาย วงกบอะลูมิเนียมสี Grey Sahara ลูกฟักกระจก Heatstrengthen</v>
      </c>
      <c r="F1034" s="1260" t="str">
        <f>Arch!F398</f>
        <v>ชุด</v>
      </c>
      <c r="G1034" s="1260">
        <f>Arch!E398</f>
        <v>1</v>
      </c>
      <c r="H1034" s="1260">
        <f>Arch!I398</f>
        <v>43660.205794900001</v>
      </c>
      <c r="I1034" s="1260">
        <f>Arch!L398</f>
        <v>12864.334726719999</v>
      </c>
      <c r="J1034" s="1260">
        <f>Arch!M398</f>
        <v>56524.540521620002</v>
      </c>
    </row>
    <row r="1035" spans="1:10" outlineLevel="1">
      <c r="A1035" t="s">
        <v>86</v>
      </c>
      <c r="B1035" t="s">
        <v>133</v>
      </c>
      <c r="C1035" t="s">
        <v>139</v>
      </c>
      <c r="D1035" t="s">
        <v>140</v>
      </c>
      <c r="E1035" t="str">
        <f>IF(LEN(Arch!C399)&gt;0, Arch!C399, Arch!B399)</f>
        <v>Laminated Glass + LOW - E ขนาด 3.35 x 3.40 ม.</v>
      </c>
      <c r="F1035" s="1260">
        <f>Arch!F399</f>
        <v>0</v>
      </c>
      <c r="G1035" s="1260">
        <f>Arch!E399</f>
        <v>0</v>
      </c>
      <c r="H1035" s="1260">
        <f>Arch!I399</f>
        <v>0</v>
      </c>
      <c r="I1035" s="1260" t="str">
        <f>Arch!L399</f>
        <v xml:space="preserve"> </v>
      </c>
      <c r="J1035" s="1260">
        <f>Arch!M399</f>
        <v>0</v>
      </c>
    </row>
    <row r="1036" spans="1:10" outlineLevel="1">
      <c r="A1036" t="s">
        <v>86</v>
      </c>
      <c r="B1036" t="s">
        <v>133</v>
      </c>
      <c r="C1036" t="s">
        <v>139</v>
      </c>
      <c r="D1036" t="s">
        <v>140</v>
      </c>
      <c r="E1036" t="str">
        <f>IF(LEN(Arch!C400)&gt;0, Arch!C400, Arch!B400)</f>
        <v>บานติดตาย วงกบอะลูมิเนียมสี Grey Sahara ลูกฟักกระจก Heatstrengthen</v>
      </c>
      <c r="F1036" s="1260" t="str">
        <f>Arch!F400</f>
        <v>ชุด</v>
      </c>
      <c r="G1036" s="1260">
        <f>Arch!E400</f>
        <v>1</v>
      </c>
      <c r="H1036" s="1260">
        <f>Arch!I400</f>
        <v>41790.389700899999</v>
      </c>
      <c r="I1036" s="1260">
        <f>Arch!L400</f>
        <v>11854.63403596</v>
      </c>
      <c r="J1036" s="1260">
        <f>Arch!M400</f>
        <v>53645.023736859999</v>
      </c>
    </row>
    <row r="1037" spans="1:10" outlineLevel="1">
      <c r="A1037" t="s">
        <v>86</v>
      </c>
      <c r="B1037" t="s">
        <v>133</v>
      </c>
      <c r="C1037" t="s">
        <v>139</v>
      </c>
      <c r="D1037" t="s">
        <v>140</v>
      </c>
      <c r="E1037" t="str">
        <f>IF(LEN(Arch!C401)&gt;0, Arch!C401, Arch!B401)</f>
        <v>Laminated Glass + LOW - E ขนาด 2.95 x 3.40 ม.</v>
      </c>
      <c r="F1037" s="1260">
        <f>Arch!F401</f>
        <v>0</v>
      </c>
      <c r="G1037" s="1260">
        <f>Arch!E401</f>
        <v>0</v>
      </c>
      <c r="H1037" s="1260">
        <f>Arch!I401</f>
        <v>0</v>
      </c>
      <c r="I1037" s="1260">
        <f>Arch!L401</f>
        <v>0</v>
      </c>
      <c r="J1037" s="1260">
        <f>Arch!M401</f>
        <v>0</v>
      </c>
    </row>
    <row r="1038" spans="1:10" outlineLevel="1">
      <c r="A1038" t="s">
        <v>86</v>
      </c>
      <c r="B1038" t="s">
        <v>133</v>
      </c>
      <c r="C1038" t="s">
        <v>139</v>
      </c>
      <c r="D1038" t="s">
        <v>140</v>
      </c>
      <c r="E1038" t="str">
        <f>IF(LEN(Arch!C402)&gt;0, Arch!C402, Arch!B402)</f>
        <v>ยกเลิก</v>
      </c>
      <c r="F1038" s="1260" t="str">
        <f>Arch!F402</f>
        <v>ชุด</v>
      </c>
      <c r="G1038" s="1260">
        <f>Arch!E402</f>
        <v>0</v>
      </c>
      <c r="H1038" s="1260">
        <f>Arch!I402</f>
        <v>0</v>
      </c>
      <c r="I1038" s="1260">
        <f>Arch!L402</f>
        <v>0</v>
      </c>
      <c r="J1038" s="1260">
        <f>Arch!M402</f>
        <v>0</v>
      </c>
    </row>
    <row r="1039" spans="1:10" outlineLevel="1">
      <c r="A1039" t="s">
        <v>86</v>
      </c>
      <c r="B1039" t="s">
        <v>133</v>
      </c>
      <c r="C1039" t="s">
        <v>139</v>
      </c>
      <c r="D1039" t="s">
        <v>140</v>
      </c>
      <c r="E1039" t="str">
        <f>IF(LEN(Arch!C403)&gt;0, Arch!C403, Arch!B403)</f>
        <v>บานติดตาย วงกบอะลูมิเนียมสี Grey Sahara ลูกฟักกระจก Heatstrengthen</v>
      </c>
      <c r="F1039" s="1260" t="str">
        <f>Arch!F403</f>
        <v>ชุด</v>
      </c>
      <c r="G1039" s="1260">
        <f>Arch!E403</f>
        <v>1</v>
      </c>
      <c r="H1039" s="1260">
        <f>Arch!I403</f>
        <v>34124.143715500002</v>
      </c>
      <c r="I1039" s="1260">
        <f>Arch!L403</f>
        <v>9938.0725396099988</v>
      </c>
      <c r="J1039" s="1260">
        <f>Arch!M403</f>
        <v>44062.216255110005</v>
      </c>
    </row>
    <row r="1040" spans="1:10" outlineLevel="1">
      <c r="A1040" t="s">
        <v>86</v>
      </c>
      <c r="B1040" t="s">
        <v>133</v>
      </c>
      <c r="C1040" t="s">
        <v>139</v>
      </c>
      <c r="D1040" t="s">
        <v>140</v>
      </c>
      <c r="E1040" t="str">
        <f>IF(LEN(Arch!C404)&gt;0, Arch!C404, Arch!B404)</f>
        <v>Laminated Glass + LOW - E ขนาด 3.155 x 2.525 ม.</v>
      </c>
      <c r="F1040" s="1260">
        <f>Arch!F404</f>
        <v>0</v>
      </c>
      <c r="G1040" s="1260">
        <f>Arch!E404</f>
        <v>0</v>
      </c>
      <c r="H1040" s="1260">
        <f>Arch!I404</f>
        <v>0</v>
      </c>
      <c r="I1040" s="1260" t="str">
        <f>Arch!L404</f>
        <v xml:space="preserve"> </v>
      </c>
      <c r="J1040" s="1260">
        <f>Arch!M404</f>
        <v>0</v>
      </c>
    </row>
    <row r="1041" spans="1:10" outlineLevel="1">
      <c r="A1041" t="s">
        <v>86</v>
      </c>
      <c r="B1041" t="s">
        <v>133</v>
      </c>
      <c r="C1041" t="s">
        <v>139</v>
      </c>
      <c r="D1041" t="s">
        <v>140</v>
      </c>
      <c r="E1041" t="str">
        <f>IF(LEN(Arch!C405)&gt;0, Arch!C405, Arch!B405)</f>
        <v>บานติดตาย วงกบอะลูมิเนียมสี Grey Sahara ลูกฟักกระจก Heatstrengthen</v>
      </c>
      <c r="F1041" s="1260" t="str">
        <f>Arch!F405</f>
        <v>ชุด</v>
      </c>
      <c r="G1041" s="1260">
        <f>Arch!E405</f>
        <v>1</v>
      </c>
      <c r="H1041" s="1260">
        <f>Arch!I405</f>
        <v>33048.999461449996</v>
      </c>
      <c r="I1041" s="1260">
        <f>Arch!L405</f>
        <v>7666.2459853999999</v>
      </c>
      <c r="J1041" s="1260">
        <f>Arch!M405</f>
        <v>40715.245446849993</v>
      </c>
    </row>
    <row r="1042" spans="1:10" outlineLevel="1">
      <c r="A1042" t="s">
        <v>86</v>
      </c>
      <c r="B1042" t="s">
        <v>133</v>
      </c>
      <c r="C1042" t="s">
        <v>139</v>
      </c>
      <c r="D1042" t="s">
        <v>140</v>
      </c>
      <c r="E1042" t="str">
        <f>IF(LEN(Arch!C406)&gt;0, Arch!C406, Arch!B406)</f>
        <v>Laminated Glass + LOW - E ขนาด 3.05 x 2.525 ม.</v>
      </c>
      <c r="F1042" s="1260">
        <f>Arch!F406</f>
        <v>0</v>
      </c>
      <c r="G1042" s="1260">
        <f>Arch!E406</f>
        <v>0</v>
      </c>
      <c r="H1042" s="1260">
        <f>Arch!I406</f>
        <v>0</v>
      </c>
      <c r="I1042" s="1260" t="str">
        <f>Arch!L406</f>
        <v xml:space="preserve"> </v>
      </c>
      <c r="J1042" s="1260">
        <f>Arch!M406</f>
        <v>0</v>
      </c>
    </row>
    <row r="1043" spans="1:10" outlineLevel="1">
      <c r="A1043" t="s">
        <v>86</v>
      </c>
      <c r="B1043" t="s">
        <v>133</v>
      </c>
      <c r="C1043" t="s">
        <v>139</v>
      </c>
      <c r="D1043" t="s">
        <v>140</v>
      </c>
      <c r="E1043" t="str">
        <f>IF(LEN(Arch!C407)&gt;0, Arch!C407, Arch!B407)</f>
        <v>บานติดตาย วงกบอะลูมิเนียมสี Grey Sahara</v>
      </c>
      <c r="F1043" s="1260" t="str">
        <f>Arch!F407</f>
        <v>ชุด</v>
      </c>
      <c r="G1043" s="1260">
        <f>Arch!E407</f>
        <v>3</v>
      </c>
      <c r="H1043" s="1260">
        <f>Arch!I407</f>
        <v>106495.37563377</v>
      </c>
      <c r="I1043" s="1260">
        <f>Arch!L407</f>
        <v>30851.965551000001</v>
      </c>
      <c r="J1043" s="1260">
        <f>Arch!M407</f>
        <v>137347.34118476999</v>
      </c>
    </row>
    <row r="1044" spans="1:10" outlineLevel="1">
      <c r="A1044" t="s">
        <v>86</v>
      </c>
      <c r="B1044" t="s">
        <v>133</v>
      </c>
      <c r="C1044" t="s">
        <v>139</v>
      </c>
      <c r="D1044" t="s">
        <v>140</v>
      </c>
      <c r="E1044" t="str">
        <f>IF(LEN(Arch!C408)&gt;0, Arch!C408, Arch!B408)</f>
        <v>ลูกฟักกระจก Heatstrengthen Laminated Glass  ขนาดตามระบุในแบบ</v>
      </c>
      <c r="F1044" s="1260">
        <f>Arch!F408</f>
        <v>0</v>
      </c>
      <c r="G1044" s="1260">
        <f>Arch!E408</f>
        <v>0</v>
      </c>
      <c r="H1044" s="1260">
        <f>Arch!I408</f>
        <v>0</v>
      </c>
      <c r="I1044" s="1260" t="str">
        <f>Arch!L408</f>
        <v xml:space="preserve"> </v>
      </c>
      <c r="J1044" s="1260">
        <f>Arch!M408</f>
        <v>0</v>
      </c>
    </row>
    <row r="1045" spans="1:10" outlineLevel="1">
      <c r="A1045" t="s">
        <v>86</v>
      </c>
      <c r="B1045" t="s">
        <v>133</v>
      </c>
      <c r="C1045" t="s">
        <v>139</v>
      </c>
      <c r="D1045" t="s">
        <v>140</v>
      </c>
      <c r="E1045" t="str">
        <f>IF(LEN(Arch!C409)&gt;0, Arch!C409, Arch!B409)</f>
        <v>บานติดตาย วงกบอะลูมิเนียมสี Grey Sahara</v>
      </c>
      <c r="F1045" s="1260" t="str">
        <f>Arch!F409</f>
        <v>ชุด</v>
      </c>
      <c r="G1045" s="1260">
        <f>Arch!E409</f>
        <v>3</v>
      </c>
      <c r="H1045" s="1260">
        <f>Arch!I409</f>
        <v>125020.578585075</v>
      </c>
      <c r="I1045" s="1260">
        <f>Arch!L409</f>
        <v>35479.760383649998</v>
      </c>
      <c r="J1045" s="1260">
        <f>Arch!M409</f>
        <v>160500.338968725</v>
      </c>
    </row>
    <row r="1046" spans="1:10" outlineLevel="1">
      <c r="A1046" t="s">
        <v>86</v>
      </c>
      <c r="B1046" t="s">
        <v>133</v>
      </c>
      <c r="C1046" t="s">
        <v>139</v>
      </c>
      <c r="D1046" t="s">
        <v>140</v>
      </c>
      <c r="E1046" t="str">
        <f>IF(LEN(Arch!C410)&gt;0, Arch!C410, Arch!B410)</f>
        <v>ลูกฟักกระจก Heatstrengthen Laminated Glass  ขนาดตามระบุในแบบ</v>
      </c>
      <c r="F1046" s="1260">
        <f>Arch!F410</f>
        <v>0</v>
      </c>
      <c r="G1046" s="1260">
        <f>Arch!E410</f>
        <v>0</v>
      </c>
      <c r="H1046" s="1260">
        <f>Arch!I410</f>
        <v>0</v>
      </c>
      <c r="I1046" s="1260">
        <f>Arch!L410</f>
        <v>0</v>
      </c>
      <c r="J1046" s="1260">
        <f>Arch!M410</f>
        <v>0</v>
      </c>
    </row>
    <row r="1047" spans="1:10" outlineLevel="1">
      <c r="A1047" t="s">
        <v>86</v>
      </c>
      <c r="B1047" t="s">
        <v>133</v>
      </c>
      <c r="C1047" t="s">
        <v>139</v>
      </c>
      <c r="D1047" t="s">
        <v>140</v>
      </c>
      <c r="E1047">
        <f>IF(LEN(Arch!C411)&gt;0, Arch!C411, Arch!B411)</f>
        <v>0</v>
      </c>
      <c r="F1047" s="1260">
        <f>Arch!F411</f>
        <v>0</v>
      </c>
      <c r="G1047" s="1260">
        <f>Arch!E411</f>
        <v>0</v>
      </c>
      <c r="H1047" s="1260">
        <f>Arch!I411</f>
        <v>0</v>
      </c>
      <c r="I1047" s="1260">
        <f>Arch!L411</f>
        <v>0</v>
      </c>
      <c r="J1047" s="1260">
        <f>Arch!M411</f>
        <v>0</v>
      </c>
    </row>
    <row r="1048" spans="1:10" outlineLevel="1">
      <c r="A1048" t="s">
        <v>86</v>
      </c>
      <c r="B1048" t="s">
        <v>133</v>
      </c>
      <c r="C1048" t="s">
        <v>139</v>
      </c>
      <c r="D1048" t="s">
        <v>140</v>
      </c>
      <c r="E1048" t="str">
        <f>IF(LEN(Arch!C412)&gt;0, Arch!C412, Arch!B412)</f>
        <v>บานติดตาย วงกบอะลูมิเนียมสี Grey Sahara</v>
      </c>
      <c r="F1048" s="1260" t="str">
        <f>Arch!F412</f>
        <v>ชุด</v>
      </c>
      <c r="G1048" s="1260">
        <f>Arch!E412</f>
        <v>3</v>
      </c>
      <c r="H1048" s="1260">
        <f>Arch!I412</f>
        <v>141105.67153371</v>
      </c>
      <c r="I1048" s="1260">
        <f>Arch!L412</f>
        <v>39546.610388100002</v>
      </c>
      <c r="J1048" s="1260">
        <f>Arch!M412</f>
        <v>180652.28192181</v>
      </c>
    </row>
    <row r="1049" spans="1:10" outlineLevel="1">
      <c r="A1049" t="s">
        <v>86</v>
      </c>
      <c r="B1049" t="s">
        <v>133</v>
      </c>
      <c r="C1049" t="s">
        <v>139</v>
      </c>
      <c r="D1049" t="s">
        <v>140</v>
      </c>
      <c r="E1049" t="str">
        <f>IF(LEN(Arch!C413)&gt;0, Arch!C413, Arch!B413)</f>
        <v>ลูกฟักกระจก Heatstrengthen Laminated Glass  ขนาดตามระบุในแบบ</v>
      </c>
      <c r="F1049" s="1260">
        <f>Arch!F413</f>
        <v>0</v>
      </c>
      <c r="G1049" s="1260">
        <f>Arch!E413</f>
        <v>0</v>
      </c>
      <c r="H1049" s="1260">
        <f>Arch!I413</f>
        <v>0</v>
      </c>
      <c r="I1049" s="1260" t="str">
        <f>Arch!L413</f>
        <v xml:space="preserve"> </v>
      </c>
      <c r="J1049" s="1260">
        <f>Arch!M413</f>
        <v>0</v>
      </c>
    </row>
    <row r="1050" spans="1:10" outlineLevel="1">
      <c r="A1050" t="s">
        <v>86</v>
      </c>
      <c r="B1050" t="s">
        <v>133</v>
      </c>
      <c r="C1050" t="s">
        <v>139</v>
      </c>
      <c r="D1050" t="s">
        <v>140</v>
      </c>
      <c r="E1050" t="str">
        <f>IF(LEN(Arch!C414)&gt;0, Arch!C414, Arch!B414)</f>
        <v>บานติดตาย วงกบอะลูมิเนียมสี Grey Sahara</v>
      </c>
      <c r="F1050" s="1260" t="str">
        <f>Arch!F414</f>
        <v>ชุด</v>
      </c>
      <c r="G1050" s="1260">
        <f>Arch!E414</f>
        <v>2</v>
      </c>
      <c r="H1050" s="1260">
        <f>Arch!I414</f>
        <v>89938.154121400003</v>
      </c>
      <c r="I1050" s="1260">
        <f>Arch!L414</f>
        <v>25279.913590879998</v>
      </c>
      <c r="J1050" s="1260">
        <f>Arch!M414</f>
        <v>115218.06771228</v>
      </c>
    </row>
    <row r="1051" spans="1:10" outlineLevel="1">
      <c r="A1051" t="s">
        <v>86</v>
      </c>
      <c r="B1051" t="s">
        <v>133</v>
      </c>
      <c r="C1051" t="s">
        <v>139</v>
      </c>
      <c r="D1051" t="s">
        <v>140</v>
      </c>
      <c r="E1051" t="str">
        <f>IF(LEN(Arch!C415)&gt;0, Arch!C415, Arch!B415)</f>
        <v>ลูกฟักกระจก Heatstrengthen Laminated Glass  ขนาดตามระบุในแบบ</v>
      </c>
      <c r="F1051" s="1260">
        <f>Arch!F415</f>
        <v>0</v>
      </c>
      <c r="G1051" s="1260">
        <f>Arch!E415</f>
        <v>0</v>
      </c>
      <c r="H1051" s="1260">
        <f>Arch!I415</f>
        <v>0</v>
      </c>
      <c r="I1051" s="1260" t="str">
        <f>Arch!L415</f>
        <v xml:space="preserve"> </v>
      </c>
      <c r="J1051" s="1260">
        <f>Arch!M415</f>
        <v>0</v>
      </c>
    </row>
    <row r="1052" spans="1:10" outlineLevel="1">
      <c r="A1052" t="s">
        <v>86</v>
      </c>
      <c r="B1052" t="s">
        <v>133</v>
      </c>
      <c r="C1052" t="s">
        <v>139</v>
      </c>
      <c r="D1052" t="s">
        <v>140</v>
      </c>
      <c r="E1052" t="str">
        <f>IF(LEN(Arch!C416)&gt;0, Arch!C416, Arch!B416)</f>
        <v>บานติดตาย วงกบอะลูมิเนียมสี Grey Sahara</v>
      </c>
      <c r="F1052" s="1260" t="str">
        <f>Arch!F416</f>
        <v>ชุด</v>
      </c>
      <c r="G1052" s="1260">
        <f>Arch!E416</f>
        <v>2</v>
      </c>
      <c r="H1052" s="1260">
        <f>Arch!I416</f>
        <v>89938.154121400003</v>
      </c>
      <c r="I1052" s="1260">
        <f>Arch!L416</f>
        <v>25279.913590879998</v>
      </c>
      <c r="J1052" s="1260">
        <f>Arch!M416</f>
        <v>115218.06771228</v>
      </c>
    </row>
    <row r="1053" spans="1:10" outlineLevel="1">
      <c r="A1053" t="s">
        <v>86</v>
      </c>
      <c r="B1053" t="s">
        <v>133</v>
      </c>
      <c r="C1053" t="s">
        <v>139</v>
      </c>
      <c r="D1053" t="s">
        <v>140</v>
      </c>
      <c r="E1053" t="str">
        <f>IF(LEN(Arch!C417)&gt;0, Arch!C417, Arch!B417)</f>
        <v>ลูกฟักกระจก Heatstrengthen Laminated Glass  ขนาดตามระบุในแบบ</v>
      </c>
      <c r="F1053" s="1260">
        <f>Arch!F417</f>
        <v>0</v>
      </c>
      <c r="G1053" s="1260">
        <f>Arch!E417</f>
        <v>0</v>
      </c>
      <c r="H1053" s="1260">
        <f>Arch!I417</f>
        <v>0</v>
      </c>
      <c r="I1053" s="1260" t="str">
        <f>Arch!L417</f>
        <v xml:space="preserve"> </v>
      </c>
      <c r="J1053" s="1260">
        <f>Arch!M417</f>
        <v>0</v>
      </c>
    </row>
    <row r="1054" spans="1:10" outlineLevel="1">
      <c r="A1054" t="s">
        <v>86</v>
      </c>
      <c r="B1054" t="s">
        <v>133</v>
      </c>
      <c r="C1054" t="s">
        <v>139</v>
      </c>
      <c r="D1054" t="s">
        <v>140</v>
      </c>
      <c r="E1054" t="str">
        <f>IF(LEN(Arch!C418)&gt;0, Arch!C418, Arch!B418)</f>
        <v>บานติดตาย วงกบอะลูมิเนียมสี Grey Sahara</v>
      </c>
      <c r="F1054" s="1260" t="str">
        <f>Arch!F418</f>
        <v>ชุด</v>
      </c>
      <c r="G1054" s="1260">
        <f>Arch!E418</f>
        <v>3</v>
      </c>
      <c r="H1054" s="1260">
        <f>Arch!I418</f>
        <v>127923.46807100999</v>
      </c>
      <c r="I1054" s="1260">
        <f>Arch!L418</f>
        <v>36265.083143129996</v>
      </c>
      <c r="J1054" s="1260">
        <f>Arch!M418</f>
        <v>164188.55121414</v>
      </c>
    </row>
    <row r="1055" spans="1:10" outlineLevel="1">
      <c r="A1055" t="s">
        <v>86</v>
      </c>
      <c r="B1055" t="s">
        <v>133</v>
      </c>
      <c r="C1055" t="s">
        <v>139</v>
      </c>
      <c r="D1055" t="s">
        <v>140</v>
      </c>
      <c r="E1055" t="str">
        <f>IF(LEN(Arch!C419)&gt;0, Arch!C419, Arch!B419)</f>
        <v>ลูกฟักกระจก Heatstrengthen Laminated Glass  ขนาดตามระบุในแบบ</v>
      </c>
      <c r="F1055" s="1260">
        <f>Arch!F419</f>
        <v>0</v>
      </c>
      <c r="G1055" s="1260">
        <f>Arch!E419</f>
        <v>0</v>
      </c>
      <c r="H1055" s="1260">
        <f>Arch!I419</f>
        <v>0</v>
      </c>
      <c r="I1055" s="1260" t="str">
        <f>Arch!L419</f>
        <v xml:space="preserve"> </v>
      </c>
      <c r="J1055" s="1260">
        <f>Arch!M419</f>
        <v>0</v>
      </c>
    </row>
    <row r="1056" spans="1:10" outlineLevel="1">
      <c r="A1056" t="s">
        <v>86</v>
      </c>
      <c r="B1056" t="s">
        <v>133</v>
      </c>
      <c r="C1056" t="s">
        <v>139</v>
      </c>
      <c r="D1056" t="s">
        <v>140</v>
      </c>
      <c r="E1056" t="str">
        <f>IF(LEN(Arch!C420)&gt;0, Arch!C420, Arch!B420)</f>
        <v>บานติดตาย วงกบอะลูมิเนียมสี Grey Sahara</v>
      </c>
      <c r="F1056" s="1260" t="str">
        <f>Arch!F420</f>
        <v>ชุด</v>
      </c>
      <c r="G1056" s="1260">
        <f>Arch!E420</f>
        <v>3</v>
      </c>
      <c r="H1056" s="1260">
        <f>Arch!I420</f>
        <v>138160.71118565998</v>
      </c>
      <c r="I1056" s="1260">
        <f>Arch!L420</f>
        <v>38873.476594259999</v>
      </c>
      <c r="J1056" s="1260">
        <f>Arch!M420</f>
        <v>177034.18777991997</v>
      </c>
    </row>
    <row r="1057" spans="1:10" outlineLevel="1">
      <c r="A1057" t="s">
        <v>86</v>
      </c>
      <c r="B1057" t="s">
        <v>133</v>
      </c>
      <c r="C1057" t="s">
        <v>139</v>
      </c>
      <c r="D1057" t="s">
        <v>140</v>
      </c>
      <c r="E1057" t="str">
        <f>IF(LEN(Arch!C421)&gt;0, Arch!C421, Arch!B421)</f>
        <v>ลูกฟักกระจก Heatstrengthen Laminated Glass  ขนาดตามระบุในแบบ</v>
      </c>
      <c r="F1057" s="1260">
        <f>Arch!F421</f>
        <v>0</v>
      </c>
      <c r="G1057" s="1260">
        <f>Arch!E421</f>
        <v>0</v>
      </c>
      <c r="H1057" s="1260">
        <f>Arch!I421</f>
        <v>0</v>
      </c>
      <c r="I1057" s="1260">
        <f>Arch!L421</f>
        <v>0</v>
      </c>
      <c r="J1057" s="1260">
        <f>Arch!M421</f>
        <v>0</v>
      </c>
    </row>
    <row r="1058" spans="1:10" outlineLevel="1">
      <c r="A1058" t="s">
        <v>86</v>
      </c>
      <c r="B1058" t="s">
        <v>133</v>
      </c>
      <c r="C1058" t="s">
        <v>139</v>
      </c>
      <c r="D1058" t="s">
        <v>140</v>
      </c>
      <c r="E1058" t="str">
        <f>IF(LEN(Arch!C422)&gt;0, Arch!C422, Arch!B422)</f>
        <v>บานติดตาย วงกบอะลูมิเนียมสี Grey Sahara</v>
      </c>
      <c r="F1058" s="1260" t="str">
        <f>Arch!F422</f>
        <v>ชุด</v>
      </c>
      <c r="G1058" s="1260">
        <f>Arch!E422</f>
        <v>1</v>
      </c>
      <c r="H1058" s="1260">
        <f>Arch!I422</f>
        <v>31366.164976849999</v>
      </c>
      <c r="I1058" s="1260">
        <f>Arch!L422</f>
        <v>8984.4663316699989</v>
      </c>
      <c r="J1058" s="1260">
        <f>Arch!M422</f>
        <v>40350.631308519994</v>
      </c>
    </row>
    <row r="1059" spans="1:10" outlineLevel="1">
      <c r="A1059" t="s">
        <v>86</v>
      </c>
      <c r="B1059" t="s">
        <v>133</v>
      </c>
      <c r="C1059" t="s">
        <v>139</v>
      </c>
      <c r="D1059" t="s">
        <v>140</v>
      </c>
      <c r="E1059" t="str">
        <f>IF(LEN(Arch!C423)&gt;0, Arch!C423, Arch!B423)</f>
        <v>ลูกฟักกระจก Heatstrengthen Laminated Glass  ขนาดตามระบุในแบบ</v>
      </c>
      <c r="F1059" s="1260">
        <f>Arch!F423</f>
        <v>0</v>
      </c>
      <c r="G1059" s="1260">
        <f>Arch!E423</f>
        <v>0</v>
      </c>
      <c r="H1059" s="1260">
        <f>Arch!I423</f>
        <v>0</v>
      </c>
      <c r="I1059" s="1260" t="str">
        <f>Arch!L423</f>
        <v xml:space="preserve"> </v>
      </c>
      <c r="J1059" s="1260">
        <f>Arch!M423</f>
        <v>0</v>
      </c>
    </row>
    <row r="1060" spans="1:10" outlineLevel="1">
      <c r="A1060" t="s">
        <v>86</v>
      </c>
      <c r="B1060" t="s">
        <v>133</v>
      </c>
      <c r="C1060" t="s">
        <v>139</v>
      </c>
      <c r="D1060" t="s">
        <v>140</v>
      </c>
      <c r="E1060" t="str">
        <f>IF(LEN(Arch!C424)&gt;0, Arch!C424, Arch!B424)</f>
        <v>บานกระทุ้ง  /บานติดตาย วงกบอะลูมิเนียมสี Grey Sahara</v>
      </c>
      <c r="F1060" s="1260" t="str">
        <f>Arch!F424</f>
        <v>ชุด</v>
      </c>
      <c r="G1060" s="1260">
        <f>Arch!E424</f>
        <v>2</v>
      </c>
      <c r="H1060" s="1260">
        <f>Arch!I424</f>
        <v>215963.75885699998</v>
      </c>
      <c r="I1060" s="1260">
        <f>Arch!L424</f>
        <v>39827.082802199999</v>
      </c>
      <c r="J1060" s="1260">
        <f>Arch!M424</f>
        <v>255790.84165919997</v>
      </c>
    </row>
    <row r="1061" spans="1:10" outlineLevel="1">
      <c r="A1061" t="s">
        <v>86</v>
      </c>
      <c r="B1061" t="s">
        <v>133</v>
      </c>
      <c r="C1061" t="s">
        <v>139</v>
      </c>
      <c r="D1061" t="s">
        <v>140</v>
      </c>
      <c r="E1061" t="str">
        <f>IF(LEN(Arch!C425)&gt;0, Arch!C425, Arch!B425)</f>
        <v xml:space="preserve"> ลูกฟักกระจก Laminated LOW - E ขนาด 22.40 x 1.475 ม.</v>
      </c>
      <c r="F1061" s="1260">
        <f>Arch!F425</f>
        <v>0</v>
      </c>
      <c r="G1061" s="1260">
        <f>Arch!E425</f>
        <v>0</v>
      </c>
      <c r="H1061" s="1260">
        <f>Arch!I425</f>
        <v>0</v>
      </c>
      <c r="I1061" s="1260" t="str">
        <f>Arch!L425</f>
        <v xml:space="preserve"> </v>
      </c>
      <c r="J1061" s="1260">
        <f>Arch!M425</f>
        <v>0</v>
      </c>
    </row>
    <row r="1062" spans="1:10" outlineLevel="1">
      <c r="A1062" t="s">
        <v>86</v>
      </c>
      <c r="B1062" t="s">
        <v>133</v>
      </c>
      <c r="C1062" t="s">
        <v>139</v>
      </c>
      <c r="D1062" t="s">
        <v>140</v>
      </c>
      <c r="E1062" t="str">
        <f>IF(LEN(Arch!C426)&gt;0, Arch!C426, Arch!B426)</f>
        <v>บานติดตาย วงกบอะลูมิเนียมสี Grey Sahara ลูกฟักกระจกโฟลท</v>
      </c>
      <c r="F1062" s="1260" t="str">
        <f>Arch!F426</f>
        <v>ชุด</v>
      </c>
      <c r="G1062" s="1260">
        <f>Arch!E426</f>
        <v>1</v>
      </c>
      <c r="H1062" s="1260">
        <f>Arch!I426</f>
        <v>24050.509509075</v>
      </c>
      <c r="I1062" s="1260">
        <f>Arch!L426</f>
        <v>7479.2643760000001</v>
      </c>
      <c r="J1062" s="1260">
        <f>Arch!M426</f>
        <v>31529.773885074999</v>
      </c>
    </row>
    <row r="1063" spans="1:10" outlineLevel="1">
      <c r="A1063" t="s">
        <v>86</v>
      </c>
      <c r="B1063" t="s">
        <v>133</v>
      </c>
      <c r="C1063" t="s">
        <v>139</v>
      </c>
      <c r="D1063" t="s">
        <v>140</v>
      </c>
      <c r="E1063" t="str">
        <f>IF(LEN(Arch!C427)&gt;0, Arch!C427, Arch!B427)</f>
        <v>ขนาด 2.715 x 2.470 ม. หรือระดับใต้ท้องคาน</v>
      </c>
      <c r="F1063" s="1260">
        <f>Arch!F427</f>
        <v>0</v>
      </c>
      <c r="G1063" s="1260">
        <f>Arch!E427</f>
        <v>0</v>
      </c>
      <c r="H1063" s="1260">
        <f>Arch!I427</f>
        <v>0</v>
      </c>
      <c r="I1063" s="1260" t="str">
        <f>Arch!L427</f>
        <v xml:space="preserve"> </v>
      </c>
      <c r="J1063" s="1260">
        <f>Arch!M427</f>
        <v>0</v>
      </c>
    </row>
    <row r="1064" spans="1:10" outlineLevel="1">
      <c r="A1064" t="s">
        <v>86</v>
      </c>
      <c r="B1064" t="s">
        <v>133</v>
      </c>
      <c r="C1064" t="s">
        <v>139</v>
      </c>
      <c r="D1064" t="s">
        <v>140</v>
      </c>
      <c r="E1064" t="str">
        <f>IF(LEN(Arch!C428)&gt;0, Arch!C428, Arch!B428)</f>
        <v>บานติดตาย วงกบอะลูมิเนียมสี Grey Sahara ลูกฟักกระจกโฟลท</v>
      </c>
      <c r="F1064" s="1260" t="str">
        <f>Arch!F428</f>
        <v>ชุด</v>
      </c>
      <c r="G1064" s="1260">
        <f>Arch!E428</f>
        <v>1</v>
      </c>
      <c r="H1064" s="1260">
        <f>Arch!I428</f>
        <v>26083.934511299998</v>
      </c>
      <c r="I1064" s="1260">
        <f>Arch!L428</f>
        <v>8115.0018479599994</v>
      </c>
      <c r="J1064" s="1260">
        <f>Arch!M428</f>
        <v>34198.936359259998</v>
      </c>
    </row>
    <row r="1065" spans="1:10" outlineLevel="1">
      <c r="A1065" t="s">
        <v>86</v>
      </c>
      <c r="B1065" t="s">
        <v>133</v>
      </c>
      <c r="C1065" t="s">
        <v>139</v>
      </c>
      <c r="D1065" t="s">
        <v>140</v>
      </c>
      <c r="E1065" t="str">
        <f>IF(LEN(Arch!C429)&gt;0, Arch!C429, Arch!B429)</f>
        <v>ขนาด 2.715 x 2.470 ม. หรือระดับใต้ท้องคาน</v>
      </c>
      <c r="F1065" s="1260">
        <f>Arch!F429</f>
        <v>0</v>
      </c>
      <c r="G1065" s="1260">
        <f>Arch!E429</f>
        <v>0</v>
      </c>
      <c r="H1065" s="1260">
        <f>Arch!I429</f>
        <v>0</v>
      </c>
      <c r="I1065" s="1260" t="str">
        <f>Arch!L429</f>
        <v xml:space="preserve"> </v>
      </c>
      <c r="J1065" s="1260">
        <f>Arch!M429</f>
        <v>0</v>
      </c>
    </row>
    <row r="1066" spans="1:10" outlineLevel="1">
      <c r="A1066" t="s">
        <v>86</v>
      </c>
      <c r="B1066" t="s">
        <v>133</v>
      </c>
      <c r="C1066" t="s">
        <v>139</v>
      </c>
      <c r="D1066" t="s">
        <v>140</v>
      </c>
      <c r="E1066" t="str">
        <f>IF(LEN(Arch!C430)&gt;0, Arch!C430, Arch!B430)</f>
        <v>บานติดตาย วงกบอะลูมิเนียมสี Grey Sahara ลูกฟักกระจกโฟลท</v>
      </c>
      <c r="F1066" s="1260" t="str">
        <f>Arch!F430</f>
        <v>ชุด</v>
      </c>
      <c r="G1066" s="1260">
        <f>Arch!E430</f>
        <v>1</v>
      </c>
      <c r="H1066" s="1260">
        <f>Arch!I430</f>
        <v>28888.658652300001</v>
      </c>
      <c r="I1066" s="1260">
        <f>Arch!L430</f>
        <v>8862.9282855599995</v>
      </c>
      <c r="J1066" s="1260">
        <f>Arch!M430</f>
        <v>37751.586937860004</v>
      </c>
    </row>
    <row r="1067" spans="1:10" outlineLevel="1">
      <c r="A1067" t="s">
        <v>86</v>
      </c>
      <c r="B1067" t="s">
        <v>133</v>
      </c>
      <c r="C1067" t="s">
        <v>139</v>
      </c>
      <c r="D1067" t="s">
        <v>140</v>
      </c>
      <c r="E1067" t="str">
        <f>IF(LEN(Arch!C431)&gt;0, Arch!C431, Arch!B431)</f>
        <v>Laminated Glass + LOW - E ขนาด3.25 x 2.73 ม. หรือระดับใต้ท้องคาน</v>
      </c>
      <c r="F1067" s="1260">
        <f>Arch!F431</f>
        <v>0</v>
      </c>
      <c r="G1067" s="1260">
        <f>Arch!E431</f>
        <v>0</v>
      </c>
      <c r="H1067" s="1260">
        <f>Arch!I431</f>
        <v>0</v>
      </c>
      <c r="I1067" s="1260" t="str">
        <f>Arch!L431</f>
        <v xml:space="preserve"> </v>
      </c>
      <c r="J1067" s="1260">
        <f>Arch!M431</f>
        <v>0</v>
      </c>
    </row>
    <row r="1068" spans="1:10" outlineLevel="1">
      <c r="A1068" t="s">
        <v>86</v>
      </c>
      <c r="B1068" t="s">
        <v>133</v>
      </c>
      <c r="C1068" t="s">
        <v>139</v>
      </c>
      <c r="D1068" t="s">
        <v>140</v>
      </c>
      <c r="E1068" t="str">
        <f>IF(LEN(Arch!C432)&gt;0, Arch!C432, Arch!B432)</f>
        <v xml:space="preserve">บานติดตาย วงกบอะลูมิเนียมสี Grey Sahara ลูกฟักกระจก Laminated Glass </v>
      </c>
      <c r="F1068" s="1260" t="str">
        <f>Arch!F432</f>
        <v>ชุด</v>
      </c>
      <c r="G1068" s="1260">
        <f>Arch!E432</f>
        <v>1</v>
      </c>
      <c r="H1068" s="1260">
        <f>Arch!I432</f>
        <v>7708.3168475149996</v>
      </c>
      <c r="I1068" s="1260">
        <f>Arch!L432</f>
        <v>2253.1283932699998</v>
      </c>
      <c r="J1068" s="1260">
        <f>Arch!M432</f>
        <v>9961.4452407850004</v>
      </c>
    </row>
    <row r="1069" spans="1:10" outlineLevel="1">
      <c r="A1069" t="s">
        <v>86</v>
      </c>
      <c r="B1069" t="s">
        <v>133</v>
      </c>
      <c r="C1069" t="s">
        <v>139</v>
      </c>
      <c r="D1069" t="s">
        <v>140</v>
      </c>
      <c r="E1069" t="str">
        <f>IF(LEN(Arch!C433)&gt;0, Arch!C433, Arch!B433)</f>
        <v>ขนาด 0.90 x 2.25 ม.</v>
      </c>
      <c r="F1069" s="1260">
        <f>Arch!F433</f>
        <v>0</v>
      </c>
      <c r="G1069" s="1260">
        <f>Arch!E433</f>
        <v>0</v>
      </c>
      <c r="H1069" s="1260">
        <f>Arch!I433</f>
        <v>0</v>
      </c>
      <c r="I1069" s="1260">
        <f>Arch!L433</f>
        <v>0</v>
      </c>
      <c r="J1069" s="1260">
        <f>Arch!M433</f>
        <v>0</v>
      </c>
    </row>
    <row r="1070" spans="1:10" outlineLevel="1">
      <c r="A1070" t="s">
        <v>86</v>
      </c>
      <c r="B1070" t="s">
        <v>133</v>
      </c>
      <c r="C1070" t="s">
        <v>139</v>
      </c>
      <c r="D1070" t="s">
        <v>141</v>
      </c>
      <c r="E1070" t="str">
        <f>IF(LEN(Arch!C434)&gt;0, Arch!C434, Arch!B434)</f>
        <v>งานประตู - หน้าต่างไม้ จัดทำใหม่ (18 ชุด)</v>
      </c>
      <c r="F1070" s="1260" t="str">
        <f>Arch!F434</f>
        <v>งาน</v>
      </c>
      <c r="G1070" s="1260">
        <f>Arch!E434</f>
        <v>1</v>
      </c>
      <c r="H1070" s="1260">
        <f>Arch!I434</f>
        <v>336566.89691999997</v>
      </c>
      <c r="I1070" s="1260">
        <f>Arch!L434</f>
        <v>0</v>
      </c>
      <c r="J1070" s="1260">
        <f>Arch!M434</f>
        <v>336566.89691999997</v>
      </c>
    </row>
    <row r="1071" spans="1:10" outlineLevel="1">
      <c r="A1071" t="s">
        <v>86</v>
      </c>
      <c r="B1071" t="s">
        <v>133</v>
      </c>
      <c r="C1071" t="s">
        <v>139</v>
      </c>
      <c r="D1071" t="s">
        <v>142</v>
      </c>
      <c r="E1071" t="str">
        <f>IF(LEN(Arch!C435)&gt;0, Arch!C435, Arch!B435)</f>
        <v>งานประตู - หน้าต่างไม้ จัดทำบางส่วน (16 ชุด)</v>
      </c>
      <c r="F1071" s="1260" t="str">
        <f>Arch!F435</f>
        <v>งาน</v>
      </c>
      <c r="G1071" s="1260">
        <f>Arch!E435</f>
        <v>1</v>
      </c>
      <c r="H1071" s="1260">
        <f>Arch!I435</f>
        <v>224377.93127999999</v>
      </c>
      <c r="I1071" s="1260">
        <f>Arch!L435</f>
        <v>0</v>
      </c>
      <c r="J1071" s="1260">
        <f>Arch!M435</f>
        <v>224377.93127999999</v>
      </c>
    </row>
    <row r="1072" spans="1:10" outlineLevel="1">
      <c r="A1072" t="s">
        <v>86</v>
      </c>
      <c r="B1072" t="s">
        <v>133</v>
      </c>
      <c r="C1072" t="s">
        <v>139</v>
      </c>
      <c r="D1072" t="s">
        <v>142</v>
      </c>
      <c r="E1072" t="str">
        <f>IF(LEN(Arch!C436)&gt;0, Arch!C436, Arch!B436)</f>
        <v>งานประตู - หน้าต่างไม้ ซ่อมแซมให้อยู่ในสภาพเดิม ( 184 ชุด)</v>
      </c>
      <c r="F1072" s="1260" t="str">
        <f>Arch!F436</f>
        <v>งาน</v>
      </c>
      <c r="G1072" s="1260">
        <f>Arch!E436</f>
        <v>1</v>
      </c>
      <c r="H1072" s="1260">
        <f>Arch!I436</f>
        <v>1720230.80648</v>
      </c>
      <c r="I1072" s="1260">
        <f>Arch!L436</f>
        <v>0</v>
      </c>
      <c r="J1072" s="1260">
        <f>Arch!M436</f>
        <v>1720230.80648</v>
      </c>
    </row>
    <row r="1073" spans="1:10" outlineLevel="1">
      <c r="F1073" s="1260"/>
      <c r="G1073" s="1260"/>
      <c r="H1073" s="1260"/>
      <c r="I1073" s="1260"/>
      <c r="J1073" s="1260"/>
    </row>
    <row r="1074" spans="1:10" outlineLevel="1">
      <c r="F1074" s="1260"/>
      <c r="G1074" s="1260"/>
      <c r="H1074" s="1260"/>
      <c r="I1074" s="1260"/>
      <c r="J1074" s="1260"/>
    </row>
    <row r="1075" spans="1:10" outlineLevel="1">
      <c r="F1075" s="1260"/>
      <c r="G1075" s="1260"/>
      <c r="H1075" s="1260"/>
      <c r="I1075" s="1260"/>
      <c r="J1075" s="1260"/>
    </row>
    <row r="1076" spans="1:10" outlineLevel="1">
      <c r="A1076" t="s">
        <v>86</v>
      </c>
      <c r="E1076" t="str">
        <f>IF(LEN(Arch!C440)&gt;0, Arch!C440, Arch!B440)</f>
        <v>งานห้องน้ำและสุขภัณฑ์</v>
      </c>
      <c r="F1076" s="1260">
        <f>Arch!F440</f>
        <v>0</v>
      </c>
      <c r="G1076" s="1260">
        <f>Arch!E440</f>
        <v>0</v>
      </c>
      <c r="H1076" s="1260">
        <f>Arch!I440</f>
        <v>0</v>
      </c>
      <c r="I1076" s="1260">
        <f>Arch!L440</f>
        <v>0</v>
      </c>
      <c r="J1076" s="1260">
        <f>Arch!M440</f>
        <v>0</v>
      </c>
    </row>
    <row r="1077" spans="1:10" outlineLevel="1">
      <c r="A1077" t="s">
        <v>86</v>
      </c>
      <c r="F1077" s="1260">
        <f>Arch!F441</f>
        <v>0</v>
      </c>
      <c r="G1077" s="1260">
        <f>Arch!E441</f>
        <v>0</v>
      </c>
      <c r="H1077" s="1260">
        <f>Arch!I441</f>
        <v>0</v>
      </c>
      <c r="I1077" s="1260">
        <f>Arch!L441</f>
        <v>0</v>
      </c>
      <c r="J1077" s="1260">
        <f>Arch!M441</f>
        <v>0</v>
      </c>
    </row>
    <row r="1078" spans="1:10" outlineLevel="1">
      <c r="A1078" t="s">
        <v>86</v>
      </c>
      <c r="B1078" t="s">
        <v>143</v>
      </c>
      <c r="C1078" t="s">
        <v>108</v>
      </c>
      <c r="D1078" t="s">
        <v>144</v>
      </c>
      <c r="E1078" t="str">
        <f>IF(LEN(Arch!C442)&gt;0, Arch!C442, Arch!B442)</f>
        <v>ผนังห้องน้ำสำเร็จรูป</v>
      </c>
      <c r="F1078" s="1260" t="str">
        <f>Arch!F442</f>
        <v>ชุด</v>
      </c>
      <c r="G1078" s="1260">
        <f>Arch!E442</f>
        <v>34</v>
      </c>
      <c r="H1078" s="1260">
        <f>Arch!I442</f>
        <v>441837.54301219998</v>
      </c>
      <c r="I1078" s="1260">
        <f>Arch!L442</f>
        <v>23840.155198499997</v>
      </c>
      <c r="J1078" s="1260">
        <f>Arch!M442</f>
        <v>465677.69821069995</v>
      </c>
    </row>
    <row r="1079" spans="1:10" outlineLevel="1">
      <c r="A1079" t="s">
        <v>86</v>
      </c>
      <c r="B1079" t="s">
        <v>143</v>
      </c>
      <c r="C1079" t="s">
        <v>145</v>
      </c>
      <c r="D1079" t="s">
        <v>146</v>
      </c>
      <c r="E1079" t="str">
        <f>IF(LEN(Arch!C443)&gt;0, Arch!C443, Arch!B443)</f>
        <v>อ่างล้างหน้าฝังชนิดใต้เคาน์เตอร์ พร้อมก๊อกและอุปกรณ์ครบชุด</v>
      </c>
      <c r="F1079" s="1260" t="str">
        <f>Arch!F443</f>
        <v>ชุด</v>
      </c>
      <c r="G1079" s="1260">
        <f>Arch!E443</f>
        <v>33</v>
      </c>
      <c r="H1079" s="1260">
        <f>Arch!I443</f>
        <v>290085.60609327746</v>
      </c>
      <c r="I1079" s="1260">
        <f>Arch!L443</f>
        <v>14963.203292234999</v>
      </c>
      <c r="J1079" s="1260">
        <f>Arch!M443</f>
        <v>305048.80938551243</v>
      </c>
    </row>
    <row r="1080" spans="1:10" outlineLevel="1">
      <c r="A1080" t="s">
        <v>86</v>
      </c>
      <c r="B1080" t="s">
        <v>143</v>
      </c>
      <c r="C1080" t="s">
        <v>145</v>
      </c>
      <c r="D1080" t="s">
        <v>146</v>
      </c>
      <c r="E1080" t="str">
        <f>IF(LEN(Arch!C444)&gt;0, Arch!C444, Arch!B444)</f>
        <v>อ่างล้างหน้าชนิดแขวน พร้อมก๊อกและอุปกรณ์ครบชุด (ห้องน้ำผู้พิการ -1T03 , 2T03 ,3T03)</v>
      </c>
      <c r="F1080" s="1260" t="str">
        <f>Arch!F444</f>
        <v>ชุด</v>
      </c>
      <c r="G1080" s="1260">
        <f>Arch!E444</f>
        <v>3</v>
      </c>
      <c r="H1080" s="1260">
        <f>Arch!I444</f>
        <v>39174.984439417494</v>
      </c>
      <c r="I1080" s="1260">
        <f>Arch!L444</f>
        <v>1360.2912083849999</v>
      </c>
      <c r="J1080" s="1260">
        <f>Arch!M444</f>
        <v>40535.275647802497</v>
      </c>
    </row>
    <row r="1081" spans="1:10" outlineLevel="1">
      <c r="A1081" t="s">
        <v>86</v>
      </c>
      <c r="B1081" t="s">
        <v>143</v>
      </c>
      <c r="C1081" t="s">
        <v>145</v>
      </c>
      <c r="D1081" t="s">
        <v>146</v>
      </c>
      <c r="E1081" t="str">
        <f>IF(LEN(Arch!C445)&gt;0, Arch!C445, Arch!B445)</f>
        <v>อ่างล้างหน้าชนิดฝังครึ่งเคาน์เตอร์ พร้อมก๊อกและอุปกรณ์ครบชุด (ห้องน้ำ 2T04 ,3T04)</v>
      </c>
      <c r="F1081" s="1260" t="str">
        <f>Arch!F445</f>
        <v>ชุด</v>
      </c>
      <c r="G1081" s="1260">
        <f>Arch!E445</f>
        <v>2</v>
      </c>
      <c r="H1081" s="1260">
        <f>Arch!I445</f>
        <v>19647.092607704999</v>
      </c>
      <c r="I1081" s="1260">
        <f>Arch!L445</f>
        <v>906.86080558999993</v>
      </c>
      <c r="J1081" s="1260">
        <f>Arch!M445</f>
        <v>20553.953413294999</v>
      </c>
    </row>
    <row r="1082" spans="1:10" outlineLevel="1">
      <c r="A1082" t="s">
        <v>86</v>
      </c>
      <c r="B1082" t="s">
        <v>143</v>
      </c>
      <c r="C1082" t="s">
        <v>145</v>
      </c>
      <c r="D1082" t="s">
        <v>146</v>
      </c>
      <c r="E1082" t="str">
        <f>IF(LEN(Arch!C446)&gt;0, Arch!C446, Arch!B446)</f>
        <v>อ่างล้างหน้าชนิดแขวน พร้อมก๊อกและอุปกรณ์ครบชุด (ห้องศาสนา)</v>
      </c>
      <c r="F1082" s="1260" t="str">
        <f>Arch!F446</f>
        <v>ชุด</v>
      </c>
      <c r="G1082" s="1260">
        <f>Arch!E446</f>
        <v>1</v>
      </c>
      <c r="H1082" s="1260">
        <f>Arch!I446</f>
        <v>13058.328146472499</v>
      </c>
      <c r="I1082" s="1260">
        <f>Arch!L446</f>
        <v>453.43040279499996</v>
      </c>
      <c r="J1082" s="1260">
        <f>Arch!M446</f>
        <v>13511.758549267499</v>
      </c>
    </row>
    <row r="1083" spans="1:10" outlineLevel="1">
      <c r="A1083" t="s">
        <v>86</v>
      </c>
      <c r="B1083" t="s">
        <v>143</v>
      </c>
      <c r="C1083" t="s">
        <v>145</v>
      </c>
      <c r="D1083" t="s">
        <v>146</v>
      </c>
      <c r="E1083" t="str">
        <f>IF(LEN(Arch!C447)&gt;0, Arch!C447, Arch!B447)</f>
        <v xml:space="preserve">โถสุขภัณฑ์แบบฟลัชวาล์ว พร้อมฟลัชวาล์วอุปกรณ์ครบชุด </v>
      </c>
      <c r="F1083" s="1260" t="str">
        <f>Arch!F447</f>
        <v>ชุด</v>
      </c>
      <c r="G1083" s="1260">
        <f>Arch!E447</f>
        <v>34</v>
      </c>
      <c r="H1083" s="1260">
        <f>Arch!I447</f>
        <v>236812.20830510001</v>
      </c>
      <c r="I1083" s="1260">
        <f>Arch!L447</f>
        <v>14304.0931191</v>
      </c>
      <c r="J1083" s="1260">
        <f>Arch!M447</f>
        <v>251116.30142420001</v>
      </c>
    </row>
    <row r="1084" spans="1:10" outlineLevel="1">
      <c r="A1084" t="s">
        <v>86</v>
      </c>
      <c r="B1084" t="s">
        <v>143</v>
      </c>
      <c r="C1084" t="s">
        <v>145</v>
      </c>
      <c r="D1084" t="s">
        <v>146</v>
      </c>
      <c r="E1084" t="str">
        <f>IF(LEN(Arch!C448)&gt;0, Arch!C448, Arch!B448)</f>
        <v>โถสุขภัณฑ์แบบแทงก์ พร้อมอุปกรณ์ครบชุด (ห้องน้ำผู้พิการ -1T03 , 2T03 ,3T03)</v>
      </c>
      <c r="F1084" s="1260" t="str">
        <f>Arch!F448</f>
        <v>ชุด</v>
      </c>
      <c r="G1084" s="1260">
        <f>Arch!E448</f>
        <v>3</v>
      </c>
      <c r="H1084" s="1260">
        <f>Arch!I448</f>
        <v>17221.006225739999</v>
      </c>
      <c r="I1084" s="1260">
        <f>Arch!L448</f>
        <v>1262.12586345</v>
      </c>
      <c r="J1084" s="1260">
        <f>Arch!M448</f>
        <v>18483.13208919</v>
      </c>
    </row>
    <row r="1085" spans="1:10" outlineLevel="1">
      <c r="A1085" t="s">
        <v>86</v>
      </c>
      <c r="B1085" t="s">
        <v>143</v>
      </c>
      <c r="C1085" t="s">
        <v>145</v>
      </c>
      <c r="D1085" t="s">
        <v>146</v>
      </c>
      <c r="E1085" t="str">
        <f>IF(LEN(Arch!C449)&gt;0, Arch!C449, Arch!B449)</f>
        <v>โถสุขภัณฑ์แบบแทงก์ พร้อมอุปกรณ์ครบชุด (ห้องน้ำ -3T04)</v>
      </c>
      <c r="F1085" s="1260" t="str">
        <f>Arch!F449</f>
        <v>ชุด</v>
      </c>
      <c r="G1085" s="1260">
        <f>Arch!E449</f>
        <v>1</v>
      </c>
      <c r="H1085" s="1260">
        <f>Arch!I449</f>
        <v>7077.2539157900001</v>
      </c>
      <c r="I1085" s="1260">
        <f>Arch!L449</f>
        <v>420.70862115</v>
      </c>
      <c r="J1085" s="1260">
        <f>Arch!M449</f>
        <v>7497.9625369400001</v>
      </c>
    </row>
    <row r="1086" spans="1:10" outlineLevel="1">
      <c r="A1086" t="s">
        <v>86</v>
      </c>
      <c r="B1086" t="s">
        <v>143</v>
      </c>
      <c r="C1086" t="s">
        <v>145</v>
      </c>
      <c r="D1086" t="s">
        <v>146</v>
      </c>
      <c r="E1086" t="str">
        <f>IF(LEN(Arch!C450)&gt;0, Arch!C450, Arch!B450)</f>
        <v xml:space="preserve">โถปัสสาวะชาย พร้อมฟลัชวาล์วและอุปกรณ์ครบชุด </v>
      </c>
      <c r="F1086" s="1260" t="str">
        <f>Arch!F450</f>
        <v>ชุด</v>
      </c>
      <c r="G1086" s="1260">
        <f>Arch!E450</f>
        <v>18</v>
      </c>
      <c r="H1086" s="1260">
        <f>Arch!I450</f>
        <v>216580.79816802</v>
      </c>
      <c r="I1086" s="1260">
        <f>Arch!L450</f>
        <v>8161.7472503099998</v>
      </c>
      <c r="J1086" s="1260">
        <f>Arch!M450</f>
        <v>224742.54541833</v>
      </c>
    </row>
    <row r="1087" spans="1:10" outlineLevel="1">
      <c r="A1087" t="s">
        <v>86</v>
      </c>
      <c r="B1087" t="s">
        <v>143</v>
      </c>
      <c r="C1087" t="s">
        <v>145</v>
      </c>
      <c r="D1087" t="s">
        <v>146</v>
      </c>
      <c r="E1087" t="str">
        <f>IF(LEN(Arch!C451)&gt;0, Arch!C451, Arch!B451)</f>
        <v xml:space="preserve">สายชำระ </v>
      </c>
      <c r="F1087" s="1260" t="str">
        <f>Arch!F451</f>
        <v>ชุด</v>
      </c>
      <c r="G1087" s="1260">
        <f>Arch!E451</f>
        <v>38</v>
      </c>
      <c r="H1087" s="1260">
        <f>Arch!I451</f>
        <v>18118.517950860001</v>
      </c>
      <c r="I1087" s="1260">
        <f>Arch!L451</f>
        <v>1243.42770251</v>
      </c>
      <c r="J1087" s="1260">
        <f>Arch!M451</f>
        <v>19361.945653369999</v>
      </c>
    </row>
    <row r="1088" spans="1:10" outlineLevel="1">
      <c r="A1088" t="s">
        <v>86</v>
      </c>
      <c r="B1088" t="s">
        <v>143</v>
      </c>
      <c r="C1088" t="s">
        <v>145</v>
      </c>
      <c r="D1088" t="s">
        <v>146</v>
      </c>
      <c r="E1088" t="str">
        <f>IF(LEN(Arch!C452)&gt;0, Arch!C452, Arch!B452)</f>
        <v xml:space="preserve">ที่กั้นโถปัสสาวะ </v>
      </c>
      <c r="F1088" s="1260" t="str">
        <f>Arch!F452</f>
        <v>ชุด</v>
      </c>
      <c r="G1088" s="1260">
        <f>Arch!E452</f>
        <v>16</v>
      </c>
      <c r="H1088" s="1260">
        <f>Arch!I452</f>
        <v>26925.3517536</v>
      </c>
      <c r="I1088" s="1260">
        <f>Arch!L452</f>
        <v>2542.94988784</v>
      </c>
      <c r="J1088" s="1260">
        <f>Arch!M452</f>
        <v>29468.301641440001</v>
      </c>
    </row>
    <row r="1089" spans="1:10" outlineLevel="1">
      <c r="A1089" t="s">
        <v>86</v>
      </c>
      <c r="B1089" t="s">
        <v>143</v>
      </c>
      <c r="C1089" t="s">
        <v>145</v>
      </c>
      <c r="D1089" t="s">
        <v>146</v>
      </c>
      <c r="E1089" t="str">
        <f>IF(LEN(Arch!C453)&gt;0, Arch!C453, Arch!B453)</f>
        <v xml:space="preserve">ก๊อกฝักบัว </v>
      </c>
      <c r="F1089" s="1260" t="str">
        <f>Arch!F453</f>
        <v>ชุด</v>
      </c>
      <c r="G1089" s="1260">
        <f>Arch!E453</f>
        <v>2</v>
      </c>
      <c r="H1089" s="1260">
        <f>Arch!I453</f>
        <v>3907.9156364599999</v>
      </c>
      <c r="I1089" s="1260">
        <f>Arch!L453</f>
        <v>130.88712658</v>
      </c>
      <c r="J1089" s="1260">
        <f>Arch!M453</f>
        <v>4038.8027630399997</v>
      </c>
    </row>
    <row r="1090" spans="1:10" outlineLevel="1">
      <c r="A1090" t="s">
        <v>86</v>
      </c>
      <c r="B1090" t="s">
        <v>143</v>
      </c>
      <c r="C1090" t="s">
        <v>145</v>
      </c>
      <c r="D1090" t="s">
        <v>146</v>
      </c>
      <c r="E1090" t="str">
        <f>IF(LEN(Arch!C454)&gt;0, Arch!C454, Arch!B454)</f>
        <v>ฝักบัวก้านแข็ง</v>
      </c>
      <c r="F1090" s="1260" t="str">
        <f>Arch!F454</f>
        <v>ชุด</v>
      </c>
      <c r="G1090" s="1260">
        <f>Arch!E454</f>
        <v>2</v>
      </c>
      <c r="H1090" s="1260">
        <f>Arch!I454</f>
        <v>1832.4197721199998</v>
      </c>
      <c r="I1090" s="1260">
        <f>Arch!L454</f>
        <v>130.88712658</v>
      </c>
      <c r="J1090" s="1260">
        <f>Arch!M454</f>
        <v>1963.3068986999999</v>
      </c>
    </row>
    <row r="1091" spans="1:10" outlineLevel="1">
      <c r="A1091" t="s">
        <v>86</v>
      </c>
      <c r="B1091" t="s">
        <v>143</v>
      </c>
      <c r="C1091" t="s">
        <v>145</v>
      </c>
      <c r="D1091" t="s">
        <v>146</v>
      </c>
      <c r="E1091" t="str">
        <f>IF(LEN(Arch!C455)&gt;0, Arch!C455, Arch!B455)</f>
        <v xml:space="preserve">ที่ใส่สบู่ </v>
      </c>
      <c r="F1091" s="1260" t="str">
        <f>Arch!F455</f>
        <v>ชุด</v>
      </c>
      <c r="G1091" s="1260">
        <f>Arch!E455</f>
        <v>2</v>
      </c>
      <c r="H1091" s="1260">
        <f>Arch!I455</f>
        <v>1608.0418408399998</v>
      </c>
      <c r="I1091" s="1260">
        <f>Arch!L455</f>
        <v>130.88712658</v>
      </c>
      <c r="J1091" s="1260">
        <f>Arch!M455</f>
        <v>1738.9289674199999</v>
      </c>
    </row>
    <row r="1092" spans="1:10" outlineLevel="1">
      <c r="A1092" t="s">
        <v>86</v>
      </c>
      <c r="B1092" t="s">
        <v>143</v>
      </c>
      <c r="C1092" t="s">
        <v>145</v>
      </c>
      <c r="D1092" t="s">
        <v>146</v>
      </c>
      <c r="E1092" t="str">
        <f>IF(LEN(Arch!C456)&gt;0, Arch!C456, Arch!B456)</f>
        <v xml:space="preserve">ราวแขวนผ้า </v>
      </c>
      <c r="F1092" s="1260" t="str">
        <f>Arch!F456</f>
        <v>ชุด</v>
      </c>
      <c r="G1092" s="1260">
        <f>Arch!E456</f>
        <v>2</v>
      </c>
      <c r="H1092" s="1260">
        <f>Arch!I456</f>
        <v>3234.7818426199997</v>
      </c>
      <c r="I1092" s="1260">
        <f>Arch!L456</f>
        <v>243.07609221999999</v>
      </c>
      <c r="J1092" s="1260">
        <f>Arch!M456</f>
        <v>3477.8579348399999</v>
      </c>
    </row>
    <row r="1093" spans="1:10" outlineLevel="1">
      <c r="A1093" t="s">
        <v>86</v>
      </c>
      <c r="B1093" t="s">
        <v>143</v>
      </c>
      <c r="C1093" t="s">
        <v>145</v>
      </c>
      <c r="D1093" t="s">
        <v>146</v>
      </c>
      <c r="E1093" t="str">
        <f>IF(LEN(Arch!C457)&gt;0, Arch!C457, Arch!B457)</f>
        <v>GRABBAR</v>
      </c>
      <c r="F1093" s="1260" t="str">
        <f>Arch!F457</f>
        <v>ชุด</v>
      </c>
      <c r="G1093" s="1260">
        <f>Arch!E457</f>
        <v>3</v>
      </c>
      <c r="H1093" s="1260">
        <f>Arch!I457</f>
        <v>78812.748362099999</v>
      </c>
      <c r="I1093" s="1260">
        <f>Arch!L457</f>
        <v>490.82672467499998</v>
      </c>
      <c r="J1093" s="1260">
        <f>Arch!M457</f>
        <v>79303.575086775003</v>
      </c>
    </row>
    <row r="1094" spans="1:10" outlineLevel="1">
      <c r="A1094" t="s">
        <v>86</v>
      </c>
      <c r="B1094" t="s">
        <v>143</v>
      </c>
      <c r="C1094" t="s">
        <v>145</v>
      </c>
      <c r="D1094" t="s">
        <v>146</v>
      </c>
      <c r="E1094" t="str">
        <f>IF(LEN(Arch!C458)&gt;0, Arch!C458, Arch!B458)</f>
        <v xml:space="preserve">ก๊อกติดผนังก้านปัด </v>
      </c>
      <c r="F1094" s="1260" t="str">
        <f>Arch!F458</f>
        <v>ชุด</v>
      </c>
      <c r="G1094" s="1260">
        <f>Arch!E458</f>
        <v>3</v>
      </c>
      <c r="H1094" s="1260">
        <f>Arch!I458</f>
        <v>3134.2792275674997</v>
      </c>
      <c r="I1094" s="1260">
        <f>Arch!L458</f>
        <v>70.118103524999995</v>
      </c>
      <c r="J1094" s="1260">
        <f>Arch!M458</f>
        <v>3204.3973310924998</v>
      </c>
    </row>
    <row r="1095" spans="1:10" outlineLevel="1">
      <c r="A1095" t="s">
        <v>86</v>
      </c>
      <c r="B1095" t="s">
        <v>143</v>
      </c>
      <c r="C1095" t="s">
        <v>145</v>
      </c>
      <c r="D1095" t="s">
        <v>146</v>
      </c>
      <c r="E1095" t="str">
        <f>IF(LEN(Arch!C459)&gt;0, Arch!C459, Arch!B459)</f>
        <v xml:space="preserve">ก๊อกติดผนัง </v>
      </c>
      <c r="F1095" s="1260" t="str">
        <f>Arch!F459</f>
        <v>ชุด</v>
      </c>
      <c r="G1095" s="1260">
        <f>Arch!E459</f>
        <v>13</v>
      </c>
      <c r="H1095" s="1260">
        <f>Arch!I459</f>
        <v>6927.6686282700002</v>
      </c>
      <c r="I1095" s="1260">
        <f>Arch!L459</f>
        <v>303.84511527500001</v>
      </c>
      <c r="J1095" s="1260">
        <f>Arch!M459</f>
        <v>7231.5137435450006</v>
      </c>
    </row>
    <row r="1096" spans="1:10" outlineLevel="1">
      <c r="A1096" t="s">
        <v>86</v>
      </c>
      <c r="B1096" t="s">
        <v>143</v>
      </c>
      <c r="C1096" t="s">
        <v>145</v>
      </c>
      <c r="D1096" t="s">
        <v>146</v>
      </c>
      <c r="E1096" t="str">
        <f>IF(LEN(Arch!C460)&gt;0, Arch!C460, Arch!B460)</f>
        <v xml:space="preserve">ที่ใส่กระดาษชำระ </v>
      </c>
      <c r="F1096" s="1260" t="str">
        <f>Arch!F460</f>
        <v>ชุด</v>
      </c>
      <c r="G1096" s="1260">
        <f>Arch!E460</f>
        <v>4</v>
      </c>
      <c r="H1096" s="1260">
        <f>Arch!I460</f>
        <v>2384.0155198499997</v>
      </c>
      <c r="I1096" s="1260">
        <f>Arch!L460</f>
        <v>448.75586255999997</v>
      </c>
      <c r="J1096" s="1260">
        <f>Arch!M460</f>
        <v>2832.7713824099997</v>
      </c>
    </row>
    <row r="1097" spans="1:10" outlineLevel="1">
      <c r="A1097" t="s">
        <v>86</v>
      </c>
      <c r="B1097" t="s">
        <v>143</v>
      </c>
      <c r="C1097" t="s">
        <v>145</v>
      </c>
      <c r="D1097" t="s">
        <v>147</v>
      </c>
      <c r="E1097" t="str">
        <f>IF(LEN(Arch!C461)&gt;0, Arch!C461, Arch!B461)</f>
        <v>กระจกเงา ขนาด 600 x 1100 มม. (ตามแบบ IN510)</v>
      </c>
      <c r="F1097" s="1260" t="str">
        <f>Arch!F461</f>
        <v>ชุด</v>
      </c>
      <c r="G1097" s="1260">
        <f>Arch!E461</f>
        <v>12</v>
      </c>
      <c r="H1097" s="1260">
        <f>Arch!I461</f>
        <v>18511.1793306</v>
      </c>
      <c r="I1097" s="1260">
        <f>Arch!L461</f>
        <v>2243.7793127999998</v>
      </c>
      <c r="J1097" s="1260">
        <f>Arch!M461</f>
        <v>20754.958643400001</v>
      </c>
    </row>
    <row r="1098" spans="1:10" outlineLevel="1">
      <c r="A1098" t="s">
        <v>86</v>
      </c>
      <c r="B1098" t="s">
        <v>143</v>
      </c>
      <c r="C1098" t="s">
        <v>145</v>
      </c>
      <c r="D1098" t="s">
        <v>147</v>
      </c>
      <c r="E1098" t="str">
        <f>IF(LEN(Arch!C462)&gt;0, Arch!C462, Arch!B462)</f>
        <v>กระจกเงา ขนาด 600 x 2000 มม. (ตามแบบ IN510)</v>
      </c>
      <c r="F1098" s="1260" t="str">
        <f>Arch!F462</f>
        <v>ชุด</v>
      </c>
      <c r="G1098" s="1260">
        <f>Arch!E462</f>
        <v>9</v>
      </c>
      <c r="H1098" s="1260">
        <f>Arch!I462</f>
        <v>25242.517268999996</v>
      </c>
      <c r="I1098" s="1260">
        <f>Arch!L462</f>
        <v>3029.1020722799999</v>
      </c>
      <c r="J1098" s="1260">
        <f>Arch!M462</f>
        <v>28271.619341279995</v>
      </c>
    </row>
    <row r="1099" spans="1:10" outlineLevel="1">
      <c r="A1099" t="s">
        <v>86</v>
      </c>
      <c r="B1099" t="s">
        <v>143</v>
      </c>
      <c r="C1099" t="s">
        <v>145</v>
      </c>
      <c r="D1099" t="s">
        <v>147</v>
      </c>
      <c r="E1099" t="str">
        <f>IF(LEN(Arch!C463)&gt;0, Arch!C463, Arch!B463)</f>
        <v>กระจกเงา ขนาด 600 x 1400 มม. (ตามแบบ IN510)</v>
      </c>
      <c r="F1099" s="1260" t="str">
        <f>Arch!F463</f>
        <v>ชุด</v>
      </c>
      <c r="G1099" s="1260">
        <f>Arch!E463</f>
        <v>9</v>
      </c>
      <c r="H1099" s="1260">
        <f>Arch!I463</f>
        <v>17669.762088299998</v>
      </c>
      <c r="I1099" s="1260">
        <f>Arch!L463</f>
        <v>2103.54310575</v>
      </c>
      <c r="J1099" s="1260">
        <f>Arch!M463</f>
        <v>19773.305194049997</v>
      </c>
    </row>
    <row r="1100" spans="1:10" outlineLevel="1">
      <c r="A1100" t="s">
        <v>86</v>
      </c>
      <c r="B1100" t="s">
        <v>143</v>
      </c>
      <c r="C1100" t="s">
        <v>145</v>
      </c>
      <c r="D1100" t="s">
        <v>147</v>
      </c>
      <c r="E1100" t="str">
        <f>IF(LEN(Arch!C464)&gt;0, Arch!C464, Arch!B464)</f>
        <v>กระจกเงา ขนาด 600 x 1500 มม. (ตามแบบ IN510)</v>
      </c>
      <c r="F1100" s="1260" t="str">
        <f>Arch!F464</f>
        <v>ชุด</v>
      </c>
      <c r="G1100" s="1260">
        <f>Arch!E464</f>
        <v>2</v>
      </c>
      <c r="H1100" s="1260">
        <f>Arch!I464</f>
        <v>4207.0862115</v>
      </c>
      <c r="I1100" s="1260">
        <f>Arch!L464</f>
        <v>504.85034537999996</v>
      </c>
      <c r="J1100" s="1260">
        <f>Arch!M464</f>
        <v>4711.9365568800004</v>
      </c>
    </row>
    <row r="1101" spans="1:10" outlineLevel="1">
      <c r="A1101" t="s">
        <v>86</v>
      </c>
      <c r="B1101" t="s">
        <v>143</v>
      </c>
      <c r="C1101" t="s">
        <v>108</v>
      </c>
      <c r="D1101" t="s">
        <v>148</v>
      </c>
      <c r="E1101" t="str">
        <f>IF(LEN(Arch!C465)&gt;0, Arch!C465, Arch!B465)</f>
        <v>เคาน์เตอร์อ่างล้างหน้ากรุหินสังเคราะห์ ขนาดกว้าง 600 มม. (ตามแบบ IN510)</v>
      </c>
      <c r="F1101" s="1260" t="str">
        <f>Arch!F465</f>
        <v>เมตร</v>
      </c>
      <c r="G1101" s="1260">
        <f>Arch!E465</f>
        <v>36.4</v>
      </c>
      <c r="H1101" s="1260">
        <f>Arch!I465</f>
        <v>102091.95873239999</v>
      </c>
      <c r="I1101" s="1260">
        <f>Arch!L465</f>
        <v>20418.391746479996</v>
      </c>
      <c r="J1101" s="1260">
        <f>Arch!M465</f>
        <v>122510.35047887999</v>
      </c>
    </row>
    <row r="1102" spans="1:10" outlineLevel="1">
      <c r="A1102" t="s">
        <v>86</v>
      </c>
      <c r="B1102" t="s">
        <v>143</v>
      </c>
      <c r="C1102" t="s">
        <v>108</v>
      </c>
      <c r="D1102" t="s">
        <v>148</v>
      </c>
      <c r="E1102" t="str">
        <f>IF(LEN(Arch!C466)&gt;0, Arch!C466, Arch!B466)</f>
        <v>เคาน์เตอร์หลังโถปัสสาวะกรุหินสังเคราะห์  ขนาดกว้าง 205 มม. (ตามแบบ IN510)</v>
      </c>
      <c r="F1102" s="1260" t="str">
        <f>Arch!F466</f>
        <v>เมตร</v>
      </c>
      <c r="G1102" s="1260">
        <f>Arch!E466</f>
        <v>16.100000000000001</v>
      </c>
      <c r="H1102" s="1260">
        <f>Arch!I466</f>
        <v>15052.019556700001</v>
      </c>
      <c r="I1102" s="1260">
        <f>Arch!L466</f>
        <v>3010.4039113400004</v>
      </c>
      <c r="J1102" s="1260">
        <f>Arch!M466</f>
        <v>18062.42346804</v>
      </c>
    </row>
    <row r="1103" spans="1:10" outlineLevel="1">
      <c r="A1103" t="s">
        <v>86</v>
      </c>
      <c r="B1103" t="s">
        <v>143</v>
      </c>
      <c r="F1103" s="1260">
        <f>Arch!F467</f>
        <v>0</v>
      </c>
      <c r="G1103" s="1260">
        <f>Arch!E467</f>
        <v>0</v>
      </c>
      <c r="H1103" s="1260">
        <f>Arch!I467</f>
        <v>0</v>
      </c>
      <c r="I1103" s="1260">
        <f>Arch!L467</f>
        <v>0</v>
      </c>
      <c r="J1103" s="1260">
        <f>Arch!M467</f>
        <v>0</v>
      </c>
    </row>
    <row r="1104" spans="1:10" outlineLevel="1">
      <c r="A1104" t="s">
        <v>86</v>
      </c>
      <c r="B1104" t="s">
        <v>143</v>
      </c>
      <c r="F1104" s="1260">
        <f>Arch!F468</f>
        <v>0</v>
      </c>
      <c r="G1104" s="1260">
        <f>Arch!E468</f>
        <v>0</v>
      </c>
      <c r="H1104" s="1260">
        <f>Arch!I468</f>
        <v>0</v>
      </c>
      <c r="I1104" s="1260">
        <f>Arch!L468</f>
        <v>0</v>
      </c>
      <c r="J1104" s="1260">
        <f>Arch!M468</f>
        <v>0</v>
      </c>
    </row>
    <row r="1105" spans="1:10" outlineLevel="1">
      <c r="A1105" t="s">
        <v>86</v>
      </c>
      <c r="B1105" t="s">
        <v>143</v>
      </c>
      <c r="C1105" t="s">
        <v>108</v>
      </c>
      <c r="D1105" t="s">
        <v>148</v>
      </c>
      <c r="E1105" t="str">
        <f>IF(LEN(Arch!C469)&gt;0, Arch!C469, Arch!B469)</f>
        <v>เคาน์เตอร์อ่างล้างหน้ากรุหินสังเคราะห์ ห้องน้ำ 6</v>
      </c>
      <c r="F1105" s="1260" t="str">
        <f>Arch!F469</f>
        <v>ชุด</v>
      </c>
      <c r="G1105" s="1260">
        <f>Arch!E469</f>
        <v>1</v>
      </c>
      <c r="H1105" s="1260">
        <f>Arch!I469</f>
        <v>3739.632188</v>
      </c>
      <c r="I1105" s="1260">
        <f>Arch!L469</f>
        <v>149.58528752000001</v>
      </c>
      <c r="J1105" s="1260">
        <f>Arch!M469</f>
        <v>3889.2174755199999</v>
      </c>
    </row>
    <row r="1106" spans="1:10" outlineLevel="1">
      <c r="A1106" t="s">
        <v>86</v>
      </c>
      <c r="B1106" t="s">
        <v>143</v>
      </c>
      <c r="C1106" t="s">
        <v>108</v>
      </c>
      <c r="D1106" t="s">
        <v>148</v>
      </c>
      <c r="E1106" t="str">
        <f>IF(LEN(Arch!C470)&gt;0, Arch!C470, Arch!B470)</f>
        <v>เคาน์เตอร์อ่างล้างหน้ากรุหินสังเคราะห์ ห้องน้ำ 7</v>
      </c>
      <c r="F1106" s="1260" t="str">
        <f>Arch!F470</f>
        <v>ชุด</v>
      </c>
      <c r="G1106" s="1260">
        <f>Arch!E470</f>
        <v>1</v>
      </c>
      <c r="H1106" s="1260">
        <f>Arch!I470</f>
        <v>1869.816094</v>
      </c>
      <c r="I1106" s="1260">
        <f>Arch!L470</f>
        <v>149.58528752000001</v>
      </c>
      <c r="J1106" s="1260">
        <f>Arch!M470</f>
        <v>2019.4013815200001</v>
      </c>
    </row>
    <row r="1107" spans="1:10" outlineLevel="1">
      <c r="A1107" t="s">
        <v>86</v>
      </c>
      <c r="B1107" t="s">
        <v>143</v>
      </c>
      <c r="C1107" t="s">
        <v>108</v>
      </c>
      <c r="D1107" t="s">
        <v>108</v>
      </c>
      <c r="E1107" t="str">
        <f>IF(LEN(Arch!C471)&gt;0, Arch!C471, Arch!B471)</f>
        <v>งานยาแนวซิลิโคนสุขภัณฑ์</v>
      </c>
      <c r="F1107" s="1260" t="str">
        <f>Arch!F471</f>
        <v>ชุด</v>
      </c>
      <c r="G1107" s="1260">
        <f>Arch!E471</f>
        <v>95</v>
      </c>
      <c r="H1107" s="1260">
        <f>Arch!I471</f>
        <v>8881.6264465000004</v>
      </c>
      <c r="I1107" s="1260">
        <f>Arch!L471</f>
        <v>0</v>
      </c>
      <c r="J1107" s="1260">
        <f>Arch!M471</f>
        <v>8881.6264465000004</v>
      </c>
    </row>
    <row r="1108" spans="1:10" outlineLevel="1">
      <c r="F1108" s="1260"/>
      <c r="G1108" s="1260"/>
      <c r="H1108" s="1260"/>
      <c r="I1108" s="1260"/>
      <c r="J1108" s="1260"/>
    </row>
    <row r="1109" spans="1:10" outlineLevel="1">
      <c r="F1109" s="1260"/>
      <c r="G1109" s="1260"/>
      <c r="H1109" s="1260"/>
      <c r="I1109" s="1260"/>
      <c r="J1109" s="1260"/>
    </row>
    <row r="1110" spans="1:10" outlineLevel="1">
      <c r="F1110" s="1260"/>
      <c r="G1110" s="1260"/>
      <c r="H1110" s="1260"/>
      <c r="I1110" s="1260"/>
      <c r="J1110" s="1260"/>
    </row>
    <row r="1111" spans="1:10" outlineLevel="1">
      <c r="F1111" s="1260"/>
      <c r="G1111" s="1260"/>
      <c r="H1111" s="1260"/>
      <c r="I1111" s="1260"/>
      <c r="J1111" s="1260"/>
    </row>
    <row r="1112" spans="1:10" outlineLevel="1">
      <c r="F1112" s="1260"/>
      <c r="G1112" s="1260"/>
      <c r="H1112" s="1260"/>
      <c r="I1112" s="1260"/>
      <c r="J1112" s="1260"/>
    </row>
    <row r="1113" spans="1:10" outlineLevel="1">
      <c r="F1113" s="1260"/>
      <c r="G1113" s="1260"/>
      <c r="H1113" s="1260"/>
      <c r="I1113" s="1260"/>
      <c r="J1113" s="1260"/>
    </row>
    <row r="1114" spans="1:10" outlineLevel="1">
      <c r="F1114" s="1260"/>
      <c r="G1114" s="1260"/>
      <c r="H1114" s="1260"/>
      <c r="I1114" s="1260"/>
      <c r="J1114" s="1260"/>
    </row>
    <row r="1115" spans="1:10" outlineLevel="1">
      <c r="F1115" s="1260"/>
      <c r="G1115" s="1260"/>
      <c r="H1115" s="1260"/>
      <c r="I1115" s="1260"/>
      <c r="J1115" s="1260"/>
    </row>
    <row r="1116" spans="1:10" outlineLevel="1">
      <c r="F1116" s="1260"/>
      <c r="G1116" s="1260"/>
      <c r="H1116" s="1260"/>
      <c r="I1116" s="1260"/>
      <c r="J1116" s="1260"/>
    </row>
    <row r="1117" spans="1:10" outlineLevel="1">
      <c r="F1117" s="1260"/>
      <c r="G1117" s="1260"/>
      <c r="H1117" s="1260"/>
      <c r="I1117" s="1260"/>
      <c r="J1117" s="1260"/>
    </row>
    <row r="1118" spans="1:10" outlineLevel="1">
      <c r="F1118" s="1260"/>
      <c r="G1118" s="1260"/>
      <c r="H1118" s="1260"/>
      <c r="I1118" s="1260"/>
      <c r="J1118" s="1260"/>
    </row>
    <row r="1119" spans="1:10" outlineLevel="1">
      <c r="F1119" s="1260"/>
      <c r="G1119" s="1260"/>
      <c r="H1119" s="1260"/>
      <c r="I1119" s="1260"/>
      <c r="J1119" s="1260"/>
    </row>
    <row r="1120" spans="1:10" outlineLevel="1">
      <c r="F1120" s="1260"/>
      <c r="G1120" s="1260"/>
      <c r="H1120" s="1260"/>
      <c r="I1120" s="1260"/>
      <c r="J1120" s="1260"/>
    </row>
    <row r="1121" spans="1:10" outlineLevel="1">
      <c r="F1121" s="1260"/>
      <c r="G1121" s="1260"/>
      <c r="H1121" s="1260"/>
      <c r="I1121" s="1260"/>
      <c r="J1121" s="1260"/>
    </row>
    <row r="1122" spans="1:10" outlineLevel="1">
      <c r="F1122" s="1260"/>
      <c r="G1122" s="1260"/>
      <c r="H1122" s="1260"/>
      <c r="I1122" s="1260"/>
      <c r="J1122" s="1260"/>
    </row>
    <row r="1123" spans="1:10" outlineLevel="1">
      <c r="F1123" s="1260"/>
      <c r="G1123" s="1260"/>
      <c r="H1123" s="1260"/>
      <c r="I1123" s="1260"/>
      <c r="J1123" s="1260"/>
    </row>
    <row r="1124" spans="1:10" outlineLevel="1">
      <c r="F1124" s="1260"/>
      <c r="G1124" s="1260"/>
      <c r="H1124" s="1260"/>
      <c r="I1124" s="1260"/>
      <c r="J1124" s="1260"/>
    </row>
    <row r="1125" spans="1:10" outlineLevel="1">
      <c r="F1125" s="1260"/>
      <c r="G1125" s="1260"/>
      <c r="H1125" s="1260"/>
      <c r="I1125" s="1260"/>
      <c r="J1125" s="1260"/>
    </row>
    <row r="1126" spans="1:10" outlineLevel="1">
      <c r="F1126" s="1260"/>
      <c r="G1126" s="1260"/>
      <c r="H1126" s="1260"/>
      <c r="I1126" s="1260"/>
      <c r="J1126" s="1260"/>
    </row>
    <row r="1127" spans="1:10" outlineLevel="1">
      <c r="F1127" s="1260"/>
      <c r="G1127" s="1260"/>
      <c r="H1127" s="1260"/>
      <c r="I1127" s="1260"/>
      <c r="J1127" s="1260"/>
    </row>
    <row r="1128" spans="1:10" outlineLevel="1">
      <c r="F1128" s="1260"/>
      <c r="G1128" s="1260"/>
      <c r="H1128" s="1260"/>
      <c r="I1128" s="1260"/>
      <c r="J1128" s="1260"/>
    </row>
    <row r="1129" spans="1:10" outlineLevel="1">
      <c r="F1129" s="1260"/>
      <c r="G1129" s="1260"/>
      <c r="H1129" s="1260"/>
      <c r="I1129" s="1260"/>
      <c r="J1129" s="1260"/>
    </row>
    <row r="1130" spans="1:10" outlineLevel="1">
      <c r="F1130" s="1260"/>
      <c r="G1130" s="1260"/>
      <c r="H1130" s="1260"/>
      <c r="I1130" s="1260"/>
      <c r="J1130" s="1260"/>
    </row>
    <row r="1131" spans="1:10" outlineLevel="1">
      <c r="F1131" s="1260"/>
      <c r="G1131" s="1260"/>
      <c r="H1131" s="1260"/>
      <c r="I1131" s="1260"/>
      <c r="J1131" s="1260"/>
    </row>
    <row r="1132" spans="1:10" outlineLevel="1">
      <c r="F1132" s="1260"/>
      <c r="G1132" s="1260"/>
      <c r="H1132" s="1260"/>
      <c r="I1132" s="1260"/>
      <c r="J1132" s="1260"/>
    </row>
    <row r="1133" spans="1:10" outlineLevel="1">
      <c r="A1133" t="s">
        <v>86</v>
      </c>
      <c r="E1133" t="str">
        <f>IF(LEN(Arch!C497)&gt;0, Arch!C497, Arch!B497)</f>
        <v>งานบันได ราวบันได ราวกันตก และส่วนประกอบ</v>
      </c>
      <c r="F1133" s="1260">
        <f>Arch!F497</f>
        <v>0</v>
      </c>
      <c r="G1133" s="1260">
        <f>Arch!E497</f>
        <v>0</v>
      </c>
      <c r="H1133" s="1260">
        <f>Arch!I497</f>
        <v>0</v>
      </c>
      <c r="I1133" s="1260">
        <f>Arch!L497</f>
        <v>0</v>
      </c>
      <c r="J1133" s="1260">
        <f>Arch!M497</f>
        <v>0</v>
      </c>
    </row>
    <row r="1134" spans="1:10" outlineLevel="1">
      <c r="A1134" t="s">
        <v>86</v>
      </c>
      <c r="F1134" s="1260">
        <f>Arch!F498</f>
        <v>0</v>
      </c>
      <c r="G1134" s="1260">
        <f>Arch!E498</f>
        <v>0</v>
      </c>
      <c r="H1134" s="1260">
        <f>Arch!I498</f>
        <v>0</v>
      </c>
      <c r="I1134" s="1260">
        <f>Arch!L498</f>
        <v>0</v>
      </c>
      <c r="J1134" s="1260">
        <f>Arch!M498</f>
        <v>0</v>
      </c>
    </row>
    <row r="1135" spans="1:10" outlineLevel="1">
      <c r="A1135" t="s">
        <v>86</v>
      </c>
      <c r="E1135" t="str">
        <f>IF(LEN(Arch!C499)&gt;0, Arch!C499, Arch!B499)</f>
        <v>บันได 1</v>
      </c>
      <c r="F1135" s="1260">
        <f>Arch!F499</f>
        <v>0</v>
      </c>
      <c r="G1135" s="1260">
        <f>Arch!E499</f>
        <v>0</v>
      </c>
      <c r="H1135" s="1260">
        <f>Arch!I499</f>
        <v>0</v>
      </c>
      <c r="I1135" s="1260">
        <f>Arch!L499</f>
        <v>0</v>
      </c>
      <c r="J1135" s="1260">
        <f>Arch!M499</f>
        <v>0</v>
      </c>
    </row>
    <row r="1136" spans="1:10" outlineLevel="1">
      <c r="A1136" t="s">
        <v>86</v>
      </c>
      <c r="B1136" t="s">
        <v>149</v>
      </c>
      <c r="C1136" t="s">
        <v>150</v>
      </c>
      <c r="D1136" t="s">
        <v>151</v>
      </c>
      <c r="E1136" t="str">
        <f>IF(LEN(Arch!C500)&gt;0, Arch!C500, Arch!B500)</f>
        <v>งานขั้นบันได ผิวกรุหินอ่อน</v>
      </c>
      <c r="F1136" s="1260" t="str">
        <f>Arch!F500</f>
        <v>เมตร</v>
      </c>
      <c r="G1136" s="1260">
        <f>Arch!E500</f>
        <v>114</v>
      </c>
      <c r="H1136" s="1260">
        <f>Arch!I500</f>
        <v>90166.271684867999</v>
      </c>
      <c r="I1136" s="1260">
        <f>Arch!L500</f>
        <v>23447.493818760002</v>
      </c>
      <c r="J1136" s="1260">
        <f>Arch!M500</f>
        <v>113613.765503628</v>
      </c>
    </row>
    <row r="1137" spans="1:10" outlineLevel="1">
      <c r="A1137" t="s">
        <v>86</v>
      </c>
      <c r="B1137" t="s">
        <v>149</v>
      </c>
      <c r="C1137" t="s">
        <v>150</v>
      </c>
      <c r="D1137" t="s">
        <v>151</v>
      </c>
      <c r="E1137" t="str">
        <f>IF(LEN(Arch!C501)&gt;0, Arch!C501, Arch!B501)</f>
        <v>งานชานพักบันได ผิวกรุหินอ่อน</v>
      </c>
      <c r="F1137" s="1260" t="str">
        <f>Arch!F501</f>
        <v>ตร.ม.</v>
      </c>
      <c r="G1137" s="1260">
        <f>Arch!E501</f>
        <v>30</v>
      </c>
      <c r="H1137" s="1260">
        <f>Arch!I501</f>
        <v>49924.089709799999</v>
      </c>
      <c r="I1137" s="1260">
        <f>Arch!L501</f>
        <v>5805.7789718700005</v>
      </c>
      <c r="J1137" s="1260">
        <f>Arch!M501</f>
        <v>55729.868681669999</v>
      </c>
    </row>
    <row r="1138" spans="1:10" outlineLevel="1">
      <c r="A1138" t="s">
        <v>86</v>
      </c>
      <c r="B1138" t="s">
        <v>149</v>
      </c>
      <c r="C1138" t="s">
        <v>150</v>
      </c>
      <c r="D1138" t="s">
        <v>152</v>
      </c>
      <c r="E1138" t="str">
        <f>IF(LEN(Arch!C502)&gt;0, Arch!C502, Arch!B502)</f>
        <v>งานราวบันได 1</v>
      </c>
      <c r="F1138" s="1260" t="str">
        <f>Arch!F502</f>
        <v>เมตร</v>
      </c>
      <c r="G1138" s="1260">
        <f>Arch!E502</f>
        <v>28</v>
      </c>
      <c r="H1138" s="1260">
        <f>Arch!I502</f>
        <v>31412.910379199999</v>
      </c>
      <c r="I1138" s="1260">
        <f>Arch!L502</f>
        <v>0</v>
      </c>
      <c r="J1138" s="1260">
        <f>Arch!M502</f>
        <v>31412.910379199999</v>
      </c>
    </row>
    <row r="1139" spans="1:10" outlineLevel="1">
      <c r="A1139" t="s">
        <v>86</v>
      </c>
      <c r="B1139" t="s">
        <v>149</v>
      </c>
      <c r="C1139" t="s">
        <v>150</v>
      </c>
      <c r="D1139" t="s">
        <v>151</v>
      </c>
      <c r="E1139" t="str">
        <f>IF(LEN(Arch!C503)&gt;0, Arch!C503, Arch!B503)</f>
        <v>งานท้องบันได ค.ส.ล. สภาพสีเดิม ลงน้ำยาปกป้องผิว</v>
      </c>
      <c r="F1139" s="1260" t="str">
        <f>Arch!F503</f>
        <v>ตร.ม.</v>
      </c>
      <c r="G1139" s="1260">
        <f>Arch!E503</f>
        <v>44</v>
      </c>
      <c r="H1139" s="1260">
        <f>Arch!I503</f>
        <v>1645.43816272</v>
      </c>
      <c r="I1139" s="1260">
        <f>Arch!L503</f>
        <v>2468.1572440800001</v>
      </c>
      <c r="J1139" s="1260">
        <f>Arch!M503</f>
        <v>4113.5954068000001</v>
      </c>
    </row>
    <row r="1140" spans="1:10" outlineLevel="1">
      <c r="A1140" t="s">
        <v>86</v>
      </c>
      <c r="E1140" t="str">
        <f>IF(LEN(Arch!C504)&gt;0, Arch!C504, Arch!B504)</f>
        <v>บันได 2</v>
      </c>
      <c r="F1140" s="1260">
        <f>Arch!F504</f>
        <v>0</v>
      </c>
      <c r="G1140" s="1260">
        <f>Arch!E504</f>
        <v>0</v>
      </c>
      <c r="H1140" s="1260">
        <f>Arch!I504</f>
        <v>0</v>
      </c>
      <c r="I1140" s="1260">
        <f>Arch!L504</f>
        <v>0</v>
      </c>
      <c r="J1140" s="1260">
        <f>Arch!M504</f>
        <v>0</v>
      </c>
    </row>
    <row r="1141" spans="1:10" outlineLevel="1">
      <c r="A1141" t="s">
        <v>86</v>
      </c>
      <c r="B1141" t="s">
        <v>149</v>
      </c>
      <c r="C1141" t="s">
        <v>153</v>
      </c>
      <c r="D1141" t="s">
        <v>151</v>
      </c>
      <c r="E1141" t="str">
        <f>IF(LEN(Arch!C505)&gt;0, Arch!C505, Arch!B505)</f>
        <v>งานขั้นบันได ผิวหินขัด</v>
      </c>
      <c r="F1141" s="1260" t="str">
        <f>Arch!F505</f>
        <v>เมตร</v>
      </c>
      <c r="G1141" s="1260">
        <f>Arch!E505</f>
        <v>85.5</v>
      </c>
      <c r="H1141" s="1260">
        <f>Arch!I505</f>
        <v>9032.6140960904995</v>
      </c>
      <c r="I1141" s="1260">
        <f>Arch!L505</f>
        <v>14308.3002053115</v>
      </c>
      <c r="J1141" s="1260">
        <f>Arch!M505</f>
        <v>23340.914301402001</v>
      </c>
    </row>
    <row r="1142" spans="1:10" outlineLevel="1">
      <c r="A1142" t="s">
        <v>86</v>
      </c>
      <c r="B1142" t="s">
        <v>149</v>
      </c>
      <c r="C1142" t="s">
        <v>153</v>
      </c>
      <c r="D1142" t="s">
        <v>151</v>
      </c>
      <c r="E1142" t="str">
        <f>IF(LEN(Arch!C506)&gt;0, Arch!C506, Arch!B506)</f>
        <v>งานชานพักบันได ผิวหินขัด</v>
      </c>
      <c r="F1142" s="1260" t="str">
        <f>Arch!F506</f>
        <v>ตร.ม.</v>
      </c>
      <c r="G1142" s="1260">
        <f>Arch!E506</f>
        <v>43.6</v>
      </c>
      <c r="H1142" s="1260">
        <f>Arch!I506</f>
        <v>9701.3538221096005</v>
      </c>
      <c r="I1142" s="1260">
        <f>Arch!L506</f>
        <v>6562.6805267212003</v>
      </c>
      <c r="J1142" s="1260">
        <f>Arch!M506</f>
        <v>16264.034348830801</v>
      </c>
    </row>
    <row r="1143" spans="1:10" outlineLevel="1">
      <c r="A1143" t="s">
        <v>86</v>
      </c>
      <c r="B1143" t="s">
        <v>149</v>
      </c>
      <c r="C1143" t="s">
        <v>153</v>
      </c>
      <c r="D1143" t="s">
        <v>152</v>
      </c>
      <c r="E1143" t="str">
        <f>IF(LEN(Arch!C507)&gt;0, Arch!C507, Arch!B507)</f>
        <v>งานราวบันไดเดิม ทำความสะอาดและทาสีอะครีลิค ชนิดภายใน</v>
      </c>
      <c r="F1143" s="1260" t="str">
        <f>Arch!F507</f>
        <v>เมตร</v>
      </c>
      <c r="G1143" s="1260">
        <f>Arch!E507</f>
        <v>19.599999999999998</v>
      </c>
      <c r="H1143" s="1260">
        <f>Arch!I507</f>
        <v>1099.4518632719999</v>
      </c>
      <c r="I1143" s="1260">
        <f>Arch!L507</f>
        <v>824.58889745399983</v>
      </c>
      <c r="J1143" s="1260">
        <f>Arch!M507</f>
        <v>1924.0407607259997</v>
      </c>
    </row>
    <row r="1144" spans="1:10" outlineLevel="1">
      <c r="A1144" t="s">
        <v>86</v>
      </c>
      <c r="B1144" t="s">
        <v>149</v>
      </c>
      <c r="C1144" t="s">
        <v>153</v>
      </c>
      <c r="D1144" t="s">
        <v>151</v>
      </c>
      <c r="E1144" t="str">
        <f>IF(LEN(Arch!C508)&gt;0, Arch!C508, Arch!B508)</f>
        <v xml:space="preserve">งานท้องพื้นบันไดและข้างบันได ทาสีอะครีลิคชนิดภายใน </v>
      </c>
      <c r="F1144" s="1260" t="str">
        <f>Arch!F508</f>
        <v>ตร.ม.</v>
      </c>
      <c r="G1144" s="1260">
        <f>Arch!E508</f>
        <v>31.4</v>
      </c>
      <c r="H1144" s="1260">
        <f>Arch!I508</f>
        <v>880.68338027399989</v>
      </c>
      <c r="I1144" s="1260">
        <f>Arch!L508</f>
        <v>821.97115492239982</v>
      </c>
      <c r="J1144" s="1260">
        <f>Arch!M508</f>
        <v>1702.6545351963996</v>
      </c>
    </row>
    <row r="1145" spans="1:10" outlineLevel="1">
      <c r="A1145" t="s">
        <v>86</v>
      </c>
      <c r="E1145" t="str">
        <f>IF(LEN(Arch!C509)&gt;0, Arch!C509, Arch!B509)</f>
        <v>บันได 3</v>
      </c>
      <c r="F1145" s="1260">
        <f>Arch!F509</f>
        <v>0</v>
      </c>
      <c r="G1145" s="1260">
        <f>Arch!E509</f>
        <v>0</v>
      </c>
      <c r="H1145" s="1260">
        <f>Arch!I509</f>
        <v>0</v>
      </c>
      <c r="I1145" s="1260">
        <f>Arch!L509</f>
        <v>0</v>
      </c>
      <c r="J1145" s="1260">
        <f>Arch!M509</f>
        <v>0</v>
      </c>
    </row>
    <row r="1146" spans="1:10" outlineLevel="1">
      <c r="A1146" t="s">
        <v>86</v>
      </c>
      <c r="B1146" t="s">
        <v>149</v>
      </c>
      <c r="C1146" t="s">
        <v>154</v>
      </c>
      <c r="D1146" t="s">
        <v>151</v>
      </c>
      <c r="E1146" t="str">
        <f>IF(LEN(Arch!C510)&gt;0, Arch!C510, Arch!B510)</f>
        <v>งานขั้นบันได ผิวหินขัด</v>
      </c>
      <c r="F1146" s="1260" t="str">
        <f>Arch!F510</f>
        <v>เมตร</v>
      </c>
      <c r="G1146" s="1260">
        <f>Arch!E510</f>
        <v>85.5</v>
      </c>
      <c r="H1146" s="1260">
        <f>Arch!I510</f>
        <v>9032.6140960904995</v>
      </c>
      <c r="I1146" s="1260">
        <f>Arch!L510</f>
        <v>14308.3002053115</v>
      </c>
      <c r="J1146" s="1260">
        <f>Arch!M510</f>
        <v>23340.914301402001</v>
      </c>
    </row>
    <row r="1147" spans="1:10" outlineLevel="1">
      <c r="A1147" t="s">
        <v>86</v>
      </c>
      <c r="B1147" t="s">
        <v>149</v>
      </c>
      <c r="C1147" t="s">
        <v>154</v>
      </c>
      <c r="D1147" t="s">
        <v>151</v>
      </c>
      <c r="E1147" t="str">
        <f>IF(LEN(Arch!C511)&gt;0, Arch!C511, Arch!B511)</f>
        <v>งานชานพักบันได ผิวหินขัด</v>
      </c>
      <c r="F1147" s="1260" t="str">
        <f>Arch!F511</f>
        <v>ตร.ม.</v>
      </c>
      <c r="G1147" s="1260">
        <f>Arch!E511</f>
        <v>43.6</v>
      </c>
      <c r="H1147" s="1260">
        <f>Arch!I511</f>
        <v>9701.3538221096005</v>
      </c>
      <c r="I1147" s="1260">
        <f>Arch!L511</f>
        <v>6562.6805267212003</v>
      </c>
      <c r="J1147" s="1260">
        <f>Arch!M511</f>
        <v>16264.034348830801</v>
      </c>
    </row>
    <row r="1148" spans="1:10" outlineLevel="1">
      <c r="A1148" t="s">
        <v>86</v>
      </c>
      <c r="B1148" t="s">
        <v>149</v>
      </c>
      <c r="C1148" t="s">
        <v>154</v>
      </c>
      <c r="D1148" t="s">
        <v>152</v>
      </c>
      <c r="E1148" t="str">
        <f>IF(LEN(Arch!C512)&gt;0, Arch!C512, Arch!B512)</f>
        <v>งานราวบันไดเดิม ทำความสะอาดและทาสีอะครีลิค ชนิดภายใน</v>
      </c>
      <c r="F1148" s="1260" t="str">
        <f>Arch!F512</f>
        <v>เมตร</v>
      </c>
      <c r="G1148" s="1260">
        <f>Arch!E512</f>
        <v>19.599999999999998</v>
      </c>
      <c r="H1148" s="1260">
        <f>Arch!I512</f>
        <v>1099.4518632719999</v>
      </c>
      <c r="I1148" s="1260">
        <f>Arch!L512</f>
        <v>824.58889745399983</v>
      </c>
      <c r="J1148" s="1260">
        <f>Arch!M512</f>
        <v>1924.0407607259997</v>
      </c>
    </row>
    <row r="1149" spans="1:10" outlineLevel="1">
      <c r="A1149" t="s">
        <v>86</v>
      </c>
      <c r="B1149" t="s">
        <v>149</v>
      </c>
      <c r="C1149" t="s">
        <v>154</v>
      </c>
      <c r="D1149" t="s">
        <v>151</v>
      </c>
      <c r="E1149" t="str">
        <f>IF(LEN(Arch!C513)&gt;0, Arch!C513, Arch!B513)</f>
        <v xml:space="preserve">งานท้องพื้นบันไดและข้างบันได ทาสีอะครีลิคชนิดภายใน </v>
      </c>
      <c r="F1149" s="1260" t="str">
        <f>Arch!F513</f>
        <v>ตร.ม.</v>
      </c>
      <c r="G1149" s="1260">
        <f>Arch!E513</f>
        <v>31.4</v>
      </c>
      <c r="H1149" s="1260">
        <f>Arch!I513</f>
        <v>880.68338027399989</v>
      </c>
      <c r="I1149" s="1260">
        <f>Arch!L513</f>
        <v>821.97115492239982</v>
      </c>
      <c r="J1149" s="1260">
        <f>Arch!M513</f>
        <v>1702.6545351963996</v>
      </c>
    </row>
    <row r="1150" spans="1:10" outlineLevel="1">
      <c r="A1150" t="s">
        <v>86</v>
      </c>
      <c r="E1150" t="str">
        <f>IF(LEN(Arch!C514)&gt;0, Arch!C514, Arch!B514)</f>
        <v>บันได 4</v>
      </c>
      <c r="F1150" s="1260">
        <f>Arch!F514</f>
        <v>0</v>
      </c>
      <c r="G1150" s="1260">
        <f>Arch!E514</f>
        <v>0</v>
      </c>
      <c r="H1150" s="1260">
        <f>Arch!I514</f>
        <v>0</v>
      </c>
      <c r="I1150" s="1260">
        <f>Arch!L514</f>
        <v>0</v>
      </c>
      <c r="J1150" s="1260">
        <f>Arch!M514</f>
        <v>0</v>
      </c>
    </row>
    <row r="1151" spans="1:10" outlineLevel="1">
      <c r="A1151" t="s">
        <v>86</v>
      </c>
      <c r="B1151" t="s">
        <v>149</v>
      </c>
      <c r="C1151" t="s">
        <v>155</v>
      </c>
      <c r="D1151" t="s">
        <v>151</v>
      </c>
      <c r="E1151" t="str">
        <f>IF(LEN(Arch!C515)&gt;0, Arch!C515, Arch!B515)</f>
        <v>งานขั้นบันได ผิวหินขัด</v>
      </c>
      <c r="F1151" s="1260" t="str">
        <f>Arch!F515</f>
        <v>เมตร</v>
      </c>
      <c r="G1151" s="1260">
        <f>Arch!E515</f>
        <v>85.5</v>
      </c>
      <c r="H1151" s="1260">
        <f>Arch!I515</f>
        <v>9032.6140960904995</v>
      </c>
      <c r="I1151" s="1260">
        <f>Arch!L515</f>
        <v>14308.3002053115</v>
      </c>
      <c r="J1151" s="1260">
        <f>Arch!M515</f>
        <v>23340.914301402001</v>
      </c>
    </row>
    <row r="1152" spans="1:10" outlineLevel="1">
      <c r="A1152" t="s">
        <v>86</v>
      </c>
      <c r="B1152" t="s">
        <v>149</v>
      </c>
      <c r="C1152" t="s">
        <v>155</v>
      </c>
      <c r="D1152" t="s">
        <v>151</v>
      </c>
      <c r="E1152" t="str">
        <f>IF(LEN(Arch!C516)&gt;0, Arch!C516, Arch!B516)</f>
        <v>งานชานพักบันได ผิวหินขัด</v>
      </c>
      <c r="F1152" s="1260" t="str">
        <f>Arch!F516</f>
        <v>ตร.ม.</v>
      </c>
      <c r="G1152" s="1260">
        <f>Arch!E516</f>
        <v>43.6</v>
      </c>
      <c r="H1152" s="1260">
        <f>Arch!I516</f>
        <v>9701.3538221096005</v>
      </c>
      <c r="I1152" s="1260">
        <f>Arch!L516</f>
        <v>6562.6805267212003</v>
      </c>
      <c r="J1152" s="1260">
        <f>Arch!M516</f>
        <v>16264.034348830801</v>
      </c>
    </row>
    <row r="1153" spans="1:10" outlineLevel="1">
      <c r="A1153" t="s">
        <v>86</v>
      </c>
      <c r="B1153" t="s">
        <v>149</v>
      </c>
      <c r="C1153" t="s">
        <v>155</v>
      </c>
      <c r="D1153" t="s">
        <v>152</v>
      </c>
      <c r="E1153" t="str">
        <f>IF(LEN(Arch!C517)&gt;0, Arch!C517, Arch!B517)</f>
        <v>งานราวบันไดเดิม ทำความสะอาดและทาสีอะครีลิค ชนิดภายใน</v>
      </c>
      <c r="F1153" s="1260" t="str">
        <f>Arch!F517</f>
        <v>เมตร</v>
      </c>
      <c r="G1153" s="1260">
        <f>Arch!E517</f>
        <v>19.599999999999998</v>
      </c>
      <c r="H1153" s="1260">
        <f>Arch!I517</f>
        <v>1099.4518632719999</v>
      </c>
      <c r="I1153" s="1260">
        <f>Arch!L517</f>
        <v>824.58889745399983</v>
      </c>
      <c r="J1153" s="1260">
        <f>Arch!M517</f>
        <v>1924.0407607259997</v>
      </c>
    </row>
    <row r="1154" spans="1:10" outlineLevel="1">
      <c r="A1154" t="s">
        <v>86</v>
      </c>
      <c r="B1154" t="s">
        <v>149</v>
      </c>
      <c r="C1154" t="s">
        <v>155</v>
      </c>
      <c r="D1154" t="s">
        <v>151</v>
      </c>
      <c r="E1154" t="str">
        <f>IF(LEN(Arch!C518)&gt;0, Arch!C518, Arch!B518)</f>
        <v xml:space="preserve">งานท้องพื้นบันไดและข้างบันได ทาสีอะครีลิคชนิดภายใน </v>
      </c>
      <c r="F1154" s="1260" t="str">
        <f>Arch!F518</f>
        <v>ตร.ม.</v>
      </c>
      <c r="G1154" s="1260">
        <f>Arch!E518</f>
        <v>29.4</v>
      </c>
      <c r="H1154" s="1260">
        <f>Arch!I518</f>
        <v>824.58889745399995</v>
      </c>
      <c r="I1154" s="1260">
        <f>Arch!L518</f>
        <v>769.61630429039985</v>
      </c>
      <c r="J1154" s="1260">
        <f>Arch!M518</f>
        <v>1594.2052017443998</v>
      </c>
    </row>
    <row r="1155" spans="1:10" outlineLevel="1">
      <c r="A1155" t="s">
        <v>86</v>
      </c>
      <c r="E1155" t="str">
        <f>IF(LEN(Arch!C519)&gt;0, Arch!C519, Arch!B519)</f>
        <v>บันได 5</v>
      </c>
      <c r="F1155" s="1260">
        <f>Arch!F519</f>
        <v>0</v>
      </c>
      <c r="G1155" s="1260">
        <f>Arch!E519</f>
        <v>0</v>
      </c>
      <c r="H1155" s="1260">
        <f>Arch!I519</f>
        <v>0</v>
      </c>
      <c r="I1155" s="1260">
        <f>Arch!L519</f>
        <v>0</v>
      </c>
      <c r="J1155" s="1260">
        <f>Arch!M519</f>
        <v>0</v>
      </c>
    </row>
    <row r="1156" spans="1:10" outlineLevel="1">
      <c r="A1156" t="s">
        <v>86</v>
      </c>
      <c r="B1156" t="s">
        <v>149</v>
      </c>
      <c r="C1156" t="s">
        <v>156</v>
      </c>
      <c r="D1156" t="s">
        <v>151</v>
      </c>
      <c r="E1156" t="str">
        <f>IF(LEN(Arch!C520)&gt;0, Arch!C520, Arch!B520)</f>
        <v>งานขั้นบันได ผิวกรุหินอ่อน</v>
      </c>
      <c r="F1156" s="1260" t="str">
        <f>Arch!F520</f>
        <v>เมตร</v>
      </c>
      <c r="G1156" s="1260">
        <f>Arch!E520</f>
        <v>114</v>
      </c>
      <c r="H1156" s="1260">
        <f>Arch!I520</f>
        <v>90166.271684867999</v>
      </c>
      <c r="I1156" s="1260">
        <f>Arch!L520</f>
        <v>23447.493818760002</v>
      </c>
      <c r="J1156" s="1260">
        <f>Arch!M520</f>
        <v>113613.765503628</v>
      </c>
    </row>
    <row r="1157" spans="1:10" outlineLevel="1">
      <c r="A1157" t="s">
        <v>86</v>
      </c>
      <c r="B1157" t="s">
        <v>149</v>
      </c>
      <c r="C1157" t="s">
        <v>156</v>
      </c>
      <c r="D1157" t="s">
        <v>151</v>
      </c>
      <c r="E1157" t="str">
        <f>IF(LEN(Arch!C521)&gt;0, Arch!C521, Arch!B521)</f>
        <v>งานชานพักบันได ผิวกรุหินอ่อน</v>
      </c>
      <c r="F1157" s="1260" t="str">
        <f>Arch!F521</f>
        <v>ตร.ม.</v>
      </c>
      <c r="G1157" s="1260">
        <f>Arch!E521</f>
        <v>30</v>
      </c>
      <c r="H1157" s="1260">
        <f>Arch!I521</f>
        <v>49924.089709799999</v>
      </c>
      <c r="I1157" s="1260">
        <f>Arch!L521</f>
        <v>5805.7789718700005</v>
      </c>
      <c r="J1157" s="1260">
        <f>Arch!M521</f>
        <v>55729.868681669999</v>
      </c>
    </row>
    <row r="1158" spans="1:10" outlineLevel="1">
      <c r="A1158" t="s">
        <v>86</v>
      </c>
      <c r="B1158" t="s">
        <v>149</v>
      </c>
      <c r="C1158" t="s">
        <v>156</v>
      </c>
      <c r="D1158" t="s">
        <v>152</v>
      </c>
      <c r="E1158" t="str">
        <f>IF(LEN(Arch!C522)&gt;0, Arch!C522, Arch!B522)</f>
        <v>งานราวบันไดเดิม ทำความสะอาดและทาสีอะครีลิค ชนิดภายใน</v>
      </c>
      <c r="F1158" s="1260" t="str">
        <f>Arch!F522</f>
        <v>เมตร</v>
      </c>
      <c r="G1158" s="1260">
        <f>Arch!E522</f>
        <v>30</v>
      </c>
      <c r="H1158" s="1260">
        <f>Arch!I522</f>
        <v>1682.8344846</v>
      </c>
      <c r="I1158" s="1260">
        <f>Arch!L522</f>
        <v>1262.12586345</v>
      </c>
      <c r="J1158" s="1260">
        <f>Arch!M522</f>
        <v>2944.96034805</v>
      </c>
    </row>
    <row r="1159" spans="1:10" outlineLevel="1">
      <c r="A1159" t="s">
        <v>86</v>
      </c>
      <c r="B1159" t="s">
        <v>149</v>
      </c>
      <c r="C1159" t="s">
        <v>156</v>
      </c>
      <c r="D1159" t="s">
        <v>151</v>
      </c>
      <c r="E1159" t="str">
        <f>IF(LEN(Arch!C523)&gt;0, Arch!C523, Arch!B523)</f>
        <v xml:space="preserve">งานท้องพื้นบันไดและข้างบันได ทาสีอะครีลิคชนิดภายใน </v>
      </c>
      <c r="F1159" s="1260" t="str">
        <f>Arch!F523</f>
        <v>ตร.ม.</v>
      </c>
      <c r="G1159" s="1260">
        <f>Arch!E523</f>
        <v>42</v>
      </c>
      <c r="H1159" s="1260">
        <f>Arch!I523</f>
        <v>1177.9841392199999</v>
      </c>
      <c r="I1159" s="1260">
        <f>Arch!L523</f>
        <v>1099.4518632719999</v>
      </c>
      <c r="J1159" s="1260">
        <f>Arch!M523</f>
        <v>2277.4360024919997</v>
      </c>
    </row>
    <row r="1160" spans="1:10" outlineLevel="1">
      <c r="A1160" t="s">
        <v>86</v>
      </c>
      <c r="F1160" s="1260">
        <f>Arch!F524</f>
        <v>0</v>
      </c>
      <c r="G1160" s="1260">
        <f>Arch!E524</f>
        <v>0</v>
      </c>
      <c r="H1160" s="1260">
        <f>Arch!I524</f>
        <v>0</v>
      </c>
      <c r="I1160" s="1260">
        <f>Arch!L524</f>
        <v>0</v>
      </c>
      <c r="J1160" s="1260">
        <f>Arch!M524</f>
        <v>0</v>
      </c>
    </row>
    <row r="1161" spans="1:10" outlineLevel="1">
      <c r="A1161" t="s">
        <v>86</v>
      </c>
      <c r="E1161" t="str">
        <f>IF(LEN(Arch!C525)&gt;0, Arch!C525, Arch!B525)</f>
        <v>บันได 6</v>
      </c>
      <c r="F1161" s="1260">
        <f>Arch!F525</f>
        <v>0</v>
      </c>
      <c r="G1161" s="1260">
        <f>Arch!E525</f>
        <v>0</v>
      </c>
      <c r="H1161" s="1260">
        <f>Arch!I525</f>
        <v>0</v>
      </c>
      <c r="I1161" s="1260">
        <f>Arch!L525</f>
        <v>0</v>
      </c>
      <c r="J1161" s="1260">
        <f>Arch!M525</f>
        <v>0</v>
      </c>
    </row>
    <row r="1162" spans="1:10" outlineLevel="1">
      <c r="A1162" t="s">
        <v>86</v>
      </c>
      <c r="B1162" t="s">
        <v>149</v>
      </c>
      <c r="C1162" t="s">
        <v>56</v>
      </c>
      <c r="D1162" t="s">
        <v>157</v>
      </c>
      <c r="E1162" t="str">
        <f>IF(LEN(Arch!C526)&gt;0, Arch!C526, Arch!B526)</f>
        <v xml:space="preserve">Steel Plat Thk. 20 mm. </v>
      </c>
      <c r="F1162" s="1260">
        <f>Arch!F526</f>
        <v>0</v>
      </c>
      <c r="G1162" s="1260" t="str">
        <f>Arch!E526</f>
        <v>* ดูรายละเอียดวิศวกรรมโครงสร้าง</v>
      </c>
      <c r="H1162" s="1260">
        <f>Arch!I526</f>
        <v>0</v>
      </c>
      <c r="I1162" s="1260">
        <f>Arch!L526</f>
        <v>0</v>
      </c>
      <c r="J1162" s="1260">
        <f>Arch!M526</f>
        <v>0</v>
      </c>
    </row>
    <row r="1163" spans="1:10" outlineLevel="1">
      <c r="A1163" t="s">
        <v>86</v>
      </c>
      <c r="B1163" t="s">
        <v>149</v>
      </c>
      <c r="C1163" t="s">
        <v>56</v>
      </c>
      <c r="D1163" t="s">
        <v>157</v>
      </c>
      <c r="E1163" t="str">
        <f>IF(LEN(Arch!C527)&gt;0, Arch!C527, Arch!B527)</f>
        <v xml:space="preserve">Steel Plat Thk.12 mm. </v>
      </c>
      <c r="F1163" s="1260">
        <f>Arch!F527</f>
        <v>0</v>
      </c>
      <c r="G1163" s="1260" t="str">
        <f>Arch!E527</f>
        <v>* ดูรายละเอียดวิศวกรรมโครงสร้าง</v>
      </c>
      <c r="H1163" s="1260">
        <f>Arch!I527</f>
        <v>0</v>
      </c>
      <c r="I1163" s="1260">
        <f>Arch!L527</f>
        <v>0</v>
      </c>
      <c r="J1163" s="1260">
        <f>Arch!M527</f>
        <v>0</v>
      </c>
    </row>
    <row r="1164" spans="1:10" outlineLevel="1">
      <c r="A1164" t="s">
        <v>86</v>
      </c>
      <c r="B1164" t="s">
        <v>149</v>
      </c>
      <c r="C1164" t="s">
        <v>56</v>
      </c>
      <c r="D1164" t="s">
        <v>157</v>
      </c>
      <c r="E1164" t="str">
        <f>IF(LEN(Arch!C528)&gt;0, Arch!C528, Arch!B528)</f>
        <v>Steel Plat Thk. 9 mm.</v>
      </c>
      <c r="F1164" s="1260">
        <f>Arch!F528</f>
        <v>0</v>
      </c>
      <c r="G1164" s="1260" t="str">
        <f>Arch!E528</f>
        <v>* ดูรายละเอียดวิศวกรรมโครงสร้าง</v>
      </c>
      <c r="H1164" s="1260">
        <f>Arch!I528</f>
        <v>0</v>
      </c>
      <c r="I1164" s="1260">
        <f>Arch!L528</f>
        <v>0</v>
      </c>
      <c r="J1164" s="1260">
        <f>Arch!M528</f>
        <v>0</v>
      </c>
    </row>
    <row r="1165" spans="1:10" outlineLevel="1">
      <c r="A1165" t="s">
        <v>86</v>
      </c>
      <c r="B1165" t="s">
        <v>149</v>
      </c>
      <c r="C1165" t="s">
        <v>56</v>
      </c>
      <c r="D1165" t="s">
        <v>157</v>
      </c>
      <c r="E1165" t="str">
        <f>IF(LEN(Arch!C529)&gt;0, Arch!C529, Arch!B529)</f>
        <v>Steel Plat Thk. 4 mm.</v>
      </c>
      <c r="F1165" s="1260" t="str">
        <f>Arch!F529</f>
        <v>กก.</v>
      </c>
      <c r="G1165" s="1260">
        <f>Arch!E529</f>
        <v>120</v>
      </c>
      <c r="H1165" s="1260">
        <f>Arch!I529</f>
        <v>2916.91310664</v>
      </c>
      <c r="I1165" s="1260">
        <f>Arch!L529</f>
        <v>1570.6455189599999</v>
      </c>
      <c r="J1165" s="1260">
        <f>Arch!M529</f>
        <v>4487.5586255999997</v>
      </c>
    </row>
    <row r="1166" spans="1:10" outlineLevel="1">
      <c r="A1166" t="s">
        <v>86</v>
      </c>
      <c r="B1166" t="s">
        <v>149</v>
      </c>
      <c r="C1166" t="s">
        <v>56</v>
      </c>
      <c r="D1166" t="s">
        <v>152</v>
      </c>
      <c r="E1166" t="str">
        <f>IF(LEN(Arch!C530)&gt;0, Arch!C530, Arch!B530)</f>
        <v xml:space="preserve">งานราวกันตก Laminate Tempered Glass 6+6 mm. </v>
      </c>
      <c r="F1166" s="1260" t="str">
        <f>Arch!F530</f>
        <v>เมตร</v>
      </c>
      <c r="G1166" s="1260">
        <f>Arch!E530</f>
        <v>13.2554</v>
      </c>
      <c r="H1166" s="1260">
        <f>Arch!I530</f>
        <v>90156.020418132641</v>
      </c>
      <c r="I1166" s="1260">
        <f>Arch!L530</f>
        <v>30547.710011092367</v>
      </c>
      <c r="J1166" s="1260">
        <f>Arch!M530</f>
        <v>120703.730429225</v>
      </c>
    </row>
    <row r="1167" spans="1:10" outlineLevel="1">
      <c r="A1167" t="s">
        <v>86</v>
      </c>
      <c r="B1167" t="s">
        <v>149</v>
      </c>
      <c r="C1167" t="s">
        <v>56</v>
      </c>
      <c r="D1167" t="s">
        <v>151</v>
      </c>
      <c r="E1167" t="str">
        <f>IF(LEN(Arch!C531)&gt;0, Arch!C531, Arch!B531)</f>
        <v>พร้อมหมุดยึดและอุปกรณ์ประกอบ</v>
      </c>
      <c r="F1167" s="1260">
        <f>Arch!F531</f>
        <v>0</v>
      </c>
      <c r="G1167" s="1260">
        <f>Arch!E531</f>
        <v>0</v>
      </c>
      <c r="H1167" s="1260">
        <f>Arch!I531</f>
        <v>0</v>
      </c>
      <c r="I1167" s="1260">
        <f>Arch!L531</f>
        <v>0</v>
      </c>
      <c r="J1167" s="1260">
        <f>Arch!M531</f>
        <v>0</v>
      </c>
    </row>
    <row r="1168" spans="1:10" outlineLevel="1">
      <c r="A1168" t="s">
        <v>86</v>
      </c>
      <c r="B1168" t="s">
        <v>149</v>
      </c>
      <c r="C1168" t="s">
        <v>56</v>
      </c>
      <c r="D1168" t="s">
        <v>151</v>
      </c>
      <c r="E1168" t="str">
        <f>IF(LEN(Arch!C532)&gt;0, Arch!C532, Arch!B532)</f>
        <v>พื้นปูทับด้วยแผ่นยางปูพื้นกันลื่นลายเหรียญสีเทา Round Dot - Anti Slip หนา 5 มม.</v>
      </c>
      <c r="F1168" s="1260" t="str">
        <f>Arch!F532</f>
        <v>ตร.ม.</v>
      </c>
      <c r="G1168" s="1260">
        <f>Arch!E532</f>
        <v>20</v>
      </c>
      <c r="H1168" s="1260">
        <f>Arch!I532</f>
        <v>9723.0436888000004</v>
      </c>
      <c r="I1168" s="1260">
        <f>Arch!L532</f>
        <v>2916.91310664</v>
      </c>
      <c r="J1168" s="1260">
        <f>Arch!M532</f>
        <v>12639.956795440001</v>
      </c>
    </row>
    <row r="1169" spans="1:10" outlineLevel="1">
      <c r="A1169" t="s">
        <v>86</v>
      </c>
      <c r="B1169" t="s">
        <v>149</v>
      </c>
      <c r="C1169" t="s">
        <v>56</v>
      </c>
      <c r="D1169" t="s">
        <v>151</v>
      </c>
      <c r="E1169" t="str">
        <f>IF(LEN(Arch!C533)&gt;0, Arch!C533, Arch!B533)</f>
        <v>Checkered Plate Thk. 4 mm.</v>
      </c>
      <c r="F1169" s="1260" t="str">
        <f>Arch!F533</f>
        <v>ตร.ม.</v>
      </c>
      <c r="G1169" s="1260">
        <f>Arch!E533</f>
        <v>104.09099999999999</v>
      </c>
      <c r="H1169" s="1260">
        <f>Arch!I533</f>
        <v>160570.59730845704</v>
      </c>
      <c r="I1169" s="1260">
        <f>Arch!L533</f>
        <v>12164.439190034624</v>
      </c>
      <c r="J1169" s="1260">
        <f>Arch!M533</f>
        <v>172735.03649849165</v>
      </c>
    </row>
    <row r="1170" spans="1:10" outlineLevel="1">
      <c r="A1170" t="s">
        <v>86</v>
      </c>
      <c r="B1170" t="s">
        <v>149</v>
      </c>
      <c r="C1170" t="s">
        <v>56</v>
      </c>
      <c r="D1170" t="s">
        <v>151</v>
      </c>
      <c r="E1170" t="str">
        <f>IF(LEN(Arch!C534)&gt;0, Arch!C534, Arch!B534)</f>
        <v>งานทำสีพ่นสีดำ โครงสร้างเหล็กทั้งหมด</v>
      </c>
      <c r="F1170" s="1260" t="str">
        <f>Arch!F534</f>
        <v>ตร.ม.</v>
      </c>
      <c r="G1170" s="1260">
        <f>Arch!E534</f>
        <v>190</v>
      </c>
      <c r="H1170" s="1260">
        <f>Arch!I534</f>
        <v>21315.903471599999</v>
      </c>
      <c r="I1170" s="1260">
        <f>Arch!L534</f>
        <v>14210.602314400001</v>
      </c>
      <c r="J1170" s="1260">
        <f>Arch!M534</f>
        <v>35526.505786000002</v>
      </c>
    </row>
    <row r="1171" spans="1:10" outlineLevel="1">
      <c r="A1171" t="s">
        <v>86</v>
      </c>
      <c r="E1171" t="str">
        <f>IF(LEN(Arch!C535)&gt;0, Arch!C535, Arch!B535)</f>
        <v>บันไดบริการ</v>
      </c>
      <c r="F1171" s="1260">
        <f>Arch!F535</f>
        <v>0</v>
      </c>
      <c r="G1171" s="1260">
        <f>Arch!E535</f>
        <v>0</v>
      </c>
      <c r="H1171" s="1260">
        <f>Arch!I535</f>
        <v>0</v>
      </c>
      <c r="I1171" s="1260">
        <f>Arch!L535</f>
        <v>0</v>
      </c>
      <c r="J1171" s="1260">
        <f>Arch!M535</f>
        <v>0</v>
      </c>
    </row>
    <row r="1172" spans="1:10" outlineLevel="1">
      <c r="A1172" t="s">
        <v>86</v>
      </c>
      <c r="B1172" t="s">
        <v>149</v>
      </c>
      <c r="C1172" t="s">
        <v>158</v>
      </c>
      <c r="D1172" t="s">
        <v>158</v>
      </c>
      <c r="E1172" t="str">
        <f>IF(LEN(Arch!C536)&gt;0, Arch!C536, Arch!B536)</f>
        <v>บันไดบริการ ตามแบบ IN410</v>
      </c>
      <c r="F1172" s="1260" t="str">
        <f>Arch!F536</f>
        <v>ชุด</v>
      </c>
      <c r="G1172" s="1260">
        <f>Arch!E536</f>
        <v>1</v>
      </c>
      <c r="H1172" s="1260">
        <f>Arch!I536</f>
        <v>16828.344846</v>
      </c>
      <c r="I1172" s="1260">
        <f>Arch!L536</f>
        <v>0</v>
      </c>
      <c r="J1172" s="1260">
        <f>Arch!M536</f>
        <v>16828.344846</v>
      </c>
    </row>
    <row r="1173" spans="1:10" outlineLevel="1">
      <c r="A1173" t="s">
        <v>86</v>
      </c>
      <c r="B1173" t="s">
        <v>149</v>
      </c>
      <c r="C1173" t="s">
        <v>158</v>
      </c>
      <c r="D1173" t="s">
        <v>158</v>
      </c>
      <c r="E1173" t="str">
        <f>IF(LEN(Arch!C537)&gt;0, Arch!C537, Arch!B537)</f>
        <v>ฝาถังเก็บน้ำ - ประตูทางลงบริการ ตามแบบ IN410</v>
      </c>
      <c r="F1173" s="1260" t="str">
        <f>Arch!F537</f>
        <v>ชุด</v>
      </c>
      <c r="G1173" s="1260">
        <f>Arch!E537</f>
        <v>1</v>
      </c>
      <c r="H1173" s="1260">
        <f>Arch!I537</f>
        <v>23372.701174999998</v>
      </c>
      <c r="I1173" s="1260">
        <f>Arch!L537</f>
        <v>0</v>
      </c>
      <c r="J1173" s="1260">
        <f>Arch!M537</f>
        <v>23372.701174999998</v>
      </c>
    </row>
    <row r="1174" spans="1:10" outlineLevel="1">
      <c r="A1174" t="s">
        <v>86</v>
      </c>
      <c r="B1174" t="s">
        <v>149</v>
      </c>
      <c r="C1174" t="s">
        <v>53</v>
      </c>
      <c r="E1174" t="str">
        <f>IF(LEN(Arch!C538)&gt;0, Arch!C538, Arch!B538)</f>
        <v>งานตกแต่งโถงลิฟต์</v>
      </c>
      <c r="F1174" s="1260">
        <f>Arch!F538</f>
        <v>0</v>
      </c>
      <c r="G1174" s="1260">
        <f>Arch!E538</f>
        <v>0</v>
      </c>
      <c r="H1174" s="1260">
        <f>Arch!I538</f>
        <v>0</v>
      </c>
      <c r="I1174" s="1260">
        <f>Arch!L538</f>
        <v>0</v>
      </c>
      <c r="J1174" s="1260">
        <f>Arch!M538</f>
        <v>0</v>
      </c>
    </row>
    <row r="1175" spans="1:10" outlineLevel="1">
      <c r="A1175" t="s">
        <v>86</v>
      </c>
      <c r="B1175" t="s">
        <v>149</v>
      </c>
      <c r="C1175" t="s">
        <v>53</v>
      </c>
      <c r="D1175" t="s">
        <v>53</v>
      </c>
      <c r="E1175" t="str">
        <f>IF(LEN(Arch!C539)&gt;0, Arch!C539, Arch!B539)</f>
        <v>Steel H - Beam 200 x 200 x 8 x 12 mm.</v>
      </c>
      <c r="F1175" s="1260">
        <f>Arch!F539</f>
        <v>0</v>
      </c>
      <c r="G1175" s="1260" t="str">
        <f>Arch!E539</f>
        <v xml:space="preserve"> ( ดูแบบวิศวกรรมโครงสร้าง )</v>
      </c>
      <c r="H1175" s="1260">
        <f>Arch!I539</f>
        <v>0</v>
      </c>
      <c r="I1175" s="1260">
        <f>Arch!L539</f>
        <v>0</v>
      </c>
      <c r="J1175" s="1260">
        <f>Arch!M539</f>
        <v>0</v>
      </c>
    </row>
    <row r="1176" spans="1:10" outlineLevel="1">
      <c r="A1176" t="s">
        <v>86</v>
      </c>
      <c r="B1176" t="s">
        <v>149</v>
      </c>
      <c r="C1176" t="s">
        <v>53</v>
      </c>
      <c r="D1176" t="s">
        <v>53</v>
      </c>
      <c r="E1176" t="str">
        <f>IF(LEN(Arch!C540)&gt;0, Arch!C540, Arch!B540)</f>
        <v xml:space="preserve">ผนังกระจก Laminated Glass Clear  + LOW - E  </v>
      </c>
      <c r="F1176" s="1260" t="str">
        <f>Arch!F540</f>
        <v>ตร.ม.</v>
      </c>
      <c r="G1176" s="1260">
        <f>Arch!E540</f>
        <v>275</v>
      </c>
      <c r="H1176" s="1260">
        <f>Arch!I540</f>
        <v>1671148.1340124998</v>
      </c>
      <c r="I1176" s="1260">
        <f>Arch!L540</f>
        <v>617039.31101999991</v>
      </c>
      <c r="J1176" s="1260">
        <f>Arch!M540</f>
        <v>2288187.4450324997</v>
      </c>
    </row>
    <row r="1177" spans="1:10" outlineLevel="1">
      <c r="A1177" t="s">
        <v>86</v>
      </c>
      <c r="B1177" t="s">
        <v>149</v>
      </c>
      <c r="C1177" t="s">
        <v>53</v>
      </c>
      <c r="D1177" t="s">
        <v>53</v>
      </c>
      <c r="E1177" t="str">
        <f>IF(LEN(Arch!C541)&gt;0, Arch!C541, Arch!B541)</f>
        <v>วงกบ Aluminium  Black Sahara</v>
      </c>
      <c r="F1177" s="1260">
        <f>Arch!F541</f>
        <v>0</v>
      </c>
      <c r="G1177" s="1260">
        <f>Arch!E541</f>
        <v>0</v>
      </c>
      <c r="H1177" s="1260">
        <f>Arch!I541</f>
        <v>0</v>
      </c>
      <c r="I1177" s="1260">
        <f>Arch!L541</f>
        <v>0</v>
      </c>
      <c r="J1177" s="1260">
        <f>Arch!M541</f>
        <v>0</v>
      </c>
    </row>
    <row r="1178" spans="1:10" outlineLevel="1">
      <c r="A1178" t="s">
        <v>86</v>
      </c>
      <c r="B1178" t="s">
        <v>149</v>
      </c>
      <c r="C1178" t="s">
        <v>53</v>
      </c>
      <c r="D1178" t="s">
        <v>53</v>
      </c>
      <c r="E1178" t="str">
        <f>IF(LEN(Arch!C542)&gt;0, Arch!C542, Arch!B542)</f>
        <v>หลังคากระจก Laminated LOW - E  6 mm. + Air Space</v>
      </c>
      <c r="F1178" s="1260" t="str">
        <f>Arch!F542</f>
        <v>ตร.ม.</v>
      </c>
      <c r="G1178" s="1260">
        <f>Arch!E542</f>
        <v>24.15</v>
      </c>
      <c r="H1178" s="1260">
        <f>Arch!I542</f>
        <v>151272.79654483497</v>
      </c>
      <c r="I1178" s="1260">
        <f>Arch!L542</f>
        <v>54187.27040411999</v>
      </c>
      <c r="J1178" s="1260">
        <f>Arch!M542</f>
        <v>205460.06694895495</v>
      </c>
    </row>
    <row r="1179" spans="1:10" outlineLevel="1">
      <c r="A1179" t="s">
        <v>86</v>
      </c>
      <c r="B1179" t="s">
        <v>149</v>
      </c>
      <c r="C1179" t="s">
        <v>53</v>
      </c>
      <c r="D1179" t="s">
        <v>53</v>
      </c>
      <c r="E1179" t="str">
        <f>IF(LEN(Arch!C543)&gt;0, Arch!C543, Arch!B543)</f>
        <v xml:space="preserve"> + Insulated Glass 5 + 5 mm.</v>
      </c>
      <c r="F1179" s="1260">
        <f>Arch!F543</f>
        <v>0</v>
      </c>
      <c r="G1179" s="1260">
        <f>Arch!E543</f>
        <v>0</v>
      </c>
      <c r="H1179" s="1260">
        <f>Arch!I543</f>
        <v>0</v>
      </c>
      <c r="I1179" s="1260">
        <f>Arch!L543</f>
        <v>0</v>
      </c>
      <c r="J1179" s="1260">
        <f>Arch!M543</f>
        <v>0</v>
      </c>
    </row>
    <row r="1180" spans="1:10" outlineLevel="1">
      <c r="A1180" t="s">
        <v>86</v>
      </c>
      <c r="B1180" t="s">
        <v>149</v>
      </c>
      <c r="C1180" t="s">
        <v>53</v>
      </c>
      <c r="D1180" t="s">
        <v>53</v>
      </c>
      <c r="E1180" t="str">
        <f>IF(LEN(Arch!C544)&gt;0, Arch!C544, Arch!B544)</f>
        <v>Aluminium Flashing Sheet Thk.1 mm. ( พับตามรูปแบบ )</v>
      </c>
      <c r="F1180" s="1260" t="str">
        <f>Arch!F544</f>
        <v>เมตร</v>
      </c>
      <c r="G1180" s="1260">
        <f>Arch!E544</f>
        <v>3.2</v>
      </c>
      <c r="H1180" s="1260">
        <f>Arch!I544</f>
        <v>4487.5586255999997</v>
      </c>
      <c r="I1180" s="1260">
        <f>Arch!L544</f>
        <v>598.34115008000003</v>
      </c>
      <c r="J1180" s="1260">
        <f>Arch!M544</f>
        <v>5085.8997756799999</v>
      </c>
    </row>
    <row r="1181" spans="1:10" outlineLevel="1">
      <c r="A1181" t="s">
        <v>86</v>
      </c>
      <c r="B1181" t="s">
        <v>149</v>
      </c>
      <c r="C1181" t="s">
        <v>53</v>
      </c>
      <c r="D1181" t="s">
        <v>53</v>
      </c>
      <c r="E1181" t="str">
        <f>IF(LEN(Arch!C545)&gt;0, Arch!C545, Arch!B545)</f>
        <v>Steel Flat Bar 50 x 6 mm.</v>
      </c>
      <c r="F1181" s="1260" t="str">
        <f>Arch!F545</f>
        <v>กก.</v>
      </c>
      <c r="G1181" s="1260">
        <f>Arch!E545</f>
        <v>76.584600000000009</v>
      </c>
      <c r="H1181" s="1260">
        <f>Arch!I545</f>
        <v>1789.9889704069051</v>
      </c>
      <c r="I1181" s="1260">
        <f>Arch!L545</f>
        <v>1002.3938234278668</v>
      </c>
      <c r="J1181" s="1260">
        <f>Arch!M545</f>
        <v>2792.3827938347717</v>
      </c>
    </row>
    <row r="1182" spans="1:10" outlineLevel="1">
      <c r="A1182" t="s">
        <v>86</v>
      </c>
      <c r="B1182" t="s">
        <v>149</v>
      </c>
      <c r="C1182" t="s">
        <v>53</v>
      </c>
      <c r="D1182" t="s">
        <v>53</v>
      </c>
      <c r="E1182" t="str">
        <f>IF(LEN(Arch!C546)&gt;0, Arch!C546, Arch!B546)</f>
        <v>Aluminium เคลือบสี ขนาด 100 x 0.6 มม. @ 100 มม.</v>
      </c>
      <c r="F1182" s="1260" t="str">
        <f>Arch!F546</f>
        <v>ตร.ม.</v>
      </c>
      <c r="G1182" s="1260">
        <f>Arch!E546</f>
        <v>95.199999999999989</v>
      </c>
      <c r="H1182" s="1260">
        <f>Arch!I546</f>
        <v>97903.570681839992</v>
      </c>
      <c r="I1182" s="1260">
        <f>Arch!L546</f>
        <v>17800.649214879999</v>
      </c>
      <c r="J1182" s="1260">
        <f>Arch!M546</f>
        <v>115704.21989671999</v>
      </c>
    </row>
    <row r="1183" spans="1:10" outlineLevel="1">
      <c r="A1183" t="s">
        <v>86</v>
      </c>
      <c r="B1183" t="s">
        <v>149</v>
      </c>
      <c r="C1183" t="s">
        <v>53</v>
      </c>
      <c r="D1183" t="s">
        <v>53</v>
      </c>
      <c r="E1183" t="str">
        <f>IF(LEN(Arch!C547)&gt;0, Arch!C547, Arch!B547)</f>
        <v>งานทำสีพ่นสีดำ โครงสร้างเหล็กทั้งหมด</v>
      </c>
      <c r="F1183" s="1260" t="str">
        <f>Arch!F547</f>
        <v>ตร.ม.</v>
      </c>
      <c r="G1183" s="1260">
        <f>Arch!E547</f>
        <v>120.66</v>
      </c>
      <c r="H1183" s="1260">
        <f>Arch!I547</f>
        <v>13536.720594122398</v>
      </c>
      <c r="I1183" s="1260">
        <f>Arch!L547</f>
        <v>9024.4803960816007</v>
      </c>
      <c r="J1183" s="1260">
        <f>Arch!M547</f>
        <v>22561.200990204001</v>
      </c>
    </row>
    <row r="1184" spans="1:10" outlineLevel="1">
      <c r="F1184" s="1260"/>
      <c r="G1184" s="1260"/>
      <c r="H1184" s="1260"/>
      <c r="I1184" s="1260"/>
      <c r="J1184" s="1260"/>
    </row>
    <row r="1185" spans="1:10" outlineLevel="1">
      <c r="F1185" s="1260"/>
      <c r="G1185" s="1260"/>
      <c r="H1185" s="1260"/>
      <c r="I1185" s="1260"/>
      <c r="J1185" s="1260"/>
    </row>
    <row r="1186" spans="1:10" outlineLevel="1">
      <c r="F1186" s="1260"/>
      <c r="G1186" s="1260"/>
      <c r="H1186" s="1260"/>
      <c r="I1186" s="1260"/>
      <c r="J1186" s="1260"/>
    </row>
    <row r="1187" spans="1:10" outlineLevel="1">
      <c r="F1187" s="1260"/>
      <c r="G1187" s="1260"/>
      <c r="H1187" s="1260"/>
      <c r="I1187" s="1260"/>
      <c r="J1187" s="1260"/>
    </row>
    <row r="1188" spans="1:10" outlineLevel="1">
      <c r="F1188" s="1260"/>
      <c r="G1188" s="1260"/>
      <c r="H1188" s="1260"/>
      <c r="I1188" s="1260"/>
      <c r="J1188" s="1260"/>
    </row>
    <row r="1189" spans="1:10" outlineLevel="1">
      <c r="A1189" t="s">
        <v>86</v>
      </c>
      <c r="E1189" t="str">
        <f>IF(LEN(Arch!C553)&gt;0, Arch!C553, Arch!B553)</f>
        <v>งานหลังคา งานฉนวนกันความร้อน งานกันซึมและส่วนประกอบ</v>
      </c>
      <c r="F1189" s="1260">
        <f>Arch!F553</f>
        <v>0</v>
      </c>
      <c r="G1189" s="1260">
        <f>Arch!E553</f>
        <v>0</v>
      </c>
      <c r="H1189" s="1260">
        <f>Arch!I553</f>
        <v>0</v>
      </c>
      <c r="I1189" s="1260">
        <f>Arch!L553</f>
        <v>0</v>
      </c>
      <c r="J1189" s="1260">
        <f>Arch!M553</f>
        <v>0</v>
      </c>
    </row>
    <row r="1190" spans="1:10" outlineLevel="1">
      <c r="A1190" t="s">
        <v>86</v>
      </c>
      <c r="F1190" s="1260">
        <f>Arch!F554</f>
        <v>0</v>
      </c>
      <c r="G1190" s="1260">
        <f>Arch!E554</f>
        <v>0</v>
      </c>
      <c r="H1190" s="1260">
        <f>Arch!I554</f>
        <v>0</v>
      </c>
      <c r="I1190" s="1260">
        <f>Arch!L554</f>
        <v>0</v>
      </c>
      <c r="J1190" s="1260">
        <f>Arch!M554</f>
        <v>0</v>
      </c>
    </row>
    <row r="1191" spans="1:10" outlineLevel="1">
      <c r="A1191" t="s">
        <v>86</v>
      </c>
      <c r="E1191" t="str">
        <f>IF(LEN(Arch!C555)&gt;0, Arch!C555, Arch!B555)</f>
        <v>หลังคา Metal Sheet , Skylight และ หลังคา Fiberglass (ตามแบบขยาย IN107)</v>
      </c>
      <c r="F1191" s="1260">
        <f>Arch!F555</f>
        <v>0</v>
      </c>
      <c r="G1191" s="1260">
        <f>Arch!E555</f>
        <v>0</v>
      </c>
      <c r="H1191" s="1260">
        <f>Arch!I555</f>
        <v>0</v>
      </c>
      <c r="I1191" s="1260">
        <f>Arch!L555</f>
        <v>0</v>
      </c>
      <c r="J1191" s="1260">
        <f>Arch!M555</f>
        <v>0</v>
      </c>
    </row>
    <row r="1192" spans="1:10" outlineLevel="1">
      <c r="A1192" t="s">
        <v>86</v>
      </c>
      <c r="B1192" t="s">
        <v>159</v>
      </c>
      <c r="C1192" t="s">
        <v>160</v>
      </c>
      <c r="D1192" t="s">
        <v>161</v>
      </c>
      <c r="E1192" t="str">
        <f>IF(LEN(Arch!C556)&gt;0, Arch!C556, Arch!B556)</f>
        <v xml:space="preserve">Metal Sheet รุ่น Klip - Lock 700 Hi - Strength  </v>
      </c>
      <c r="F1192" s="1260" t="str">
        <f>Arch!F556</f>
        <v>ตร.ม.</v>
      </c>
      <c r="G1192" s="1260">
        <f>Arch!E556</f>
        <v>775.8</v>
      </c>
      <c r="H1192" s="1260">
        <f>Arch!I556</f>
        <v>326385.74828816997</v>
      </c>
      <c r="I1192" s="1260">
        <f>Arch!L556</f>
        <v>72530.166286259991</v>
      </c>
      <c r="J1192" s="1260">
        <f>Arch!M556</f>
        <v>398915.91457442997</v>
      </c>
    </row>
    <row r="1193" spans="1:10" outlineLevel="1">
      <c r="A1193" t="s">
        <v>86</v>
      </c>
      <c r="B1193" t="s">
        <v>159</v>
      </c>
      <c r="C1193" t="s">
        <v>160</v>
      </c>
      <c r="D1193" t="s">
        <v>161</v>
      </c>
      <c r="E1193" t="str">
        <f>IF(LEN(Arch!C557)&gt;0, Arch!C557, Arch!B557)</f>
        <v>แผ่นหลังคาไฟเบอร์กลาสโปร่งแสง ผลิตจากเรซินเกรดสูง เสริมกำลังด้วยใยแก้ว</v>
      </c>
      <c r="F1193" s="1260" t="str">
        <f>Arch!F557</f>
        <v>ตร.ม.</v>
      </c>
      <c r="G1193" s="1260">
        <f>Arch!E557</f>
        <v>86.376000000000005</v>
      </c>
      <c r="H1193" s="1260">
        <f>Arch!I557</f>
        <v>92866.660087822806</v>
      </c>
      <c r="I1193" s="1260">
        <f>Arch!L557</f>
        <v>8075.3617467672002</v>
      </c>
      <c r="J1193" s="1260">
        <f>Arch!M557</f>
        <v>100942.02183459001</v>
      </c>
    </row>
    <row r="1194" spans="1:10" outlineLevel="1">
      <c r="A1194" t="s">
        <v>86</v>
      </c>
      <c r="B1194" t="s">
        <v>159</v>
      </c>
      <c r="C1194" t="s">
        <v>160</v>
      </c>
      <c r="D1194" t="s">
        <v>162</v>
      </c>
      <c r="E1194" t="str">
        <f>IF(LEN(Arch!C558)&gt;0, Arch!C558, Arch!B558)</f>
        <v>รุ่น Klip - Lock 700 หรือรูปลอนแบบเดียวกับหลังคา Metal Sheet (Coollite)</v>
      </c>
      <c r="F1194" s="1260">
        <f>Arch!F558</f>
        <v>0</v>
      </c>
      <c r="G1194" s="1260">
        <f>Arch!E558</f>
        <v>0</v>
      </c>
      <c r="H1194" s="1260">
        <f>Arch!I558</f>
        <v>0</v>
      </c>
      <c r="I1194" s="1260">
        <f>Arch!L558</f>
        <v>0</v>
      </c>
      <c r="J1194" s="1260">
        <f>Arch!M558</f>
        <v>0</v>
      </c>
    </row>
    <row r="1195" spans="1:10" outlineLevel="1">
      <c r="A1195" t="s">
        <v>86</v>
      </c>
      <c r="B1195" t="s">
        <v>159</v>
      </c>
      <c r="C1195" t="s">
        <v>160</v>
      </c>
      <c r="D1195" t="s">
        <v>162</v>
      </c>
      <c r="E1195" t="str">
        <f>IF(LEN(Arch!C559)&gt;0, Arch!C559, Arch!B559)</f>
        <v>SKYLIGHT กระจก LOW - E  6 mm. + Air Space + Clear Glass 5 + 5 mm.</v>
      </c>
      <c r="F1195" s="1260" t="str">
        <f>Arch!F559</f>
        <v>ตร.ม.</v>
      </c>
      <c r="G1195" s="1260">
        <f>Arch!E559</f>
        <v>216</v>
      </c>
      <c r="H1195" s="1260">
        <f>Arch!I559</f>
        <v>1379251.1435781601</v>
      </c>
      <c r="I1195" s="1260">
        <f>Arch!L559</f>
        <v>484656.33156479994</v>
      </c>
      <c r="J1195" s="1260">
        <f>Arch!M559</f>
        <v>1863907.47514296</v>
      </c>
    </row>
    <row r="1196" spans="1:10" outlineLevel="1">
      <c r="A1196" t="s">
        <v>86</v>
      </c>
      <c r="B1196" t="s">
        <v>159</v>
      </c>
      <c r="C1196" t="s">
        <v>160</v>
      </c>
      <c r="D1196" t="s">
        <v>162</v>
      </c>
      <c r="E1196" t="str">
        <f>IF(LEN(Arch!C560)&gt;0, Arch!C560, Arch!B560)</f>
        <v>Flashing หลังคาครอบบน</v>
      </c>
      <c r="F1196" s="1260" t="str">
        <f>Arch!F560</f>
        <v>เมตร</v>
      </c>
      <c r="G1196" s="1260">
        <f>Arch!E560</f>
        <v>67</v>
      </c>
      <c r="H1196" s="1260">
        <f>Arch!I560</f>
        <v>15659.70978725</v>
      </c>
      <c r="I1196" s="1260">
        <f>Arch!L560</f>
        <v>3131.9419574499998</v>
      </c>
      <c r="J1196" s="1260">
        <f>Arch!M560</f>
        <v>18791.651744700001</v>
      </c>
    </row>
    <row r="1197" spans="1:10" outlineLevel="1">
      <c r="A1197" t="s">
        <v>86</v>
      </c>
      <c r="B1197" t="s">
        <v>159</v>
      </c>
      <c r="C1197" t="s">
        <v>160</v>
      </c>
      <c r="D1197" t="s">
        <v>162</v>
      </c>
      <c r="E1197" t="str">
        <f>IF(LEN(Arch!C561)&gt;0, Arch!C561, Arch!B561)</f>
        <v>Flashing หลังคาครอบชายคาล่าง</v>
      </c>
      <c r="F1197" s="1260" t="str">
        <f>Arch!F561</f>
        <v>เมตร</v>
      </c>
      <c r="G1197" s="1260">
        <f>Arch!E561</f>
        <v>67</v>
      </c>
      <c r="H1197" s="1260">
        <f>Arch!I561</f>
        <v>15659.70978725</v>
      </c>
      <c r="I1197" s="1260">
        <f>Arch!L561</f>
        <v>3131.9419574499998</v>
      </c>
      <c r="J1197" s="1260">
        <f>Arch!M561</f>
        <v>18791.651744700001</v>
      </c>
    </row>
    <row r="1198" spans="1:10" outlineLevel="1">
      <c r="A1198" t="s">
        <v>86</v>
      </c>
      <c r="B1198" t="s">
        <v>159</v>
      </c>
      <c r="C1198" t="s">
        <v>160</v>
      </c>
      <c r="D1198" t="s">
        <v>162</v>
      </c>
      <c r="E1198" t="str">
        <f>IF(LEN(Arch!C562)&gt;0, Arch!C562, Arch!B562)</f>
        <v>Flashing หลังคาครอบชนผนัง</v>
      </c>
      <c r="F1198" s="1260" t="str">
        <f>Arch!F562</f>
        <v>เมตร</v>
      </c>
      <c r="G1198" s="1260">
        <f>Arch!E562</f>
        <v>20.8</v>
      </c>
      <c r="H1198" s="1260">
        <f>Arch!I562</f>
        <v>4861.5218444000002</v>
      </c>
      <c r="I1198" s="1260">
        <f>Arch!L562</f>
        <v>972.30436887999997</v>
      </c>
      <c r="J1198" s="1260">
        <f>Arch!M562</f>
        <v>5833.82621328</v>
      </c>
    </row>
    <row r="1199" spans="1:10" outlineLevel="1">
      <c r="A1199" t="s">
        <v>86</v>
      </c>
      <c r="B1199" t="s">
        <v>159</v>
      </c>
      <c r="C1199" t="s">
        <v>160</v>
      </c>
      <c r="D1199" t="s">
        <v>162</v>
      </c>
      <c r="E1199" t="str">
        <f>IF(LEN(Arch!C563)&gt;0, Arch!C563, Arch!B563)</f>
        <v>โครงสร้างเหล็กทั้งหมด ดูรายละเอียดงานวิศวกรรมโครงสร้าง</v>
      </c>
      <c r="F1199" s="1260">
        <f>Arch!F563</f>
        <v>0</v>
      </c>
      <c r="G1199" s="1260" t="str">
        <f>Arch!E563</f>
        <v>*ดูรายละเอียดงานวิศวกรรมโครงสร้าง</v>
      </c>
      <c r="H1199" s="1260">
        <f>Arch!I563</f>
        <v>0</v>
      </c>
      <c r="I1199" s="1260">
        <f>Arch!L563</f>
        <v>0</v>
      </c>
      <c r="J1199" s="1260">
        <f>Arch!M563</f>
        <v>0</v>
      </c>
    </row>
    <row r="1200" spans="1:10" outlineLevel="1">
      <c r="A1200" t="s">
        <v>86</v>
      </c>
      <c r="B1200" t="s">
        <v>159</v>
      </c>
      <c r="C1200" t="s">
        <v>160</v>
      </c>
      <c r="D1200" t="s">
        <v>162</v>
      </c>
      <c r="E1200" t="str">
        <f>IF(LEN(Arch!C564)&gt;0, Arch!C564, Arch!B564)</f>
        <v>งานทาสีน้ำมันอัลคิด โครงสร้างเหล็กทั้งหมด</v>
      </c>
      <c r="F1200" s="1260">
        <f>Arch!F564</f>
        <v>0</v>
      </c>
      <c r="G1200" s="1260" t="str">
        <f>Arch!E564</f>
        <v>*ดูรายละเอียดงานวิศวกรรมโครงสร้าง</v>
      </c>
      <c r="H1200" s="1260">
        <f>Arch!I564</f>
        <v>0</v>
      </c>
      <c r="I1200" s="1260">
        <f>Arch!L564</f>
        <v>0</v>
      </c>
      <c r="J1200" s="1260">
        <f>Arch!M564</f>
        <v>0</v>
      </c>
    </row>
    <row r="1201" spans="1:10" outlineLevel="1">
      <c r="A1201" t="s">
        <v>86</v>
      </c>
      <c r="B1201" t="s">
        <v>159</v>
      </c>
      <c r="C1201" t="s">
        <v>160</v>
      </c>
      <c r="D1201" t="s">
        <v>162</v>
      </c>
      <c r="E1201" t="str">
        <f>IF(LEN(Arch!C565)&gt;0, Arch!C565, Arch!B565)</f>
        <v>ฝ้าเพดานไม้แนวตั้ง</v>
      </c>
      <c r="F1201" s="1260">
        <f>Arch!F565</f>
        <v>0</v>
      </c>
      <c r="G1201" s="1260" t="str">
        <f>Arch!E565</f>
        <v>*ดูรายละเอียดงานฝ้าเพดาน C3.5</v>
      </c>
      <c r="H1201" s="1260">
        <f>Arch!I565</f>
        <v>0</v>
      </c>
      <c r="I1201" s="1260">
        <f>Arch!L565</f>
        <v>0</v>
      </c>
      <c r="J1201" s="1260">
        <f>Arch!M565</f>
        <v>0</v>
      </c>
    </row>
    <row r="1202" spans="1:10" outlineLevel="1">
      <c r="A1202" t="s">
        <v>86</v>
      </c>
      <c r="B1202" t="s">
        <v>159</v>
      </c>
      <c r="C1202" t="s">
        <v>160</v>
      </c>
      <c r="D1202" t="s">
        <v>162</v>
      </c>
      <c r="E1202" t="str">
        <f>IF(LEN(Arch!C566)&gt;0, Arch!C566, Arch!B566)</f>
        <v>ผนังกรุไม้อัดสัก</v>
      </c>
      <c r="F1202" s="1260">
        <f>Arch!F566</f>
        <v>0</v>
      </c>
      <c r="G1202" s="1260" t="str">
        <f>Arch!E566</f>
        <v>*ดูรายละเอียดงานผนัง P3.2</v>
      </c>
      <c r="H1202" s="1260">
        <f>Arch!I566</f>
        <v>0</v>
      </c>
      <c r="I1202" s="1260">
        <f>Arch!L566</f>
        <v>0</v>
      </c>
      <c r="J1202" s="1260">
        <f>Arch!M566</f>
        <v>0</v>
      </c>
    </row>
    <row r="1203" spans="1:10" outlineLevel="1">
      <c r="A1203" t="s">
        <v>86</v>
      </c>
      <c r="B1203" t="s">
        <v>159</v>
      </c>
      <c r="C1203" t="s">
        <v>160</v>
      </c>
      <c r="D1203" t="s">
        <v>162</v>
      </c>
      <c r="E1203" t="str">
        <f>IF(LEN(Arch!C567)&gt;0, Arch!C567, Arch!B567)</f>
        <v>ทางเดินบริการ ตะแกรงเหล็กฉีก รุ่น XS-22</v>
      </c>
      <c r="F1203" s="1260">
        <f>Arch!F567</f>
        <v>0</v>
      </c>
      <c r="G1203" s="1260" t="str">
        <f>Arch!E567</f>
        <v>*ดูรายละเอียดงานวิศวกรรมโครงสร้าง</v>
      </c>
      <c r="H1203" s="1260">
        <f>Arch!I567</f>
        <v>0</v>
      </c>
      <c r="I1203" s="1260">
        <f>Arch!L567</f>
        <v>0</v>
      </c>
      <c r="J1203" s="1260">
        <f>Arch!M567</f>
        <v>0</v>
      </c>
    </row>
    <row r="1204" spans="1:10" outlineLevel="1">
      <c r="A1204" t="s">
        <v>86</v>
      </c>
      <c r="B1204" t="s">
        <v>159</v>
      </c>
      <c r="C1204" t="s">
        <v>160</v>
      </c>
      <c r="D1204" t="s">
        <v>162</v>
      </c>
      <c r="E1204" t="str">
        <f>IF(LEN(Arch!C568)&gt;0, Arch!C568, Arch!B568)</f>
        <v>ทางเดินบริการ ตะแกรงเหล็กฉีก รุ่น XS-22</v>
      </c>
      <c r="F1204" s="1260" t="str">
        <f>Arch!F568</f>
        <v>เมตร</v>
      </c>
      <c r="G1204" s="1260">
        <f>Arch!E568</f>
        <v>140.4</v>
      </c>
      <c r="H1204" s="1260">
        <f>Arch!I568</f>
        <v>43316.159633604002</v>
      </c>
      <c r="I1204" s="1260">
        <f>Arch!L568</f>
        <v>3281.5272449700001</v>
      </c>
      <c r="J1204" s="1260">
        <f>Arch!M568</f>
        <v>46597.686878574001</v>
      </c>
    </row>
    <row r="1205" spans="1:10" outlineLevel="1">
      <c r="A1205" t="s">
        <v>86</v>
      </c>
      <c r="B1205" t="s">
        <v>159</v>
      </c>
      <c r="C1205" t="s">
        <v>160</v>
      </c>
      <c r="D1205" t="s">
        <v>163</v>
      </c>
      <c r="E1205" t="str">
        <f>IF(LEN(Arch!C569)&gt;0, Arch!C569, Arch!B569)</f>
        <v xml:space="preserve">งานหลังคา BUILT-UP ROOF </v>
      </c>
      <c r="F1205" s="1260">
        <f>Arch!F569</f>
        <v>0</v>
      </c>
      <c r="G1205" s="1260">
        <f>Arch!E569</f>
        <v>0</v>
      </c>
      <c r="H1205" s="1260">
        <f>Arch!I569</f>
        <v>0</v>
      </c>
      <c r="I1205" s="1260">
        <f>Arch!L569</f>
        <v>0</v>
      </c>
      <c r="J1205" s="1260">
        <f>Arch!M569</f>
        <v>0</v>
      </c>
    </row>
    <row r="1206" spans="1:10" outlineLevel="1">
      <c r="A1206" t="s">
        <v>86</v>
      </c>
      <c r="B1206" t="s">
        <v>159</v>
      </c>
      <c r="C1206" t="s">
        <v>160</v>
      </c>
      <c r="D1206" t="s">
        <v>163</v>
      </c>
      <c r="E1206" t="str">
        <f>IF(LEN(Arch!C570)&gt;0, Arch!C570, Arch!B570)</f>
        <v>Steel Rectangular Tube 150 x 50 x 2.3 mm.</v>
      </c>
      <c r="F1206" s="1260">
        <f>Arch!F570</f>
        <v>0</v>
      </c>
      <c r="G1206" s="1260" t="str">
        <f>Arch!E570</f>
        <v>*ดูรายละเอียดงานวิศวกรรมโครงสร้าง</v>
      </c>
      <c r="H1206" s="1260">
        <f>Arch!I570</f>
        <v>0</v>
      </c>
      <c r="I1206" s="1260">
        <f>Arch!L570</f>
        <v>0</v>
      </c>
      <c r="J1206" s="1260">
        <f>Arch!M570</f>
        <v>0</v>
      </c>
    </row>
    <row r="1207" spans="1:10" outlineLevel="1">
      <c r="A1207" t="s">
        <v>86</v>
      </c>
      <c r="B1207" t="s">
        <v>159</v>
      </c>
      <c r="C1207" t="s">
        <v>160</v>
      </c>
      <c r="D1207" t="s">
        <v>163</v>
      </c>
      <c r="E1207" t="str">
        <f>IF(LEN(Arch!C571)&gt;0, Arch!C571, Arch!B571)</f>
        <v>Steel Rectangular Tube 100 x 50 x 2.3 mm.</v>
      </c>
      <c r="F1207" s="1260">
        <f>Arch!F571</f>
        <v>0</v>
      </c>
      <c r="G1207" s="1260" t="str">
        <f>Arch!E571</f>
        <v>*ดูรายละเอียดงานวิศวกรรมโครงสร้าง</v>
      </c>
      <c r="H1207" s="1260">
        <f>Arch!I571</f>
        <v>0</v>
      </c>
      <c r="I1207" s="1260">
        <f>Arch!L571</f>
        <v>0</v>
      </c>
      <c r="J1207" s="1260">
        <f>Arch!M571</f>
        <v>0</v>
      </c>
    </row>
    <row r="1208" spans="1:10" outlineLevel="1">
      <c r="A1208" t="s">
        <v>86</v>
      </c>
      <c r="B1208" t="s">
        <v>159</v>
      </c>
      <c r="C1208" t="s">
        <v>160</v>
      </c>
      <c r="D1208" t="s">
        <v>163</v>
      </c>
      <c r="E1208" t="str">
        <f>IF(LEN(Arch!C572)&gt;0, Arch!C572, Arch!B572)</f>
        <v>Steel Square Tube 12 x 12 x 1 mm.</v>
      </c>
      <c r="F1208" s="1260">
        <f>Arch!F572</f>
        <v>0</v>
      </c>
      <c r="G1208" s="1260" t="str">
        <f>Arch!E572</f>
        <v>*ดูรายละเอียดงานวิศวกรรมโครงสร้าง</v>
      </c>
      <c r="H1208" s="1260">
        <f>Arch!I572</f>
        <v>0</v>
      </c>
      <c r="I1208" s="1260">
        <f>Arch!L572</f>
        <v>0</v>
      </c>
      <c r="J1208" s="1260">
        <f>Arch!M572</f>
        <v>0</v>
      </c>
    </row>
    <row r="1209" spans="1:10" outlineLevel="1">
      <c r="A1209" t="s">
        <v>86</v>
      </c>
      <c r="B1209" t="s">
        <v>159</v>
      </c>
      <c r="C1209" t="s">
        <v>160</v>
      </c>
      <c r="D1209" t="s">
        <v>163</v>
      </c>
      <c r="E1209" t="str">
        <f>IF(LEN(Arch!C573)&gt;0, Arch!C573, Arch!B573)</f>
        <v>Steel Rectangular Tube 200 x 100 x 2.3 mm.</v>
      </c>
      <c r="F1209" s="1260">
        <f>Arch!F573</f>
        <v>0</v>
      </c>
      <c r="G1209" s="1260" t="str">
        <f>Arch!E573</f>
        <v>*ดูรายละเอียดงานวิศวกรรมโครงสร้าง</v>
      </c>
      <c r="H1209" s="1260">
        <f>Arch!I573</f>
        <v>0</v>
      </c>
      <c r="I1209" s="1260">
        <f>Arch!L573</f>
        <v>0</v>
      </c>
      <c r="J1209" s="1260">
        <f>Arch!M573</f>
        <v>0</v>
      </c>
    </row>
    <row r="1210" spans="1:10" outlineLevel="1">
      <c r="A1210" t="s">
        <v>86</v>
      </c>
      <c r="B1210" t="s">
        <v>159</v>
      </c>
      <c r="C1210" t="s">
        <v>160</v>
      </c>
      <c r="D1210" t="s">
        <v>163</v>
      </c>
      <c r="E1210" t="str">
        <f>IF(LEN(Arch!C574)&gt;0, Arch!C574, Arch!B574)</f>
        <v>Steel Plate 200 x 6 mm.</v>
      </c>
      <c r="F1210" s="1260">
        <f>Arch!F574</f>
        <v>0</v>
      </c>
      <c r="G1210" s="1260" t="str">
        <f>Arch!E574</f>
        <v>*ดูรายละเอียดงานวิศวกรรมโครงสร้าง</v>
      </c>
      <c r="H1210" s="1260">
        <f>Arch!I574</f>
        <v>0</v>
      </c>
      <c r="I1210" s="1260">
        <f>Arch!L574</f>
        <v>0</v>
      </c>
      <c r="J1210" s="1260">
        <f>Arch!M574</f>
        <v>0</v>
      </c>
    </row>
    <row r="1211" spans="1:10" outlineLevel="1">
      <c r="A1211" t="s">
        <v>86</v>
      </c>
      <c r="B1211" t="s">
        <v>159</v>
      </c>
      <c r="C1211" t="s">
        <v>160</v>
      </c>
      <c r="D1211" t="s">
        <v>162</v>
      </c>
      <c r="E1211" t="str">
        <f>IF(LEN(Arch!C575)&gt;0, Arch!C575, Arch!B575)</f>
        <v>เเผ่นโพลีเเอททีลีน สำหรับงานกันซึมหนา 2 มม.</v>
      </c>
      <c r="F1211" s="1260" t="str">
        <f>Arch!F575</f>
        <v>ตร.ม.</v>
      </c>
      <c r="G1211" s="1260">
        <f>Arch!E575</f>
        <v>160</v>
      </c>
      <c r="H1211" s="1260">
        <f>Arch!I575</f>
        <v>134626.758768</v>
      </c>
      <c r="I1211" s="1260">
        <f>Arch!L575</f>
        <v>0</v>
      </c>
      <c r="J1211" s="1260">
        <f>Arch!M575</f>
        <v>134626.758768</v>
      </c>
    </row>
    <row r="1212" spans="1:10" outlineLevel="1">
      <c r="A1212" t="s">
        <v>86</v>
      </c>
      <c r="B1212" t="s">
        <v>159</v>
      </c>
      <c r="C1212" t="s">
        <v>160</v>
      </c>
      <c r="D1212" t="s">
        <v>162</v>
      </c>
      <c r="E1212" t="str">
        <f>IF(LEN(Arch!C576)&gt;0, Arch!C576, Arch!B576)</f>
        <v>ฉนวนกันความร้อนหนา 50 มม.</v>
      </c>
      <c r="F1212" s="1260" t="str">
        <f>Arch!F576</f>
        <v>ตร.ม.</v>
      </c>
      <c r="G1212" s="1260">
        <f>Arch!E576</f>
        <v>160</v>
      </c>
      <c r="H1212" s="1260">
        <f>Arch!I576</f>
        <v>23933.646003200003</v>
      </c>
      <c r="I1212" s="1260">
        <f>Arch!L576</f>
        <v>2991.7057504000004</v>
      </c>
      <c r="J1212" s="1260">
        <f>Arch!M576</f>
        <v>26925.351753600004</v>
      </c>
    </row>
    <row r="1213" spans="1:10" outlineLevel="1">
      <c r="A1213" t="s">
        <v>86</v>
      </c>
      <c r="B1213" t="s">
        <v>159</v>
      </c>
      <c r="C1213" t="s">
        <v>160</v>
      </c>
      <c r="D1213" t="s">
        <v>162</v>
      </c>
      <c r="E1213" t="str">
        <f>IF(LEN(Arch!C577)&gt;0, Arch!C577, Arch!B577)</f>
        <v>แผ่นไฟเบอร์ซีเมนต์หนา 12 มม.</v>
      </c>
      <c r="F1213" s="1260" t="str">
        <f>Arch!F577</f>
        <v>ตร.ม.</v>
      </c>
      <c r="G1213" s="1260">
        <f>Arch!E577</f>
        <v>160</v>
      </c>
      <c r="H1213" s="1260">
        <f>Arch!I577</f>
        <v>24083.231290719999</v>
      </c>
      <c r="I1213" s="1260">
        <f>Arch!L577</f>
        <v>7224.9693872159987</v>
      </c>
      <c r="J1213" s="1260">
        <f>Arch!M577</f>
        <v>31308.200677935998</v>
      </c>
    </row>
    <row r="1214" spans="1:10" outlineLevel="1">
      <c r="A1214" t="s">
        <v>86</v>
      </c>
      <c r="B1214" t="s">
        <v>159</v>
      </c>
      <c r="C1214" t="s">
        <v>160</v>
      </c>
      <c r="D1214" t="s">
        <v>162</v>
      </c>
      <c r="E1214" t="str">
        <f>IF(LEN(Arch!C578)&gt;0, Arch!C578, Arch!B578)</f>
        <v>ไม้อัด HMR หนา 9 มม. ทาสีอะครีลิค</v>
      </c>
      <c r="F1214" s="1260" t="str">
        <f>Arch!F578</f>
        <v>ตร.ม.</v>
      </c>
      <c r="G1214" s="1260">
        <f>Arch!E578</f>
        <v>115.6</v>
      </c>
      <c r="H1214" s="1260">
        <f>Arch!I578</f>
        <v>17292.059237312002</v>
      </c>
      <c r="I1214" s="1260">
        <f>Arch!L578</f>
        <v>5403.7685116599996</v>
      </c>
      <c r="J1214" s="1260">
        <f>Arch!M578</f>
        <v>22695.827748972002</v>
      </c>
    </row>
    <row r="1215" spans="1:10" outlineLevel="1">
      <c r="A1215" t="s">
        <v>86</v>
      </c>
      <c r="E1215" t="str">
        <f>IF(LEN(Arch!C579)&gt;0, Arch!C579, Arch!B579)</f>
        <v>Steel Plate 75 x 6 mm.</v>
      </c>
      <c r="F1215" s="1260">
        <f>Arch!F579</f>
        <v>0</v>
      </c>
      <c r="G1215" s="1260" t="str">
        <f>Arch!E579</f>
        <v>*ดูรายละเอียดงานวิศวกรรมโครงสร้าง</v>
      </c>
      <c r="H1215" s="1260">
        <f>Arch!I579</f>
        <v>0</v>
      </c>
      <c r="I1215" s="1260">
        <f>Arch!L579</f>
        <v>0</v>
      </c>
      <c r="J1215" s="1260">
        <f>Arch!M579</f>
        <v>0</v>
      </c>
    </row>
    <row r="1216" spans="1:10" outlineLevel="1">
      <c r="A1216" t="s">
        <v>86</v>
      </c>
      <c r="F1216" s="1260">
        <f>Arch!F580</f>
        <v>0</v>
      </c>
      <c r="G1216" s="1260">
        <f>Arch!E580</f>
        <v>0</v>
      </c>
      <c r="H1216" s="1260">
        <f>Arch!I580</f>
        <v>0</v>
      </c>
      <c r="I1216" s="1260">
        <f>Arch!L580</f>
        <v>0</v>
      </c>
      <c r="J1216" s="1260">
        <f>Arch!M580</f>
        <v>0</v>
      </c>
    </row>
    <row r="1217" spans="1:10" outlineLevel="1">
      <c r="A1217" t="s">
        <v>86</v>
      </c>
      <c r="F1217" s="1260">
        <f>Arch!F581</f>
        <v>0</v>
      </c>
      <c r="G1217" s="1260">
        <f>Arch!E581</f>
        <v>0</v>
      </c>
      <c r="H1217" s="1260">
        <f>Arch!I581</f>
        <v>0</v>
      </c>
      <c r="I1217" s="1260">
        <f>Arch!L581</f>
        <v>0</v>
      </c>
      <c r="J1217" s="1260">
        <f>Arch!M581</f>
        <v>0</v>
      </c>
    </row>
    <row r="1218" spans="1:10" outlineLevel="1">
      <c r="A1218" t="s">
        <v>86</v>
      </c>
      <c r="E1218" t="str">
        <f>IF(LEN(Arch!C582)&gt;0, Arch!C582, Arch!B582)</f>
        <v>Steel Plate 147 x 6 mm.</v>
      </c>
      <c r="F1218" s="1260">
        <f>Arch!F582</f>
        <v>0</v>
      </c>
      <c r="G1218" s="1260" t="str">
        <f>Arch!E582</f>
        <v>*ดูรายละเอียดงานวิศวกรรมโครงสร้าง</v>
      </c>
      <c r="H1218" s="1260">
        <f>Arch!I582</f>
        <v>0</v>
      </c>
      <c r="I1218" s="1260">
        <f>Arch!L582</f>
        <v>0</v>
      </c>
      <c r="J1218" s="1260">
        <f>Arch!M582</f>
        <v>0</v>
      </c>
    </row>
    <row r="1219" spans="1:10" outlineLevel="1">
      <c r="A1219" t="s">
        <v>86</v>
      </c>
      <c r="E1219" t="str">
        <f>IF(LEN(Arch!C583)&gt;0, Arch!C583, Arch!B583)</f>
        <v>งานทำสีพ่น สีน้ำมันอัลคิด โครงสร้างเหล็กทั้งหมด</v>
      </c>
      <c r="F1219" s="1260">
        <f>Arch!F583</f>
        <v>0</v>
      </c>
      <c r="G1219" s="1260" t="str">
        <f>Arch!E583</f>
        <v>*ดูรายละเอียดงานวิศวกรรมโครงสร้าง</v>
      </c>
      <c r="H1219" s="1260">
        <f>Arch!I583</f>
        <v>0</v>
      </c>
      <c r="I1219" s="1260">
        <f>Arch!L583</f>
        <v>0</v>
      </c>
      <c r="J1219" s="1260">
        <f>Arch!M583</f>
        <v>0</v>
      </c>
    </row>
    <row r="1220" spans="1:10" outlineLevel="1">
      <c r="A1220" t="s">
        <v>86</v>
      </c>
      <c r="E1220" t="str">
        <f>IF(LEN(Arch!C584)&gt;0, Arch!C584, Arch!B584)</f>
        <v>งานหลังคาบันได 2</v>
      </c>
      <c r="F1220" s="1260">
        <f>Arch!F584</f>
        <v>0</v>
      </c>
      <c r="G1220" s="1260">
        <f>Arch!E584</f>
        <v>0</v>
      </c>
      <c r="H1220" s="1260">
        <f>Arch!I584</f>
        <v>0</v>
      </c>
      <c r="I1220" s="1260">
        <f>Arch!L584</f>
        <v>0</v>
      </c>
      <c r="J1220" s="1260">
        <f>Arch!M584</f>
        <v>0</v>
      </c>
    </row>
    <row r="1221" spans="1:10" outlineLevel="1">
      <c r="A1221" t="s">
        <v>86</v>
      </c>
      <c r="B1221" t="s">
        <v>159</v>
      </c>
      <c r="C1221" t="s">
        <v>153</v>
      </c>
      <c r="D1221" t="s">
        <v>57</v>
      </c>
      <c r="E1221" t="str">
        <f>IF(LEN(Arch!C585)&gt;0, Arch!C585, Arch!B585)</f>
        <v>Steel Plate Thk. 9 mm. ( ประกอบตามรูปแบบ )</v>
      </c>
      <c r="F1221" s="1260" t="str">
        <f>Arch!F585</f>
        <v>กก</v>
      </c>
      <c r="G1221" s="1260">
        <f>Arch!E585</f>
        <v>668.43</v>
      </c>
      <c r="H1221" s="1260">
        <f>Arch!I585</f>
        <v>16122.951115090216</v>
      </c>
      <c r="I1221" s="1260">
        <f>Arch!L585</f>
        <v>6249.2058585620998</v>
      </c>
      <c r="J1221" s="1260">
        <f>Arch!M585</f>
        <v>22372.156973652316</v>
      </c>
    </row>
    <row r="1222" spans="1:10" outlineLevel="1">
      <c r="A1222" t="s">
        <v>86</v>
      </c>
      <c r="B1222" t="s">
        <v>159</v>
      </c>
      <c r="C1222" t="s">
        <v>153</v>
      </c>
      <c r="D1222" t="s">
        <v>57</v>
      </c>
      <c r="E1222" t="str">
        <f>IF(LEN(Arch!C586)&gt;0, Arch!C586, Arch!B586)</f>
        <v>Steel Square Tube 50 x 50 x 3.2 mm.</v>
      </c>
      <c r="F1222" s="1260" t="str">
        <f>Arch!F586</f>
        <v>กก</v>
      </c>
      <c r="G1222" s="1260">
        <f>Arch!E586</f>
        <v>251.1</v>
      </c>
      <c r="H1222" s="1260">
        <f>Arch!I586</f>
        <v>6396.9446468182759</v>
      </c>
      <c r="I1222" s="1260">
        <f>Arch!L586</f>
        <v>2347.5541060169999</v>
      </c>
      <c r="J1222" s="1260">
        <f>Arch!M586</f>
        <v>8744.4987528352758</v>
      </c>
    </row>
    <row r="1223" spans="1:10" outlineLevel="1">
      <c r="A1223" t="s">
        <v>86</v>
      </c>
      <c r="B1223" t="s">
        <v>159</v>
      </c>
      <c r="C1223" t="s">
        <v>153</v>
      </c>
      <c r="D1223" t="s">
        <v>164</v>
      </c>
      <c r="E1223" t="str">
        <f>IF(LEN(Arch!C587)&gt;0, Arch!C587, Arch!B587)</f>
        <v>กระจก Laminated Low - E 5 + 5 mm. + 0.76 PVB</v>
      </c>
      <c r="F1223" s="1260" t="str">
        <f>Arch!F587</f>
        <v>ตร.ม.</v>
      </c>
      <c r="G1223" s="1260">
        <f>Arch!E587</f>
        <v>55.8</v>
      </c>
      <c r="H1223" s="1260">
        <f>Arch!I587</f>
        <v>378217.05041384994</v>
      </c>
      <c r="I1223" s="1260">
        <f>Arch!L587</f>
        <v>128072.11845048299</v>
      </c>
      <c r="J1223" s="1260">
        <f>Arch!M587</f>
        <v>506289.16886433295</v>
      </c>
    </row>
    <row r="1224" spans="1:10" outlineLevel="1">
      <c r="A1224" t="s">
        <v>86</v>
      </c>
      <c r="B1224" t="s">
        <v>159</v>
      </c>
      <c r="C1224" t="s">
        <v>153</v>
      </c>
      <c r="D1224" t="s">
        <v>57</v>
      </c>
      <c r="E1224" t="str">
        <f>IF(LEN(Arch!C588)&gt;0, Arch!C588, Arch!B588)</f>
        <v>( ยึดกับโครงสร้างเหล็กด้วย Structrue Silicone )</v>
      </c>
      <c r="F1224" s="1260">
        <f>Arch!F588</f>
        <v>0</v>
      </c>
      <c r="G1224" s="1260">
        <f>Arch!E588</f>
        <v>0</v>
      </c>
      <c r="H1224" s="1260">
        <f>Arch!I588</f>
        <v>0</v>
      </c>
      <c r="I1224" s="1260">
        <f>Arch!L588</f>
        <v>0</v>
      </c>
      <c r="J1224" s="1260">
        <f>Arch!M588</f>
        <v>0</v>
      </c>
    </row>
    <row r="1225" spans="1:10" outlineLevel="1">
      <c r="A1225" t="s">
        <v>86</v>
      </c>
      <c r="B1225" t="s">
        <v>159</v>
      </c>
      <c r="C1225" t="s">
        <v>153</v>
      </c>
      <c r="D1225" t="s">
        <v>57</v>
      </c>
      <c r="E1225" t="str">
        <f>IF(LEN(Arch!C589)&gt;0, Arch!C589, Arch!B589)</f>
        <v>Steel Plate Thk. 2 mm. ทำสีพ่น</v>
      </c>
      <c r="F1225" s="1260" t="str">
        <f>Arch!F589</f>
        <v>กก</v>
      </c>
      <c r="G1225" s="1260">
        <f>Arch!E589</f>
        <v>246.4</v>
      </c>
      <c r="H1225" s="1260">
        <f>Arch!I589</f>
        <v>5874.2142409103999</v>
      </c>
      <c r="I1225" s="1260">
        <f>Arch!L589</f>
        <v>2303.6134278080003</v>
      </c>
      <c r="J1225" s="1260">
        <f>Arch!M589</f>
        <v>8177.8276687184007</v>
      </c>
    </row>
    <row r="1226" spans="1:10" outlineLevel="1">
      <c r="A1226" t="s">
        <v>86</v>
      </c>
      <c r="B1226" t="s">
        <v>159</v>
      </c>
      <c r="C1226" t="s">
        <v>153</v>
      </c>
      <c r="D1226" t="s">
        <v>57</v>
      </c>
      <c r="E1226" t="str">
        <f>IF(LEN(Arch!C590)&gt;0, Arch!C590, Arch!B590)</f>
        <v>Steel Plate Thk. 2 mm. ทำสีพ่น ปรับมุมตามแบบ</v>
      </c>
      <c r="F1226" s="1260" t="str">
        <f>Arch!F590</f>
        <v>กก</v>
      </c>
      <c r="G1226" s="1260">
        <f>Arch!E590</f>
        <v>124.8</v>
      </c>
      <c r="H1226" s="1260">
        <f>Arch!I590</f>
        <v>2975.2513687728001</v>
      </c>
      <c r="I1226" s="1260">
        <f>Arch!L590</f>
        <v>1166.7652426560001</v>
      </c>
      <c r="J1226" s="1260">
        <f>Arch!M590</f>
        <v>4142.0166114288004</v>
      </c>
    </row>
    <row r="1227" spans="1:10" outlineLevel="1">
      <c r="A1227" t="s">
        <v>86</v>
      </c>
      <c r="B1227" t="s">
        <v>159</v>
      </c>
      <c r="C1227" t="s">
        <v>153</v>
      </c>
      <c r="D1227" t="s">
        <v>57</v>
      </c>
      <c r="E1227" t="str">
        <f>IF(LEN(Arch!C591)&gt;0, Arch!C591, Arch!B591)</f>
        <v>งานทำสีพ่น สีน้ำมันอัลคิด โครงสร้างเหล็กทั้งหมด</v>
      </c>
      <c r="F1227" s="1260" t="str">
        <f>Arch!F591</f>
        <v>ตร.ม.</v>
      </c>
      <c r="G1227" s="1260">
        <f>Arch!E591</f>
        <v>44.379999999999995</v>
      </c>
      <c r="H1227" s="1260">
        <f>Arch!I591</f>
        <v>4978.9462951031992</v>
      </c>
      <c r="I1227" s="1260">
        <f>Arch!L591</f>
        <v>3319.2975300687999</v>
      </c>
      <c r="J1227" s="1260">
        <f>Arch!M591</f>
        <v>8298.2438251719996</v>
      </c>
    </row>
    <row r="1228" spans="1:10" outlineLevel="1">
      <c r="A1228" t="s">
        <v>86</v>
      </c>
      <c r="E1228" t="str">
        <f>IF(LEN(Arch!C592)&gt;0, Arch!C592, Arch!B592)</f>
        <v>งานหลังคาบันได 3</v>
      </c>
      <c r="F1228" s="1260">
        <f>Arch!F592</f>
        <v>0</v>
      </c>
      <c r="G1228" s="1260">
        <f>Arch!E592</f>
        <v>0</v>
      </c>
      <c r="H1228" s="1260">
        <f>Arch!I592</f>
        <v>0</v>
      </c>
      <c r="I1228" s="1260">
        <f>Arch!L592</f>
        <v>0</v>
      </c>
      <c r="J1228" s="1260">
        <f>Arch!M592</f>
        <v>0</v>
      </c>
    </row>
    <row r="1229" spans="1:10" outlineLevel="1">
      <c r="A1229" t="s">
        <v>86</v>
      </c>
      <c r="B1229" t="s">
        <v>159</v>
      </c>
      <c r="C1229" t="s">
        <v>154</v>
      </c>
      <c r="D1229" t="s">
        <v>57</v>
      </c>
      <c r="E1229" t="str">
        <f>IF(LEN(Arch!C593)&gt;0, Arch!C593, Arch!B593)</f>
        <v>Steel Plate Thk. 9 mm. ( ประกอบตามรูปแบบ )</v>
      </c>
      <c r="F1229" s="1260" t="str">
        <f>Arch!F593</f>
        <v>กก</v>
      </c>
      <c r="G1229" s="1260">
        <f>Arch!E593</f>
        <v>668.43</v>
      </c>
      <c r="H1229" s="1260">
        <f>Arch!I593</f>
        <v>16122.951115090216</v>
      </c>
      <c r="I1229" s="1260">
        <f>Arch!L593</f>
        <v>6249.2058585620998</v>
      </c>
      <c r="J1229" s="1260">
        <f>Arch!M593</f>
        <v>22372.156973652316</v>
      </c>
    </row>
    <row r="1230" spans="1:10" outlineLevel="1">
      <c r="A1230" t="s">
        <v>86</v>
      </c>
      <c r="B1230" t="s">
        <v>159</v>
      </c>
      <c r="C1230" t="s">
        <v>154</v>
      </c>
      <c r="D1230" t="s">
        <v>57</v>
      </c>
      <c r="E1230" t="str">
        <f>IF(LEN(Arch!C594)&gt;0, Arch!C594, Arch!B594)</f>
        <v>Steel Square Tube 50 x 50 x 3.2 mm.</v>
      </c>
      <c r="F1230" s="1260" t="str">
        <f>Arch!F594</f>
        <v>กก</v>
      </c>
      <c r="G1230" s="1260">
        <f>Arch!E594</f>
        <v>251.1</v>
      </c>
      <c r="H1230" s="1260">
        <f>Arch!I594</f>
        <v>6396.9446468182759</v>
      </c>
      <c r="I1230" s="1260">
        <f>Arch!L594</f>
        <v>2347.5541060169999</v>
      </c>
      <c r="J1230" s="1260">
        <f>Arch!M594</f>
        <v>8744.4987528352758</v>
      </c>
    </row>
    <row r="1231" spans="1:10" outlineLevel="1">
      <c r="A1231" t="s">
        <v>86</v>
      </c>
      <c r="B1231" t="s">
        <v>159</v>
      </c>
      <c r="C1231" t="s">
        <v>154</v>
      </c>
      <c r="D1231" t="s">
        <v>164</v>
      </c>
      <c r="E1231" t="str">
        <f>IF(LEN(Arch!C595)&gt;0, Arch!C595, Arch!B595)</f>
        <v>กระจก Laminated Low - E 5 + 5 mm. + 0.76 PVB</v>
      </c>
      <c r="F1231" s="1260" t="str">
        <f>Arch!F595</f>
        <v>ตร.ม.</v>
      </c>
      <c r="G1231" s="1260">
        <f>Arch!E595</f>
        <v>55.8</v>
      </c>
      <c r="H1231" s="1260">
        <f>Arch!I595</f>
        <v>378217.05041384994</v>
      </c>
      <c r="I1231" s="1260">
        <f>Arch!L595</f>
        <v>128072.11845048299</v>
      </c>
      <c r="J1231" s="1260">
        <f>Arch!M595</f>
        <v>506289.16886433295</v>
      </c>
    </row>
    <row r="1232" spans="1:10" outlineLevel="1">
      <c r="A1232" t="s">
        <v>86</v>
      </c>
      <c r="B1232" t="s">
        <v>159</v>
      </c>
      <c r="C1232" t="s">
        <v>154</v>
      </c>
      <c r="D1232" t="s">
        <v>57</v>
      </c>
      <c r="E1232" t="str">
        <f>IF(LEN(Arch!C596)&gt;0, Arch!C596, Arch!B596)</f>
        <v>( ยึดกับโครงสร้างเหล็กด้วย Structrue Silicone )</v>
      </c>
      <c r="F1232" s="1260">
        <f>Arch!F596</f>
        <v>0</v>
      </c>
      <c r="G1232" s="1260">
        <f>Arch!E596</f>
        <v>0</v>
      </c>
      <c r="H1232" s="1260">
        <f>Arch!I596</f>
        <v>0</v>
      </c>
      <c r="I1232" s="1260">
        <f>Arch!L596</f>
        <v>0</v>
      </c>
      <c r="J1232" s="1260">
        <f>Arch!M596</f>
        <v>0</v>
      </c>
    </row>
    <row r="1233" spans="1:10" outlineLevel="1">
      <c r="A1233" t="s">
        <v>86</v>
      </c>
      <c r="B1233" t="s">
        <v>159</v>
      </c>
      <c r="C1233" t="s">
        <v>154</v>
      </c>
      <c r="D1233" t="s">
        <v>57</v>
      </c>
      <c r="E1233" t="str">
        <f>IF(LEN(Arch!C597)&gt;0, Arch!C597, Arch!B597)</f>
        <v>Steel Plate Thk. 2 mm. ทำสีพ่น</v>
      </c>
      <c r="F1233" s="1260" t="str">
        <f>Arch!F597</f>
        <v>กก</v>
      </c>
      <c r="G1233" s="1260">
        <f>Arch!E597</f>
        <v>292.60000000000002</v>
      </c>
      <c r="H1233" s="1260">
        <f>Arch!I597</f>
        <v>6975.6294110811004</v>
      </c>
      <c r="I1233" s="1260">
        <f>Arch!L597</f>
        <v>2735.5409455220006</v>
      </c>
      <c r="J1233" s="1260">
        <f>Arch!M597</f>
        <v>9711.170356603101</v>
      </c>
    </row>
    <row r="1234" spans="1:10" outlineLevel="1">
      <c r="A1234" t="s">
        <v>86</v>
      </c>
      <c r="B1234" t="s">
        <v>159</v>
      </c>
      <c r="C1234" t="s">
        <v>154</v>
      </c>
      <c r="D1234" t="s">
        <v>57</v>
      </c>
      <c r="E1234" t="str">
        <f>IF(LEN(Arch!C598)&gt;0, Arch!C598, Arch!B598)</f>
        <v>Steel Plate Thk. 2 mm. ทำสีพ่น ปรับมุมตามแบบ</v>
      </c>
      <c r="F1234" s="1260" t="str">
        <f>Arch!F598</f>
        <v>กก</v>
      </c>
      <c r="G1234" s="1260">
        <f>Arch!E598</f>
        <v>101.39999999999999</v>
      </c>
      <c r="H1234" s="1260">
        <f>Arch!I598</f>
        <v>2417.3917371278999</v>
      </c>
      <c r="I1234" s="1260">
        <f>Arch!L598</f>
        <v>947.99675965799997</v>
      </c>
      <c r="J1234" s="1260">
        <f>Arch!M598</f>
        <v>3365.3884967858999</v>
      </c>
    </row>
    <row r="1235" spans="1:10" outlineLevel="1">
      <c r="A1235" t="s">
        <v>86</v>
      </c>
      <c r="B1235" t="s">
        <v>159</v>
      </c>
      <c r="C1235" t="s">
        <v>154</v>
      </c>
      <c r="D1235" t="s">
        <v>57</v>
      </c>
      <c r="E1235" t="str">
        <f>IF(LEN(Arch!C599)&gt;0, Arch!C599, Arch!B599)</f>
        <v>งานทำสีพ่น สีน้ำมันอัลคิด โครงสร้างเหล็กทั้งหมด</v>
      </c>
      <c r="F1235" s="1260" t="str">
        <f>Arch!F599</f>
        <v>ตร.ม.</v>
      </c>
      <c r="G1235" s="1260">
        <f>Arch!E599</f>
        <v>45.82</v>
      </c>
      <c r="H1235" s="1260">
        <f>Arch!I599</f>
        <v>5140.4984056247995</v>
      </c>
      <c r="I1235" s="1260">
        <f>Arch!L599</f>
        <v>3426.9989370832004</v>
      </c>
      <c r="J1235" s="1260">
        <f>Arch!M599</f>
        <v>8567.4973427080004</v>
      </c>
    </row>
    <row r="1236" spans="1:10" outlineLevel="1">
      <c r="A1236" t="s">
        <v>86</v>
      </c>
      <c r="E1236" t="str">
        <f>IF(LEN(Arch!C600)&gt;0, Arch!C600, Arch!B600)</f>
        <v>งานหลังคาบันได 4</v>
      </c>
      <c r="F1236" s="1260">
        <f>Arch!F600</f>
        <v>0</v>
      </c>
      <c r="G1236" s="1260">
        <f>Arch!E600</f>
        <v>0</v>
      </c>
      <c r="H1236" s="1260">
        <f>Arch!I600</f>
        <v>0</v>
      </c>
      <c r="I1236" s="1260">
        <f>Arch!L600</f>
        <v>0</v>
      </c>
      <c r="J1236" s="1260">
        <f>Arch!M600</f>
        <v>0</v>
      </c>
    </row>
    <row r="1237" spans="1:10" outlineLevel="1">
      <c r="A1237" t="s">
        <v>86</v>
      </c>
      <c r="B1237" t="s">
        <v>159</v>
      </c>
      <c r="C1237" t="s">
        <v>155</v>
      </c>
      <c r="D1237" t="s">
        <v>57</v>
      </c>
      <c r="E1237" t="str">
        <f>IF(LEN(Arch!C601)&gt;0, Arch!C601, Arch!B601)</f>
        <v>Steel Plate Thk. 9 mm. ( ประกอบตามรูปแบบ )</v>
      </c>
      <c r="F1237" s="1260" t="str">
        <f>Arch!F601</f>
        <v>กก</v>
      </c>
      <c r="G1237" s="1260">
        <f>Arch!E601</f>
        <v>668.43</v>
      </c>
      <c r="H1237" s="1260">
        <f>Arch!I601</f>
        <v>16122.951115090216</v>
      </c>
      <c r="I1237" s="1260">
        <f>Arch!L601</f>
        <v>6249.2058585620998</v>
      </c>
      <c r="J1237" s="1260">
        <f>Arch!M601</f>
        <v>22372.156973652316</v>
      </c>
    </row>
    <row r="1238" spans="1:10" outlineLevel="1">
      <c r="A1238" t="s">
        <v>86</v>
      </c>
      <c r="B1238" t="s">
        <v>159</v>
      </c>
      <c r="C1238" t="s">
        <v>155</v>
      </c>
      <c r="D1238" t="s">
        <v>57</v>
      </c>
      <c r="E1238" t="str">
        <f>IF(LEN(Arch!C602)&gt;0, Arch!C602, Arch!B602)</f>
        <v>Steel Square Tube 50 x 50 x 3.2 mm.</v>
      </c>
      <c r="F1238" s="1260" t="str">
        <f>Arch!F602</f>
        <v>กก</v>
      </c>
      <c r="G1238" s="1260">
        <f>Arch!E602</f>
        <v>251.1</v>
      </c>
      <c r="H1238" s="1260">
        <f>Arch!I602</f>
        <v>6396.9446468182759</v>
      </c>
      <c r="I1238" s="1260">
        <f>Arch!L602</f>
        <v>2347.5541060169999</v>
      </c>
      <c r="J1238" s="1260">
        <f>Arch!M602</f>
        <v>8744.4987528352758</v>
      </c>
    </row>
    <row r="1239" spans="1:10" outlineLevel="1">
      <c r="A1239" t="s">
        <v>86</v>
      </c>
      <c r="B1239" t="s">
        <v>159</v>
      </c>
      <c r="C1239" t="s">
        <v>155</v>
      </c>
      <c r="D1239" t="s">
        <v>164</v>
      </c>
      <c r="E1239" t="str">
        <f>IF(LEN(Arch!C603)&gt;0, Arch!C603, Arch!B603)</f>
        <v>กระจก Laminated Low - E 5 + 5 mm. + 0.76 PVB</v>
      </c>
      <c r="F1239" s="1260" t="str">
        <f>Arch!F603</f>
        <v>ตร.ม.</v>
      </c>
      <c r="G1239" s="1260">
        <f>Arch!E603</f>
        <v>55.8</v>
      </c>
      <c r="H1239" s="1260">
        <f>Arch!I603</f>
        <v>378217.05041384994</v>
      </c>
      <c r="I1239" s="1260">
        <f>Arch!L603</f>
        <v>128072.11845048299</v>
      </c>
      <c r="J1239" s="1260">
        <f>Arch!M603</f>
        <v>506289.16886433295</v>
      </c>
    </row>
    <row r="1240" spans="1:10" outlineLevel="1">
      <c r="A1240" t="s">
        <v>86</v>
      </c>
      <c r="B1240" t="s">
        <v>159</v>
      </c>
      <c r="C1240" t="s">
        <v>155</v>
      </c>
      <c r="D1240" t="s">
        <v>57</v>
      </c>
      <c r="E1240" t="str">
        <f>IF(LEN(Arch!C604)&gt;0, Arch!C604, Arch!B604)</f>
        <v>( ยึดกับโครงสร้างเหล็กด้วย Structrue Silicone )</v>
      </c>
      <c r="F1240" s="1260">
        <f>Arch!F604</f>
        <v>0</v>
      </c>
      <c r="G1240" s="1260">
        <f>Arch!E604</f>
        <v>0</v>
      </c>
      <c r="H1240" s="1260">
        <f>Arch!I604</f>
        <v>0</v>
      </c>
      <c r="I1240" s="1260">
        <f>Arch!L604</f>
        <v>0</v>
      </c>
      <c r="J1240" s="1260">
        <f>Arch!M604</f>
        <v>0</v>
      </c>
    </row>
    <row r="1241" spans="1:10" outlineLevel="1">
      <c r="A1241" t="s">
        <v>86</v>
      </c>
      <c r="B1241" t="s">
        <v>159</v>
      </c>
      <c r="C1241" t="s">
        <v>155</v>
      </c>
      <c r="D1241" t="s">
        <v>57</v>
      </c>
      <c r="E1241" t="str">
        <f>IF(LEN(Arch!C605)&gt;0, Arch!C605, Arch!B605)</f>
        <v>Steel Plate Thk. 2 mm. ทำสีพ่น</v>
      </c>
      <c r="F1241" s="1260" t="str">
        <f>Arch!F605</f>
        <v>กก</v>
      </c>
      <c r="G1241" s="1260">
        <f>Arch!E605</f>
        <v>261.8</v>
      </c>
      <c r="H1241" s="1260">
        <f>Arch!I605</f>
        <v>6241.3526309672998</v>
      </c>
      <c r="I1241" s="1260">
        <f>Arch!L605</f>
        <v>2447.5892670460003</v>
      </c>
      <c r="J1241" s="1260">
        <f>Arch!M605</f>
        <v>8688.9418980132996</v>
      </c>
    </row>
    <row r="1242" spans="1:10" outlineLevel="1">
      <c r="A1242" t="s">
        <v>86</v>
      </c>
      <c r="B1242" t="s">
        <v>159</v>
      </c>
      <c r="C1242" t="s">
        <v>155</v>
      </c>
      <c r="D1242" t="s">
        <v>57</v>
      </c>
      <c r="E1242" t="str">
        <f>IF(LEN(Arch!C606)&gt;0, Arch!C606, Arch!B606)</f>
        <v>Steel Plate Thk. 2 mm. ทำสีพ่น ปรับมุมตามแบบ</v>
      </c>
      <c r="F1242" s="1260" t="str">
        <f>Arch!F606</f>
        <v>กก</v>
      </c>
      <c r="G1242" s="1260">
        <f>Arch!E606</f>
        <v>117</v>
      </c>
      <c r="H1242" s="1260">
        <f>Arch!I606</f>
        <v>2789.2981582245002</v>
      </c>
      <c r="I1242" s="1260">
        <f>Arch!L606</f>
        <v>1093.84241499</v>
      </c>
      <c r="J1242" s="1260">
        <f>Arch!M606</f>
        <v>3883.1405732145004</v>
      </c>
    </row>
    <row r="1243" spans="1:10" outlineLevel="1">
      <c r="A1243" t="s">
        <v>86</v>
      </c>
      <c r="B1243" t="s">
        <v>159</v>
      </c>
      <c r="C1243" t="s">
        <v>155</v>
      </c>
      <c r="D1243" t="s">
        <v>57</v>
      </c>
      <c r="E1243" t="str">
        <f>IF(LEN(Arch!C607)&gt;0, Arch!C607, Arch!B607)</f>
        <v>งานทำสีพ่น สีน้ำมันอัลคิด โครงสร้างเหล็กทั้งหมด</v>
      </c>
      <c r="F1243" s="1260" t="str">
        <f>Arch!F607</f>
        <v>ตร.ม.</v>
      </c>
      <c r="G1243" s="1260">
        <f>Arch!E607</f>
        <v>44.86</v>
      </c>
      <c r="H1243" s="1260">
        <f>Arch!I607</f>
        <v>5032.7969986103999</v>
      </c>
      <c r="I1243" s="1260">
        <f>Arch!L607</f>
        <v>3355.1979990735999</v>
      </c>
      <c r="J1243" s="1260">
        <f>Arch!M607</f>
        <v>8387.9949976839998</v>
      </c>
    </row>
    <row r="1244" spans="1:10" outlineLevel="1">
      <c r="A1244" t="s">
        <v>86</v>
      </c>
      <c r="F1244" s="1260">
        <f>Arch!F608</f>
        <v>0</v>
      </c>
      <c r="G1244" s="1260">
        <f>Arch!E608</f>
        <v>0</v>
      </c>
      <c r="H1244" s="1260">
        <f>Arch!I608</f>
        <v>0</v>
      </c>
      <c r="I1244" s="1260">
        <f>Arch!L608</f>
        <v>0</v>
      </c>
      <c r="J1244" s="1260">
        <f>Arch!M608</f>
        <v>0</v>
      </c>
    </row>
    <row r="1245" spans="1:10" outlineLevel="1">
      <c r="A1245" t="s">
        <v>86</v>
      </c>
      <c r="F1245" s="1260">
        <f>Arch!F609</f>
        <v>0</v>
      </c>
      <c r="G1245" s="1260">
        <f>Arch!E609</f>
        <v>0</v>
      </c>
      <c r="H1245" s="1260">
        <f>Arch!I609</f>
        <v>0</v>
      </c>
      <c r="I1245" s="1260">
        <f>Arch!L609</f>
        <v>0</v>
      </c>
      <c r="J1245" s="1260">
        <f>Arch!M609</f>
        <v>0</v>
      </c>
    </row>
    <row r="1246" spans="1:10" outlineLevel="1">
      <c r="A1246" t="s">
        <v>86</v>
      </c>
      <c r="E1246" t="str">
        <f>IF(LEN(Arch!C610)&gt;0, Arch!C610, Arch!B610)</f>
        <v>งานหลังคาห้องน้ำ</v>
      </c>
      <c r="F1246" s="1260">
        <f>Arch!F610</f>
        <v>0</v>
      </c>
      <c r="G1246" s="1260">
        <f>Arch!E610</f>
        <v>0</v>
      </c>
      <c r="H1246" s="1260">
        <f>Arch!I610</f>
        <v>0</v>
      </c>
      <c r="I1246" s="1260">
        <f>Arch!L610</f>
        <v>0</v>
      </c>
      <c r="J1246" s="1260">
        <f>Arch!M610</f>
        <v>0</v>
      </c>
    </row>
    <row r="1247" spans="1:10" outlineLevel="1">
      <c r="A1247" t="s">
        <v>86</v>
      </c>
      <c r="B1247" t="s">
        <v>159</v>
      </c>
      <c r="C1247" t="s">
        <v>165</v>
      </c>
      <c r="D1247" t="s">
        <v>57</v>
      </c>
      <c r="E1247" t="str">
        <f>IF(LEN(Arch!C611)&gt;0, Arch!C611, Arch!B611)</f>
        <v>Steel Square Tube 50 x 50 x 3.2 mm.</v>
      </c>
      <c r="F1247" s="1260" t="str">
        <f>Arch!F611</f>
        <v>กก</v>
      </c>
      <c r="G1247" s="1260">
        <f>Arch!E611</f>
        <v>772.19999999999993</v>
      </c>
      <c r="H1247" s="1260">
        <f>Arch!I611</f>
        <v>19672.324397742221</v>
      </c>
      <c r="I1247" s="1260">
        <f>Arch!L611</f>
        <v>7219.3599389339997</v>
      </c>
      <c r="J1247" s="1260">
        <f>Arch!M611</f>
        <v>26891.684336676219</v>
      </c>
    </row>
    <row r="1248" spans="1:10" outlineLevel="1">
      <c r="A1248" t="s">
        <v>86</v>
      </c>
      <c r="B1248" t="s">
        <v>159</v>
      </c>
      <c r="C1248" t="s">
        <v>165</v>
      </c>
      <c r="D1248" t="s">
        <v>57</v>
      </c>
      <c r="E1248" t="str">
        <f>IF(LEN(Arch!C612)&gt;0, Arch!C612, Arch!B612)</f>
        <v>Steel Rectangular Tube 125 x 75 x 3.2 mm.</v>
      </c>
      <c r="F1248" s="1260" t="str">
        <f>Arch!F612</f>
        <v>กก</v>
      </c>
      <c r="G1248" s="1260">
        <f>Arch!E612</f>
        <v>2879.7999999999997</v>
      </c>
      <c r="H1248" s="1260">
        <f>Arch!I612</f>
        <v>73366.996269929077</v>
      </c>
      <c r="I1248" s="1260">
        <f>Arch!L612</f>
        <v>26923.481937506</v>
      </c>
      <c r="J1248" s="1260">
        <f>Arch!M612</f>
        <v>100290.47820743508</v>
      </c>
    </row>
    <row r="1249" spans="1:10" outlineLevel="1">
      <c r="A1249" t="s">
        <v>86</v>
      </c>
      <c r="B1249" t="s">
        <v>159</v>
      </c>
      <c r="C1249" t="s">
        <v>165</v>
      </c>
      <c r="D1249" t="s">
        <v>57</v>
      </c>
      <c r="E1249" t="str">
        <f>IF(LEN(Arch!C613)&gt;0, Arch!C613, Arch!B613)</f>
        <v>Steel Square Tube 125 x 125 x 3.2 mm.</v>
      </c>
      <c r="F1249" s="1260" t="str">
        <f>Arch!F613</f>
        <v>กก</v>
      </c>
      <c r="G1249" s="1260">
        <f>Arch!E613</f>
        <v>120</v>
      </c>
      <c r="H1249" s="1260">
        <f>Arch!I613</f>
        <v>3104.7628449407853</v>
      </c>
      <c r="I1249" s="1260">
        <f>Arch!L613</f>
        <v>1121.8896564000001</v>
      </c>
      <c r="J1249" s="1260">
        <f>Arch!M613</f>
        <v>4226.6525013407854</v>
      </c>
    </row>
    <row r="1250" spans="1:10" outlineLevel="1">
      <c r="A1250" t="s">
        <v>86</v>
      </c>
      <c r="B1250" t="s">
        <v>159</v>
      </c>
      <c r="C1250" t="s">
        <v>165</v>
      </c>
      <c r="D1250" t="s">
        <v>57</v>
      </c>
      <c r="E1250" t="str">
        <f>IF(LEN(Arch!C614)&gt;0, Arch!C614, Arch!B614)</f>
        <v>Steel Plate Thk. 2 mm. ทำสีพ่น ปรับมุมตามแบบ การติดตั้งเสนออนุุมัติ</v>
      </c>
      <c r="F1250" s="1260" t="str">
        <f>Arch!F614</f>
        <v>กก</v>
      </c>
      <c r="G1250" s="1260">
        <f>Arch!E614</f>
        <v>153.07499999999999</v>
      </c>
      <c r="H1250" s="1260">
        <f>Arch!I614</f>
        <v>3649.3317570103873</v>
      </c>
      <c r="I1250" s="1260">
        <f>Arch!L614</f>
        <v>1431.1104929452499</v>
      </c>
      <c r="J1250" s="1260">
        <f>Arch!M614</f>
        <v>5080.4422499556367</v>
      </c>
    </row>
    <row r="1251" spans="1:10" outlineLevel="1">
      <c r="A1251" t="s">
        <v>86</v>
      </c>
      <c r="B1251" t="s">
        <v>159</v>
      </c>
      <c r="C1251" t="s">
        <v>165</v>
      </c>
      <c r="D1251" t="s">
        <v>57</v>
      </c>
      <c r="E1251" t="str">
        <f>IF(LEN(Arch!C615)&gt;0, Arch!C615, Arch!B615)</f>
        <v xml:space="preserve">งานทาสีน้ำมันอัลคิด โครงสร้างเหล็กทั้งหมดยกเว้น Steel Plate Thk. 2 mm. </v>
      </c>
      <c r="F1251" s="1260" t="str">
        <f>Arch!F615</f>
        <v>ตร.ม.</v>
      </c>
      <c r="G1251" s="1260">
        <f>Arch!E615</f>
        <v>160.1</v>
      </c>
      <c r="H1251" s="1260">
        <f>Arch!I615</f>
        <v>9729.1205911054985</v>
      </c>
      <c r="I1251" s="1260">
        <f>Arch!L615</f>
        <v>8980.7266994819984</v>
      </c>
      <c r="J1251" s="1260">
        <f>Arch!M615</f>
        <v>18709.847290587495</v>
      </c>
    </row>
    <row r="1252" spans="1:10" outlineLevel="1">
      <c r="A1252" t="s">
        <v>86</v>
      </c>
      <c r="B1252" t="s">
        <v>159</v>
      </c>
      <c r="C1252" t="s">
        <v>165</v>
      </c>
      <c r="D1252" t="s">
        <v>57</v>
      </c>
      <c r="E1252" t="str">
        <f>IF(LEN(Arch!C616)&gt;0, Arch!C616, Arch!B616)</f>
        <v>งานทำสีพ่น Steel Plate Thk. 2 mm. ทั้งหมด</v>
      </c>
      <c r="F1252" s="1260" t="str">
        <f>Arch!F616</f>
        <v>ตร.ม.</v>
      </c>
      <c r="G1252" s="1260">
        <f>Arch!E616</f>
        <v>169.85</v>
      </c>
      <c r="H1252" s="1260">
        <f>Arch!I616</f>
        <v>19055.295813953999</v>
      </c>
      <c r="I1252" s="1260">
        <f>Arch!L616</f>
        <v>12703.530542636001</v>
      </c>
      <c r="J1252" s="1260">
        <f>Arch!M616</f>
        <v>31758.826356589998</v>
      </c>
    </row>
    <row r="1253" spans="1:10" outlineLevel="1">
      <c r="A1253" t="s">
        <v>86</v>
      </c>
      <c r="B1253" t="s">
        <v>159</v>
      </c>
      <c r="C1253" t="s">
        <v>165</v>
      </c>
      <c r="D1253" t="s">
        <v>57</v>
      </c>
      <c r="E1253" t="str">
        <f>IF(LEN(Arch!C617)&gt;0, Arch!C617, Arch!B617)</f>
        <v>งานฉนวนกันความร้อน</v>
      </c>
      <c r="F1253" s="1260">
        <f>Arch!F617</f>
        <v>0</v>
      </c>
      <c r="G1253" s="1260">
        <f>Arch!E617</f>
        <v>0</v>
      </c>
      <c r="H1253" s="1260">
        <f>Arch!I617</f>
        <v>0</v>
      </c>
      <c r="I1253" s="1260">
        <f>Arch!L617</f>
        <v>0</v>
      </c>
      <c r="J1253" s="1260">
        <f>Arch!M617</f>
        <v>0</v>
      </c>
    </row>
    <row r="1254" spans="1:10" outlineLevel="1">
      <c r="A1254" t="s">
        <v>86</v>
      </c>
      <c r="B1254" t="s">
        <v>159</v>
      </c>
      <c r="C1254" t="s">
        <v>165</v>
      </c>
      <c r="D1254" t="s">
        <v>166</v>
      </c>
      <c r="E1254" t="str">
        <f>IF(LEN(Arch!C618)&gt;0, Arch!C618, Arch!B618)</f>
        <v xml:space="preserve">ฉนวนใยแก้ว หนา 75 mm. พร้อมแผ่นอลูมินั่มฟรอยด์ ความหนาแน่น 32 kg./m³ </v>
      </c>
      <c r="F1254" s="1260" t="str">
        <f>Arch!F618</f>
        <v>ตร.ม.</v>
      </c>
      <c r="G1254" s="1260">
        <f>Arch!E618</f>
        <v>775.8</v>
      </c>
      <c r="H1254" s="1260">
        <f>Arch!I618</f>
        <v>81233.786240611182</v>
      </c>
      <c r="I1254" s="1260">
        <f>Arch!L618</f>
        <v>14506.033257252</v>
      </c>
      <c r="J1254" s="1260">
        <f>Arch!M618</f>
        <v>95739.81949786318</v>
      </c>
    </row>
    <row r="1255" spans="1:10" outlineLevel="1">
      <c r="A1255" t="s">
        <v>86</v>
      </c>
      <c r="B1255" t="s">
        <v>159</v>
      </c>
      <c r="C1255" t="s">
        <v>165</v>
      </c>
      <c r="D1255" t="s">
        <v>166</v>
      </c>
      <c r="E1255" t="str">
        <f>IF(LEN(Arch!C619)&gt;0, Arch!C619, Arch!B619)</f>
        <v>ปูให้ติดกับหลังคา</v>
      </c>
      <c r="F1255" s="1260">
        <f>Arch!F619</f>
        <v>0</v>
      </c>
      <c r="G1255" s="1260">
        <f>Arch!E619</f>
        <v>0</v>
      </c>
      <c r="H1255" s="1260">
        <f>Arch!I619</f>
        <v>0</v>
      </c>
      <c r="I1255" s="1260">
        <f>Arch!L619</f>
        <v>0</v>
      </c>
      <c r="J1255" s="1260">
        <f>Arch!M619</f>
        <v>0</v>
      </c>
    </row>
    <row r="1256" spans="1:10" outlineLevel="1">
      <c r="A1256" t="s">
        <v>86</v>
      </c>
      <c r="B1256" t="s">
        <v>159</v>
      </c>
      <c r="C1256" t="s">
        <v>165</v>
      </c>
      <c r="D1256" t="s">
        <v>166</v>
      </c>
      <c r="E1256" t="str">
        <f>IF(LEN(Arch!C620)&gt;0, Arch!C620, Arch!B620)</f>
        <v>ตะแกรงลวดสำหรับรองรับฉนวนใยแก้ว ( เสนอผู้ควบคุมงานอนุมัติ )</v>
      </c>
      <c r="F1256" s="1260" t="str">
        <f>Arch!F620</f>
        <v>ตร.ม.</v>
      </c>
      <c r="G1256" s="1260">
        <f>Arch!E620</f>
        <v>775.8</v>
      </c>
      <c r="H1256" s="1260">
        <f>Arch!I620</f>
        <v>36265.083143129996</v>
      </c>
      <c r="I1256" s="1260">
        <f>Arch!L620</f>
        <v>14506.033257252</v>
      </c>
      <c r="J1256" s="1260">
        <f>Arch!M620</f>
        <v>50771.116400381994</v>
      </c>
    </row>
    <row r="1257" spans="1:10" outlineLevel="1">
      <c r="A1257" t="s">
        <v>86</v>
      </c>
      <c r="B1257" t="s">
        <v>159</v>
      </c>
      <c r="C1257" t="s">
        <v>165</v>
      </c>
      <c r="D1257" t="s">
        <v>166</v>
      </c>
      <c r="E1257" t="str">
        <f>IF(LEN(Arch!C621)&gt;0, Arch!C621, Arch!B621)</f>
        <v>ฉนวนกันความร้อน Extruded Polystyrene Foamความหนาแน่นไม่น้อยกว่า 32 kg/m</v>
      </c>
      <c r="F1257" s="1260">
        <f>Arch!F621</f>
        <v>0</v>
      </c>
      <c r="G1257" s="1260" t="str">
        <f>Arch!E621</f>
        <v xml:space="preserve">*ดูรายละเอียดงานหลังคา BUILT-UP ROOF </v>
      </c>
      <c r="H1257" s="1260">
        <f>Arch!I621</f>
        <v>0</v>
      </c>
      <c r="I1257" s="1260">
        <f>Arch!L621</f>
        <v>0</v>
      </c>
      <c r="J1257" s="1260">
        <f>Arch!M621</f>
        <v>0</v>
      </c>
    </row>
    <row r="1258" spans="1:10" outlineLevel="1">
      <c r="A1258" t="s">
        <v>86</v>
      </c>
      <c r="B1258" t="s">
        <v>159</v>
      </c>
      <c r="C1258" t="s">
        <v>165</v>
      </c>
      <c r="D1258" t="s">
        <v>166</v>
      </c>
      <c r="E1258" t="str">
        <f>IF(LEN(Arch!C622)&gt;0, Arch!C622, Arch!B622)</f>
        <v>Polythyrene Foam หนา 25 มม.</v>
      </c>
      <c r="F1258" s="1260" t="str">
        <f>Arch!F622</f>
        <v>ตร.ม.</v>
      </c>
      <c r="G1258" s="1260">
        <f>Arch!E622</f>
        <v>350</v>
      </c>
      <c r="H1258" s="1260">
        <f>Arch!I622</f>
        <v>91620.988605999999</v>
      </c>
      <c r="I1258" s="1260">
        <f>Arch!L622</f>
        <v>8180.4454112499998</v>
      </c>
      <c r="J1258" s="1260">
        <f>Arch!M622</f>
        <v>99801.434017249994</v>
      </c>
    </row>
    <row r="1259" spans="1:10" outlineLevel="1">
      <c r="A1259" t="s">
        <v>86</v>
      </c>
      <c r="B1259" t="s">
        <v>159</v>
      </c>
      <c r="C1259" t="s">
        <v>165</v>
      </c>
      <c r="D1259" t="s">
        <v>166</v>
      </c>
      <c r="E1259" t="str">
        <f>IF(LEN(Arch!C623)&gt;0, Arch!C623, Arch!B623)</f>
        <v>งานกันซึม</v>
      </c>
      <c r="F1259" s="1260">
        <f>Arch!F623</f>
        <v>0</v>
      </c>
      <c r="G1259" s="1260">
        <f>Arch!E623</f>
        <v>0</v>
      </c>
      <c r="H1259" s="1260">
        <f>Arch!I623</f>
        <v>0</v>
      </c>
      <c r="I1259" s="1260">
        <f>Arch!L623</f>
        <v>0</v>
      </c>
      <c r="J1259" s="1260">
        <f>Arch!M623</f>
        <v>0</v>
      </c>
    </row>
    <row r="1260" spans="1:10" outlineLevel="1">
      <c r="A1260" t="s">
        <v>86</v>
      </c>
      <c r="B1260" t="s">
        <v>159</v>
      </c>
      <c r="C1260" t="s">
        <v>165</v>
      </c>
      <c r="D1260" t="s">
        <v>166</v>
      </c>
      <c r="E1260" t="str">
        <f>IF(LEN(Arch!C624)&gt;0, Arch!C624, Arch!B624)</f>
        <v>แผ่น Polyvinylcoride หนาไม่น้อยกว่า 1.5 มม.  ติดตั้งตามมาตรฐานของผู้ผลิต</v>
      </c>
      <c r="F1260" s="1260" t="str">
        <f>Arch!F624</f>
        <v>ตร.ม.</v>
      </c>
      <c r="G1260" s="1260">
        <f>Arch!E624</f>
        <v>265</v>
      </c>
      <c r="H1260" s="1260">
        <f>Arch!I624</f>
        <v>222975.56920950001</v>
      </c>
      <c r="I1260" s="1260">
        <f>Arch!L624</f>
        <v>24775.063245499998</v>
      </c>
      <c r="J1260" s="1260">
        <f>Arch!M624</f>
        <v>247750.63245500001</v>
      </c>
    </row>
    <row r="1261" spans="1:10" outlineLevel="1">
      <c r="A1261" t="s">
        <v>86</v>
      </c>
      <c r="B1261" t="s">
        <v>159</v>
      </c>
      <c r="C1261" t="s">
        <v>165</v>
      </c>
      <c r="D1261" t="s">
        <v>166</v>
      </c>
      <c r="E1261" t="str">
        <f>IF(LEN(Arch!C625)&gt;0, Arch!C625, Arch!B625)</f>
        <v xml:space="preserve">*ไม่รวมบริเวณงานหลังคา BUILT-UP ROOF </v>
      </c>
      <c r="F1261" s="1260">
        <f>Arch!F625</f>
        <v>0</v>
      </c>
      <c r="G1261" s="1260">
        <f>Arch!E625</f>
        <v>0</v>
      </c>
      <c r="H1261" s="1260">
        <f>Arch!I625</f>
        <v>0</v>
      </c>
      <c r="I1261" s="1260">
        <f>Arch!L625</f>
        <v>0</v>
      </c>
      <c r="J1261" s="1260">
        <f>Arch!M625</f>
        <v>0</v>
      </c>
    </row>
    <row r="1262" spans="1:10" outlineLevel="1">
      <c r="A1262" t="s">
        <v>86</v>
      </c>
      <c r="B1262" t="s">
        <v>159</v>
      </c>
      <c r="C1262" t="s">
        <v>165</v>
      </c>
      <c r="D1262" t="s">
        <v>167</v>
      </c>
      <c r="E1262" t="str">
        <f>IF(LEN(Arch!C626)&gt;0, Arch!C626, Arch!B626)</f>
        <v xml:space="preserve">งานกันซึม ประเภท Arcylic Modified Urethane Coating   </v>
      </c>
      <c r="F1262" s="1260" t="str">
        <f>Arch!F626</f>
        <v>ตร.ม.</v>
      </c>
      <c r="G1262" s="1260">
        <f>Arch!E626</f>
        <v>770</v>
      </c>
      <c r="H1262" s="1260">
        <f>Arch!I626</f>
        <v>215963.75885699998</v>
      </c>
      <c r="I1262" s="1260">
        <f>Arch!L626</f>
        <v>0</v>
      </c>
      <c r="J1262" s="1260">
        <f>Arch!M626</f>
        <v>215963.75885699998</v>
      </c>
    </row>
    <row r="1263" spans="1:10" outlineLevel="1">
      <c r="A1263" t="s">
        <v>86</v>
      </c>
      <c r="B1263" t="s">
        <v>159</v>
      </c>
      <c r="C1263" t="s">
        <v>165</v>
      </c>
      <c r="D1263" t="s">
        <v>167</v>
      </c>
      <c r="E1263" t="str">
        <f>IF(LEN(Arch!C627)&gt;0, Arch!C627, Arch!B627)</f>
        <v xml:space="preserve">เสริมความแข็งแรงเชิงกลด้วยเส้นใยโพลีเอสเตอร์ ทารองพื้น 1 เที่ยว  </v>
      </c>
      <c r="F1263" s="1260">
        <f>Arch!F627</f>
        <v>0</v>
      </c>
      <c r="G1263" s="1260">
        <f>Arch!E627</f>
        <v>0</v>
      </c>
      <c r="H1263" s="1260">
        <f>Arch!I627</f>
        <v>0</v>
      </c>
      <c r="I1263" s="1260">
        <f>Arch!L627</f>
        <v>0</v>
      </c>
      <c r="J1263" s="1260">
        <f>Arch!M627</f>
        <v>0</v>
      </c>
    </row>
    <row r="1264" spans="1:10" outlineLevel="1">
      <c r="A1264" t="s">
        <v>86</v>
      </c>
      <c r="B1264" t="s">
        <v>159</v>
      </c>
      <c r="C1264" t="s">
        <v>165</v>
      </c>
      <c r="D1264" t="s">
        <v>167</v>
      </c>
      <c r="E1264" t="str">
        <f>IF(LEN(Arch!C628)&gt;0, Arch!C628, Arch!B628)</f>
        <v xml:space="preserve">และทาทับหน้า 2 เที่ยว รวมความหนาระบบกันซึม ไม่น้อยกว่า 1 มม. </v>
      </c>
      <c r="F1264" s="1260">
        <f>Arch!F628</f>
        <v>0</v>
      </c>
      <c r="G1264" s="1260">
        <f>Arch!E628</f>
        <v>0</v>
      </c>
      <c r="H1264" s="1260">
        <f>Arch!I628</f>
        <v>0</v>
      </c>
      <c r="I1264" s="1260">
        <f>Arch!L628</f>
        <v>0</v>
      </c>
      <c r="J1264" s="1260">
        <f>Arch!M628</f>
        <v>0</v>
      </c>
    </row>
    <row r="1265" spans="1:10" outlineLevel="1">
      <c r="A1265" t="s">
        <v>86</v>
      </c>
      <c r="B1265" t="s">
        <v>159</v>
      </c>
      <c r="C1265" t="s">
        <v>165</v>
      </c>
      <c r="D1265" t="s">
        <v>167</v>
      </c>
      <c r="E1265" t="str">
        <f>IF(LEN(Arch!C629)&gt;0, Arch!C629, Arch!B629)</f>
        <v>งานระบบกันซึมระบบ Crystalize ก่อนที่จะทำผิว Finishing ตามแบบระบุ</v>
      </c>
      <c r="F1265" s="1260" t="str">
        <f>Arch!F629</f>
        <v>ตร.ม.</v>
      </c>
      <c r="G1265" s="1260">
        <f>Arch!E629</f>
        <v>40</v>
      </c>
      <c r="H1265" s="1260">
        <f>Arch!I629</f>
        <v>4487.5586255999997</v>
      </c>
      <c r="I1265" s="1260">
        <f>Arch!L629</f>
        <v>3253.4800035600001</v>
      </c>
      <c r="J1265" s="1260">
        <f>Arch!M629</f>
        <v>7741.0386291599998</v>
      </c>
    </row>
    <row r="1266" spans="1:10" outlineLevel="1">
      <c r="A1266" t="s">
        <v>86</v>
      </c>
      <c r="B1266" t="s">
        <v>159</v>
      </c>
      <c r="C1266" t="s">
        <v>165</v>
      </c>
      <c r="D1266" t="s">
        <v>167</v>
      </c>
      <c r="E1266" t="str">
        <f>IF(LEN(Arch!C630)&gt;0, Arch!C630, Arch!B630)</f>
        <v>งานกันซึมพื้นและผนังภายนอกชั้นใต้ดิน LIQUID SHEET MEMBRANE (LIFT PIT)</v>
      </c>
      <c r="F1266" s="1260" t="str">
        <f>Arch!F630</f>
        <v>งาน</v>
      </c>
      <c r="G1266" s="1260">
        <f>Arch!E630</f>
        <v>1</v>
      </c>
      <c r="H1266" s="1260">
        <f>Arch!I630</f>
        <v>2804.7241409999997</v>
      </c>
      <c r="I1266" s="1260">
        <f>Arch!L630</f>
        <v>0</v>
      </c>
      <c r="J1266" s="1260">
        <f>Arch!M630</f>
        <v>2804.7241409999997</v>
      </c>
    </row>
    <row r="1267" spans="1:10" outlineLevel="1">
      <c r="A1267" t="s">
        <v>86</v>
      </c>
      <c r="F1267" s="1260">
        <f>Arch!F631</f>
        <v>0</v>
      </c>
      <c r="G1267" s="1260">
        <f>Arch!E631</f>
        <v>0</v>
      </c>
      <c r="H1267" s="1260">
        <f>Arch!I631</f>
        <v>0</v>
      </c>
      <c r="I1267" s="1260">
        <f>Arch!L631</f>
        <v>0</v>
      </c>
      <c r="J1267" s="1260">
        <f>Arch!M631</f>
        <v>0</v>
      </c>
    </row>
    <row r="1268" spans="1:10" outlineLevel="1">
      <c r="A1268" s="1266"/>
      <c r="B1268" s="1266"/>
      <c r="C1268" s="1266"/>
      <c r="D1268" s="1266"/>
      <c r="E1268" s="1266"/>
      <c r="F1268" s="1267"/>
      <c r="G1268" s="1267"/>
      <c r="H1268" s="1267"/>
      <c r="I1268" s="1267"/>
      <c r="J1268" s="1267">
        <f>SUM(J664:J1267)</f>
        <v>39847480.476549171</v>
      </c>
    </row>
    <row r="1269" spans="1:10">
      <c r="F1269" s="1260"/>
      <c r="G1269" s="1260"/>
      <c r="H1269" s="1260"/>
      <c r="I1269" s="1260"/>
      <c r="J1269" s="1260"/>
    </row>
    <row r="1270" spans="1:10">
      <c r="F1270" s="1260"/>
      <c r="G1270" s="1260"/>
      <c r="H1270" s="1260"/>
      <c r="I1270" s="1260"/>
      <c r="J1270" s="1260"/>
    </row>
    <row r="1271" spans="1:10">
      <c r="A1271" t="s">
        <v>168</v>
      </c>
      <c r="B1271" t="s">
        <v>168</v>
      </c>
      <c r="C1271" t="s">
        <v>168</v>
      </c>
      <c r="D1271" t="s">
        <v>168</v>
      </c>
      <c r="E1271" t="s">
        <v>168</v>
      </c>
      <c r="F1271" s="1260"/>
      <c r="G1271" s="1260"/>
      <c r="H1271" s="1260">
        <f>Built!I35</f>
        <v>0</v>
      </c>
      <c r="I1271" s="1260">
        <f>Built!L35</f>
        <v>0</v>
      </c>
      <c r="J1271" s="1260">
        <f>Built!M35</f>
        <v>5231343.420551789</v>
      </c>
    </row>
    <row r="1272" spans="1:10">
      <c r="A1272" t="s">
        <v>169</v>
      </c>
      <c r="B1272" t="s">
        <v>169</v>
      </c>
      <c r="C1272" t="s">
        <v>169</v>
      </c>
      <c r="D1272" t="s">
        <v>169</v>
      </c>
      <c r="E1272" t="s">
        <v>169</v>
      </c>
      <c r="F1272" s="1260"/>
      <c r="G1272" s="1260"/>
      <c r="H1272" s="1260">
        <f>EE!I28</f>
        <v>20968805.20014469</v>
      </c>
      <c r="I1272" s="1260">
        <f>EE!L28</f>
        <v>3368301.7076566746</v>
      </c>
      <c r="J1272" s="1260">
        <f>EE!M28</f>
        <v>24337106.907801356</v>
      </c>
    </row>
    <row r="1273" spans="1:10">
      <c r="A1273" t="s">
        <v>170</v>
      </c>
      <c r="B1273" t="s">
        <v>170</v>
      </c>
      <c r="C1273" t="s">
        <v>170</v>
      </c>
      <c r="D1273" t="s">
        <v>170</v>
      </c>
      <c r="E1273" t="s">
        <v>170</v>
      </c>
      <c r="F1273" s="1260"/>
      <c r="G1273" s="1260"/>
      <c r="H1273" s="1260">
        <f>SAN_FP!I15</f>
        <v>3136514.517915233</v>
      </c>
      <c r="I1273" s="1260">
        <f>SAN_FP!L15</f>
        <v>544014.57837687701</v>
      </c>
      <c r="J1273" s="1260">
        <f>SAN_FP!M15</f>
        <v>3680529.0962921106</v>
      </c>
    </row>
    <row r="1274" spans="1:10">
      <c r="A1274" t="s">
        <v>171</v>
      </c>
      <c r="B1274" t="s">
        <v>171</v>
      </c>
      <c r="C1274" t="s">
        <v>171</v>
      </c>
      <c r="D1274" t="s">
        <v>171</v>
      </c>
      <c r="E1274" t="s">
        <v>171</v>
      </c>
      <c r="F1274" s="1260"/>
      <c r="G1274" s="1260"/>
      <c r="H1274" s="1260">
        <f>AC!I18</f>
        <v>5046710.884483383</v>
      </c>
      <c r="I1274" s="1260">
        <f>AC!L18</f>
        <v>1432332.2658401213</v>
      </c>
      <c r="J1274" s="1260">
        <f>AC!M18</f>
        <v>6479043.1503235037</v>
      </c>
    </row>
    <row r="1275" spans="1:10">
      <c r="A1275" t="s">
        <v>172</v>
      </c>
      <c r="B1275" t="s">
        <v>172</v>
      </c>
      <c r="C1275" t="s">
        <v>172</v>
      </c>
      <c r="D1275" t="s">
        <v>172</v>
      </c>
      <c r="E1275" t="s">
        <v>172</v>
      </c>
      <c r="F1275" s="1260"/>
      <c r="G1275" s="1260"/>
      <c r="H1275" s="1260">
        <f>LD!I15</f>
        <v>0</v>
      </c>
      <c r="I1275" s="1260">
        <f>LD!L15</f>
        <v>0</v>
      </c>
      <c r="J1275" s="1260">
        <f>LD!M15</f>
        <v>877287.82893238461</v>
      </c>
    </row>
    <row r="1276" spans="1:10">
      <c r="A1276" t="s">
        <v>173</v>
      </c>
      <c r="B1276" s="1268" t="s">
        <v>174</v>
      </c>
      <c r="C1276" s="1268" t="s">
        <v>174</v>
      </c>
      <c r="D1276" s="1268" t="s">
        <v>174</v>
      </c>
      <c r="E1276" s="1268" t="s">
        <v>174</v>
      </c>
      <c r="F1276" s="1260"/>
      <c r="G1276" s="1260"/>
      <c r="H1276" s="1260">
        <f>EQ!I14</f>
        <v>0</v>
      </c>
      <c r="I1276" s="1260">
        <f>EQ!K14</f>
        <v>0</v>
      </c>
      <c r="J1276" s="1260">
        <f>EQ!L14</f>
        <v>10154357.906835165</v>
      </c>
    </row>
    <row r="1277" spans="1:10">
      <c r="A1277" t="s">
        <v>173</v>
      </c>
      <c r="B1277" s="1268" t="s">
        <v>175</v>
      </c>
      <c r="C1277" s="1268" t="s">
        <v>175</v>
      </c>
      <c r="D1277" s="1268" t="s">
        <v>175</v>
      </c>
      <c r="E1277" s="1268" t="s">
        <v>175</v>
      </c>
      <c r="F1277" s="1260"/>
      <c r="G1277" s="1260"/>
      <c r="H1277" s="1260">
        <f>Loose!I18</f>
        <v>0</v>
      </c>
      <c r="I1277" s="1260">
        <f>Loose!K18</f>
        <v>0</v>
      </c>
      <c r="J1277" s="1260">
        <f>Loose!L18</f>
        <v>13071078.328926679</v>
      </c>
    </row>
    <row r="1278" spans="1:10">
      <c r="A1278" t="s">
        <v>173</v>
      </c>
      <c r="B1278" s="1268" t="s">
        <v>176</v>
      </c>
      <c r="C1278" s="1268" t="s">
        <v>176</v>
      </c>
      <c r="D1278" s="1268" t="s">
        <v>176</v>
      </c>
      <c r="E1278" s="1268" t="s">
        <v>176</v>
      </c>
      <c r="F1278" s="1260"/>
      <c r="G1278" s="1260"/>
      <c r="H1278" s="1260">
        <f>AV!I24</f>
        <v>0</v>
      </c>
      <c r="I1278" s="1260">
        <f>AV!L24</f>
        <v>0</v>
      </c>
      <c r="J1278" s="1260">
        <f>AV!M24</f>
        <v>7099177.5094921477</v>
      </c>
    </row>
    <row r="1279" spans="1:10">
      <c r="A1279" t="s">
        <v>173</v>
      </c>
      <c r="B1279" s="1268" t="s">
        <v>177</v>
      </c>
      <c r="C1279" s="1268" t="s">
        <v>177</v>
      </c>
      <c r="D1279" s="1268" t="s">
        <v>177</v>
      </c>
      <c r="E1279" s="1268" t="s">
        <v>177</v>
      </c>
      <c r="F1279" s="1260"/>
      <c r="G1279" s="1260"/>
      <c r="H1279" s="1260">
        <f>HC_SC!I13</f>
        <v>0</v>
      </c>
      <c r="I1279" s="1260">
        <f>HC_SC!L13</f>
        <v>0</v>
      </c>
      <c r="J1279" s="1260">
        <f>HC_SC!M13</f>
        <v>710726.49315527221</v>
      </c>
    </row>
    <row r="1280" spans="1:10">
      <c r="A1280" t="s">
        <v>178</v>
      </c>
      <c r="E1280" t="str">
        <f>IF(LEN(Oth!C5)&gt;0, Oth!C5, Oth!B5)</f>
        <v>งานรื้อถอนบางส่วนของอาคาร 7</v>
      </c>
      <c r="F1280" s="1260">
        <f>Oth!F5</f>
        <v>0</v>
      </c>
      <c r="G1280" s="1260">
        <f>Oth!E5</f>
        <v>0</v>
      </c>
      <c r="H1280" s="1260">
        <f>Oth!I5</f>
        <v>0</v>
      </c>
      <c r="I1280" s="1260">
        <f>Oth!L5</f>
        <v>0</v>
      </c>
      <c r="J1280" s="1260">
        <f>Oth!M5</f>
        <v>0</v>
      </c>
    </row>
    <row r="1281" spans="1:10">
      <c r="A1281" t="s">
        <v>178</v>
      </c>
      <c r="B1281" t="s">
        <v>179</v>
      </c>
      <c r="C1281" t="s">
        <v>179</v>
      </c>
      <c r="D1281" t="s">
        <v>179</v>
      </c>
      <c r="E1281" t="str">
        <f>IF(LEN(Oth!C6)&gt;0, Oth!C6, Oth!B6)</f>
        <v>รื้อถอนโครงสร้าง</v>
      </c>
      <c r="F1281" s="1260" t="str">
        <f>Oth!F6</f>
        <v>ตร.ม.</v>
      </c>
      <c r="G1281" s="1260">
        <f>Oth!E6</f>
        <v>130</v>
      </c>
      <c r="H1281" s="1260">
        <f>Oth!I6</f>
        <v>0</v>
      </c>
      <c r="I1281" s="1260">
        <f>Oth!L6</f>
        <v>24307.609221999999</v>
      </c>
      <c r="J1281" s="1260">
        <f>Oth!M6</f>
        <v>24307.609221999999</v>
      </c>
    </row>
    <row r="1282" spans="1:10">
      <c r="A1282" t="s">
        <v>178</v>
      </c>
      <c r="B1282" t="s">
        <v>179</v>
      </c>
      <c r="C1282" t="s">
        <v>179</v>
      </c>
      <c r="D1282" t="s">
        <v>179</v>
      </c>
      <c r="E1282" t="str">
        <f>IF(LEN(Oth!C7)&gt;0, Oth!C7, Oth!B7)</f>
        <v>งานรื้อถอนผิวพื้นของอาคารเดิม</v>
      </c>
      <c r="F1282" s="1260" t="str">
        <f>Oth!F7</f>
        <v>ตร.ม.</v>
      </c>
      <c r="G1282" s="1260">
        <f>Oth!E7</f>
        <v>5060</v>
      </c>
      <c r="H1282" s="1260">
        <f>Oth!I7</f>
        <v>0</v>
      </c>
      <c r="I1282" s="1260">
        <f>Oth!L7</f>
        <v>189225.38871280002</v>
      </c>
      <c r="J1282" s="1260">
        <f>Oth!M7</f>
        <v>189225.38871280002</v>
      </c>
    </row>
    <row r="1283" spans="1:10">
      <c r="A1283" t="s">
        <v>178</v>
      </c>
      <c r="B1283" t="s">
        <v>179</v>
      </c>
      <c r="C1283" t="s">
        <v>179</v>
      </c>
      <c r="D1283" t="s">
        <v>179</v>
      </c>
      <c r="E1283" t="str">
        <f>IF(LEN(Oth!C8)&gt;0, Oth!C8, Oth!B8)</f>
        <v>งานรื้อถอนฝ้าเพดานของอาคารเดิม</v>
      </c>
      <c r="F1283" s="1260" t="str">
        <f>Oth!F8</f>
        <v>ตร.ม.</v>
      </c>
      <c r="G1283" s="1260">
        <f>Oth!E8</f>
        <v>4400</v>
      </c>
      <c r="H1283" s="1260">
        <f>Oth!I8</f>
        <v>0</v>
      </c>
      <c r="I1283" s="1260">
        <f>Oth!L8</f>
        <v>82271.908135999998</v>
      </c>
      <c r="J1283" s="1260">
        <f>Oth!M8</f>
        <v>82271.908135999998</v>
      </c>
    </row>
    <row r="1284" spans="1:10">
      <c r="A1284" t="s">
        <v>178</v>
      </c>
      <c r="B1284" t="s">
        <v>179</v>
      </c>
      <c r="C1284" t="s">
        <v>179</v>
      </c>
      <c r="D1284" t="s">
        <v>179</v>
      </c>
      <c r="E1284" t="str">
        <f>IF(LEN(Oth!C9)&gt;0, Oth!C9, Oth!B9)</f>
        <v>งานรื้อถอนผนังภายในเดิม</v>
      </c>
      <c r="F1284" s="1260" t="str">
        <f>Oth!F9</f>
        <v>ตร.ม.</v>
      </c>
      <c r="G1284" s="1260">
        <f>Oth!E9</f>
        <v>715</v>
      </c>
      <c r="H1284" s="1260">
        <f>Oth!I9</f>
        <v>0</v>
      </c>
      <c r="I1284" s="1260">
        <f>Oth!L9</f>
        <v>26738.370144200002</v>
      </c>
      <c r="J1284" s="1260">
        <f>Oth!M9</f>
        <v>26738.370144200002</v>
      </c>
    </row>
    <row r="1285" spans="1:10">
      <c r="A1285" t="s">
        <v>178</v>
      </c>
      <c r="B1285" t="s">
        <v>179</v>
      </c>
      <c r="C1285" t="s">
        <v>179</v>
      </c>
      <c r="D1285" t="s">
        <v>179</v>
      </c>
      <c r="E1285" t="str">
        <f>IF(LEN(Oth!C10)&gt;0, Oth!C10, Oth!B10)</f>
        <v>งานรื้อถอนบันไดไม้</v>
      </c>
      <c r="F1285" s="1260" t="str">
        <f>Oth!F10</f>
        <v>ม.</v>
      </c>
      <c r="G1285" s="1260">
        <f>Oth!E10</f>
        <v>130</v>
      </c>
      <c r="H1285" s="1260">
        <f>Oth!I10</f>
        <v>0</v>
      </c>
      <c r="I1285" s="1260">
        <f>Oth!L10</f>
        <v>8507.6632277000008</v>
      </c>
      <c r="J1285" s="1260">
        <f>Oth!M10</f>
        <v>8507.6632277000008</v>
      </c>
    </row>
    <row r="1286" spans="1:10">
      <c r="A1286" t="s">
        <v>178</v>
      </c>
      <c r="B1286" t="s">
        <v>179</v>
      </c>
      <c r="C1286" t="s">
        <v>179</v>
      </c>
      <c r="D1286" t="s">
        <v>179</v>
      </c>
      <c r="E1286" t="str">
        <f>IF(LEN(Oth!C11)&gt;0, Oth!C11, Oth!B11)</f>
        <v>งานรื้อถอนหลังคา</v>
      </c>
      <c r="F1286" s="1260" t="str">
        <f>Oth!F11</f>
        <v>ตร.ม.</v>
      </c>
      <c r="G1286" s="1260">
        <f>Oth!E11</f>
        <v>870</v>
      </c>
      <c r="H1286" s="1260">
        <f>Oth!I11</f>
        <v>0</v>
      </c>
      <c r="I1286" s="1260">
        <f>Oth!L11</f>
        <v>24401.100026699998</v>
      </c>
      <c r="J1286" s="1260">
        <f>Oth!M11</f>
        <v>24401.100026699998</v>
      </c>
    </row>
    <row r="1287" spans="1:10">
      <c r="A1287" t="s">
        <v>178</v>
      </c>
      <c r="B1287" t="s">
        <v>179</v>
      </c>
      <c r="C1287" t="s">
        <v>179</v>
      </c>
      <c r="D1287" t="s">
        <v>179</v>
      </c>
      <c r="E1287" t="str">
        <f>IF(LEN(Oth!C12)&gt;0, Oth!C12, Oth!B12)</f>
        <v>งานรื้อถอนประตู-หน้าต่างไม้</v>
      </c>
      <c r="F1287" s="1260" t="str">
        <f>Oth!F12</f>
        <v>ชุด</v>
      </c>
      <c r="G1287" s="1260">
        <f>Oth!E12</f>
        <v>30</v>
      </c>
      <c r="H1287" s="1260">
        <f>Oth!I12</f>
        <v>0</v>
      </c>
      <c r="I1287" s="1260">
        <f>Oth!L12</f>
        <v>2804.7241410000001</v>
      </c>
      <c r="J1287" s="1260">
        <f>Oth!M12</f>
        <v>2804.7241410000001</v>
      </c>
    </row>
    <row r="1288" spans="1:10">
      <c r="A1288" t="s">
        <v>178</v>
      </c>
      <c r="B1288" t="s">
        <v>180</v>
      </c>
      <c r="C1288" t="s">
        <v>180</v>
      </c>
      <c r="D1288" t="s">
        <v>180</v>
      </c>
      <c r="E1288" t="str">
        <f>IF(LEN(Oth!C13)&gt;0, Oth!C13, Oth!B13)</f>
        <v>ค่าจัดทำรั้วชั่วคราว</v>
      </c>
      <c r="F1288" s="1260" t="str">
        <f>Oth!F13</f>
        <v>ม.</v>
      </c>
      <c r="G1288" s="1260">
        <f>Oth!E13</f>
        <v>830</v>
      </c>
      <c r="H1288" s="1260">
        <f>Oth!I13</f>
        <v>884609.99407140003</v>
      </c>
      <c r="I1288" s="1260">
        <f>Oth!L13</f>
        <v>322029.07678914996</v>
      </c>
      <c r="J1288" s="1260">
        <f>Oth!M13</f>
        <v>1206639.07086055</v>
      </c>
    </row>
    <row r="1289" spans="1:10">
      <c r="A1289" t="s">
        <v>178</v>
      </c>
      <c r="B1289" t="s">
        <v>181</v>
      </c>
      <c r="C1289" t="s">
        <v>181</v>
      </c>
      <c r="D1289" t="s">
        <v>181</v>
      </c>
      <c r="E1289" t="str">
        <f>IF(LEN(Oth!C14)&gt;0, Oth!C14, Oth!B14)</f>
        <v>งานตาข่ายกันวัสดุตกหล่น กันไฟลาม กันฝุ่น Mesh Sheet รอบสถานที่ก่อสร้าง</v>
      </c>
      <c r="F1289" s="1260" t="str">
        <f>Oth!F14</f>
        <v>ตร.ม.</v>
      </c>
      <c r="G1289" s="1260">
        <f>Oth!E14</f>
        <v>11597</v>
      </c>
      <c r="H1289" s="1260">
        <f>Oth!I14</f>
        <v>401158.75897918298</v>
      </c>
      <c r="I1289" s="1260">
        <f>Oth!L14</f>
        <v>119263.41483164899</v>
      </c>
      <c r="J1289" s="1260">
        <f>Oth!M14</f>
        <v>520422.17381083197</v>
      </c>
    </row>
    <row r="1290" spans="1:10">
      <c r="A1290" t="s">
        <v>178</v>
      </c>
      <c r="B1290" t="s">
        <v>182</v>
      </c>
      <c r="C1290" t="s">
        <v>182</v>
      </c>
      <c r="D1290" t="s">
        <v>182</v>
      </c>
      <c r="E1290" t="str">
        <f>IF(LEN(Oth!C15)&gt;0, Oth!C15, Oth!B15)</f>
        <v>ค่าเจาะสำรวจคุณสมบัติทางวิศวกรรมของดิน</v>
      </c>
      <c r="F1290" s="1260" t="str">
        <f>Oth!F15</f>
        <v>จุด</v>
      </c>
      <c r="G1290" s="1260">
        <f>Oth!E15</f>
        <v>2</v>
      </c>
      <c r="H1290" s="1260">
        <f>Oth!I15</f>
        <v>0</v>
      </c>
      <c r="I1290" s="1260">
        <f>Oth!L15</f>
        <v>56094.482819999997</v>
      </c>
      <c r="J1290" s="1260">
        <f>Oth!M15</f>
        <v>56094.482819999997</v>
      </c>
    </row>
    <row r="1291" spans="1:10">
      <c r="A1291" t="s">
        <v>178</v>
      </c>
      <c r="B1291" t="s">
        <v>183</v>
      </c>
      <c r="C1291" t="s">
        <v>183</v>
      </c>
      <c r="D1291" t="s">
        <v>183</v>
      </c>
      <c r="E1291" t="str">
        <f>IF(LEN(Oth!C16)&gt;0, Oth!C16, Oth!B16)</f>
        <v xml:space="preserve">ค่าขนย้ายดิน พร้อมเกลี่ยหน้าดินให้เรียบร้อย ภายในระยะทางไม่น้อยกว่า 25 กิโลเมตร </v>
      </c>
      <c r="F1291" s="1260" t="str">
        <f>Oth!F16</f>
        <v>ลบ.ม.</v>
      </c>
      <c r="G1291" s="1260">
        <f>Oth!E16</f>
        <v>33265</v>
      </c>
      <c r="H1291" s="1260">
        <f>Oth!I16</f>
        <v>0</v>
      </c>
      <c r="I1291" s="1260">
        <f>Oth!L16</f>
        <v>1632113.1053077183</v>
      </c>
      <c r="J1291" s="1260">
        <f>Oth!M16</f>
        <v>1632113.1053077183</v>
      </c>
    </row>
    <row r="1292" spans="1:10">
      <c r="A1292" t="s">
        <v>178</v>
      </c>
      <c r="E1292" t="str">
        <f>IF(LEN(Oth!C17)&gt;0, Oth!C17, Oth!B17)</f>
        <v>ในพื้นที่กรุงเทพและปริมณฑล</v>
      </c>
      <c r="F1292" s="1260">
        <f>Oth!F17</f>
        <v>0</v>
      </c>
      <c r="G1292" s="1260">
        <f>Oth!E17</f>
        <v>0</v>
      </c>
      <c r="H1292" s="1260">
        <f>Oth!I17</f>
        <v>0</v>
      </c>
      <c r="I1292" s="1260">
        <f>Oth!L17</f>
        <v>0</v>
      </c>
      <c r="J1292" s="1260">
        <f>Oth!M17</f>
        <v>0</v>
      </c>
    </row>
    <row r="1293" spans="1:10">
      <c r="A1293" t="s">
        <v>178</v>
      </c>
      <c r="B1293" t="s">
        <v>184</v>
      </c>
      <c r="C1293" t="s">
        <v>184</v>
      </c>
      <c r="D1293" t="s">
        <v>184</v>
      </c>
      <c r="E1293" t="str">
        <f>IF(LEN(Oth!C18)&gt;0, Oth!C18, Oth!B18)</f>
        <v>ระบบค้ำยัน Platform และ King Post</v>
      </c>
      <c r="F1293" s="1260" t="str">
        <f>Oth!F18</f>
        <v>งาน</v>
      </c>
      <c r="G1293" s="1260">
        <f>Oth!E18</f>
        <v>1</v>
      </c>
      <c r="H1293" s="1260">
        <f>Oth!I18</f>
        <v>10751442.5405</v>
      </c>
      <c r="I1293" s="1260">
        <f>Oth!L18</f>
        <v>0</v>
      </c>
      <c r="J1293" s="1260">
        <f>Oth!M18</f>
        <v>10751442.5405</v>
      </c>
    </row>
    <row r="1294" spans="1:10">
      <c r="F1294" s="1260"/>
      <c r="G1294" s="1260"/>
      <c r="H1294" s="1260"/>
      <c r="I1294" s="1260"/>
      <c r="J1294" s="1260"/>
    </row>
    <row r="1295" spans="1:10">
      <c r="F1295" s="1260"/>
      <c r="G1295" s="1260"/>
      <c r="H1295" s="1260"/>
      <c r="I1295" s="1260"/>
      <c r="J1295" s="1267">
        <f>J1268+J661+SUM(J1271:J1293)</f>
        <v>135879459.92222598</v>
      </c>
    </row>
    <row r="1296" spans="1:10">
      <c r="F1296" s="1260"/>
      <c r="G1296" s="1260"/>
      <c r="H1296" s="1260"/>
      <c r="I1296" s="1260"/>
      <c r="J1296" s="1260"/>
    </row>
    <row r="1297" spans="6:10">
      <c r="F1297" s="1260"/>
      <c r="G1297" s="1260"/>
      <c r="H1297" s="1260"/>
      <c r="I1297" s="1260"/>
      <c r="J1297" s="1260"/>
    </row>
    <row r="1298" spans="6:10">
      <c r="J1298" s="12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P34"/>
  <sheetViews>
    <sheetView view="pageBreakPreview" zoomScaleNormal="115" zoomScaleSheetLayoutView="100" workbookViewId="0">
      <selection activeCell="G25" sqref="G25"/>
    </sheetView>
  </sheetViews>
  <sheetFormatPr defaultRowHeight="26.25"/>
  <cols>
    <col min="1" max="1" width="8.7109375" style="1" customWidth="1"/>
    <col min="2" max="2" width="45.7109375" style="1" customWidth="1"/>
    <col min="3" max="5" width="7.7109375" style="1" customWidth="1"/>
    <col min="6" max="6" width="9.28515625" style="1" customWidth="1"/>
    <col min="7" max="7" width="26.5703125" style="1" customWidth="1"/>
    <col min="8" max="8" width="12.5703125" style="1" customWidth="1"/>
    <col min="9" max="9" width="25.28515625" style="1" customWidth="1"/>
    <col min="10" max="10" width="20.7109375" style="1" customWidth="1"/>
    <col min="11" max="11" width="20.7109375" style="99" customWidth="1"/>
    <col min="12" max="12" width="17.140625" style="99" bestFit="1" customWidth="1"/>
    <col min="13" max="13" width="14.7109375" style="99" bestFit="1" customWidth="1"/>
    <col min="14" max="14" width="28.140625" style="99" bestFit="1" customWidth="1"/>
    <col min="15" max="16" width="9" style="99"/>
    <col min="17" max="251" width="9" style="1"/>
    <col min="252" max="252" width="5.85546875" style="1" customWidth="1"/>
    <col min="253" max="253" width="28.42578125" style="1" customWidth="1"/>
    <col min="254" max="254" width="14.7109375" style="1" customWidth="1"/>
    <col min="255" max="255" width="7.42578125" style="1" customWidth="1"/>
    <col min="256" max="256" width="14.42578125" style="1" customWidth="1"/>
    <col min="257" max="257" width="9.140625" style="1" customWidth="1"/>
    <col min="258" max="258" width="9" style="1"/>
    <col min="259" max="259" width="11.42578125" style="1" customWidth="1"/>
    <col min="260" max="260" width="13.42578125" style="1" customWidth="1"/>
    <col min="261" max="261" width="9" style="1"/>
    <col min="262" max="262" width="8.5703125" style="1" customWidth="1"/>
    <col min="263" max="507" width="9" style="1"/>
    <col min="508" max="508" width="5.85546875" style="1" customWidth="1"/>
    <col min="509" max="509" width="28.42578125" style="1" customWidth="1"/>
    <col min="510" max="510" width="14.7109375" style="1" customWidth="1"/>
    <col min="511" max="511" width="7.42578125" style="1" customWidth="1"/>
    <col min="512" max="512" width="14.42578125" style="1" customWidth="1"/>
    <col min="513" max="513" width="9.140625" style="1" customWidth="1"/>
    <col min="514" max="514" width="9" style="1"/>
    <col min="515" max="515" width="11.42578125" style="1" customWidth="1"/>
    <col min="516" max="516" width="13.42578125" style="1" customWidth="1"/>
    <col min="517" max="517" width="9" style="1"/>
    <col min="518" max="518" width="8.5703125" style="1" customWidth="1"/>
    <col min="519" max="763" width="9" style="1"/>
    <col min="764" max="764" width="5.85546875" style="1" customWidth="1"/>
    <col min="765" max="765" width="28.42578125" style="1" customWidth="1"/>
    <col min="766" max="766" width="14.7109375" style="1" customWidth="1"/>
    <col min="767" max="767" width="7.42578125" style="1" customWidth="1"/>
    <col min="768" max="768" width="14.42578125" style="1" customWidth="1"/>
    <col min="769" max="769" width="9.140625" style="1" customWidth="1"/>
    <col min="770" max="770" width="9" style="1"/>
    <col min="771" max="771" width="11.42578125" style="1" customWidth="1"/>
    <col min="772" max="772" width="13.42578125" style="1" customWidth="1"/>
    <col min="773" max="773" width="9" style="1"/>
    <col min="774" max="774" width="8.5703125" style="1" customWidth="1"/>
    <col min="775" max="1019" width="9" style="1"/>
    <col min="1020" max="1020" width="5.85546875" style="1" customWidth="1"/>
    <col min="1021" max="1021" width="28.42578125" style="1" customWidth="1"/>
    <col min="1022" max="1022" width="14.7109375" style="1" customWidth="1"/>
    <col min="1023" max="1023" width="7.42578125" style="1" customWidth="1"/>
    <col min="1024" max="1024" width="14.42578125" style="1" customWidth="1"/>
    <col min="1025" max="1025" width="9.140625" style="1" customWidth="1"/>
    <col min="1026" max="1026" width="9" style="1"/>
    <col min="1027" max="1027" width="11.42578125" style="1" customWidth="1"/>
    <col min="1028" max="1028" width="13.42578125" style="1" customWidth="1"/>
    <col min="1029" max="1029" width="9" style="1"/>
    <col min="1030" max="1030" width="8.5703125" style="1" customWidth="1"/>
    <col min="1031" max="1275" width="9" style="1"/>
    <col min="1276" max="1276" width="5.85546875" style="1" customWidth="1"/>
    <col min="1277" max="1277" width="28.42578125" style="1" customWidth="1"/>
    <col min="1278" max="1278" width="14.7109375" style="1" customWidth="1"/>
    <col min="1279" max="1279" width="7.42578125" style="1" customWidth="1"/>
    <col min="1280" max="1280" width="14.42578125" style="1" customWidth="1"/>
    <col min="1281" max="1281" width="9.140625" style="1" customWidth="1"/>
    <col min="1282" max="1282" width="9" style="1"/>
    <col min="1283" max="1283" width="11.42578125" style="1" customWidth="1"/>
    <col min="1284" max="1284" width="13.42578125" style="1" customWidth="1"/>
    <col min="1285" max="1285" width="9" style="1"/>
    <col min="1286" max="1286" width="8.5703125" style="1" customWidth="1"/>
    <col min="1287" max="1531" width="9" style="1"/>
    <col min="1532" max="1532" width="5.85546875" style="1" customWidth="1"/>
    <col min="1533" max="1533" width="28.42578125" style="1" customWidth="1"/>
    <col min="1534" max="1534" width="14.7109375" style="1" customWidth="1"/>
    <col min="1535" max="1535" width="7.42578125" style="1" customWidth="1"/>
    <col min="1536" max="1536" width="14.42578125" style="1" customWidth="1"/>
    <col min="1537" max="1537" width="9.140625" style="1" customWidth="1"/>
    <col min="1538" max="1538" width="9" style="1"/>
    <col min="1539" max="1539" width="11.42578125" style="1" customWidth="1"/>
    <col min="1540" max="1540" width="13.42578125" style="1" customWidth="1"/>
    <col min="1541" max="1541" width="9" style="1"/>
    <col min="1542" max="1542" width="8.5703125" style="1" customWidth="1"/>
    <col min="1543" max="1787" width="9" style="1"/>
    <col min="1788" max="1788" width="5.85546875" style="1" customWidth="1"/>
    <col min="1789" max="1789" width="28.42578125" style="1" customWidth="1"/>
    <col min="1790" max="1790" width="14.7109375" style="1" customWidth="1"/>
    <col min="1791" max="1791" width="7.42578125" style="1" customWidth="1"/>
    <col min="1792" max="1792" width="14.42578125" style="1" customWidth="1"/>
    <col min="1793" max="1793" width="9.140625" style="1" customWidth="1"/>
    <col min="1794" max="1794" width="9" style="1"/>
    <col min="1795" max="1795" width="11.42578125" style="1" customWidth="1"/>
    <col min="1796" max="1796" width="13.42578125" style="1" customWidth="1"/>
    <col min="1797" max="1797" width="9" style="1"/>
    <col min="1798" max="1798" width="8.5703125" style="1" customWidth="1"/>
    <col min="1799" max="2043" width="9" style="1"/>
    <col min="2044" max="2044" width="5.85546875" style="1" customWidth="1"/>
    <col min="2045" max="2045" width="28.42578125" style="1" customWidth="1"/>
    <col min="2046" max="2046" width="14.7109375" style="1" customWidth="1"/>
    <col min="2047" max="2047" width="7.42578125" style="1" customWidth="1"/>
    <col min="2048" max="2048" width="14.42578125" style="1" customWidth="1"/>
    <col min="2049" max="2049" width="9.140625" style="1" customWidth="1"/>
    <col min="2050" max="2050" width="9" style="1"/>
    <col min="2051" max="2051" width="11.42578125" style="1" customWidth="1"/>
    <col min="2052" max="2052" width="13.42578125" style="1" customWidth="1"/>
    <col min="2053" max="2053" width="9" style="1"/>
    <col min="2054" max="2054" width="8.5703125" style="1" customWidth="1"/>
    <col min="2055" max="2299" width="9" style="1"/>
    <col min="2300" max="2300" width="5.85546875" style="1" customWidth="1"/>
    <col min="2301" max="2301" width="28.42578125" style="1" customWidth="1"/>
    <col min="2302" max="2302" width="14.7109375" style="1" customWidth="1"/>
    <col min="2303" max="2303" width="7.42578125" style="1" customWidth="1"/>
    <col min="2304" max="2304" width="14.42578125" style="1" customWidth="1"/>
    <col min="2305" max="2305" width="9.140625" style="1" customWidth="1"/>
    <col min="2306" max="2306" width="9" style="1"/>
    <col min="2307" max="2307" width="11.42578125" style="1" customWidth="1"/>
    <col min="2308" max="2308" width="13.42578125" style="1" customWidth="1"/>
    <col min="2309" max="2309" width="9" style="1"/>
    <col min="2310" max="2310" width="8.5703125" style="1" customWidth="1"/>
    <col min="2311" max="2555" width="9" style="1"/>
    <col min="2556" max="2556" width="5.85546875" style="1" customWidth="1"/>
    <col min="2557" max="2557" width="28.42578125" style="1" customWidth="1"/>
    <col min="2558" max="2558" width="14.7109375" style="1" customWidth="1"/>
    <col min="2559" max="2559" width="7.42578125" style="1" customWidth="1"/>
    <col min="2560" max="2560" width="14.42578125" style="1" customWidth="1"/>
    <col min="2561" max="2561" width="9.140625" style="1" customWidth="1"/>
    <col min="2562" max="2562" width="9" style="1"/>
    <col min="2563" max="2563" width="11.42578125" style="1" customWidth="1"/>
    <col min="2564" max="2564" width="13.42578125" style="1" customWidth="1"/>
    <col min="2565" max="2565" width="9" style="1"/>
    <col min="2566" max="2566" width="8.5703125" style="1" customWidth="1"/>
    <col min="2567" max="2811" width="9" style="1"/>
    <col min="2812" max="2812" width="5.85546875" style="1" customWidth="1"/>
    <col min="2813" max="2813" width="28.42578125" style="1" customWidth="1"/>
    <col min="2814" max="2814" width="14.7109375" style="1" customWidth="1"/>
    <col min="2815" max="2815" width="7.42578125" style="1" customWidth="1"/>
    <col min="2816" max="2816" width="14.42578125" style="1" customWidth="1"/>
    <col min="2817" max="2817" width="9.140625" style="1" customWidth="1"/>
    <col min="2818" max="2818" width="9" style="1"/>
    <col min="2819" max="2819" width="11.42578125" style="1" customWidth="1"/>
    <col min="2820" max="2820" width="13.42578125" style="1" customWidth="1"/>
    <col min="2821" max="2821" width="9" style="1"/>
    <col min="2822" max="2822" width="8.5703125" style="1" customWidth="1"/>
    <col min="2823" max="3067" width="9" style="1"/>
    <col min="3068" max="3068" width="5.85546875" style="1" customWidth="1"/>
    <col min="3069" max="3069" width="28.42578125" style="1" customWidth="1"/>
    <col min="3070" max="3070" width="14.7109375" style="1" customWidth="1"/>
    <col min="3071" max="3071" width="7.42578125" style="1" customWidth="1"/>
    <col min="3072" max="3072" width="14.42578125" style="1" customWidth="1"/>
    <col min="3073" max="3073" width="9.140625" style="1" customWidth="1"/>
    <col min="3074" max="3074" width="9" style="1"/>
    <col min="3075" max="3075" width="11.42578125" style="1" customWidth="1"/>
    <col min="3076" max="3076" width="13.42578125" style="1" customWidth="1"/>
    <col min="3077" max="3077" width="9" style="1"/>
    <col min="3078" max="3078" width="8.5703125" style="1" customWidth="1"/>
    <col min="3079" max="3323" width="9" style="1"/>
    <col min="3324" max="3324" width="5.85546875" style="1" customWidth="1"/>
    <col min="3325" max="3325" width="28.42578125" style="1" customWidth="1"/>
    <col min="3326" max="3326" width="14.7109375" style="1" customWidth="1"/>
    <col min="3327" max="3327" width="7.42578125" style="1" customWidth="1"/>
    <col min="3328" max="3328" width="14.42578125" style="1" customWidth="1"/>
    <col min="3329" max="3329" width="9.140625" style="1" customWidth="1"/>
    <col min="3330" max="3330" width="9" style="1"/>
    <col min="3331" max="3331" width="11.42578125" style="1" customWidth="1"/>
    <col min="3332" max="3332" width="13.42578125" style="1" customWidth="1"/>
    <col min="3333" max="3333" width="9" style="1"/>
    <col min="3334" max="3334" width="8.5703125" style="1" customWidth="1"/>
    <col min="3335" max="3579" width="9" style="1"/>
    <col min="3580" max="3580" width="5.85546875" style="1" customWidth="1"/>
    <col min="3581" max="3581" width="28.42578125" style="1" customWidth="1"/>
    <col min="3582" max="3582" width="14.7109375" style="1" customWidth="1"/>
    <col min="3583" max="3583" width="7.42578125" style="1" customWidth="1"/>
    <col min="3584" max="3584" width="14.42578125" style="1" customWidth="1"/>
    <col min="3585" max="3585" width="9.140625" style="1" customWidth="1"/>
    <col min="3586" max="3586" width="9" style="1"/>
    <col min="3587" max="3587" width="11.42578125" style="1" customWidth="1"/>
    <col min="3588" max="3588" width="13.42578125" style="1" customWidth="1"/>
    <col min="3589" max="3589" width="9" style="1"/>
    <col min="3590" max="3590" width="8.5703125" style="1" customWidth="1"/>
    <col min="3591" max="3835" width="9" style="1"/>
    <col min="3836" max="3836" width="5.85546875" style="1" customWidth="1"/>
    <col min="3837" max="3837" width="28.42578125" style="1" customWidth="1"/>
    <col min="3838" max="3838" width="14.7109375" style="1" customWidth="1"/>
    <col min="3839" max="3839" width="7.42578125" style="1" customWidth="1"/>
    <col min="3840" max="3840" width="14.42578125" style="1" customWidth="1"/>
    <col min="3841" max="3841" width="9.140625" style="1" customWidth="1"/>
    <col min="3842" max="3842" width="9" style="1"/>
    <col min="3843" max="3843" width="11.42578125" style="1" customWidth="1"/>
    <col min="3844" max="3844" width="13.42578125" style="1" customWidth="1"/>
    <col min="3845" max="3845" width="9" style="1"/>
    <col min="3846" max="3846" width="8.5703125" style="1" customWidth="1"/>
    <col min="3847" max="4091" width="9" style="1"/>
    <col min="4092" max="4092" width="5.85546875" style="1" customWidth="1"/>
    <col min="4093" max="4093" width="28.42578125" style="1" customWidth="1"/>
    <col min="4094" max="4094" width="14.7109375" style="1" customWidth="1"/>
    <col min="4095" max="4095" width="7.42578125" style="1" customWidth="1"/>
    <col min="4096" max="4096" width="14.42578125" style="1" customWidth="1"/>
    <col min="4097" max="4097" width="9.140625" style="1" customWidth="1"/>
    <col min="4098" max="4098" width="9" style="1"/>
    <col min="4099" max="4099" width="11.42578125" style="1" customWidth="1"/>
    <col min="4100" max="4100" width="13.42578125" style="1" customWidth="1"/>
    <col min="4101" max="4101" width="9" style="1"/>
    <col min="4102" max="4102" width="8.5703125" style="1" customWidth="1"/>
    <col min="4103" max="4347" width="9" style="1"/>
    <col min="4348" max="4348" width="5.85546875" style="1" customWidth="1"/>
    <col min="4349" max="4349" width="28.42578125" style="1" customWidth="1"/>
    <col min="4350" max="4350" width="14.7109375" style="1" customWidth="1"/>
    <col min="4351" max="4351" width="7.42578125" style="1" customWidth="1"/>
    <col min="4352" max="4352" width="14.42578125" style="1" customWidth="1"/>
    <col min="4353" max="4353" width="9.140625" style="1" customWidth="1"/>
    <col min="4354" max="4354" width="9" style="1"/>
    <col min="4355" max="4355" width="11.42578125" style="1" customWidth="1"/>
    <col min="4356" max="4356" width="13.42578125" style="1" customWidth="1"/>
    <col min="4357" max="4357" width="9" style="1"/>
    <col min="4358" max="4358" width="8.5703125" style="1" customWidth="1"/>
    <col min="4359" max="4603" width="9" style="1"/>
    <col min="4604" max="4604" width="5.85546875" style="1" customWidth="1"/>
    <col min="4605" max="4605" width="28.42578125" style="1" customWidth="1"/>
    <col min="4606" max="4606" width="14.7109375" style="1" customWidth="1"/>
    <col min="4607" max="4607" width="7.42578125" style="1" customWidth="1"/>
    <col min="4608" max="4608" width="14.42578125" style="1" customWidth="1"/>
    <col min="4609" max="4609" width="9.140625" style="1" customWidth="1"/>
    <col min="4610" max="4610" width="9" style="1"/>
    <col min="4611" max="4611" width="11.42578125" style="1" customWidth="1"/>
    <col min="4612" max="4612" width="13.42578125" style="1" customWidth="1"/>
    <col min="4613" max="4613" width="9" style="1"/>
    <col min="4614" max="4614" width="8.5703125" style="1" customWidth="1"/>
    <col min="4615" max="4859" width="9" style="1"/>
    <col min="4860" max="4860" width="5.85546875" style="1" customWidth="1"/>
    <col min="4861" max="4861" width="28.42578125" style="1" customWidth="1"/>
    <col min="4862" max="4862" width="14.7109375" style="1" customWidth="1"/>
    <col min="4863" max="4863" width="7.42578125" style="1" customWidth="1"/>
    <col min="4864" max="4864" width="14.42578125" style="1" customWidth="1"/>
    <col min="4865" max="4865" width="9.140625" style="1" customWidth="1"/>
    <col min="4866" max="4866" width="9" style="1"/>
    <col min="4867" max="4867" width="11.42578125" style="1" customWidth="1"/>
    <col min="4868" max="4868" width="13.42578125" style="1" customWidth="1"/>
    <col min="4869" max="4869" width="9" style="1"/>
    <col min="4870" max="4870" width="8.5703125" style="1" customWidth="1"/>
    <col min="4871" max="5115" width="9" style="1"/>
    <col min="5116" max="5116" width="5.85546875" style="1" customWidth="1"/>
    <col min="5117" max="5117" width="28.42578125" style="1" customWidth="1"/>
    <col min="5118" max="5118" width="14.7109375" style="1" customWidth="1"/>
    <col min="5119" max="5119" width="7.42578125" style="1" customWidth="1"/>
    <col min="5120" max="5120" width="14.42578125" style="1" customWidth="1"/>
    <col min="5121" max="5121" width="9.140625" style="1" customWidth="1"/>
    <col min="5122" max="5122" width="9" style="1"/>
    <col min="5123" max="5123" width="11.42578125" style="1" customWidth="1"/>
    <col min="5124" max="5124" width="13.42578125" style="1" customWidth="1"/>
    <col min="5125" max="5125" width="9" style="1"/>
    <col min="5126" max="5126" width="8.5703125" style="1" customWidth="1"/>
    <col min="5127" max="5371" width="9" style="1"/>
    <col min="5372" max="5372" width="5.85546875" style="1" customWidth="1"/>
    <col min="5373" max="5373" width="28.42578125" style="1" customWidth="1"/>
    <col min="5374" max="5374" width="14.7109375" style="1" customWidth="1"/>
    <col min="5375" max="5375" width="7.42578125" style="1" customWidth="1"/>
    <col min="5376" max="5376" width="14.42578125" style="1" customWidth="1"/>
    <col min="5377" max="5377" width="9.140625" style="1" customWidth="1"/>
    <col min="5378" max="5378" width="9" style="1"/>
    <col min="5379" max="5379" width="11.42578125" style="1" customWidth="1"/>
    <col min="5380" max="5380" width="13.42578125" style="1" customWidth="1"/>
    <col min="5381" max="5381" width="9" style="1"/>
    <col min="5382" max="5382" width="8.5703125" style="1" customWidth="1"/>
    <col min="5383" max="5627" width="9" style="1"/>
    <col min="5628" max="5628" width="5.85546875" style="1" customWidth="1"/>
    <col min="5629" max="5629" width="28.42578125" style="1" customWidth="1"/>
    <col min="5630" max="5630" width="14.7109375" style="1" customWidth="1"/>
    <col min="5631" max="5631" width="7.42578125" style="1" customWidth="1"/>
    <col min="5632" max="5632" width="14.42578125" style="1" customWidth="1"/>
    <col min="5633" max="5633" width="9.140625" style="1" customWidth="1"/>
    <col min="5634" max="5634" width="9" style="1"/>
    <col min="5635" max="5635" width="11.42578125" style="1" customWidth="1"/>
    <col min="5636" max="5636" width="13.42578125" style="1" customWidth="1"/>
    <col min="5637" max="5637" width="9" style="1"/>
    <col min="5638" max="5638" width="8.5703125" style="1" customWidth="1"/>
    <col min="5639" max="5883" width="9" style="1"/>
    <col min="5884" max="5884" width="5.85546875" style="1" customWidth="1"/>
    <col min="5885" max="5885" width="28.42578125" style="1" customWidth="1"/>
    <col min="5886" max="5886" width="14.7109375" style="1" customWidth="1"/>
    <col min="5887" max="5887" width="7.42578125" style="1" customWidth="1"/>
    <col min="5888" max="5888" width="14.42578125" style="1" customWidth="1"/>
    <col min="5889" max="5889" width="9.140625" style="1" customWidth="1"/>
    <col min="5890" max="5890" width="9" style="1"/>
    <col min="5891" max="5891" width="11.42578125" style="1" customWidth="1"/>
    <col min="5892" max="5892" width="13.42578125" style="1" customWidth="1"/>
    <col min="5893" max="5893" width="9" style="1"/>
    <col min="5894" max="5894" width="8.5703125" style="1" customWidth="1"/>
    <col min="5895" max="6139" width="9" style="1"/>
    <col min="6140" max="6140" width="5.85546875" style="1" customWidth="1"/>
    <col min="6141" max="6141" width="28.42578125" style="1" customWidth="1"/>
    <col min="6142" max="6142" width="14.7109375" style="1" customWidth="1"/>
    <col min="6143" max="6143" width="7.42578125" style="1" customWidth="1"/>
    <col min="6144" max="6144" width="14.42578125" style="1" customWidth="1"/>
    <col min="6145" max="6145" width="9.140625" style="1" customWidth="1"/>
    <col min="6146" max="6146" width="9" style="1"/>
    <col min="6147" max="6147" width="11.42578125" style="1" customWidth="1"/>
    <col min="6148" max="6148" width="13.42578125" style="1" customWidth="1"/>
    <col min="6149" max="6149" width="9" style="1"/>
    <col min="6150" max="6150" width="8.5703125" style="1" customWidth="1"/>
    <col min="6151" max="6395" width="9" style="1"/>
    <col min="6396" max="6396" width="5.85546875" style="1" customWidth="1"/>
    <col min="6397" max="6397" width="28.42578125" style="1" customWidth="1"/>
    <col min="6398" max="6398" width="14.7109375" style="1" customWidth="1"/>
    <col min="6399" max="6399" width="7.42578125" style="1" customWidth="1"/>
    <col min="6400" max="6400" width="14.42578125" style="1" customWidth="1"/>
    <col min="6401" max="6401" width="9.140625" style="1" customWidth="1"/>
    <col min="6402" max="6402" width="9" style="1"/>
    <col min="6403" max="6403" width="11.42578125" style="1" customWidth="1"/>
    <col min="6404" max="6404" width="13.42578125" style="1" customWidth="1"/>
    <col min="6405" max="6405" width="9" style="1"/>
    <col min="6406" max="6406" width="8.5703125" style="1" customWidth="1"/>
    <col min="6407" max="6651" width="9" style="1"/>
    <col min="6652" max="6652" width="5.85546875" style="1" customWidth="1"/>
    <col min="6653" max="6653" width="28.42578125" style="1" customWidth="1"/>
    <col min="6654" max="6654" width="14.7109375" style="1" customWidth="1"/>
    <col min="6655" max="6655" width="7.42578125" style="1" customWidth="1"/>
    <col min="6656" max="6656" width="14.42578125" style="1" customWidth="1"/>
    <col min="6657" max="6657" width="9.140625" style="1" customWidth="1"/>
    <col min="6658" max="6658" width="9" style="1"/>
    <col min="6659" max="6659" width="11.42578125" style="1" customWidth="1"/>
    <col min="6660" max="6660" width="13.42578125" style="1" customWidth="1"/>
    <col min="6661" max="6661" width="9" style="1"/>
    <col min="6662" max="6662" width="8.5703125" style="1" customWidth="1"/>
    <col min="6663" max="6907" width="9" style="1"/>
    <col min="6908" max="6908" width="5.85546875" style="1" customWidth="1"/>
    <col min="6909" max="6909" width="28.42578125" style="1" customWidth="1"/>
    <col min="6910" max="6910" width="14.7109375" style="1" customWidth="1"/>
    <col min="6911" max="6911" width="7.42578125" style="1" customWidth="1"/>
    <col min="6912" max="6912" width="14.42578125" style="1" customWidth="1"/>
    <col min="6913" max="6913" width="9.140625" style="1" customWidth="1"/>
    <col min="6914" max="6914" width="9" style="1"/>
    <col min="6915" max="6915" width="11.42578125" style="1" customWidth="1"/>
    <col min="6916" max="6916" width="13.42578125" style="1" customWidth="1"/>
    <col min="6917" max="6917" width="9" style="1"/>
    <col min="6918" max="6918" width="8.5703125" style="1" customWidth="1"/>
    <col min="6919" max="7163" width="9" style="1"/>
    <col min="7164" max="7164" width="5.85546875" style="1" customWidth="1"/>
    <col min="7165" max="7165" width="28.42578125" style="1" customWidth="1"/>
    <col min="7166" max="7166" width="14.7109375" style="1" customWidth="1"/>
    <col min="7167" max="7167" width="7.42578125" style="1" customWidth="1"/>
    <col min="7168" max="7168" width="14.42578125" style="1" customWidth="1"/>
    <col min="7169" max="7169" width="9.140625" style="1" customWidth="1"/>
    <col min="7170" max="7170" width="9" style="1"/>
    <col min="7171" max="7171" width="11.42578125" style="1" customWidth="1"/>
    <col min="7172" max="7172" width="13.42578125" style="1" customWidth="1"/>
    <col min="7173" max="7173" width="9" style="1"/>
    <col min="7174" max="7174" width="8.5703125" style="1" customWidth="1"/>
    <col min="7175" max="7419" width="9" style="1"/>
    <col min="7420" max="7420" width="5.85546875" style="1" customWidth="1"/>
    <col min="7421" max="7421" width="28.42578125" style="1" customWidth="1"/>
    <col min="7422" max="7422" width="14.7109375" style="1" customWidth="1"/>
    <col min="7423" max="7423" width="7.42578125" style="1" customWidth="1"/>
    <col min="7424" max="7424" width="14.42578125" style="1" customWidth="1"/>
    <col min="7425" max="7425" width="9.140625" style="1" customWidth="1"/>
    <col min="7426" max="7426" width="9" style="1"/>
    <col min="7427" max="7427" width="11.42578125" style="1" customWidth="1"/>
    <col min="7428" max="7428" width="13.42578125" style="1" customWidth="1"/>
    <col min="7429" max="7429" width="9" style="1"/>
    <col min="7430" max="7430" width="8.5703125" style="1" customWidth="1"/>
    <col min="7431" max="7675" width="9" style="1"/>
    <col min="7676" max="7676" width="5.85546875" style="1" customWidth="1"/>
    <col min="7677" max="7677" width="28.42578125" style="1" customWidth="1"/>
    <col min="7678" max="7678" width="14.7109375" style="1" customWidth="1"/>
    <col min="7679" max="7679" width="7.42578125" style="1" customWidth="1"/>
    <col min="7680" max="7680" width="14.42578125" style="1" customWidth="1"/>
    <col min="7681" max="7681" width="9.140625" style="1" customWidth="1"/>
    <col min="7682" max="7682" width="9" style="1"/>
    <col min="7683" max="7683" width="11.42578125" style="1" customWidth="1"/>
    <col min="7684" max="7684" width="13.42578125" style="1" customWidth="1"/>
    <col min="7685" max="7685" width="9" style="1"/>
    <col min="7686" max="7686" width="8.5703125" style="1" customWidth="1"/>
    <col min="7687" max="7931" width="9" style="1"/>
    <col min="7932" max="7932" width="5.85546875" style="1" customWidth="1"/>
    <col min="7933" max="7933" width="28.42578125" style="1" customWidth="1"/>
    <col min="7934" max="7934" width="14.7109375" style="1" customWidth="1"/>
    <col min="7935" max="7935" width="7.42578125" style="1" customWidth="1"/>
    <col min="7936" max="7936" width="14.42578125" style="1" customWidth="1"/>
    <col min="7937" max="7937" width="9.140625" style="1" customWidth="1"/>
    <col min="7938" max="7938" width="9" style="1"/>
    <col min="7939" max="7939" width="11.42578125" style="1" customWidth="1"/>
    <col min="7940" max="7940" width="13.42578125" style="1" customWidth="1"/>
    <col min="7941" max="7941" width="9" style="1"/>
    <col min="7942" max="7942" width="8.5703125" style="1" customWidth="1"/>
    <col min="7943" max="8187" width="9" style="1"/>
    <col min="8188" max="8188" width="5.85546875" style="1" customWidth="1"/>
    <col min="8189" max="8189" width="28.42578125" style="1" customWidth="1"/>
    <col min="8190" max="8190" width="14.7109375" style="1" customWidth="1"/>
    <col min="8191" max="8191" width="7.42578125" style="1" customWidth="1"/>
    <col min="8192" max="8192" width="14.42578125" style="1" customWidth="1"/>
    <col min="8193" max="8193" width="9.140625" style="1" customWidth="1"/>
    <col min="8194" max="8194" width="9" style="1"/>
    <col min="8195" max="8195" width="11.42578125" style="1" customWidth="1"/>
    <col min="8196" max="8196" width="13.42578125" style="1" customWidth="1"/>
    <col min="8197" max="8197" width="9" style="1"/>
    <col min="8198" max="8198" width="8.5703125" style="1" customWidth="1"/>
    <col min="8199" max="8443" width="9" style="1"/>
    <col min="8444" max="8444" width="5.85546875" style="1" customWidth="1"/>
    <col min="8445" max="8445" width="28.42578125" style="1" customWidth="1"/>
    <col min="8446" max="8446" width="14.7109375" style="1" customWidth="1"/>
    <col min="8447" max="8447" width="7.42578125" style="1" customWidth="1"/>
    <col min="8448" max="8448" width="14.42578125" style="1" customWidth="1"/>
    <col min="8449" max="8449" width="9.140625" style="1" customWidth="1"/>
    <col min="8450" max="8450" width="9" style="1"/>
    <col min="8451" max="8451" width="11.42578125" style="1" customWidth="1"/>
    <col min="8452" max="8452" width="13.42578125" style="1" customWidth="1"/>
    <col min="8453" max="8453" width="9" style="1"/>
    <col min="8454" max="8454" width="8.5703125" style="1" customWidth="1"/>
    <col min="8455" max="8699" width="9" style="1"/>
    <col min="8700" max="8700" width="5.85546875" style="1" customWidth="1"/>
    <col min="8701" max="8701" width="28.42578125" style="1" customWidth="1"/>
    <col min="8702" max="8702" width="14.7109375" style="1" customWidth="1"/>
    <col min="8703" max="8703" width="7.42578125" style="1" customWidth="1"/>
    <col min="8704" max="8704" width="14.42578125" style="1" customWidth="1"/>
    <col min="8705" max="8705" width="9.140625" style="1" customWidth="1"/>
    <col min="8706" max="8706" width="9" style="1"/>
    <col min="8707" max="8707" width="11.42578125" style="1" customWidth="1"/>
    <col min="8708" max="8708" width="13.42578125" style="1" customWidth="1"/>
    <col min="8709" max="8709" width="9" style="1"/>
    <col min="8710" max="8710" width="8.5703125" style="1" customWidth="1"/>
    <col min="8711" max="8955" width="9" style="1"/>
    <col min="8956" max="8956" width="5.85546875" style="1" customWidth="1"/>
    <col min="8957" max="8957" width="28.42578125" style="1" customWidth="1"/>
    <col min="8958" max="8958" width="14.7109375" style="1" customWidth="1"/>
    <col min="8959" max="8959" width="7.42578125" style="1" customWidth="1"/>
    <col min="8960" max="8960" width="14.42578125" style="1" customWidth="1"/>
    <col min="8961" max="8961" width="9.140625" style="1" customWidth="1"/>
    <col min="8962" max="8962" width="9" style="1"/>
    <col min="8963" max="8963" width="11.42578125" style="1" customWidth="1"/>
    <col min="8964" max="8964" width="13.42578125" style="1" customWidth="1"/>
    <col min="8965" max="8965" width="9" style="1"/>
    <col min="8966" max="8966" width="8.5703125" style="1" customWidth="1"/>
    <col min="8967" max="9211" width="9" style="1"/>
    <col min="9212" max="9212" width="5.85546875" style="1" customWidth="1"/>
    <col min="9213" max="9213" width="28.42578125" style="1" customWidth="1"/>
    <col min="9214" max="9214" width="14.7109375" style="1" customWidth="1"/>
    <col min="9215" max="9215" width="7.42578125" style="1" customWidth="1"/>
    <col min="9216" max="9216" width="14.42578125" style="1" customWidth="1"/>
    <col min="9217" max="9217" width="9.140625" style="1" customWidth="1"/>
    <col min="9218" max="9218" width="9" style="1"/>
    <col min="9219" max="9219" width="11.42578125" style="1" customWidth="1"/>
    <col min="9220" max="9220" width="13.42578125" style="1" customWidth="1"/>
    <col min="9221" max="9221" width="9" style="1"/>
    <col min="9222" max="9222" width="8.5703125" style="1" customWidth="1"/>
    <col min="9223" max="9467" width="9" style="1"/>
    <col min="9468" max="9468" width="5.85546875" style="1" customWidth="1"/>
    <col min="9469" max="9469" width="28.42578125" style="1" customWidth="1"/>
    <col min="9470" max="9470" width="14.7109375" style="1" customWidth="1"/>
    <col min="9471" max="9471" width="7.42578125" style="1" customWidth="1"/>
    <col min="9472" max="9472" width="14.42578125" style="1" customWidth="1"/>
    <col min="9473" max="9473" width="9.140625" style="1" customWidth="1"/>
    <col min="9474" max="9474" width="9" style="1"/>
    <col min="9475" max="9475" width="11.42578125" style="1" customWidth="1"/>
    <col min="9476" max="9476" width="13.42578125" style="1" customWidth="1"/>
    <col min="9477" max="9477" width="9" style="1"/>
    <col min="9478" max="9478" width="8.5703125" style="1" customWidth="1"/>
    <col min="9479" max="9723" width="9" style="1"/>
    <col min="9724" max="9724" width="5.85546875" style="1" customWidth="1"/>
    <col min="9725" max="9725" width="28.42578125" style="1" customWidth="1"/>
    <col min="9726" max="9726" width="14.7109375" style="1" customWidth="1"/>
    <col min="9727" max="9727" width="7.42578125" style="1" customWidth="1"/>
    <col min="9728" max="9728" width="14.42578125" style="1" customWidth="1"/>
    <col min="9729" max="9729" width="9.140625" style="1" customWidth="1"/>
    <col min="9730" max="9730" width="9" style="1"/>
    <col min="9731" max="9731" width="11.42578125" style="1" customWidth="1"/>
    <col min="9732" max="9732" width="13.42578125" style="1" customWidth="1"/>
    <col min="9733" max="9733" width="9" style="1"/>
    <col min="9734" max="9734" width="8.5703125" style="1" customWidth="1"/>
    <col min="9735" max="9979" width="9" style="1"/>
    <col min="9980" max="9980" width="5.85546875" style="1" customWidth="1"/>
    <col min="9981" max="9981" width="28.42578125" style="1" customWidth="1"/>
    <col min="9982" max="9982" width="14.7109375" style="1" customWidth="1"/>
    <col min="9983" max="9983" width="7.42578125" style="1" customWidth="1"/>
    <col min="9984" max="9984" width="14.42578125" style="1" customWidth="1"/>
    <col min="9985" max="9985" width="9.140625" style="1" customWidth="1"/>
    <col min="9986" max="9986" width="9" style="1"/>
    <col min="9987" max="9987" width="11.42578125" style="1" customWidth="1"/>
    <col min="9988" max="9988" width="13.42578125" style="1" customWidth="1"/>
    <col min="9989" max="9989" width="9" style="1"/>
    <col min="9990" max="9990" width="8.5703125" style="1" customWidth="1"/>
    <col min="9991" max="10235" width="9" style="1"/>
    <col min="10236" max="10236" width="5.85546875" style="1" customWidth="1"/>
    <col min="10237" max="10237" width="28.42578125" style="1" customWidth="1"/>
    <col min="10238" max="10238" width="14.7109375" style="1" customWidth="1"/>
    <col min="10239" max="10239" width="7.42578125" style="1" customWidth="1"/>
    <col min="10240" max="10240" width="14.42578125" style="1" customWidth="1"/>
    <col min="10241" max="10241" width="9.140625" style="1" customWidth="1"/>
    <col min="10242" max="10242" width="9" style="1"/>
    <col min="10243" max="10243" width="11.42578125" style="1" customWidth="1"/>
    <col min="10244" max="10244" width="13.42578125" style="1" customWidth="1"/>
    <col min="10245" max="10245" width="9" style="1"/>
    <col min="10246" max="10246" width="8.5703125" style="1" customWidth="1"/>
    <col min="10247" max="10491" width="9" style="1"/>
    <col min="10492" max="10492" width="5.85546875" style="1" customWidth="1"/>
    <col min="10493" max="10493" width="28.42578125" style="1" customWidth="1"/>
    <col min="10494" max="10494" width="14.7109375" style="1" customWidth="1"/>
    <col min="10495" max="10495" width="7.42578125" style="1" customWidth="1"/>
    <col min="10496" max="10496" width="14.42578125" style="1" customWidth="1"/>
    <col min="10497" max="10497" width="9.140625" style="1" customWidth="1"/>
    <col min="10498" max="10498" width="9" style="1"/>
    <col min="10499" max="10499" width="11.42578125" style="1" customWidth="1"/>
    <col min="10500" max="10500" width="13.42578125" style="1" customWidth="1"/>
    <col min="10501" max="10501" width="9" style="1"/>
    <col min="10502" max="10502" width="8.5703125" style="1" customWidth="1"/>
    <col min="10503" max="10747" width="9" style="1"/>
    <col min="10748" max="10748" width="5.85546875" style="1" customWidth="1"/>
    <col min="10749" max="10749" width="28.42578125" style="1" customWidth="1"/>
    <col min="10750" max="10750" width="14.7109375" style="1" customWidth="1"/>
    <col min="10751" max="10751" width="7.42578125" style="1" customWidth="1"/>
    <col min="10752" max="10752" width="14.42578125" style="1" customWidth="1"/>
    <col min="10753" max="10753" width="9.140625" style="1" customWidth="1"/>
    <col min="10754" max="10754" width="9" style="1"/>
    <col min="10755" max="10755" width="11.42578125" style="1" customWidth="1"/>
    <col min="10756" max="10756" width="13.42578125" style="1" customWidth="1"/>
    <col min="10757" max="10757" width="9" style="1"/>
    <col min="10758" max="10758" width="8.5703125" style="1" customWidth="1"/>
    <col min="10759" max="11003" width="9" style="1"/>
    <col min="11004" max="11004" width="5.85546875" style="1" customWidth="1"/>
    <col min="11005" max="11005" width="28.42578125" style="1" customWidth="1"/>
    <col min="11006" max="11006" width="14.7109375" style="1" customWidth="1"/>
    <col min="11007" max="11007" width="7.42578125" style="1" customWidth="1"/>
    <col min="11008" max="11008" width="14.42578125" style="1" customWidth="1"/>
    <col min="11009" max="11009" width="9.140625" style="1" customWidth="1"/>
    <col min="11010" max="11010" width="9" style="1"/>
    <col min="11011" max="11011" width="11.42578125" style="1" customWidth="1"/>
    <col min="11012" max="11012" width="13.42578125" style="1" customWidth="1"/>
    <col min="11013" max="11013" width="9" style="1"/>
    <col min="11014" max="11014" width="8.5703125" style="1" customWidth="1"/>
    <col min="11015" max="11259" width="9" style="1"/>
    <col min="11260" max="11260" width="5.85546875" style="1" customWidth="1"/>
    <col min="11261" max="11261" width="28.42578125" style="1" customWidth="1"/>
    <col min="11262" max="11262" width="14.7109375" style="1" customWidth="1"/>
    <col min="11263" max="11263" width="7.42578125" style="1" customWidth="1"/>
    <col min="11264" max="11264" width="14.42578125" style="1" customWidth="1"/>
    <col min="11265" max="11265" width="9.140625" style="1" customWidth="1"/>
    <col min="11266" max="11266" width="9" style="1"/>
    <col min="11267" max="11267" width="11.42578125" style="1" customWidth="1"/>
    <col min="11268" max="11268" width="13.42578125" style="1" customWidth="1"/>
    <col min="11269" max="11269" width="9" style="1"/>
    <col min="11270" max="11270" width="8.5703125" style="1" customWidth="1"/>
    <col min="11271" max="11515" width="9" style="1"/>
    <col min="11516" max="11516" width="5.85546875" style="1" customWidth="1"/>
    <col min="11517" max="11517" width="28.42578125" style="1" customWidth="1"/>
    <col min="11518" max="11518" width="14.7109375" style="1" customWidth="1"/>
    <col min="11519" max="11519" width="7.42578125" style="1" customWidth="1"/>
    <col min="11520" max="11520" width="14.42578125" style="1" customWidth="1"/>
    <col min="11521" max="11521" width="9.140625" style="1" customWidth="1"/>
    <col min="11522" max="11522" width="9" style="1"/>
    <col min="11523" max="11523" width="11.42578125" style="1" customWidth="1"/>
    <col min="11524" max="11524" width="13.42578125" style="1" customWidth="1"/>
    <col min="11525" max="11525" width="9" style="1"/>
    <col min="11526" max="11526" width="8.5703125" style="1" customWidth="1"/>
    <col min="11527" max="11771" width="9" style="1"/>
    <col min="11772" max="11772" width="5.85546875" style="1" customWidth="1"/>
    <col min="11773" max="11773" width="28.42578125" style="1" customWidth="1"/>
    <col min="11774" max="11774" width="14.7109375" style="1" customWidth="1"/>
    <col min="11775" max="11775" width="7.42578125" style="1" customWidth="1"/>
    <col min="11776" max="11776" width="14.42578125" style="1" customWidth="1"/>
    <col min="11777" max="11777" width="9.140625" style="1" customWidth="1"/>
    <col min="11778" max="11778" width="9" style="1"/>
    <col min="11779" max="11779" width="11.42578125" style="1" customWidth="1"/>
    <col min="11780" max="11780" width="13.42578125" style="1" customWidth="1"/>
    <col min="11781" max="11781" width="9" style="1"/>
    <col min="11782" max="11782" width="8.5703125" style="1" customWidth="1"/>
    <col min="11783" max="12027" width="9" style="1"/>
    <col min="12028" max="12028" width="5.85546875" style="1" customWidth="1"/>
    <col min="12029" max="12029" width="28.42578125" style="1" customWidth="1"/>
    <col min="12030" max="12030" width="14.7109375" style="1" customWidth="1"/>
    <col min="12031" max="12031" width="7.42578125" style="1" customWidth="1"/>
    <col min="12032" max="12032" width="14.42578125" style="1" customWidth="1"/>
    <col min="12033" max="12033" width="9.140625" style="1" customWidth="1"/>
    <col min="12034" max="12034" width="9" style="1"/>
    <col min="12035" max="12035" width="11.42578125" style="1" customWidth="1"/>
    <col min="12036" max="12036" width="13.42578125" style="1" customWidth="1"/>
    <col min="12037" max="12037" width="9" style="1"/>
    <col min="12038" max="12038" width="8.5703125" style="1" customWidth="1"/>
    <col min="12039" max="12283" width="9" style="1"/>
    <col min="12284" max="12284" width="5.85546875" style="1" customWidth="1"/>
    <col min="12285" max="12285" width="28.42578125" style="1" customWidth="1"/>
    <col min="12286" max="12286" width="14.7109375" style="1" customWidth="1"/>
    <col min="12287" max="12287" width="7.42578125" style="1" customWidth="1"/>
    <col min="12288" max="12288" width="14.42578125" style="1" customWidth="1"/>
    <col min="12289" max="12289" width="9.140625" style="1" customWidth="1"/>
    <col min="12290" max="12290" width="9" style="1"/>
    <col min="12291" max="12291" width="11.42578125" style="1" customWidth="1"/>
    <col min="12292" max="12292" width="13.42578125" style="1" customWidth="1"/>
    <col min="12293" max="12293" width="9" style="1"/>
    <col min="12294" max="12294" width="8.5703125" style="1" customWidth="1"/>
    <col min="12295" max="12539" width="9" style="1"/>
    <col min="12540" max="12540" width="5.85546875" style="1" customWidth="1"/>
    <col min="12541" max="12541" width="28.42578125" style="1" customWidth="1"/>
    <col min="12542" max="12542" width="14.7109375" style="1" customWidth="1"/>
    <col min="12543" max="12543" width="7.42578125" style="1" customWidth="1"/>
    <col min="12544" max="12544" width="14.42578125" style="1" customWidth="1"/>
    <col min="12545" max="12545" width="9.140625" style="1" customWidth="1"/>
    <col min="12546" max="12546" width="9" style="1"/>
    <col min="12547" max="12547" width="11.42578125" style="1" customWidth="1"/>
    <col min="12548" max="12548" width="13.42578125" style="1" customWidth="1"/>
    <col min="12549" max="12549" width="9" style="1"/>
    <col min="12550" max="12550" width="8.5703125" style="1" customWidth="1"/>
    <col min="12551" max="12795" width="9" style="1"/>
    <col min="12796" max="12796" width="5.85546875" style="1" customWidth="1"/>
    <col min="12797" max="12797" width="28.42578125" style="1" customWidth="1"/>
    <col min="12798" max="12798" width="14.7109375" style="1" customWidth="1"/>
    <col min="12799" max="12799" width="7.42578125" style="1" customWidth="1"/>
    <col min="12800" max="12800" width="14.42578125" style="1" customWidth="1"/>
    <col min="12801" max="12801" width="9.140625" style="1" customWidth="1"/>
    <col min="12802" max="12802" width="9" style="1"/>
    <col min="12803" max="12803" width="11.42578125" style="1" customWidth="1"/>
    <col min="12804" max="12804" width="13.42578125" style="1" customWidth="1"/>
    <col min="12805" max="12805" width="9" style="1"/>
    <col min="12806" max="12806" width="8.5703125" style="1" customWidth="1"/>
    <col min="12807" max="13051" width="9" style="1"/>
    <col min="13052" max="13052" width="5.85546875" style="1" customWidth="1"/>
    <col min="13053" max="13053" width="28.42578125" style="1" customWidth="1"/>
    <col min="13054" max="13054" width="14.7109375" style="1" customWidth="1"/>
    <col min="13055" max="13055" width="7.42578125" style="1" customWidth="1"/>
    <col min="13056" max="13056" width="14.42578125" style="1" customWidth="1"/>
    <col min="13057" max="13057" width="9.140625" style="1" customWidth="1"/>
    <col min="13058" max="13058" width="9" style="1"/>
    <col min="13059" max="13059" width="11.42578125" style="1" customWidth="1"/>
    <col min="13060" max="13060" width="13.42578125" style="1" customWidth="1"/>
    <col min="13061" max="13061" width="9" style="1"/>
    <col min="13062" max="13062" width="8.5703125" style="1" customWidth="1"/>
    <col min="13063" max="13307" width="9" style="1"/>
    <col min="13308" max="13308" width="5.85546875" style="1" customWidth="1"/>
    <col min="13309" max="13309" width="28.42578125" style="1" customWidth="1"/>
    <col min="13310" max="13310" width="14.7109375" style="1" customWidth="1"/>
    <col min="13311" max="13311" width="7.42578125" style="1" customWidth="1"/>
    <col min="13312" max="13312" width="14.42578125" style="1" customWidth="1"/>
    <col min="13313" max="13313" width="9.140625" style="1" customWidth="1"/>
    <col min="13314" max="13314" width="9" style="1"/>
    <col min="13315" max="13315" width="11.42578125" style="1" customWidth="1"/>
    <col min="13316" max="13316" width="13.42578125" style="1" customWidth="1"/>
    <col min="13317" max="13317" width="9" style="1"/>
    <col min="13318" max="13318" width="8.5703125" style="1" customWidth="1"/>
    <col min="13319" max="13563" width="9" style="1"/>
    <col min="13564" max="13564" width="5.85546875" style="1" customWidth="1"/>
    <col min="13565" max="13565" width="28.42578125" style="1" customWidth="1"/>
    <col min="13566" max="13566" width="14.7109375" style="1" customWidth="1"/>
    <col min="13567" max="13567" width="7.42578125" style="1" customWidth="1"/>
    <col min="13568" max="13568" width="14.42578125" style="1" customWidth="1"/>
    <col min="13569" max="13569" width="9.140625" style="1" customWidth="1"/>
    <col min="13570" max="13570" width="9" style="1"/>
    <col min="13571" max="13571" width="11.42578125" style="1" customWidth="1"/>
    <col min="13572" max="13572" width="13.42578125" style="1" customWidth="1"/>
    <col min="13573" max="13573" width="9" style="1"/>
    <col min="13574" max="13574" width="8.5703125" style="1" customWidth="1"/>
    <col min="13575" max="13819" width="9" style="1"/>
    <col min="13820" max="13820" width="5.85546875" style="1" customWidth="1"/>
    <col min="13821" max="13821" width="28.42578125" style="1" customWidth="1"/>
    <col min="13822" max="13822" width="14.7109375" style="1" customWidth="1"/>
    <col min="13823" max="13823" width="7.42578125" style="1" customWidth="1"/>
    <col min="13824" max="13824" width="14.42578125" style="1" customWidth="1"/>
    <col min="13825" max="13825" width="9.140625" style="1" customWidth="1"/>
    <col min="13826" max="13826" width="9" style="1"/>
    <col min="13827" max="13827" width="11.42578125" style="1" customWidth="1"/>
    <col min="13828" max="13828" width="13.42578125" style="1" customWidth="1"/>
    <col min="13829" max="13829" width="9" style="1"/>
    <col min="13830" max="13830" width="8.5703125" style="1" customWidth="1"/>
    <col min="13831" max="14075" width="9" style="1"/>
    <col min="14076" max="14076" width="5.85546875" style="1" customWidth="1"/>
    <col min="14077" max="14077" width="28.42578125" style="1" customWidth="1"/>
    <col min="14078" max="14078" width="14.7109375" style="1" customWidth="1"/>
    <col min="14079" max="14079" width="7.42578125" style="1" customWidth="1"/>
    <col min="14080" max="14080" width="14.42578125" style="1" customWidth="1"/>
    <col min="14081" max="14081" width="9.140625" style="1" customWidth="1"/>
    <col min="14082" max="14082" width="9" style="1"/>
    <col min="14083" max="14083" width="11.42578125" style="1" customWidth="1"/>
    <col min="14084" max="14084" width="13.42578125" style="1" customWidth="1"/>
    <col min="14085" max="14085" width="9" style="1"/>
    <col min="14086" max="14086" width="8.5703125" style="1" customWidth="1"/>
    <col min="14087" max="14331" width="9" style="1"/>
    <col min="14332" max="14332" width="5.85546875" style="1" customWidth="1"/>
    <col min="14333" max="14333" width="28.42578125" style="1" customWidth="1"/>
    <col min="14334" max="14334" width="14.7109375" style="1" customWidth="1"/>
    <col min="14335" max="14335" width="7.42578125" style="1" customWidth="1"/>
    <col min="14336" max="14336" width="14.42578125" style="1" customWidth="1"/>
    <col min="14337" max="14337" width="9.140625" style="1" customWidth="1"/>
    <col min="14338" max="14338" width="9" style="1"/>
    <col min="14339" max="14339" width="11.42578125" style="1" customWidth="1"/>
    <col min="14340" max="14340" width="13.42578125" style="1" customWidth="1"/>
    <col min="14341" max="14341" width="9" style="1"/>
    <col min="14342" max="14342" width="8.5703125" style="1" customWidth="1"/>
    <col min="14343" max="14587" width="9" style="1"/>
    <col min="14588" max="14588" width="5.85546875" style="1" customWidth="1"/>
    <col min="14589" max="14589" width="28.42578125" style="1" customWidth="1"/>
    <col min="14590" max="14590" width="14.7109375" style="1" customWidth="1"/>
    <col min="14591" max="14591" width="7.42578125" style="1" customWidth="1"/>
    <col min="14592" max="14592" width="14.42578125" style="1" customWidth="1"/>
    <col min="14593" max="14593" width="9.140625" style="1" customWidth="1"/>
    <col min="14594" max="14594" width="9" style="1"/>
    <col min="14595" max="14595" width="11.42578125" style="1" customWidth="1"/>
    <col min="14596" max="14596" width="13.42578125" style="1" customWidth="1"/>
    <col min="14597" max="14597" width="9" style="1"/>
    <col min="14598" max="14598" width="8.5703125" style="1" customWidth="1"/>
    <col min="14599" max="14843" width="9" style="1"/>
    <col min="14844" max="14844" width="5.85546875" style="1" customWidth="1"/>
    <col min="14845" max="14845" width="28.42578125" style="1" customWidth="1"/>
    <col min="14846" max="14846" width="14.7109375" style="1" customWidth="1"/>
    <col min="14847" max="14847" width="7.42578125" style="1" customWidth="1"/>
    <col min="14848" max="14848" width="14.42578125" style="1" customWidth="1"/>
    <col min="14849" max="14849" width="9.140625" style="1" customWidth="1"/>
    <col min="14850" max="14850" width="9" style="1"/>
    <col min="14851" max="14851" width="11.42578125" style="1" customWidth="1"/>
    <col min="14852" max="14852" width="13.42578125" style="1" customWidth="1"/>
    <col min="14853" max="14853" width="9" style="1"/>
    <col min="14854" max="14854" width="8.5703125" style="1" customWidth="1"/>
    <col min="14855" max="15099" width="9" style="1"/>
    <col min="15100" max="15100" width="5.85546875" style="1" customWidth="1"/>
    <col min="15101" max="15101" width="28.42578125" style="1" customWidth="1"/>
    <col min="15102" max="15102" width="14.7109375" style="1" customWidth="1"/>
    <col min="15103" max="15103" width="7.42578125" style="1" customWidth="1"/>
    <col min="15104" max="15104" width="14.42578125" style="1" customWidth="1"/>
    <col min="15105" max="15105" width="9.140625" style="1" customWidth="1"/>
    <col min="15106" max="15106" width="9" style="1"/>
    <col min="15107" max="15107" width="11.42578125" style="1" customWidth="1"/>
    <col min="15108" max="15108" width="13.42578125" style="1" customWidth="1"/>
    <col min="15109" max="15109" width="9" style="1"/>
    <col min="15110" max="15110" width="8.5703125" style="1" customWidth="1"/>
    <col min="15111" max="15355" width="9" style="1"/>
    <col min="15356" max="15356" width="5.85546875" style="1" customWidth="1"/>
    <col min="15357" max="15357" width="28.42578125" style="1" customWidth="1"/>
    <col min="15358" max="15358" width="14.7109375" style="1" customWidth="1"/>
    <col min="15359" max="15359" width="7.42578125" style="1" customWidth="1"/>
    <col min="15360" max="15360" width="14.42578125" style="1" customWidth="1"/>
    <col min="15361" max="15361" width="9.140625" style="1" customWidth="1"/>
    <col min="15362" max="15362" width="9" style="1"/>
    <col min="15363" max="15363" width="11.42578125" style="1" customWidth="1"/>
    <col min="15364" max="15364" width="13.42578125" style="1" customWidth="1"/>
    <col min="15365" max="15365" width="9" style="1"/>
    <col min="15366" max="15366" width="8.5703125" style="1" customWidth="1"/>
    <col min="15367" max="15611" width="9" style="1"/>
    <col min="15612" max="15612" width="5.85546875" style="1" customWidth="1"/>
    <col min="15613" max="15613" width="28.42578125" style="1" customWidth="1"/>
    <col min="15614" max="15614" width="14.7109375" style="1" customWidth="1"/>
    <col min="15615" max="15615" width="7.42578125" style="1" customWidth="1"/>
    <col min="15616" max="15616" width="14.42578125" style="1" customWidth="1"/>
    <col min="15617" max="15617" width="9.140625" style="1" customWidth="1"/>
    <col min="15618" max="15618" width="9" style="1"/>
    <col min="15619" max="15619" width="11.42578125" style="1" customWidth="1"/>
    <col min="15620" max="15620" width="13.42578125" style="1" customWidth="1"/>
    <col min="15621" max="15621" width="9" style="1"/>
    <col min="15622" max="15622" width="8.5703125" style="1" customWidth="1"/>
    <col min="15623" max="15867" width="9" style="1"/>
    <col min="15868" max="15868" width="5.85546875" style="1" customWidth="1"/>
    <col min="15869" max="15869" width="28.42578125" style="1" customWidth="1"/>
    <col min="15870" max="15870" width="14.7109375" style="1" customWidth="1"/>
    <col min="15871" max="15871" width="7.42578125" style="1" customWidth="1"/>
    <col min="15872" max="15872" width="14.42578125" style="1" customWidth="1"/>
    <col min="15873" max="15873" width="9.140625" style="1" customWidth="1"/>
    <col min="15874" max="15874" width="9" style="1"/>
    <col min="15875" max="15875" width="11.42578125" style="1" customWidth="1"/>
    <col min="15876" max="15876" width="13.42578125" style="1" customWidth="1"/>
    <col min="15877" max="15877" width="9" style="1"/>
    <col min="15878" max="15878" width="8.5703125" style="1" customWidth="1"/>
    <col min="15879" max="16123" width="9" style="1"/>
    <col min="16124" max="16124" width="5.85546875" style="1" customWidth="1"/>
    <col min="16125" max="16125" width="28.42578125" style="1" customWidth="1"/>
    <col min="16126" max="16126" width="14.7109375" style="1" customWidth="1"/>
    <col min="16127" max="16127" width="7.42578125" style="1" customWidth="1"/>
    <col min="16128" max="16128" width="14.42578125" style="1" customWidth="1"/>
    <col min="16129" max="16129" width="9.140625" style="1" customWidth="1"/>
    <col min="16130" max="16130" width="9" style="1"/>
    <col min="16131" max="16131" width="11.42578125" style="1" customWidth="1"/>
    <col min="16132" max="16132" width="13.42578125" style="1" customWidth="1"/>
    <col min="16133" max="16133" width="9" style="1"/>
    <col min="16134" max="16134" width="8.5703125" style="1" customWidth="1"/>
    <col min="16135" max="16379" width="9" style="1"/>
    <col min="16380" max="16384" width="8" style="1" customWidth="1"/>
  </cols>
  <sheetData>
    <row r="1" spans="1:16" s="4" customFormat="1" ht="39.75" customHeight="1">
      <c r="A1" s="1190"/>
      <c r="B1" s="16" t="s">
        <v>33</v>
      </c>
      <c r="C1" s="16" t="s">
        <v>34</v>
      </c>
      <c r="D1" s="16" t="s">
        <v>35</v>
      </c>
      <c r="E1" s="16" t="s">
        <v>36</v>
      </c>
      <c r="F1" s="16" t="s">
        <v>37</v>
      </c>
      <c r="G1" s="17" t="s">
        <v>38</v>
      </c>
      <c r="H1" s="16" t="s">
        <v>185</v>
      </c>
      <c r="I1" s="17" t="s">
        <v>186</v>
      </c>
      <c r="J1" s="16"/>
      <c r="K1" s="1191"/>
      <c r="L1" s="102"/>
      <c r="M1" s="102"/>
      <c r="N1" s="102"/>
      <c r="O1" s="102"/>
      <c r="P1" s="102"/>
    </row>
    <row r="2" spans="1:16" ht="27" customHeight="1">
      <c r="A2" s="18"/>
      <c r="B2" s="76" t="s">
        <v>187</v>
      </c>
      <c r="C2" s="76"/>
      <c r="D2" s="76"/>
      <c r="E2" s="76"/>
      <c r="F2" s="76"/>
      <c r="G2" s="19"/>
      <c r="H2" s="19"/>
      <c r="I2" s="20"/>
      <c r="J2" s="20"/>
      <c r="K2" s="100"/>
    </row>
    <row r="3" spans="1:16" ht="27" customHeight="1">
      <c r="A3" s="21"/>
      <c r="B3" s="59" t="s">
        <v>22</v>
      </c>
      <c r="C3" s="1196"/>
      <c r="D3" s="1196"/>
      <c r="E3" s="1196"/>
      <c r="F3" s="1196"/>
      <c r="G3" s="22"/>
      <c r="H3" s="22"/>
      <c r="I3" s="23"/>
      <c r="J3" s="23"/>
      <c r="K3" s="21"/>
      <c r="L3" s="102"/>
    </row>
    <row r="4" spans="1:16" ht="27" customHeight="1">
      <c r="A4" s="21">
        <v>1</v>
      </c>
      <c r="B4" s="53" t="s">
        <v>188</v>
      </c>
      <c r="C4" s="53"/>
      <c r="D4" s="53"/>
      <c r="E4" s="53"/>
      <c r="F4" s="53"/>
      <c r="G4" s="90">
        <f>Arch!M13</f>
        <v>39847480.476549201</v>
      </c>
      <c r="H4" s="22">
        <v>1.1923999999999999</v>
      </c>
      <c r="I4" s="24">
        <f>SUM(G4*H4)</f>
        <v>47514135.720237263</v>
      </c>
      <c r="J4" s="23"/>
      <c r="K4" s="24"/>
    </row>
    <row r="5" spans="1:16" ht="27" customHeight="1">
      <c r="A5" s="21">
        <v>2</v>
      </c>
      <c r="B5" s="53" t="s">
        <v>189</v>
      </c>
      <c r="C5" s="53"/>
      <c r="D5" s="53"/>
      <c r="E5" s="53"/>
      <c r="F5" s="53"/>
      <c r="G5" s="90">
        <f>Built!M35</f>
        <v>5231343.420551789</v>
      </c>
      <c r="H5" s="22">
        <f>+H4</f>
        <v>1.1923999999999999</v>
      </c>
      <c r="I5" s="24">
        <f t="shared" ref="I5:I10" si="0">SUM(G5*H5)</f>
        <v>6237853.8946659528</v>
      </c>
      <c r="J5" s="23"/>
      <c r="K5" s="24"/>
    </row>
    <row r="6" spans="1:16" ht="27" customHeight="1">
      <c r="A6" s="21">
        <v>3</v>
      </c>
      <c r="B6" s="53" t="s">
        <v>190</v>
      </c>
      <c r="C6" s="53"/>
      <c r="D6" s="53"/>
      <c r="E6" s="53"/>
      <c r="F6" s="53"/>
      <c r="G6" s="90">
        <f>Str!M16</f>
        <v>9866360.6664569136</v>
      </c>
      <c r="H6" s="22">
        <f>+H4</f>
        <v>1.1923999999999999</v>
      </c>
      <c r="I6" s="24">
        <f t="shared" si="0"/>
        <v>11764648.458683223</v>
      </c>
      <c r="J6" s="23"/>
      <c r="K6" s="24"/>
    </row>
    <row r="7" spans="1:16" ht="27" customHeight="1">
      <c r="A7" s="21">
        <v>4</v>
      </c>
      <c r="B7" s="53" t="s">
        <v>191</v>
      </c>
      <c r="C7" s="53"/>
      <c r="D7" s="53"/>
      <c r="E7" s="53"/>
      <c r="F7" s="53"/>
      <c r="G7" s="90">
        <f>+EE!M28</f>
        <v>24337106.907801356</v>
      </c>
      <c r="H7" s="22">
        <f>+H4</f>
        <v>1.1923999999999999</v>
      </c>
      <c r="I7" s="24">
        <f t="shared" si="0"/>
        <v>29019566.276862334</v>
      </c>
      <c r="J7" s="23"/>
      <c r="K7" s="24"/>
    </row>
    <row r="8" spans="1:16" ht="27" customHeight="1">
      <c r="A8" s="21">
        <v>5</v>
      </c>
      <c r="B8" s="53" t="s">
        <v>192</v>
      </c>
      <c r="C8" s="53"/>
      <c r="D8" s="53"/>
      <c r="E8" s="53"/>
      <c r="F8" s="53"/>
      <c r="G8" s="90">
        <f>SAN_FP!M15</f>
        <v>3680529.0962921106</v>
      </c>
      <c r="H8" s="22">
        <f>+H4</f>
        <v>1.1923999999999999</v>
      </c>
      <c r="I8" s="24">
        <f t="shared" si="0"/>
        <v>4388662.8944187127</v>
      </c>
      <c r="J8" s="23"/>
      <c r="K8" s="24"/>
    </row>
    <row r="9" spans="1:16" ht="27" customHeight="1">
      <c r="A9" s="21">
        <v>6</v>
      </c>
      <c r="B9" s="53" t="s">
        <v>193</v>
      </c>
      <c r="C9" s="53"/>
      <c r="D9" s="53"/>
      <c r="E9" s="53"/>
      <c r="F9" s="53"/>
      <c r="G9" s="90">
        <f>AC!M18</f>
        <v>6479043.1503235037</v>
      </c>
      <c r="H9" s="22">
        <f>+H4</f>
        <v>1.1923999999999999</v>
      </c>
      <c r="I9" s="24">
        <f t="shared" si="0"/>
        <v>7725611.0524457451</v>
      </c>
      <c r="J9" s="23"/>
      <c r="K9" s="24"/>
    </row>
    <row r="10" spans="1:16" ht="27" customHeight="1">
      <c r="A10" s="21">
        <v>7</v>
      </c>
      <c r="B10" s="53" t="s">
        <v>194</v>
      </c>
      <c r="C10" s="53"/>
      <c r="D10" s="53"/>
      <c r="E10" s="53"/>
      <c r="F10" s="53"/>
      <c r="G10" s="90">
        <f>LD!M15</f>
        <v>877287.82893238461</v>
      </c>
      <c r="H10" s="22">
        <f>+H4</f>
        <v>1.1923999999999999</v>
      </c>
      <c r="I10" s="24">
        <f t="shared" si="0"/>
        <v>1046078.0072189753</v>
      </c>
      <c r="J10" s="23"/>
      <c r="K10" s="24"/>
    </row>
    <row r="11" spans="1:16" ht="27" customHeight="1">
      <c r="A11" s="48"/>
      <c r="B11" s="106"/>
      <c r="C11" s="1197"/>
      <c r="D11" s="1197"/>
      <c r="E11" s="1197"/>
      <c r="F11" s="1197"/>
      <c r="G11" s="1265">
        <f>SUM(G4:G10)</f>
        <v>90319151.546907276</v>
      </c>
      <c r="H11" s="107"/>
      <c r="I11" s="101"/>
      <c r="J11" s="49"/>
      <c r="K11" s="24"/>
    </row>
    <row r="12" spans="1:16" ht="27" customHeight="1">
      <c r="A12" s="29"/>
      <c r="B12" s="30"/>
      <c r="C12" s="1198"/>
      <c r="D12" s="1198"/>
      <c r="E12" s="1198"/>
      <c r="F12" s="1198"/>
      <c r="G12" s="31"/>
      <c r="H12" s="32"/>
      <c r="I12" s="33"/>
      <c r="J12" s="34"/>
      <c r="K12" s="24"/>
    </row>
    <row r="13" spans="1:16" ht="27" customHeight="1">
      <c r="A13" s="23"/>
      <c r="B13" s="35" t="s">
        <v>195</v>
      </c>
      <c r="C13" s="35"/>
      <c r="D13" s="35"/>
      <c r="E13" s="35"/>
      <c r="F13" s="35"/>
      <c r="G13" s="19"/>
      <c r="H13" s="22"/>
      <c r="I13" s="23"/>
      <c r="J13" s="23"/>
      <c r="K13" s="24"/>
    </row>
    <row r="14" spans="1:16" ht="27" customHeight="1">
      <c r="A14" s="26"/>
      <c r="B14" s="36" t="s">
        <v>196</v>
      </c>
      <c r="C14" s="36"/>
      <c r="D14" s="36"/>
      <c r="E14" s="36"/>
      <c r="F14" s="36"/>
      <c r="G14" s="113"/>
      <c r="H14" s="27"/>
      <c r="I14" s="26"/>
      <c r="J14" s="26"/>
      <c r="K14" s="24"/>
    </row>
    <row r="15" spans="1:16" ht="27" customHeight="1">
      <c r="A15" s="26"/>
      <c r="B15" s="36" t="s">
        <v>197</v>
      </c>
      <c r="C15" s="36"/>
      <c r="D15" s="36"/>
      <c r="E15" s="36"/>
      <c r="F15" s="36"/>
      <c r="G15" s="27"/>
      <c r="H15" s="27"/>
      <c r="I15" s="26"/>
      <c r="J15" s="26"/>
      <c r="K15" s="24"/>
    </row>
    <row r="16" spans="1:16" ht="27" customHeight="1">
      <c r="A16" s="26"/>
      <c r="B16" s="36" t="s">
        <v>198</v>
      </c>
      <c r="C16" s="36"/>
      <c r="D16" s="36"/>
      <c r="E16" s="36"/>
      <c r="F16" s="36"/>
      <c r="G16" s="27"/>
      <c r="H16" s="27"/>
      <c r="I16" s="26"/>
      <c r="J16" s="26"/>
      <c r="K16" s="24"/>
    </row>
    <row r="17" spans="1:11" ht="27" customHeight="1">
      <c r="A17" s="34"/>
      <c r="B17" s="37" t="s">
        <v>199</v>
      </c>
      <c r="C17" s="37"/>
      <c r="D17" s="37"/>
      <c r="E17" s="37"/>
      <c r="F17" s="37"/>
      <c r="G17" s="30"/>
      <c r="H17" s="30"/>
      <c r="I17" s="34"/>
      <c r="J17" s="34"/>
      <c r="K17" s="24"/>
    </row>
    <row r="18" spans="1:11" ht="27" customHeight="1">
      <c r="A18" s="14" t="s">
        <v>25</v>
      </c>
      <c r="B18" s="1200" t="s">
        <v>200</v>
      </c>
      <c r="C18" s="1201"/>
      <c r="D18" s="1201"/>
      <c r="E18" s="1201"/>
      <c r="F18" s="1201"/>
      <c r="G18" s="1201"/>
      <c r="H18" s="1202"/>
      <c r="I18" s="98">
        <f>SUM(I2:I17)</f>
        <v>107696556.3045322</v>
      </c>
      <c r="J18" s="70"/>
      <c r="K18" s="24">
        <v>116185153.41</v>
      </c>
    </row>
    <row r="19" spans="1:11" ht="27" customHeight="1">
      <c r="A19" s="92"/>
      <c r="B19" s="94" t="str">
        <f>"("&amp;BAHTTEXT(I18)&amp;")"</f>
        <v>(หนึ่งร้อยเจ็ดล้านหกแสนเก้าหมื่นหกพันห้าร้อยห้าสิบหกบาทสามสิบสตางค์)</v>
      </c>
      <c r="C19" s="1199"/>
      <c r="D19" s="1199"/>
      <c r="E19" s="1199"/>
      <c r="F19" s="1199"/>
      <c r="G19" s="85"/>
      <c r="H19" s="86"/>
      <c r="I19" s="97"/>
      <c r="J19" s="71"/>
      <c r="K19" s="24"/>
    </row>
    <row r="20" spans="1:11" ht="27" customHeight="1">
      <c r="B20" s="108" t="s">
        <v>201</v>
      </c>
      <c r="C20" s="108"/>
      <c r="D20" s="108"/>
      <c r="E20" s="108"/>
      <c r="F20" s="108"/>
      <c r="G20" s="104">
        <v>5825</v>
      </c>
      <c r="H20" s="1" t="s">
        <v>202</v>
      </c>
    </row>
    <row r="21" spans="1:11" ht="27" customHeight="1">
      <c r="B21" s="108" t="s">
        <v>27</v>
      </c>
      <c r="C21" s="108"/>
      <c r="D21" s="108"/>
      <c r="E21" s="108"/>
      <c r="F21" s="108"/>
      <c r="G21" s="104">
        <f>+I18/G20</f>
        <v>18488.679193911106</v>
      </c>
      <c r="H21" s="1" t="s">
        <v>28</v>
      </c>
    </row>
    <row r="22" spans="1:11" ht="19.5" customHeight="1">
      <c r="B22" s="2"/>
      <c r="C22" s="2"/>
      <c r="D22" s="2"/>
      <c r="E22" s="2"/>
      <c r="F22" s="2"/>
      <c r="G22" s="110">
        <f>+G21+'แบบ ปร.5(ข)'!C25</f>
        <v>24189.591478048089</v>
      </c>
    </row>
    <row r="23" spans="1:11" ht="19.5" customHeight="1">
      <c r="B23" s="2"/>
      <c r="C23" s="2"/>
      <c r="D23" s="2"/>
      <c r="E23" s="2"/>
      <c r="F23" s="2"/>
      <c r="G23" s="109"/>
    </row>
    <row r="24" spans="1:11" ht="19.5" customHeight="1">
      <c r="B24" s="2"/>
      <c r="C24" s="2"/>
      <c r="D24" s="2"/>
      <c r="E24" s="2"/>
      <c r="F24" s="2"/>
      <c r="G24" s="110"/>
    </row>
    <row r="25" spans="1:11" ht="19.5" customHeight="1">
      <c r="B25" s="2"/>
      <c r="C25" s="2"/>
      <c r="D25" s="2"/>
      <c r="E25" s="2"/>
      <c r="F25" s="2"/>
      <c r="G25" s="1269">
        <f>G11+'แบบ ปร.5(ข)'!C22+Oth!M21</f>
        <v>135879459.92222604</v>
      </c>
    </row>
    <row r="26" spans="1:11" ht="19.5" customHeight="1">
      <c r="B26" s="2"/>
      <c r="C26" s="2"/>
      <c r="D26" s="2"/>
      <c r="E26" s="2"/>
      <c r="F26" s="2"/>
      <c r="G26" s="112"/>
    </row>
    <row r="27" spans="1:11" ht="19.5" customHeight="1">
      <c r="B27" s="43"/>
      <c r="C27" s="43"/>
      <c r="D27" s="43"/>
      <c r="E27" s="43"/>
      <c r="F27" s="43"/>
      <c r="G27" s="109"/>
    </row>
    <row r="28" spans="1:11" ht="19.5" customHeight="1">
      <c r="B28" s="43"/>
      <c r="C28" s="43"/>
      <c r="D28" s="43"/>
      <c r="E28" s="43"/>
      <c r="F28" s="43"/>
      <c r="G28" s="44"/>
    </row>
    <row r="29" spans="1:11" ht="19.5" customHeight="1">
      <c r="B29" s="43"/>
      <c r="C29" s="43"/>
      <c r="D29" s="43"/>
      <c r="E29" s="43"/>
      <c r="F29" s="43"/>
      <c r="G29" s="44"/>
    </row>
    <row r="30" spans="1:11" ht="19.5" customHeight="1">
      <c r="B30" s="43"/>
      <c r="C30" s="43"/>
      <c r="D30" s="43"/>
      <c r="E30" s="43"/>
      <c r="F30" s="43"/>
      <c r="G30" s="44"/>
    </row>
    <row r="31" spans="1:11" ht="19.5" customHeight="1">
      <c r="B31" s="43"/>
      <c r="C31" s="43"/>
      <c r="D31" s="43"/>
      <c r="E31" s="43"/>
      <c r="F31" s="43"/>
      <c r="G31" s="44"/>
    </row>
    <row r="32" spans="1:11" ht="19.5" customHeight="1">
      <c r="B32" s="43"/>
      <c r="C32" s="43"/>
      <c r="D32" s="43"/>
      <c r="E32" s="43"/>
      <c r="F32" s="43"/>
      <c r="G32" s="44"/>
    </row>
    <row r="33" spans="2:7" ht="19.5" customHeight="1">
      <c r="B33" s="43"/>
      <c r="C33" s="43"/>
      <c r="D33" s="43"/>
      <c r="E33" s="43"/>
      <c r="F33" s="43"/>
      <c r="G33" s="44"/>
    </row>
    <row r="34" spans="2:7" ht="19.5" customHeight="1">
      <c r="B34" s="43"/>
      <c r="C34" s="43"/>
      <c r="D34" s="43"/>
      <c r="E34" s="43"/>
      <c r="F34" s="43"/>
      <c r="G34" s="44"/>
    </row>
  </sheetData>
  <phoneticPr fontId="10" type="noConversion"/>
  <printOptions horizontalCentered="1"/>
  <pageMargins left="0.59055118110236227" right="0.39370078740157483" top="0.59055118110236227" bottom="0.70866141732283472" header="0.39370078740157483" footer="0.35433070866141736"/>
  <pageSetup paperSize="9" scale="7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R676"/>
  <sheetViews>
    <sheetView showGridLines="0" view="pageBreakPreview" zoomScaleNormal="70" zoomScaleSheetLayoutView="100" workbookViewId="0">
      <pane xSplit="1" ySplit="1" topLeftCell="D74" activePane="bottomRight" state="frozen"/>
      <selection pane="bottomRight" activeCell="D88" sqref="D88"/>
      <selection pane="bottomLeft"/>
      <selection pane="topRight"/>
    </sheetView>
  </sheetViews>
  <sheetFormatPr defaultColWidth="10.42578125" defaultRowHeight="18.95" customHeight="1"/>
  <cols>
    <col min="1" max="1" width="6.7109375" style="1158" customWidth="1"/>
    <col min="2" max="2" width="6.42578125" style="1159" customWidth="1"/>
    <col min="3" max="3" width="16.85546875" style="1252" customWidth="1"/>
    <col min="4" max="4" width="33" style="1160" customWidth="1"/>
    <col min="5" max="5" width="11.42578125" style="1161" customWidth="1"/>
    <col min="6" max="6" width="9.5703125" style="1161" customWidth="1"/>
    <col min="7" max="7" width="15.7109375" style="1161" hidden="1" customWidth="1"/>
    <col min="8" max="9" width="15.7109375" style="1161" customWidth="1"/>
    <col min="10" max="10" width="15.7109375" style="1161" hidden="1" customWidth="1"/>
    <col min="11" max="13" width="15.7109375" style="1161" customWidth="1"/>
    <col min="14" max="14" width="15.7109375" style="1162" customWidth="1"/>
    <col min="15" max="16" width="14.140625" style="976" customWidth="1"/>
    <col min="17" max="17" width="43" style="293" bestFit="1" customWidth="1"/>
    <col min="18" max="18" width="19.5703125" style="293" bestFit="1" customWidth="1"/>
    <col min="19" max="16384" width="10.42578125" style="250"/>
  </cols>
  <sheetData>
    <row r="1" spans="1:16" ht="40.5" customHeight="1">
      <c r="A1" s="1189"/>
      <c r="B1" s="1194"/>
      <c r="C1" s="1213" t="s">
        <v>33</v>
      </c>
      <c r="D1" s="1195"/>
      <c r="E1" s="982" t="s">
        <v>35</v>
      </c>
      <c r="F1" s="982" t="s">
        <v>34</v>
      </c>
      <c r="G1" s="982" t="s">
        <v>203</v>
      </c>
      <c r="H1" s="982" t="s">
        <v>203</v>
      </c>
      <c r="I1" s="982" t="s">
        <v>36</v>
      </c>
      <c r="J1" s="982" t="s">
        <v>203</v>
      </c>
      <c r="K1" s="982" t="s">
        <v>203</v>
      </c>
      <c r="L1" s="982" t="s">
        <v>37</v>
      </c>
      <c r="M1" s="982" t="s">
        <v>38</v>
      </c>
      <c r="N1" s="982"/>
      <c r="O1" s="978"/>
      <c r="P1" s="978"/>
    </row>
    <row r="2" spans="1:16" ht="18.95" customHeight="1">
      <c r="A2" s="983"/>
      <c r="B2" s="984" t="s">
        <v>204</v>
      </c>
      <c r="C2" s="1214"/>
      <c r="D2" s="985"/>
      <c r="E2" s="986"/>
      <c r="F2" s="987"/>
      <c r="G2" s="986"/>
      <c r="H2" s="986"/>
      <c r="I2" s="986"/>
      <c r="J2" s="988"/>
      <c r="K2" s="988"/>
      <c r="L2" s="989"/>
      <c r="M2" s="987"/>
      <c r="N2" s="987"/>
      <c r="O2" s="973"/>
      <c r="P2" s="973"/>
    </row>
    <row r="3" spans="1:16" ht="18.95" customHeight="1">
      <c r="A3" s="990"/>
      <c r="B3" s="991" t="s">
        <v>22</v>
      </c>
      <c r="C3" s="1215"/>
      <c r="D3" s="992"/>
      <c r="E3" s="993"/>
      <c r="F3" s="994"/>
      <c r="G3" s="993"/>
      <c r="H3" s="993"/>
      <c r="I3" s="993"/>
      <c r="J3" s="995"/>
      <c r="K3" s="995"/>
      <c r="L3" s="995"/>
      <c r="M3" s="996"/>
      <c r="N3" s="994"/>
      <c r="O3" s="973"/>
      <c r="P3" s="973"/>
    </row>
    <row r="4" spans="1:16" ht="18.95" customHeight="1">
      <c r="A4" s="997">
        <v>1</v>
      </c>
      <c r="B4" s="998" t="s">
        <v>205</v>
      </c>
      <c r="C4" s="1215"/>
      <c r="D4" s="999"/>
      <c r="E4" s="993"/>
      <c r="F4" s="994"/>
      <c r="G4" s="993"/>
      <c r="H4" s="993"/>
      <c r="I4" s="993"/>
      <c r="J4" s="995"/>
      <c r="K4" s="995"/>
      <c r="L4" s="995"/>
      <c r="M4" s="996">
        <f>M72</f>
        <v>4066978.5449573817</v>
      </c>
      <c r="N4" s="994"/>
      <c r="O4" s="973">
        <f>P4*0.934908047</f>
        <v>4066978.5449573821</v>
      </c>
      <c r="P4" s="973">
        <v>4350137.49</v>
      </c>
    </row>
    <row r="5" spans="1:16" ht="18.95" customHeight="1">
      <c r="A5" s="997">
        <v>2</v>
      </c>
      <c r="B5" s="998" t="s">
        <v>206</v>
      </c>
      <c r="C5" s="1215"/>
      <c r="D5" s="999"/>
      <c r="E5" s="993"/>
      <c r="F5" s="994"/>
      <c r="G5" s="993"/>
      <c r="H5" s="993"/>
      <c r="I5" s="993"/>
      <c r="J5" s="995"/>
      <c r="K5" s="995"/>
      <c r="L5" s="995"/>
      <c r="M5" s="996">
        <f>M139</f>
        <v>7267154.3081127321</v>
      </c>
      <c r="N5" s="994"/>
      <c r="O5" s="973">
        <f t="shared" ref="O5:O11" si="0">P5*0.934908047</f>
        <v>7267154.308112734</v>
      </c>
      <c r="P5" s="973">
        <v>7773122</v>
      </c>
    </row>
    <row r="6" spans="1:16" ht="18.95" customHeight="1">
      <c r="A6" s="997">
        <v>3</v>
      </c>
      <c r="B6" s="998" t="s">
        <v>207</v>
      </c>
      <c r="C6" s="1215"/>
      <c r="D6" s="999"/>
      <c r="E6" s="993"/>
      <c r="F6" s="994"/>
      <c r="G6" s="993"/>
      <c r="H6" s="993"/>
      <c r="I6" s="993"/>
      <c r="J6" s="995"/>
      <c r="K6" s="995"/>
      <c r="L6" s="995"/>
      <c r="M6" s="996">
        <f>M187</f>
        <v>3631278.2151687942</v>
      </c>
      <c r="N6" s="994"/>
      <c r="O6" s="973">
        <f t="shared" si="0"/>
        <v>3631278.2151687937</v>
      </c>
      <c r="P6" s="973">
        <v>3884102</v>
      </c>
    </row>
    <row r="7" spans="1:16" ht="18.95" customHeight="1">
      <c r="A7" s="997">
        <v>4</v>
      </c>
      <c r="B7" s="998" t="s">
        <v>208</v>
      </c>
      <c r="C7" s="1215"/>
      <c r="D7" s="999"/>
      <c r="E7" s="993"/>
      <c r="F7" s="994"/>
      <c r="G7" s="993"/>
      <c r="H7" s="993"/>
      <c r="I7" s="993"/>
      <c r="J7" s="995"/>
      <c r="K7" s="995"/>
      <c r="L7" s="995"/>
      <c r="M7" s="996">
        <f>M351</f>
        <v>9393678.3885660432</v>
      </c>
      <c r="N7" s="994"/>
      <c r="O7" s="973">
        <f t="shared" si="0"/>
        <v>9393678.3885660414</v>
      </c>
      <c r="P7" s="973">
        <v>10047703</v>
      </c>
    </row>
    <row r="8" spans="1:16" ht="18.95" customHeight="1">
      <c r="A8" s="997">
        <v>5</v>
      </c>
      <c r="B8" s="998" t="s">
        <v>209</v>
      </c>
      <c r="C8" s="1215"/>
      <c r="D8" s="999"/>
      <c r="E8" s="993"/>
      <c r="F8" s="994"/>
      <c r="G8" s="993"/>
      <c r="H8" s="993"/>
      <c r="I8" s="993"/>
      <c r="J8" s="995"/>
      <c r="K8" s="995"/>
      <c r="L8" s="995"/>
      <c r="M8" s="996">
        <f>M438</f>
        <v>4972313.1225097356</v>
      </c>
      <c r="N8" s="994"/>
      <c r="O8" s="973">
        <f t="shared" si="0"/>
        <v>4972313.1225097347</v>
      </c>
      <c r="P8" s="973">
        <v>5318505</v>
      </c>
    </row>
    <row r="9" spans="1:16" ht="18.95" customHeight="1">
      <c r="A9" s="997">
        <v>6</v>
      </c>
      <c r="B9" s="998" t="s">
        <v>210</v>
      </c>
      <c r="C9" s="1215"/>
      <c r="D9" s="999"/>
      <c r="E9" s="993"/>
      <c r="F9" s="994"/>
      <c r="G9" s="995"/>
      <c r="H9" s="995"/>
      <c r="I9" s="995"/>
      <c r="J9" s="995"/>
      <c r="K9" s="995"/>
      <c r="L9" s="996"/>
      <c r="M9" s="996">
        <f>M473</f>
        <v>1728663.6770639399</v>
      </c>
      <c r="N9" s="994"/>
      <c r="O9" s="973">
        <f t="shared" si="0"/>
        <v>1728663.6770639399</v>
      </c>
      <c r="P9" s="973">
        <v>1849020</v>
      </c>
    </row>
    <row r="10" spans="1:16" ht="18.95" customHeight="1">
      <c r="A10" s="997">
        <v>7</v>
      </c>
      <c r="B10" s="998" t="s">
        <v>211</v>
      </c>
      <c r="C10" s="1215"/>
      <c r="D10" s="999"/>
      <c r="E10" s="993"/>
      <c r="F10" s="994"/>
      <c r="G10" s="993"/>
      <c r="H10" s="993"/>
      <c r="I10" s="993"/>
      <c r="J10" s="995"/>
      <c r="K10" s="995"/>
      <c r="L10" s="995"/>
      <c r="M10" s="996">
        <f>M549</f>
        <v>3535107.7026058016</v>
      </c>
      <c r="N10" s="994"/>
      <c r="O10" s="973">
        <f t="shared" si="0"/>
        <v>3535107.7022318388</v>
      </c>
      <c r="P10" s="973">
        <v>3781235.72</v>
      </c>
    </row>
    <row r="11" spans="1:16" ht="18.95" customHeight="1">
      <c r="A11" s="997">
        <v>8</v>
      </c>
      <c r="B11" s="998" t="s">
        <v>212</v>
      </c>
      <c r="C11" s="1215"/>
      <c r="D11" s="1000"/>
      <c r="E11" s="993"/>
      <c r="F11" s="994"/>
      <c r="G11" s="995"/>
      <c r="H11" s="995"/>
      <c r="I11" s="995"/>
      <c r="J11" s="995"/>
      <c r="K11" s="995"/>
      <c r="L11" s="996"/>
      <c r="M11" s="996">
        <f>M632</f>
        <v>5252306.5175647726</v>
      </c>
      <c r="N11" s="994"/>
      <c r="O11" s="973">
        <f t="shared" si="0"/>
        <v>5252306.5177736934</v>
      </c>
      <c r="P11" s="973">
        <v>5617992.6299999999</v>
      </c>
    </row>
    <row r="12" spans="1:16" ht="18.95" customHeight="1">
      <c r="A12" s="997"/>
      <c r="B12" s="998"/>
      <c r="C12" s="1215"/>
      <c r="D12" s="999"/>
      <c r="E12" s="993"/>
      <c r="F12" s="994"/>
      <c r="G12" s="995"/>
      <c r="H12" s="995"/>
      <c r="I12" s="995"/>
      <c r="J12" s="995"/>
      <c r="K12" s="995"/>
      <c r="L12" s="996"/>
      <c r="M12" s="994"/>
      <c r="N12" s="994"/>
      <c r="O12" s="973">
        <f t="shared" ref="O12" si="1">P12*0.934899332</f>
        <v>0</v>
      </c>
      <c r="P12" s="973"/>
    </row>
    <row r="13" spans="1:16" ht="18.95" customHeight="1">
      <c r="A13" s="990"/>
      <c r="B13" s="1293" t="s">
        <v>213</v>
      </c>
      <c r="C13" s="1294"/>
      <c r="D13" s="1295"/>
      <c r="E13" s="993"/>
      <c r="F13" s="994"/>
      <c r="G13" s="993"/>
      <c r="H13" s="993"/>
      <c r="I13" s="993"/>
      <c r="J13" s="993"/>
      <c r="K13" s="993"/>
      <c r="L13" s="995"/>
      <c r="M13" s="1002">
        <f>SUM(M4:M12)</f>
        <v>39847480.476549201</v>
      </c>
      <c r="N13" s="994"/>
      <c r="O13" s="973">
        <f>SUM(O4:O12)</f>
        <v>39847480.476384155</v>
      </c>
      <c r="P13" s="973">
        <f>SUM(P4:P12)</f>
        <v>42621817.840000004</v>
      </c>
    </row>
    <row r="14" spans="1:16" ht="18.95" customHeight="1">
      <c r="A14" s="990"/>
      <c r="B14" s="1003"/>
      <c r="C14" s="1216"/>
      <c r="D14" s="1001"/>
      <c r="E14" s="993"/>
      <c r="F14" s="994"/>
      <c r="G14" s="993"/>
      <c r="H14" s="993"/>
      <c r="I14" s="993"/>
      <c r="J14" s="993"/>
      <c r="K14" s="993"/>
      <c r="L14" s="995"/>
      <c r="M14" s="1002"/>
      <c r="N14" s="994"/>
      <c r="O14" s="973"/>
      <c r="P14" s="973"/>
    </row>
    <row r="15" spans="1:16" ht="18.95" customHeight="1">
      <c r="A15" s="990"/>
      <c r="B15" s="1003"/>
      <c r="C15" s="1216"/>
      <c r="D15" s="1001"/>
      <c r="E15" s="993"/>
      <c r="F15" s="994"/>
      <c r="G15" s="993"/>
      <c r="H15" s="993"/>
      <c r="I15" s="993"/>
      <c r="J15" s="993"/>
      <c r="K15" s="993"/>
      <c r="L15" s="995"/>
      <c r="M15" s="1002"/>
      <c r="N15" s="994"/>
      <c r="O15" s="973"/>
      <c r="P15" s="973"/>
    </row>
    <row r="16" spans="1:16" ht="18.95" customHeight="1">
      <c r="A16" s="990"/>
      <c r="B16" s="1004"/>
      <c r="C16" s="1217"/>
      <c r="D16" s="1005"/>
      <c r="E16" s="993"/>
      <c r="F16" s="994"/>
      <c r="G16" s="993"/>
      <c r="H16" s="993"/>
      <c r="I16" s="993"/>
      <c r="J16" s="993"/>
      <c r="K16" s="993"/>
      <c r="L16" s="995"/>
      <c r="M16" s="993"/>
      <c r="N16" s="994"/>
      <c r="O16" s="973"/>
      <c r="P16" s="973"/>
    </row>
    <row r="17" spans="1:16" ht="18.95" customHeight="1">
      <c r="A17" s="997"/>
      <c r="B17" s="998"/>
      <c r="C17" s="1215"/>
      <c r="D17" s="1005"/>
      <c r="E17" s="993"/>
      <c r="F17" s="994"/>
      <c r="G17" s="993"/>
      <c r="H17" s="993"/>
      <c r="I17" s="993"/>
      <c r="J17" s="993"/>
      <c r="K17" s="993"/>
      <c r="L17" s="995"/>
      <c r="M17" s="996"/>
      <c r="N17" s="994"/>
      <c r="O17" s="973"/>
      <c r="P17" s="973"/>
    </row>
    <row r="18" spans="1:16" ht="18.95" customHeight="1">
      <c r="A18" s="997"/>
      <c r="B18" s="998"/>
      <c r="C18" s="1215"/>
      <c r="D18" s="1005"/>
      <c r="E18" s="993"/>
      <c r="F18" s="994"/>
      <c r="G18" s="993"/>
      <c r="H18" s="993"/>
      <c r="I18" s="993"/>
      <c r="J18" s="993"/>
      <c r="K18" s="993"/>
      <c r="L18" s="995"/>
      <c r="M18" s="996"/>
      <c r="N18" s="994"/>
      <c r="O18" s="973"/>
      <c r="P18" s="973"/>
    </row>
    <row r="19" spans="1:16" ht="18.95" customHeight="1">
      <c r="A19" s="990"/>
      <c r="B19" s="1004"/>
      <c r="C19" s="1217"/>
      <c r="D19" s="1005"/>
      <c r="E19" s="993"/>
      <c r="F19" s="994"/>
      <c r="G19" s="993"/>
      <c r="H19" s="993"/>
      <c r="I19" s="993"/>
      <c r="J19" s="993"/>
      <c r="K19" s="993"/>
      <c r="L19" s="995"/>
      <c r="M19" s="993"/>
      <c r="N19" s="994"/>
      <c r="O19" s="973"/>
      <c r="P19" s="973"/>
    </row>
    <row r="20" spans="1:16" ht="18.95" customHeight="1">
      <c r="A20" s="990"/>
      <c r="B20" s="1004"/>
      <c r="C20" s="1217"/>
      <c r="D20" s="1005"/>
      <c r="E20" s="993"/>
      <c r="F20" s="994"/>
      <c r="G20" s="993"/>
      <c r="H20" s="993"/>
      <c r="I20" s="993"/>
      <c r="J20" s="993"/>
      <c r="K20" s="993"/>
      <c r="L20" s="995"/>
      <c r="M20" s="993"/>
      <c r="N20" s="994"/>
      <c r="O20" s="973"/>
      <c r="P20" s="973"/>
    </row>
    <row r="21" spans="1:16" ht="18.95" customHeight="1">
      <c r="A21" s="990"/>
      <c r="B21" s="998" t="s">
        <v>214</v>
      </c>
      <c r="C21" s="1217"/>
      <c r="D21" s="1005"/>
      <c r="E21" s="993"/>
      <c r="F21" s="994"/>
      <c r="G21" s="993"/>
      <c r="H21" s="993"/>
      <c r="I21" s="993"/>
      <c r="J21" s="993"/>
      <c r="K21" s="993"/>
      <c r="L21" s="995"/>
      <c r="M21" s="993"/>
      <c r="N21" s="994"/>
      <c r="O21" s="973"/>
      <c r="P21" s="973"/>
    </row>
    <row r="22" spans="1:16" ht="18.95" customHeight="1">
      <c r="A22" s="990"/>
      <c r="B22" s="998" t="s">
        <v>215</v>
      </c>
      <c r="C22" s="1217"/>
      <c r="D22" s="1005"/>
      <c r="E22" s="993"/>
      <c r="F22" s="994"/>
      <c r="G22" s="993"/>
      <c r="H22" s="993"/>
      <c r="I22" s="993"/>
      <c r="J22" s="993"/>
      <c r="K22" s="993"/>
      <c r="L22" s="995"/>
      <c r="M22" s="993"/>
      <c r="N22" s="994"/>
      <c r="O22" s="973"/>
      <c r="P22" s="973"/>
    </row>
    <row r="23" spans="1:16" ht="18.95" customHeight="1">
      <c r="A23" s="990"/>
      <c r="B23" s="1004"/>
      <c r="C23" s="1217"/>
      <c r="D23" s="1005"/>
      <c r="E23" s="993"/>
      <c r="F23" s="994"/>
      <c r="G23" s="993"/>
      <c r="H23" s="993"/>
      <c r="I23" s="993"/>
      <c r="J23" s="993"/>
      <c r="K23" s="993"/>
      <c r="L23" s="995"/>
      <c r="M23" s="993"/>
      <c r="N23" s="994"/>
      <c r="O23" s="973"/>
      <c r="P23" s="973"/>
    </row>
    <row r="24" spans="1:16" ht="18.95" customHeight="1">
      <c r="A24" s="990"/>
      <c r="B24" s="1004"/>
      <c r="C24" s="1217"/>
      <c r="D24" s="1005"/>
      <c r="E24" s="993"/>
      <c r="F24" s="994"/>
      <c r="G24" s="993"/>
      <c r="H24" s="993"/>
      <c r="I24" s="993"/>
      <c r="J24" s="993"/>
      <c r="K24" s="993"/>
      <c r="L24" s="995"/>
      <c r="M24" s="993"/>
      <c r="N24" s="994"/>
      <c r="O24" s="973"/>
      <c r="P24" s="973"/>
    </row>
    <row r="25" spans="1:16" ht="18.95" customHeight="1">
      <c r="A25" s="1006"/>
      <c r="B25" s="1007"/>
      <c r="C25" s="1218"/>
      <c r="D25" s="1008"/>
      <c r="E25" s="1009"/>
      <c r="F25" s="1010"/>
      <c r="G25" s="1009"/>
      <c r="H25" s="1009"/>
      <c r="I25" s="1009"/>
      <c r="J25" s="1009"/>
      <c r="K25" s="1009"/>
      <c r="L25" s="1011"/>
      <c r="M25" s="1009"/>
      <c r="N25" s="1010"/>
      <c r="O25" s="973"/>
      <c r="P25" s="973"/>
    </row>
    <row r="26" spans="1:16" ht="18.95" customHeight="1">
      <c r="A26" s="1012">
        <v>1</v>
      </c>
      <c r="B26" s="1013" t="s">
        <v>205</v>
      </c>
      <c r="C26" s="1219"/>
      <c r="D26" s="985"/>
      <c r="E26" s="986"/>
      <c r="F26" s="987"/>
      <c r="G26" s="986"/>
      <c r="H26" s="986"/>
      <c r="I26" s="986"/>
      <c r="J26" s="988"/>
      <c r="K26" s="988"/>
      <c r="L26" s="989"/>
      <c r="M26" s="987"/>
      <c r="N26" s="987"/>
      <c r="O26" s="973"/>
      <c r="P26" s="973"/>
    </row>
    <row r="27" spans="1:16" ht="18.95" customHeight="1">
      <c r="A27" s="1014"/>
      <c r="B27" s="998"/>
      <c r="C27" s="1215"/>
      <c r="D27" s="992"/>
      <c r="E27" s="993"/>
      <c r="F27" s="994"/>
      <c r="G27" s="993"/>
      <c r="H27" s="993"/>
      <c r="I27" s="993"/>
      <c r="J27" s="995"/>
      <c r="K27" s="995"/>
      <c r="L27" s="995"/>
      <c r="M27" s="996"/>
      <c r="N27" s="1015"/>
      <c r="O27" s="973"/>
      <c r="P27" s="973"/>
    </row>
    <row r="28" spans="1:16" ht="18.95" customHeight="1">
      <c r="A28" s="1014">
        <v>1.1000000000000001</v>
      </c>
      <c r="B28" s="1016" t="s">
        <v>216</v>
      </c>
      <c r="C28" s="1220" t="s">
        <v>217</v>
      </c>
      <c r="D28" s="1017"/>
      <c r="E28" s="993">
        <v>0</v>
      </c>
      <c r="F28" s="994" t="s">
        <v>218</v>
      </c>
      <c r="G28" s="996">
        <v>0</v>
      </c>
      <c r="H28" s="996"/>
      <c r="I28" s="996">
        <v>0</v>
      </c>
      <c r="J28" s="996">
        <v>0</v>
      </c>
      <c r="K28" s="996"/>
      <c r="L28" s="996">
        <v>0</v>
      </c>
      <c r="M28" s="996">
        <v>0</v>
      </c>
      <c r="N28" s="996"/>
    </row>
    <row r="29" spans="1:16" ht="18.95" customHeight="1">
      <c r="A29" s="1014">
        <v>1.2</v>
      </c>
      <c r="B29" s="1016" t="s">
        <v>219</v>
      </c>
      <c r="C29" s="1220" t="s">
        <v>220</v>
      </c>
      <c r="D29" s="1017"/>
      <c r="E29" s="993">
        <v>0</v>
      </c>
      <c r="F29" s="994" t="s">
        <v>218</v>
      </c>
      <c r="G29" s="996">
        <v>0</v>
      </c>
      <c r="H29" s="996"/>
      <c r="I29" s="996">
        <v>0</v>
      </c>
      <c r="J29" s="996">
        <v>0</v>
      </c>
      <c r="K29" s="996"/>
      <c r="L29" s="996">
        <v>0</v>
      </c>
      <c r="M29" s="996">
        <v>0</v>
      </c>
      <c r="N29" s="996"/>
    </row>
    <row r="30" spans="1:16" ht="18.95" customHeight="1">
      <c r="A30" s="1014">
        <v>1.3</v>
      </c>
      <c r="B30" s="1016" t="s">
        <v>221</v>
      </c>
      <c r="C30" s="1220" t="s">
        <v>222</v>
      </c>
      <c r="D30" s="1017"/>
      <c r="E30" s="993">
        <v>1090</v>
      </c>
      <c r="F30" s="994" t="s">
        <v>218</v>
      </c>
      <c r="G30" s="996">
        <v>113</v>
      </c>
      <c r="H30" s="996">
        <f>G30*O30</f>
        <v>105.644609311</v>
      </c>
      <c r="I30" s="996">
        <f>H30*E30</f>
        <v>115152.62414899</v>
      </c>
      <c r="J30" s="996">
        <v>87</v>
      </c>
      <c r="K30" s="996">
        <f>J30*O30</f>
        <v>81.337000089</v>
      </c>
      <c r="L30" s="996">
        <f>K30*E30</f>
        <v>88657.330097009995</v>
      </c>
      <c r="M30" s="996">
        <f>SUM(I30,L30)</f>
        <v>203809.95424599998</v>
      </c>
      <c r="N30" s="996"/>
      <c r="O30" s="981">
        <v>0.93490804699999996</v>
      </c>
    </row>
    <row r="31" spans="1:16" ht="18.95" customHeight="1">
      <c r="A31" s="1014"/>
      <c r="B31" s="1016"/>
      <c r="C31" s="1220" t="s">
        <v>223</v>
      </c>
      <c r="D31" s="1017"/>
      <c r="E31" s="993"/>
      <c r="F31" s="994"/>
      <c r="G31" s="993"/>
      <c r="H31" s="996"/>
      <c r="I31" s="996"/>
      <c r="J31" s="993"/>
      <c r="K31" s="996"/>
      <c r="L31" s="996"/>
      <c r="M31" s="996"/>
      <c r="N31" s="996"/>
      <c r="O31" s="981">
        <v>0.93490804699999996</v>
      </c>
    </row>
    <row r="32" spans="1:16" ht="18.95" customHeight="1">
      <c r="A32" s="1014">
        <v>1.4</v>
      </c>
      <c r="B32" s="1016" t="s">
        <v>224</v>
      </c>
      <c r="C32" s="1220" t="s">
        <v>225</v>
      </c>
      <c r="D32" s="1017"/>
      <c r="E32" s="993">
        <v>897</v>
      </c>
      <c r="F32" s="994" t="s">
        <v>218</v>
      </c>
      <c r="G32" s="993">
        <v>0</v>
      </c>
      <c r="H32" s="996">
        <f t="shared" ref="H32:H41" si="2">G32*O32</f>
        <v>0</v>
      </c>
      <c r="I32" s="996">
        <f t="shared" ref="I32:I70" si="3">H32*E32</f>
        <v>0</v>
      </c>
      <c r="J32" s="993">
        <v>64</v>
      </c>
      <c r="K32" s="996">
        <f t="shared" ref="K32:K52" si="4">J32*O32</f>
        <v>59.834115007999998</v>
      </c>
      <c r="L32" s="996">
        <f t="shared" ref="L32:L41" si="5">K32*E32</f>
        <v>53671.201162175996</v>
      </c>
      <c r="M32" s="996">
        <f>SUM(I32,L32)</f>
        <v>53671.201162175996</v>
      </c>
      <c r="N32" s="996"/>
      <c r="O32" s="981">
        <v>0.93490804699999996</v>
      </c>
    </row>
    <row r="33" spans="1:18" ht="18.95" customHeight="1">
      <c r="A33" s="1014">
        <v>1.5</v>
      </c>
      <c r="B33" s="1016" t="s">
        <v>226</v>
      </c>
      <c r="C33" s="1220" t="s">
        <v>227</v>
      </c>
      <c r="D33" s="1017"/>
      <c r="E33" s="993">
        <v>325</v>
      </c>
      <c r="F33" s="994" t="s">
        <v>218</v>
      </c>
      <c r="G33" s="993">
        <v>238</v>
      </c>
      <c r="H33" s="996">
        <f t="shared" si="2"/>
        <v>222.508115186</v>
      </c>
      <c r="I33" s="996">
        <f t="shared" si="3"/>
        <v>72315.13743545</v>
      </c>
      <c r="J33" s="993">
        <v>161</v>
      </c>
      <c r="K33" s="996">
        <f t="shared" si="4"/>
        <v>150.520195567</v>
      </c>
      <c r="L33" s="996">
        <f t="shared" si="5"/>
        <v>48919.063559275004</v>
      </c>
      <c r="M33" s="996">
        <f>SUM(I33,L33)</f>
        <v>121234.200994725</v>
      </c>
      <c r="N33" s="996"/>
      <c r="O33" s="981">
        <v>0.93490804699999996</v>
      </c>
      <c r="Q33" s="966"/>
    </row>
    <row r="34" spans="1:18" ht="18.95" customHeight="1">
      <c r="A34" s="1014"/>
      <c r="B34" s="1016"/>
      <c r="C34" s="1220" t="s">
        <v>228</v>
      </c>
      <c r="D34" s="1017"/>
      <c r="E34" s="993"/>
      <c r="F34" s="994"/>
      <c r="G34" s="993"/>
      <c r="H34" s="996"/>
      <c r="I34" s="996"/>
      <c r="J34" s="993"/>
      <c r="K34" s="996"/>
      <c r="L34" s="996"/>
      <c r="M34" s="996"/>
      <c r="N34" s="996"/>
      <c r="O34" s="981">
        <v>0.93490804699999996</v>
      </c>
    </row>
    <row r="35" spans="1:18" s="862" customFormat="1" ht="18.95" customHeight="1">
      <c r="A35" s="1014">
        <v>1.6</v>
      </c>
      <c r="B35" s="1016" t="s">
        <v>229</v>
      </c>
      <c r="C35" s="1215" t="s">
        <v>230</v>
      </c>
      <c r="D35" s="1000"/>
      <c r="E35" s="993">
        <v>70</v>
      </c>
      <c r="F35" s="994" t="s">
        <v>218</v>
      </c>
      <c r="G35" s="995">
        <v>308</v>
      </c>
      <c r="H35" s="996">
        <f t="shared" si="2"/>
        <v>287.95167847599998</v>
      </c>
      <c r="I35" s="996">
        <f t="shared" si="3"/>
        <v>20156.617493319998</v>
      </c>
      <c r="J35" s="995">
        <v>104</v>
      </c>
      <c r="K35" s="996">
        <f t="shared" si="4"/>
        <v>97.230436888</v>
      </c>
      <c r="L35" s="996">
        <f t="shared" si="5"/>
        <v>6806.1305821599999</v>
      </c>
      <c r="M35" s="996">
        <f>SUM(I35,L35)</f>
        <v>26962.748075479998</v>
      </c>
      <c r="N35" s="994"/>
      <c r="O35" s="981">
        <v>0.93490804699999996</v>
      </c>
      <c r="P35" s="979"/>
      <c r="Q35" s="862" t="s">
        <v>231</v>
      </c>
      <c r="R35" s="966"/>
    </row>
    <row r="36" spans="1:18" s="862" customFormat="1" ht="18.95" customHeight="1">
      <c r="A36" s="1014"/>
      <c r="B36" s="1016"/>
      <c r="C36" s="1220" t="s">
        <v>228</v>
      </c>
      <c r="D36" s="1017"/>
      <c r="E36" s="993"/>
      <c r="F36" s="994"/>
      <c r="G36" s="993"/>
      <c r="H36" s="996"/>
      <c r="I36" s="996"/>
      <c r="J36" s="993"/>
      <c r="K36" s="996"/>
      <c r="L36" s="996"/>
      <c r="M36" s="996"/>
      <c r="N36" s="994"/>
      <c r="O36" s="981">
        <v>0.93490804699999996</v>
      </c>
      <c r="P36" s="979"/>
      <c r="Q36" s="966"/>
      <c r="R36" s="966"/>
    </row>
    <row r="37" spans="1:18" s="862" customFormat="1" ht="18.95" customHeight="1">
      <c r="A37" s="1014">
        <v>1.7</v>
      </c>
      <c r="B37" s="1016" t="s">
        <v>232</v>
      </c>
      <c r="C37" s="1220" t="s">
        <v>233</v>
      </c>
      <c r="D37" s="1017"/>
      <c r="E37" s="993">
        <v>11</v>
      </c>
      <c r="F37" s="994" t="s">
        <v>218</v>
      </c>
      <c r="G37" s="995">
        <v>299</v>
      </c>
      <c r="H37" s="996">
        <f t="shared" si="2"/>
        <v>279.53750605300002</v>
      </c>
      <c r="I37" s="996">
        <f t="shared" si="3"/>
        <v>3074.9125665830002</v>
      </c>
      <c r="J37" s="995">
        <v>158</v>
      </c>
      <c r="K37" s="996">
        <f t="shared" si="4"/>
        <v>147.71547142599999</v>
      </c>
      <c r="L37" s="996">
        <f t="shared" si="5"/>
        <v>1624.870185686</v>
      </c>
      <c r="M37" s="996">
        <f>SUM(I37,L37)</f>
        <v>4699.7827522690004</v>
      </c>
      <c r="N37" s="994"/>
      <c r="O37" s="981">
        <v>0.93490804699999996</v>
      </c>
      <c r="P37" s="979"/>
      <c r="Q37" s="862" t="s">
        <v>231</v>
      </c>
      <c r="R37" s="966"/>
    </row>
    <row r="38" spans="1:18" s="862" customFormat="1" ht="18.95" customHeight="1">
      <c r="A38" s="1014">
        <v>1.8</v>
      </c>
      <c r="B38" s="1016" t="s">
        <v>234</v>
      </c>
      <c r="C38" s="1221" t="s">
        <v>235</v>
      </c>
      <c r="D38" s="1017"/>
      <c r="E38" s="993">
        <v>4</v>
      </c>
      <c r="F38" s="994" t="s">
        <v>218</v>
      </c>
      <c r="G38" s="995">
        <v>575</v>
      </c>
      <c r="H38" s="996">
        <f t="shared" si="2"/>
        <v>537.57212702499999</v>
      </c>
      <c r="I38" s="996">
        <f t="shared" si="3"/>
        <v>2150.2885080999999</v>
      </c>
      <c r="J38" s="995">
        <v>222</v>
      </c>
      <c r="K38" s="996">
        <f t="shared" si="4"/>
        <v>207.54958643399999</v>
      </c>
      <c r="L38" s="996">
        <f t="shared" si="5"/>
        <v>830.19834573599996</v>
      </c>
      <c r="M38" s="996">
        <f>SUM(I38,L38)</f>
        <v>2980.4868538359997</v>
      </c>
      <c r="N38" s="994"/>
      <c r="O38" s="981">
        <v>0.93490804699999996</v>
      </c>
      <c r="P38" s="979"/>
      <c r="Q38" s="862" t="s">
        <v>231</v>
      </c>
      <c r="R38" s="966"/>
    </row>
    <row r="39" spans="1:18" s="862" customFormat="1" ht="18.95" customHeight="1">
      <c r="A39" s="1018"/>
      <c r="B39" s="1016"/>
      <c r="C39" s="1220" t="s">
        <v>236</v>
      </c>
      <c r="D39" s="1017"/>
      <c r="E39" s="993"/>
      <c r="F39" s="994"/>
      <c r="G39" s="993"/>
      <c r="H39" s="996"/>
      <c r="I39" s="996"/>
      <c r="J39" s="993"/>
      <c r="K39" s="996"/>
      <c r="L39" s="996"/>
      <c r="M39" s="996"/>
      <c r="N39" s="994"/>
      <c r="O39" s="981">
        <v>0.93490804699999996</v>
      </c>
      <c r="P39" s="979"/>
      <c r="Q39" s="966"/>
      <c r="R39" s="966"/>
    </row>
    <row r="40" spans="1:18" s="862" customFormat="1" ht="18.95" customHeight="1">
      <c r="A40" s="990">
        <v>1.9</v>
      </c>
      <c r="B40" s="1016" t="s">
        <v>237</v>
      </c>
      <c r="C40" s="1220" t="s">
        <v>238</v>
      </c>
      <c r="D40" s="1000"/>
      <c r="E40" s="993">
        <v>95</v>
      </c>
      <c r="F40" s="994" t="s">
        <v>218</v>
      </c>
      <c r="G40" s="995">
        <v>377</v>
      </c>
      <c r="H40" s="996">
        <f t="shared" si="2"/>
        <v>352.460333719</v>
      </c>
      <c r="I40" s="996">
        <f t="shared" si="3"/>
        <v>33483.731703304999</v>
      </c>
      <c r="J40" s="995">
        <v>222</v>
      </c>
      <c r="K40" s="996">
        <f t="shared" si="4"/>
        <v>207.54958643399999</v>
      </c>
      <c r="L40" s="996">
        <f t="shared" si="5"/>
        <v>19717.21071123</v>
      </c>
      <c r="M40" s="996">
        <f>SUM(I40,L40)</f>
        <v>53200.942414534999</v>
      </c>
      <c r="N40" s="994"/>
      <c r="O40" s="981">
        <v>0.93490804699999996</v>
      </c>
      <c r="P40" s="979"/>
      <c r="Q40" s="862" t="s">
        <v>231</v>
      </c>
      <c r="R40" s="966"/>
    </row>
    <row r="41" spans="1:18" s="862" customFormat="1" ht="18.95" customHeight="1">
      <c r="A41" s="1018">
        <v>1.1000000000000001</v>
      </c>
      <c r="B41" s="1016" t="s">
        <v>239</v>
      </c>
      <c r="C41" s="1220" t="s">
        <v>240</v>
      </c>
      <c r="D41" s="1000"/>
      <c r="E41" s="993">
        <v>270</v>
      </c>
      <c r="F41" s="994" t="s">
        <v>218</v>
      </c>
      <c r="G41" s="1019">
        <v>1630</v>
      </c>
      <c r="H41" s="996">
        <f t="shared" si="2"/>
        <v>1523.9001166099999</v>
      </c>
      <c r="I41" s="996">
        <f t="shared" si="3"/>
        <v>411453.03148469998</v>
      </c>
      <c r="J41" s="1020">
        <v>207</v>
      </c>
      <c r="K41" s="996">
        <f t="shared" si="4"/>
        <v>193.52596572900001</v>
      </c>
      <c r="L41" s="996">
        <f t="shared" si="5"/>
        <v>52252.010746830005</v>
      </c>
      <c r="M41" s="996">
        <f>SUM(I41,L41)</f>
        <v>463705.04223153001</v>
      </c>
      <c r="N41" s="994"/>
      <c r="O41" s="981">
        <v>0.93490804699999996</v>
      </c>
      <c r="P41" s="979"/>
      <c r="Q41" s="862" t="s">
        <v>231</v>
      </c>
      <c r="R41" s="966"/>
    </row>
    <row r="42" spans="1:18" s="862" customFormat="1" ht="18.95" customHeight="1">
      <c r="A42" s="1021"/>
      <c r="B42" s="1016"/>
      <c r="C42" s="1220" t="s">
        <v>241</v>
      </c>
      <c r="D42" s="1000"/>
      <c r="E42" s="993"/>
      <c r="F42" s="994"/>
      <c r="G42" s="1022"/>
      <c r="H42" s="1022"/>
      <c r="I42" s="996"/>
      <c r="J42" s="1022"/>
      <c r="K42" s="996"/>
      <c r="L42" s="996"/>
      <c r="M42" s="996"/>
      <c r="N42" s="994"/>
      <c r="O42" s="981">
        <v>0.93490804699999996</v>
      </c>
      <c r="P42" s="979"/>
      <c r="Q42" s="966"/>
      <c r="R42" s="966"/>
    </row>
    <row r="43" spans="1:18" ht="18.95" customHeight="1">
      <c r="A43" s="1018">
        <v>1.1100000000000001</v>
      </c>
      <c r="B43" s="1016" t="s">
        <v>242</v>
      </c>
      <c r="C43" s="1220" t="s">
        <v>243</v>
      </c>
      <c r="D43" s="1005"/>
      <c r="E43" s="993"/>
      <c r="F43" s="994"/>
      <c r="G43" s="993"/>
      <c r="H43" s="993"/>
      <c r="I43" s="996"/>
      <c r="J43" s="993"/>
      <c r="K43" s="996"/>
      <c r="L43" s="996"/>
      <c r="M43" s="996"/>
      <c r="N43" s="994"/>
      <c r="O43" s="981">
        <v>0.93490804699999996</v>
      </c>
      <c r="P43" s="973"/>
    </row>
    <row r="44" spans="1:18" ht="18.95" customHeight="1">
      <c r="A44" s="990"/>
      <c r="B44" s="1016"/>
      <c r="C44" s="1220" t="s">
        <v>244</v>
      </c>
      <c r="D44" s="1005"/>
      <c r="E44" s="993"/>
      <c r="F44" s="994"/>
      <c r="G44" s="993"/>
      <c r="H44" s="993"/>
      <c r="I44" s="996"/>
      <c r="J44" s="993"/>
      <c r="K44" s="996"/>
      <c r="L44" s="996"/>
      <c r="M44" s="996"/>
      <c r="N44" s="994"/>
      <c r="O44" s="981">
        <v>0.93490804699999996</v>
      </c>
      <c r="P44" s="973"/>
    </row>
    <row r="45" spans="1:18" s="862" customFormat="1" ht="18.95" customHeight="1">
      <c r="A45" s="990"/>
      <c r="B45" s="1023" t="s">
        <v>245</v>
      </c>
      <c r="C45" s="1220" t="s">
        <v>246</v>
      </c>
      <c r="D45" s="1005"/>
      <c r="E45" s="993">
        <v>80</v>
      </c>
      <c r="F45" s="994" t="s">
        <v>218</v>
      </c>
      <c r="G45" s="993">
        <v>2110</v>
      </c>
      <c r="H45" s="996">
        <f>G45*O45</f>
        <v>1972.6559791699999</v>
      </c>
      <c r="I45" s="996">
        <f t="shared" si="3"/>
        <v>157812.47833359998</v>
      </c>
      <c r="J45" s="993">
        <v>231</v>
      </c>
      <c r="K45" s="996">
        <f t="shared" si="4"/>
        <v>215.96375885699999</v>
      </c>
      <c r="L45" s="996">
        <f>K45*E45</f>
        <v>17277.100708559999</v>
      </c>
      <c r="M45" s="996">
        <f>SUM(I45,L45)</f>
        <v>175089.57904215998</v>
      </c>
      <c r="N45" s="994"/>
      <c r="O45" s="981">
        <v>0.93490804699999996</v>
      </c>
      <c r="P45" s="979"/>
      <c r="Q45" s="862" t="s">
        <v>231</v>
      </c>
      <c r="R45" s="966"/>
    </row>
    <row r="46" spans="1:18" s="862" customFormat="1" ht="18.95" customHeight="1">
      <c r="A46" s="990"/>
      <c r="B46" s="1023" t="s">
        <v>245</v>
      </c>
      <c r="C46" s="1220" t="s">
        <v>247</v>
      </c>
      <c r="D46" s="1005"/>
      <c r="E46" s="993">
        <v>20</v>
      </c>
      <c r="F46" s="994" t="s">
        <v>218</v>
      </c>
      <c r="G46" s="993">
        <v>1780</v>
      </c>
      <c r="H46" s="996">
        <f t="shared" ref="H46:H109" si="6">G46*O46</f>
        <v>1664.13632366</v>
      </c>
      <c r="I46" s="996">
        <f t="shared" si="3"/>
        <v>33282.726473200004</v>
      </c>
      <c r="J46" s="993">
        <v>207</v>
      </c>
      <c r="K46" s="996">
        <f t="shared" si="4"/>
        <v>193.52596572900001</v>
      </c>
      <c r="L46" s="996">
        <f t="shared" ref="L46:L56" si="7">K46*E46</f>
        <v>3870.5193145800004</v>
      </c>
      <c r="M46" s="996">
        <f>SUM(I46,L46)</f>
        <v>37153.245787780004</v>
      </c>
      <c r="N46" s="994"/>
      <c r="O46" s="981">
        <v>0.93490804699999996</v>
      </c>
      <c r="P46" s="979"/>
      <c r="Q46" s="862" t="s">
        <v>231</v>
      </c>
      <c r="R46" s="966"/>
    </row>
    <row r="47" spans="1:18" ht="18.95" customHeight="1">
      <c r="A47" s="1018">
        <v>1.1200000000000001</v>
      </c>
      <c r="B47" s="1016" t="s">
        <v>248</v>
      </c>
      <c r="C47" s="1220" t="s">
        <v>249</v>
      </c>
      <c r="D47" s="1005"/>
      <c r="E47" s="993">
        <v>42.94</v>
      </c>
      <c r="F47" s="994" t="s">
        <v>218</v>
      </c>
      <c r="G47" s="993">
        <v>250</v>
      </c>
      <c r="H47" s="996">
        <f t="shared" si="6"/>
        <v>233.72701175</v>
      </c>
      <c r="I47" s="996">
        <f t="shared" si="3"/>
        <v>10036.237884545</v>
      </c>
      <c r="J47" s="995">
        <v>0</v>
      </c>
      <c r="K47" s="996">
        <f t="shared" si="4"/>
        <v>0</v>
      </c>
      <c r="L47" s="996">
        <f t="shared" si="7"/>
        <v>0</v>
      </c>
      <c r="M47" s="996">
        <f>SUM(I47,L47)</f>
        <v>10036.237884545</v>
      </c>
      <c r="N47" s="994"/>
      <c r="O47" s="981">
        <v>0.93490804699999996</v>
      </c>
      <c r="P47" s="973"/>
    </row>
    <row r="48" spans="1:18" ht="18.95" customHeight="1">
      <c r="A48" s="1018">
        <v>1.1299999999999999</v>
      </c>
      <c r="B48" s="1016" t="s">
        <v>250</v>
      </c>
      <c r="C48" s="1220" t="s">
        <v>251</v>
      </c>
      <c r="D48" s="1024"/>
      <c r="E48" s="993">
        <v>956.78</v>
      </c>
      <c r="F48" s="994" t="s">
        <v>218</v>
      </c>
      <c r="G48" s="995">
        <v>650</v>
      </c>
      <c r="H48" s="996">
        <f t="shared" si="6"/>
        <v>607.69023055000002</v>
      </c>
      <c r="I48" s="996">
        <f t="shared" si="3"/>
        <v>581425.85878562904</v>
      </c>
      <c r="J48" s="995">
        <v>140</v>
      </c>
      <c r="K48" s="996">
        <f t="shared" si="4"/>
        <v>130.88712658</v>
      </c>
      <c r="L48" s="996">
        <f t="shared" si="7"/>
        <v>125230.18496921239</v>
      </c>
      <c r="M48" s="996">
        <f>SUM(I48,L48)</f>
        <v>706656.04375484143</v>
      </c>
      <c r="N48" s="994"/>
      <c r="O48" s="981">
        <v>0.93490804699999996</v>
      </c>
      <c r="P48" s="973"/>
    </row>
    <row r="49" spans="1:16" ht="18.95" customHeight="1">
      <c r="A49" s="990"/>
      <c r="B49" s="1016"/>
      <c r="C49" s="1220" t="s">
        <v>252</v>
      </c>
      <c r="D49" s="1005"/>
      <c r="E49" s="993"/>
      <c r="F49" s="994"/>
      <c r="G49" s="993"/>
      <c r="H49" s="996"/>
      <c r="I49" s="996"/>
      <c r="J49" s="993"/>
      <c r="K49" s="996"/>
      <c r="L49" s="996"/>
      <c r="M49" s="996"/>
      <c r="N49" s="994"/>
      <c r="O49" s="981">
        <v>0.93490804699999996</v>
      </c>
      <c r="P49" s="973"/>
    </row>
    <row r="50" spans="1:16" ht="18.95" customHeight="1">
      <c r="A50" s="1018">
        <v>1.1399999999999999</v>
      </c>
      <c r="B50" s="1016" t="s">
        <v>253</v>
      </c>
      <c r="C50" s="1217" t="s">
        <v>254</v>
      </c>
      <c r="D50" s="1025"/>
      <c r="E50" s="993">
        <v>45.9</v>
      </c>
      <c r="F50" s="994" t="s">
        <v>218</v>
      </c>
      <c r="G50" s="993">
        <v>350</v>
      </c>
      <c r="H50" s="996">
        <f t="shared" si="6"/>
        <v>327.21781644999999</v>
      </c>
      <c r="I50" s="996">
        <f t="shared" si="3"/>
        <v>15019.297775054998</v>
      </c>
      <c r="J50" s="995">
        <v>150</v>
      </c>
      <c r="K50" s="996">
        <f t="shared" si="4"/>
        <v>140.23620704999999</v>
      </c>
      <c r="L50" s="996">
        <f t="shared" si="7"/>
        <v>6436.8419035949992</v>
      </c>
      <c r="M50" s="996">
        <f>SUM(I50,L50)</f>
        <v>21456.139678649997</v>
      </c>
      <c r="N50" s="994"/>
      <c r="O50" s="981">
        <v>0.93490804699999996</v>
      </c>
      <c r="P50" s="973"/>
    </row>
    <row r="51" spans="1:16" ht="18.95" customHeight="1">
      <c r="A51" s="1006"/>
      <c r="B51" s="1026"/>
      <c r="C51" s="1222" t="s">
        <v>255</v>
      </c>
      <c r="D51" s="1027"/>
      <c r="E51" s="1009"/>
      <c r="F51" s="1010"/>
      <c r="G51" s="1009"/>
      <c r="H51" s="996"/>
      <c r="I51" s="996"/>
      <c r="J51" s="1009"/>
      <c r="K51" s="996"/>
      <c r="L51" s="996"/>
      <c r="M51" s="1028"/>
      <c r="N51" s="1010"/>
      <c r="O51" s="981">
        <v>0.93490804699999996</v>
      </c>
      <c r="P51" s="973"/>
    </row>
    <row r="52" spans="1:16" ht="18.95" customHeight="1">
      <c r="A52" s="1029">
        <v>1.1499999999999999</v>
      </c>
      <c r="B52" s="1030" t="s">
        <v>256</v>
      </c>
      <c r="C52" s="1223" t="s">
        <v>257</v>
      </c>
      <c r="D52" s="985"/>
      <c r="E52" s="986">
        <v>1686.4099999999999</v>
      </c>
      <c r="F52" s="987" t="s">
        <v>218</v>
      </c>
      <c r="G52" s="986">
        <v>740</v>
      </c>
      <c r="H52" s="996">
        <f t="shared" si="6"/>
        <v>691.83195477999993</v>
      </c>
      <c r="I52" s="996">
        <f t="shared" si="3"/>
        <v>1166712.3268605396</v>
      </c>
      <c r="J52" s="988">
        <v>170</v>
      </c>
      <c r="K52" s="996">
        <f t="shared" si="4"/>
        <v>158.93436799</v>
      </c>
      <c r="L52" s="996">
        <f t="shared" si="7"/>
        <v>268028.50752201589</v>
      </c>
      <c r="M52" s="1031">
        <f>SUM(I52,L52)</f>
        <v>1434740.8343825554</v>
      </c>
      <c r="N52" s="987"/>
      <c r="O52" s="981">
        <v>0.93490804699999996</v>
      </c>
      <c r="P52" s="973"/>
    </row>
    <row r="53" spans="1:16" ht="18.95" customHeight="1">
      <c r="A53" s="1032"/>
      <c r="B53" s="1033"/>
      <c r="C53" s="1221" t="s">
        <v>258</v>
      </c>
      <c r="D53" s="999"/>
      <c r="E53" s="1034"/>
      <c r="F53" s="994"/>
      <c r="G53" s="993"/>
      <c r="H53" s="996"/>
      <c r="I53" s="996"/>
      <c r="J53" s="993"/>
      <c r="K53" s="993"/>
      <c r="L53" s="996"/>
      <c r="M53" s="996"/>
      <c r="N53" s="1015"/>
      <c r="O53" s="981">
        <v>0.93490804699999996</v>
      </c>
      <c r="P53" s="973"/>
    </row>
    <row r="54" spans="1:16" ht="18.95" customHeight="1">
      <c r="A54" s="1035"/>
      <c r="B54" s="1033"/>
      <c r="C54" s="1221" t="s">
        <v>259</v>
      </c>
      <c r="D54" s="999"/>
      <c r="E54" s="993"/>
      <c r="F54" s="994"/>
      <c r="G54" s="993"/>
      <c r="H54" s="996"/>
      <c r="I54" s="996"/>
      <c r="J54" s="993"/>
      <c r="K54" s="993"/>
      <c r="L54" s="996"/>
      <c r="M54" s="996"/>
      <c r="N54" s="996"/>
      <c r="O54" s="981">
        <v>0.93490804699999996</v>
      </c>
    </row>
    <row r="55" spans="1:16" ht="18.95" customHeight="1">
      <c r="A55" s="1036"/>
      <c r="B55" s="1037"/>
      <c r="C55" s="1224" t="s">
        <v>260</v>
      </c>
      <c r="D55" s="999"/>
      <c r="E55" s="993"/>
      <c r="F55" s="994"/>
      <c r="G55" s="1038"/>
      <c r="H55" s="996"/>
      <c r="I55" s="996"/>
      <c r="J55" s="1038"/>
      <c r="K55" s="1038"/>
      <c r="L55" s="996"/>
      <c r="M55" s="996"/>
      <c r="N55" s="996"/>
      <c r="O55" s="981">
        <v>0.93490804699999996</v>
      </c>
    </row>
    <row r="56" spans="1:16" ht="18.95" customHeight="1">
      <c r="A56" s="1018">
        <v>1.1599999999999999</v>
      </c>
      <c r="B56" s="1016" t="s">
        <v>261</v>
      </c>
      <c r="C56" s="1221" t="s">
        <v>262</v>
      </c>
      <c r="D56" s="999"/>
      <c r="E56" s="993">
        <v>431</v>
      </c>
      <c r="F56" s="994" t="s">
        <v>218</v>
      </c>
      <c r="G56" s="993">
        <v>740</v>
      </c>
      <c r="H56" s="996">
        <f t="shared" si="6"/>
        <v>691.83195477999993</v>
      </c>
      <c r="I56" s="996">
        <f t="shared" si="3"/>
        <v>298179.57251017995</v>
      </c>
      <c r="J56" s="995">
        <v>170</v>
      </c>
      <c r="K56" s="996">
        <f>J56*O56</f>
        <v>158.93436799</v>
      </c>
      <c r="L56" s="996">
        <f t="shared" si="7"/>
        <v>68500.712603690001</v>
      </c>
      <c r="M56" s="996">
        <f>SUM(I56,L56)</f>
        <v>366680.28511386993</v>
      </c>
      <c r="N56" s="996"/>
      <c r="O56" s="981">
        <v>0.93490804699999996</v>
      </c>
    </row>
    <row r="57" spans="1:16" ht="18.95" customHeight="1">
      <c r="A57" s="1039"/>
      <c r="B57" s="1033"/>
      <c r="C57" s="1221" t="s">
        <v>258</v>
      </c>
      <c r="D57" s="999"/>
      <c r="E57" s="1034"/>
      <c r="F57" s="1015"/>
      <c r="G57" s="1034"/>
      <c r="H57" s="996"/>
      <c r="I57" s="996"/>
      <c r="J57" s="993"/>
      <c r="K57" s="996"/>
      <c r="L57" s="996"/>
      <c r="M57" s="996"/>
      <c r="N57" s="996"/>
      <c r="O57" s="981">
        <v>0.93490804699999996</v>
      </c>
    </row>
    <row r="58" spans="1:16" ht="18.95" customHeight="1">
      <c r="A58" s="1036"/>
      <c r="B58" s="1033"/>
      <c r="C58" s="1221" t="s">
        <v>259</v>
      </c>
      <c r="D58" s="999"/>
      <c r="E58" s="993"/>
      <c r="F58" s="994"/>
      <c r="G58" s="993"/>
      <c r="H58" s="996"/>
      <c r="I58" s="996"/>
      <c r="J58" s="995"/>
      <c r="K58" s="996"/>
      <c r="L58" s="995"/>
      <c r="M58" s="996"/>
      <c r="N58" s="996"/>
      <c r="O58" s="981">
        <v>0.93490804699999996</v>
      </c>
    </row>
    <row r="59" spans="1:16" ht="18.95" customHeight="1">
      <c r="A59" s="1036"/>
      <c r="B59" s="1033"/>
      <c r="C59" s="1221" t="s">
        <v>263</v>
      </c>
      <c r="D59" s="999"/>
      <c r="E59" s="993"/>
      <c r="F59" s="994"/>
      <c r="G59" s="1038"/>
      <c r="H59" s="996"/>
      <c r="I59" s="996"/>
      <c r="J59" s="1038"/>
      <c r="K59" s="996"/>
      <c r="L59" s="995"/>
      <c r="M59" s="996"/>
      <c r="N59" s="996"/>
      <c r="O59" s="981">
        <v>0.93490804699999996</v>
      </c>
    </row>
    <row r="60" spans="1:16" ht="18.95" customHeight="1">
      <c r="A60" s="1018">
        <v>1.17</v>
      </c>
      <c r="B60" s="1016" t="s">
        <v>264</v>
      </c>
      <c r="C60" s="1221" t="s">
        <v>265</v>
      </c>
      <c r="D60" s="999"/>
      <c r="E60" s="993">
        <v>174.9</v>
      </c>
      <c r="F60" s="994" t="s">
        <v>218</v>
      </c>
      <c r="G60" s="993">
        <v>1000</v>
      </c>
      <c r="H60" s="996">
        <f t="shared" si="6"/>
        <v>934.90804700000001</v>
      </c>
      <c r="I60" s="996">
        <f t="shared" si="3"/>
        <v>163515.41742030001</v>
      </c>
      <c r="J60" s="995">
        <v>170</v>
      </c>
      <c r="K60" s="996">
        <f t="shared" ref="K60:K70" si="8">J60*O60</f>
        <v>158.93436799</v>
      </c>
      <c r="L60" s="996">
        <f>K60*E60</f>
        <v>27797.620961451001</v>
      </c>
      <c r="M60" s="996">
        <f>SUM(I60,L60)</f>
        <v>191313.03838175102</v>
      </c>
      <c r="N60" s="996"/>
      <c r="O60" s="981">
        <v>0.93490804699999996</v>
      </c>
    </row>
    <row r="61" spans="1:16" ht="18.95" customHeight="1">
      <c r="A61" s="1039"/>
      <c r="B61" s="1037"/>
      <c r="C61" s="1224" t="s">
        <v>266</v>
      </c>
      <c r="D61" s="999"/>
      <c r="E61" s="996"/>
      <c r="F61" s="994"/>
      <c r="G61" s="993"/>
      <c r="H61" s="996"/>
      <c r="I61" s="996"/>
      <c r="J61" s="995"/>
      <c r="K61" s="996"/>
      <c r="L61" s="996"/>
      <c r="M61" s="994"/>
      <c r="N61" s="994"/>
      <c r="O61" s="981">
        <v>0.93490804699999996</v>
      </c>
      <c r="P61" s="973"/>
    </row>
    <row r="62" spans="1:16" ht="18.95" customHeight="1">
      <c r="A62" s="1036"/>
      <c r="B62" s="1033"/>
      <c r="C62" s="1221" t="s">
        <v>267</v>
      </c>
      <c r="D62" s="999"/>
      <c r="E62" s="993"/>
      <c r="F62" s="994"/>
      <c r="G62" s="995"/>
      <c r="H62" s="996"/>
      <c r="I62" s="996"/>
      <c r="J62" s="995"/>
      <c r="K62" s="996"/>
      <c r="L62" s="996"/>
      <c r="M62" s="996"/>
      <c r="N62" s="994"/>
      <c r="O62" s="981">
        <v>0.93490804699999996</v>
      </c>
      <c r="P62" s="973"/>
    </row>
    <row r="63" spans="1:16" ht="18.95" customHeight="1">
      <c r="A63" s="1018">
        <v>1.18</v>
      </c>
      <c r="B63" s="1016" t="s">
        <v>268</v>
      </c>
      <c r="C63" s="1221" t="s">
        <v>269</v>
      </c>
      <c r="D63" s="999"/>
      <c r="E63" s="996">
        <v>9.36</v>
      </c>
      <c r="F63" s="994" t="s">
        <v>218</v>
      </c>
      <c r="G63" s="995">
        <v>520</v>
      </c>
      <c r="H63" s="996">
        <f t="shared" si="6"/>
        <v>486.15218443999998</v>
      </c>
      <c r="I63" s="996">
        <f t="shared" si="3"/>
        <v>4550.3844463583991</v>
      </c>
      <c r="J63" s="995">
        <v>156</v>
      </c>
      <c r="K63" s="996">
        <f t="shared" si="8"/>
        <v>145.84565533200001</v>
      </c>
      <c r="L63" s="996">
        <f t="shared" ref="L63:L71" si="9">K63*E63</f>
        <v>1365.1153339075199</v>
      </c>
      <c r="M63" s="996">
        <f>SUM(I63,L63)</f>
        <v>5915.4997802659191</v>
      </c>
      <c r="N63" s="994"/>
      <c r="O63" s="981">
        <v>0.93490804699999996</v>
      </c>
      <c r="P63" s="973"/>
    </row>
    <row r="64" spans="1:16" ht="18.95" customHeight="1">
      <c r="A64" s="1040"/>
      <c r="B64" s="1033"/>
      <c r="C64" s="1221" t="s">
        <v>270</v>
      </c>
      <c r="D64" s="999"/>
      <c r="E64" s="993"/>
      <c r="F64" s="994"/>
      <c r="G64" s="995"/>
      <c r="H64" s="996"/>
      <c r="I64" s="996"/>
      <c r="J64" s="995"/>
      <c r="K64" s="996"/>
      <c r="L64" s="996"/>
      <c r="M64" s="996"/>
      <c r="N64" s="994"/>
      <c r="O64" s="981">
        <v>0.93490804699999996</v>
      </c>
      <c r="P64" s="973"/>
    </row>
    <row r="65" spans="1:16" ht="18.95" customHeight="1">
      <c r="A65" s="1018">
        <v>1.19</v>
      </c>
      <c r="B65" s="998" t="s">
        <v>271</v>
      </c>
      <c r="C65" s="1221" t="s">
        <v>272</v>
      </c>
      <c r="D65" s="999"/>
      <c r="E65" s="993">
        <v>15</v>
      </c>
      <c r="F65" s="994" t="s">
        <v>218</v>
      </c>
      <c r="G65" s="993">
        <v>2200</v>
      </c>
      <c r="H65" s="996">
        <f t="shared" si="6"/>
        <v>2056.7977034</v>
      </c>
      <c r="I65" s="996">
        <f t="shared" si="3"/>
        <v>30851.965551000001</v>
      </c>
      <c r="J65" s="995">
        <v>350</v>
      </c>
      <c r="K65" s="996">
        <f t="shared" si="8"/>
        <v>327.21781644999999</v>
      </c>
      <c r="L65" s="996">
        <f t="shared" si="9"/>
        <v>4908.2672467499997</v>
      </c>
      <c r="M65" s="996">
        <f>SUM(I65,L65)</f>
        <v>35760.232797750003</v>
      </c>
      <c r="N65" s="994"/>
      <c r="O65" s="981">
        <v>0.93490804699999996</v>
      </c>
      <c r="P65" s="973"/>
    </row>
    <row r="66" spans="1:16" ht="18.95" customHeight="1">
      <c r="A66" s="1018"/>
      <c r="B66" s="998"/>
      <c r="C66" s="1221" t="s">
        <v>273</v>
      </c>
      <c r="D66" s="999"/>
      <c r="E66" s="993"/>
      <c r="F66" s="994"/>
      <c r="G66" s="993"/>
      <c r="H66" s="996"/>
      <c r="I66" s="996"/>
      <c r="J66" s="995"/>
      <c r="K66" s="996"/>
      <c r="L66" s="996"/>
      <c r="M66" s="996"/>
      <c r="N66" s="994"/>
      <c r="O66" s="981">
        <v>0.93490804699999996</v>
      </c>
      <c r="P66" s="973"/>
    </row>
    <row r="67" spans="1:16" ht="18.95" customHeight="1">
      <c r="A67" s="1018">
        <v>1.2</v>
      </c>
      <c r="B67" s="998" t="s">
        <v>274</v>
      </c>
      <c r="C67" s="1221"/>
      <c r="D67" s="999"/>
      <c r="E67" s="993"/>
      <c r="F67" s="994"/>
      <c r="G67" s="995"/>
      <c r="H67" s="996"/>
      <c r="I67" s="996"/>
      <c r="J67" s="993"/>
      <c r="K67" s="996"/>
      <c r="L67" s="996"/>
      <c r="M67" s="996"/>
      <c r="N67" s="994"/>
      <c r="O67" s="981">
        <v>0.93490804699999996</v>
      </c>
      <c r="P67" s="973"/>
    </row>
    <row r="68" spans="1:16" ht="18.95" customHeight="1">
      <c r="A68" s="1040"/>
      <c r="B68" s="1033" t="s">
        <v>245</v>
      </c>
      <c r="C68" s="1225" t="s">
        <v>275</v>
      </c>
      <c r="D68" s="1041"/>
      <c r="E68" s="993">
        <v>501.62200000000001</v>
      </c>
      <c r="F68" s="994" t="s">
        <v>276</v>
      </c>
      <c r="G68" s="993">
        <v>220</v>
      </c>
      <c r="H68" s="996">
        <f t="shared" si="6"/>
        <v>205.67977034</v>
      </c>
      <c r="I68" s="996">
        <f t="shared" si="3"/>
        <v>103173.49775749148</v>
      </c>
      <c r="J68" s="993">
        <v>45</v>
      </c>
      <c r="K68" s="996">
        <f t="shared" si="8"/>
        <v>42.070862114999997</v>
      </c>
      <c r="L68" s="996">
        <f t="shared" si="9"/>
        <v>21103.669995850531</v>
      </c>
      <c r="M68" s="996">
        <f>SUM(I68,L68)</f>
        <v>124277.16775334202</v>
      </c>
      <c r="N68" s="994"/>
      <c r="O68" s="981">
        <v>0.93490804699999996</v>
      </c>
      <c r="P68" s="973"/>
    </row>
    <row r="69" spans="1:16" ht="18.95" customHeight="1">
      <c r="A69" s="1039"/>
      <c r="B69" s="1033" t="s">
        <v>245</v>
      </c>
      <c r="C69" s="1225" t="s">
        <v>277</v>
      </c>
      <c r="D69" s="1041"/>
      <c r="E69" s="993">
        <v>8</v>
      </c>
      <c r="F69" s="994" t="s">
        <v>276</v>
      </c>
      <c r="G69" s="995">
        <v>400</v>
      </c>
      <c r="H69" s="996">
        <f t="shared" si="6"/>
        <v>373.96321879999999</v>
      </c>
      <c r="I69" s="996">
        <f t="shared" si="3"/>
        <v>2991.7057503999999</v>
      </c>
      <c r="J69" s="993">
        <v>45</v>
      </c>
      <c r="K69" s="996">
        <f t="shared" si="8"/>
        <v>42.070862114999997</v>
      </c>
      <c r="L69" s="996">
        <f t="shared" si="9"/>
        <v>336.56689691999998</v>
      </c>
      <c r="M69" s="996">
        <f>SUM(I69,L69)</f>
        <v>3328.27264732</v>
      </c>
      <c r="N69" s="994"/>
      <c r="O69" s="981">
        <v>0.93490804699999996</v>
      </c>
      <c r="P69" s="973"/>
    </row>
    <row r="70" spans="1:16" ht="18.95" customHeight="1">
      <c r="A70" s="990"/>
      <c r="B70" s="1033" t="s">
        <v>245</v>
      </c>
      <c r="C70" s="1221" t="s">
        <v>278</v>
      </c>
      <c r="D70" s="1000"/>
      <c r="E70" s="993">
        <v>10</v>
      </c>
      <c r="F70" s="994" t="s">
        <v>276</v>
      </c>
      <c r="G70" s="993">
        <v>2500</v>
      </c>
      <c r="H70" s="996">
        <f t="shared" si="6"/>
        <v>2337.2701174999997</v>
      </c>
      <c r="I70" s="996">
        <f t="shared" si="3"/>
        <v>23372.701174999998</v>
      </c>
      <c r="J70" s="993">
        <v>100</v>
      </c>
      <c r="K70" s="996">
        <f t="shared" si="8"/>
        <v>93.490804699999998</v>
      </c>
      <c r="L70" s="996">
        <f t="shared" si="9"/>
        <v>934.90804700000001</v>
      </c>
      <c r="M70" s="996">
        <f>SUM(I70,L70)</f>
        <v>24307.609221999999</v>
      </c>
      <c r="N70" s="994"/>
      <c r="O70" s="981">
        <v>0.93490804699999996</v>
      </c>
      <c r="P70" s="973"/>
    </row>
    <row r="71" spans="1:16" ht="18.95" customHeight="1">
      <c r="A71" s="1018"/>
      <c r="B71" s="1042"/>
      <c r="C71" s="1217"/>
      <c r="D71" s="1005"/>
      <c r="E71" s="993"/>
      <c r="F71" s="994"/>
      <c r="G71" s="993"/>
      <c r="H71" s="996"/>
      <c r="I71" s="993"/>
      <c r="J71" s="993"/>
      <c r="K71" s="996"/>
      <c r="L71" s="996">
        <f t="shared" si="9"/>
        <v>0</v>
      </c>
      <c r="M71" s="994"/>
      <c r="N71" s="994"/>
      <c r="O71" s="981">
        <v>0.93490804699999996</v>
      </c>
      <c r="P71" s="973"/>
    </row>
    <row r="72" spans="1:16" ht="18.95" customHeight="1">
      <c r="A72" s="1043"/>
      <c r="B72" s="1281"/>
      <c r="C72" s="1282"/>
      <c r="D72" s="1283"/>
      <c r="E72" s="996"/>
      <c r="F72" s="994"/>
      <c r="G72" s="993"/>
      <c r="H72" s="996"/>
      <c r="I72" s="993"/>
      <c r="J72" s="993"/>
      <c r="K72" s="996"/>
      <c r="L72" s="996"/>
      <c r="M72" s="1046">
        <f>SUM(M28:M70)</f>
        <v>4066978.5449573817</v>
      </c>
      <c r="N72" s="994"/>
      <c r="O72" s="981">
        <v>0.93490804699999996</v>
      </c>
      <c r="P72" s="973"/>
    </row>
    <row r="73" spans="1:16" ht="18.95" customHeight="1">
      <c r="A73" s="1043"/>
      <c r="B73" s="1047"/>
      <c r="C73" s="1226"/>
      <c r="D73" s="1045"/>
      <c r="E73" s="996"/>
      <c r="F73" s="994"/>
      <c r="G73" s="993"/>
      <c r="H73" s="996"/>
      <c r="I73" s="993"/>
      <c r="J73" s="993"/>
      <c r="K73" s="996"/>
      <c r="L73" s="996"/>
      <c r="M73" s="1046"/>
      <c r="N73" s="994"/>
      <c r="O73" s="981">
        <v>0.93490804699999996</v>
      </c>
      <c r="P73" s="973"/>
    </row>
    <row r="74" spans="1:16" ht="18.95" customHeight="1">
      <c r="A74" s="1043"/>
      <c r="B74" s="1047"/>
      <c r="C74" s="1226"/>
      <c r="D74" s="1045"/>
      <c r="E74" s="996"/>
      <c r="F74" s="994"/>
      <c r="G74" s="993"/>
      <c r="H74" s="996"/>
      <c r="I74" s="993"/>
      <c r="J74" s="993"/>
      <c r="K74" s="996"/>
      <c r="L74" s="996"/>
      <c r="M74" s="1046"/>
      <c r="N74" s="994"/>
      <c r="O74" s="981">
        <v>0.93490804699999996</v>
      </c>
      <c r="P74" s="973"/>
    </row>
    <row r="75" spans="1:16" ht="18.95" customHeight="1">
      <c r="A75" s="1043"/>
      <c r="B75" s="1042"/>
      <c r="C75" s="1227"/>
      <c r="D75" s="1024"/>
      <c r="E75" s="996"/>
      <c r="F75" s="994"/>
      <c r="G75" s="993"/>
      <c r="H75" s="996"/>
      <c r="I75" s="993"/>
      <c r="J75" s="993"/>
      <c r="K75" s="996"/>
      <c r="L75" s="996"/>
      <c r="M75" s="994"/>
      <c r="N75" s="994"/>
      <c r="O75" s="981">
        <v>0.93490804699999996</v>
      </c>
      <c r="P75" s="973"/>
    </row>
    <row r="76" spans="1:16" ht="18.95" customHeight="1">
      <c r="A76" s="1043"/>
      <c r="B76" s="1042"/>
      <c r="C76" s="1227"/>
      <c r="D76" s="1024"/>
      <c r="E76" s="996"/>
      <c r="F76" s="994"/>
      <c r="G76" s="993"/>
      <c r="H76" s="996"/>
      <c r="I76" s="993"/>
      <c r="J76" s="993"/>
      <c r="K76" s="996"/>
      <c r="L76" s="996"/>
      <c r="M76" s="994"/>
      <c r="N76" s="994"/>
      <c r="O76" s="981">
        <v>0.93490804699999996</v>
      </c>
      <c r="P76" s="973"/>
    </row>
    <row r="77" spans="1:16" ht="18.95" customHeight="1">
      <c r="A77" s="990"/>
      <c r="B77" s="998"/>
      <c r="C77" s="1217"/>
      <c r="D77" s="1005"/>
      <c r="E77" s="993"/>
      <c r="F77" s="994"/>
      <c r="G77" s="993"/>
      <c r="H77" s="996"/>
      <c r="I77" s="993"/>
      <c r="J77" s="993"/>
      <c r="K77" s="996"/>
      <c r="L77" s="995"/>
      <c r="M77" s="993"/>
      <c r="N77" s="994"/>
      <c r="O77" s="981">
        <v>0.93490804699999996</v>
      </c>
      <c r="P77" s="973"/>
    </row>
    <row r="78" spans="1:16" ht="18.95" customHeight="1">
      <c r="A78" s="990"/>
      <c r="B78" s="1004"/>
      <c r="C78" s="1217"/>
      <c r="D78" s="1005"/>
      <c r="E78" s="993"/>
      <c r="F78" s="994"/>
      <c r="G78" s="993"/>
      <c r="H78" s="996"/>
      <c r="I78" s="993"/>
      <c r="J78" s="993"/>
      <c r="K78" s="996"/>
      <c r="L78" s="995"/>
      <c r="M78" s="993"/>
      <c r="N78" s="994"/>
      <c r="O78" s="981">
        <v>0.93490804699999996</v>
      </c>
      <c r="P78" s="973"/>
    </row>
    <row r="79" spans="1:16" ht="18.95" customHeight="1">
      <c r="A79" s="1006"/>
      <c r="B79" s="1007"/>
      <c r="C79" s="1218"/>
      <c r="D79" s="1008"/>
      <c r="E79" s="1009"/>
      <c r="F79" s="1010"/>
      <c r="G79" s="1009"/>
      <c r="H79" s="996"/>
      <c r="I79" s="1009"/>
      <c r="J79" s="1009"/>
      <c r="K79" s="1009"/>
      <c r="L79" s="1011"/>
      <c r="M79" s="1009"/>
      <c r="N79" s="1010"/>
      <c r="O79" s="981">
        <v>0.93490804699999996</v>
      </c>
      <c r="P79" s="973"/>
    </row>
    <row r="80" spans="1:16" ht="18.95" customHeight="1">
      <c r="A80" s="1048">
        <v>2</v>
      </c>
      <c r="B80" s="1049" t="s">
        <v>279</v>
      </c>
      <c r="C80" s="1228"/>
      <c r="D80" s="1050"/>
      <c r="E80" s="986"/>
      <c r="F80" s="987"/>
      <c r="G80" s="986"/>
      <c r="H80" s="996"/>
      <c r="I80" s="986"/>
      <c r="J80" s="1051"/>
      <c r="K80" s="1051"/>
      <c r="L80" s="988"/>
      <c r="M80" s="986"/>
      <c r="N80" s="987"/>
      <c r="O80" s="981">
        <v>0.93490804699999996</v>
      </c>
      <c r="P80" s="973"/>
    </row>
    <row r="81" spans="1:18" ht="18.95" customHeight="1">
      <c r="A81" s="1052"/>
      <c r="B81" s="1053"/>
      <c r="C81" s="1229"/>
      <c r="D81" s="1054"/>
      <c r="E81" s="1034"/>
      <c r="F81" s="1015"/>
      <c r="G81" s="1034"/>
      <c r="H81" s="996"/>
      <c r="I81" s="1034"/>
      <c r="J81" s="1055"/>
      <c r="K81" s="1055"/>
      <c r="L81" s="1056"/>
      <c r="M81" s="1034"/>
      <c r="N81" s="1015"/>
      <c r="O81" s="981">
        <v>0.93490804699999996</v>
      </c>
      <c r="P81" s="973"/>
    </row>
    <row r="82" spans="1:18" s="862" customFormat="1" ht="18.95" customHeight="1">
      <c r="A82" s="1014">
        <v>2.1</v>
      </c>
      <c r="B82" s="1016"/>
      <c r="C82" s="1220" t="s">
        <v>280</v>
      </c>
      <c r="D82" s="1017"/>
      <c r="E82" s="993">
        <v>1180</v>
      </c>
      <c r="F82" s="994" t="s">
        <v>218</v>
      </c>
      <c r="G82" s="996">
        <v>240</v>
      </c>
      <c r="H82" s="996">
        <f t="shared" si="6"/>
        <v>224.37793127999998</v>
      </c>
      <c r="I82" s="996">
        <f t="shared" ref="I82:I137" si="10">H82*E82</f>
        <v>264765.95891039999</v>
      </c>
      <c r="J82" s="996">
        <v>60</v>
      </c>
      <c r="K82" s="996">
        <f t="shared" ref="K82:K99" si="11">J82*O82</f>
        <v>56.094482819999996</v>
      </c>
      <c r="L82" s="996">
        <f>K82*E82</f>
        <v>66191.489727599997</v>
      </c>
      <c r="M82" s="996">
        <f t="shared" ref="M82:M88" si="12">SUM(I82,L82)</f>
        <v>330957.448638</v>
      </c>
      <c r="N82" s="996"/>
      <c r="O82" s="976">
        <v>0.93490804699999996</v>
      </c>
      <c r="P82" s="976"/>
      <c r="Q82" s="293" t="s">
        <v>231</v>
      </c>
      <c r="R82" s="293"/>
    </row>
    <row r="83" spans="1:18" s="862" customFormat="1" ht="18.95" customHeight="1">
      <c r="A83" s="1014">
        <v>2.2000000000000002</v>
      </c>
      <c r="B83" s="1016"/>
      <c r="C83" s="1220" t="s">
        <v>281</v>
      </c>
      <c r="D83" s="1017"/>
      <c r="E83" s="993">
        <v>55</v>
      </c>
      <c r="F83" s="994" t="s">
        <v>218</v>
      </c>
      <c r="G83" s="996">
        <v>353</v>
      </c>
      <c r="H83" s="996">
        <f t="shared" si="6"/>
        <v>330.02254059099999</v>
      </c>
      <c r="I83" s="996">
        <f t="shared" si="10"/>
        <v>18151.239732505001</v>
      </c>
      <c r="J83" s="996">
        <v>68</v>
      </c>
      <c r="K83" s="996">
        <f t="shared" si="11"/>
        <v>63.573747195999999</v>
      </c>
      <c r="L83" s="996">
        <f t="shared" ref="L83:L99" si="13">K83*E83</f>
        <v>3496.5560957799999</v>
      </c>
      <c r="M83" s="996">
        <f t="shared" si="12"/>
        <v>21647.795828285001</v>
      </c>
      <c r="N83" s="996"/>
      <c r="O83" s="976">
        <v>0.93490804699999996</v>
      </c>
      <c r="P83" s="976"/>
      <c r="Q83" s="293" t="s">
        <v>231</v>
      </c>
      <c r="R83" s="293"/>
    </row>
    <row r="84" spans="1:18" s="862" customFormat="1" ht="18.95" customHeight="1">
      <c r="A84" s="1014">
        <v>2.2999999999999998</v>
      </c>
      <c r="B84" s="1016"/>
      <c r="C84" s="1220" t="s">
        <v>282</v>
      </c>
      <c r="D84" s="1017"/>
      <c r="E84" s="993">
        <v>155</v>
      </c>
      <c r="F84" s="994" t="s">
        <v>218</v>
      </c>
      <c r="G84" s="996">
        <v>470</v>
      </c>
      <c r="H84" s="996">
        <f t="shared" si="6"/>
        <v>439.40678208999998</v>
      </c>
      <c r="I84" s="996">
        <f t="shared" si="10"/>
        <v>68108.051223949995</v>
      </c>
      <c r="J84" s="996">
        <v>78</v>
      </c>
      <c r="K84" s="996">
        <f t="shared" si="11"/>
        <v>72.922827666000003</v>
      </c>
      <c r="L84" s="996">
        <f t="shared" si="13"/>
        <v>11303.03828823</v>
      </c>
      <c r="M84" s="996">
        <f t="shared" si="12"/>
        <v>79411.089512179999</v>
      </c>
      <c r="N84" s="996"/>
      <c r="O84" s="976">
        <v>0.93490804699999996</v>
      </c>
      <c r="P84" s="976"/>
      <c r="Q84" s="293" t="s">
        <v>231</v>
      </c>
      <c r="R84" s="293"/>
    </row>
    <row r="85" spans="1:18" s="862" customFormat="1" ht="18.95" customHeight="1">
      <c r="A85" s="1014">
        <v>2.4</v>
      </c>
      <c r="B85" s="1016"/>
      <c r="C85" s="1220" t="s">
        <v>283</v>
      </c>
      <c r="D85" s="1017"/>
      <c r="E85" s="993">
        <v>990</v>
      </c>
      <c r="F85" s="994" t="s">
        <v>276</v>
      </c>
      <c r="G85" s="996">
        <v>79</v>
      </c>
      <c r="H85" s="996">
        <f t="shared" si="6"/>
        <v>73.857735712999997</v>
      </c>
      <c r="I85" s="996">
        <f t="shared" si="10"/>
        <v>73119.158355869993</v>
      </c>
      <c r="J85" s="996">
        <v>46</v>
      </c>
      <c r="K85" s="996">
        <f t="shared" si="11"/>
        <v>43.005770161999997</v>
      </c>
      <c r="L85" s="996">
        <f t="shared" si="13"/>
        <v>42575.712460379997</v>
      </c>
      <c r="M85" s="996">
        <f t="shared" si="12"/>
        <v>115694.87081624998</v>
      </c>
      <c r="N85" s="996"/>
      <c r="O85" s="976">
        <v>0.93490804699999996</v>
      </c>
      <c r="P85" s="976"/>
      <c r="Q85" s="293" t="s">
        <v>231</v>
      </c>
      <c r="R85" s="293"/>
    </row>
    <row r="86" spans="1:18" s="862" customFormat="1" ht="18.95" customHeight="1">
      <c r="A86" s="1014">
        <v>2.5</v>
      </c>
      <c r="B86" s="1016"/>
      <c r="C86" s="1220" t="s">
        <v>284</v>
      </c>
      <c r="D86" s="1017"/>
      <c r="E86" s="993">
        <v>45</v>
      </c>
      <c r="F86" s="994" t="s">
        <v>276</v>
      </c>
      <c r="G86" s="996">
        <v>114</v>
      </c>
      <c r="H86" s="996">
        <f t="shared" si="6"/>
        <v>106.57951735799999</v>
      </c>
      <c r="I86" s="996">
        <f t="shared" si="10"/>
        <v>4796.0782811099998</v>
      </c>
      <c r="J86" s="996">
        <v>64</v>
      </c>
      <c r="K86" s="996">
        <f t="shared" si="11"/>
        <v>59.834115007999998</v>
      </c>
      <c r="L86" s="996">
        <f t="shared" si="13"/>
        <v>2692.5351753599998</v>
      </c>
      <c r="M86" s="996">
        <f t="shared" si="12"/>
        <v>7488.6134564699996</v>
      </c>
      <c r="N86" s="996"/>
      <c r="O86" s="976">
        <v>0.93490804699999996</v>
      </c>
      <c r="P86" s="976"/>
      <c r="Q86" s="293" t="s">
        <v>231</v>
      </c>
      <c r="R86" s="293"/>
    </row>
    <row r="87" spans="1:18" s="862" customFormat="1" ht="18.95" customHeight="1">
      <c r="A87" s="1014">
        <v>2.6</v>
      </c>
      <c r="B87" s="1016"/>
      <c r="C87" s="1220" t="s">
        <v>285</v>
      </c>
      <c r="D87" s="1017"/>
      <c r="E87" s="993">
        <v>130</v>
      </c>
      <c r="F87" s="994" t="s">
        <v>276</v>
      </c>
      <c r="G87" s="996">
        <v>118</v>
      </c>
      <c r="H87" s="996">
        <f t="shared" si="6"/>
        <v>110.31914954599999</v>
      </c>
      <c r="I87" s="996">
        <f t="shared" si="10"/>
        <v>14341.489440979998</v>
      </c>
      <c r="J87" s="996">
        <v>81</v>
      </c>
      <c r="K87" s="996">
        <f t="shared" si="11"/>
        <v>75.727551806999998</v>
      </c>
      <c r="L87" s="996">
        <f t="shared" si="13"/>
        <v>9844.5817349099998</v>
      </c>
      <c r="M87" s="996">
        <f t="shared" si="12"/>
        <v>24186.07117589</v>
      </c>
      <c r="N87" s="996"/>
      <c r="O87" s="976">
        <v>0.93490804699999996</v>
      </c>
      <c r="P87" s="976"/>
      <c r="Q87" s="293" t="s">
        <v>231</v>
      </c>
      <c r="R87" s="293"/>
    </row>
    <row r="88" spans="1:18" s="862" customFormat="1" ht="18.95" customHeight="1">
      <c r="A88" s="1014">
        <v>2.7</v>
      </c>
      <c r="B88" s="1016"/>
      <c r="C88" s="1220" t="s">
        <v>286</v>
      </c>
      <c r="D88" s="1017"/>
      <c r="E88" s="993">
        <v>2715</v>
      </c>
      <c r="F88" s="994" t="s">
        <v>218</v>
      </c>
      <c r="G88" s="996">
        <v>29</v>
      </c>
      <c r="H88" s="996">
        <f t="shared" si="6"/>
        <v>27.112333362999998</v>
      </c>
      <c r="I88" s="996">
        <f t="shared" si="10"/>
        <v>73609.985080544997</v>
      </c>
      <c r="J88" s="996">
        <v>87</v>
      </c>
      <c r="K88" s="996">
        <f t="shared" si="11"/>
        <v>81.337000089</v>
      </c>
      <c r="L88" s="996">
        <f t="shared" si="13"/>
        <v>220829.95524163501</v>
      </c>
      <c r="M88" s="996">
        <f t="shared" si="12"/>
        <v>294439.94032217999</v>
      </c>
      <c r="N88" s="996"/>
      <c r="O88" s="976">
        <v>0.93490804699999996</v>
      </c>
      <c r="P88" s="976"/>
      <c r="Q88" s="293" t="s">
        <v>231</v>
      </c>
      <c r="R88" s="293"/>
    </row>
    <row r="89" spans="1:18" ht="18.95" customHeight="1">
      <c r="A89" s="1014">
        <v>2.8</v>
      </c>
      <c r="B89" s="1016" t="s">
        <v>287</v>
      </c>
      <c r="C89" s="1220" t="s">
        <v>288</v>
      </c>
      <c r="D89" s="1017"/>
      <c r="E89" s="993" t="s">
        <v>289</v>
      </c>
      <c r="F89" s="994"/>
      <c r="G89" s="996"/>
      <c r="H89" s="996"/>
      <c r="I89" s="996"/>
      <c r="J89" s="996"/>
      <c r="K89" s="996"/>
      <c r="L89" s="996"/>
      <c r="M89" s="996"/>
      <c r="N89" s="996"/>
      <c r="O89" s="976">
        <v>0.93490804699999996</v>
      </c>
    </row>
    <row r="90" spans="1:18" ht="18.95" customHeight="1">
      <c r="A90" s="1014">
        <v>2.9</v>
      </c>
      <c r="B90" s="1016" t="s">
        <v>290</v>
      </c>
      <c r="C90" s="1220" t="s">
        <v>291</v>
      </c>
      <c r="D90" s="1017"/>
      <c r="E90" s="993">
        <v>3450</v>
      </c>
      <c r="F90" s="994" t="s">
        <v>218</v>
      </c>
      <c r="G90" s="996">
        <v>30</v>
      </c>
      <c r="H90" s="996">
        <f t="shared" si="6"/>
        <v>28.047241409999998</v>
      </c>
      <c r="I90" s="996">
        <f t="shared" si="10"/>
        <v>96762.982864499994</v>
      </c>
      <c r="J90" s="996">
        <v>30</v>
      </c>
      <c r="K90" s="996">
        <f t="shared" si="11"/>
        <v>28.047241409999998</v>
      </c>
      <c r="L90" s="996">
        <f t="shared" si="13"/>
        <v>96762.982864499994</v>
      </c>
      <c r="M90" s="996">
        <f>SUM(I90,L90)</f>
        <v>193525.96572899999</v>
      </c>
      <c r="N90" s="996"/>
      <c r="O90" s="976">
        <v>0.93490804699999996</v>
      </c>
    </row>
    <row r="91" spans="1:18" ht="18.95" customHeight="1">
      <c r="A91" s="1014">
        <v>2.1</v>
      </c>
      <c r="B91" s="1016" t="s">
        <v>292</v>
      </c>
      <c r="C91" s="1220" t="s">
        <v>291</v>
      </c>
      <c r="D91" s="1017"/>
      <c r="E91" s="993">
        <v>3260</v>
      </c>
      <c r="F91" s="994" t="s">
        <v>218</v>
      </c>
      <c r="G91" s="996">
        <v>30</v>
      </c>
      <c r="H91" s="996">
        <f t="shared" si="6"/>
        <v>28.047241409999998</v>
      </c>
      <c r="I91" s="996">
        <f t="shared" si="10"/>
        <v>91434.006996599986</v>
      </c>
      <c r="J91" s="996">
        <v>30</v>
      </c>
      <c r="K91" s="996">
        <f t="shared" si="11"/>
        <v>28.047241409999998</v>
      </c>
      <c r="L91" s="996">
        <f t="shared" si="13"/>
        <v>91434.006996599986</v>
      </c>
      <c r="M91" s="996">
        <f>SUM(I91,L91)</f>
        <v>182868.01399319997</v>
      </c>
      <c r="N91" s="996"/>
      <c r="O91" s="976">
        <v>0.93490804699999996</v>
      </c>
    </row>
    <row r="92" spans="1:18" ht="18.95" customHeight="1">
      <c r="A92" s="1014">
        <v>2.11</v>
      </c>
      <c r="B92" s="1016" t="s">
        <v>293</v>
      </c>
      <c r="C92" s="1220" t="s">
        <v>294</v>
      </c>
      <c r="D92" s="1017"/>
      <c r="E92" s="993">
        <v>670</v>
      </c>
      <c r="F92" s="994" t="s">
        <v>218</v>
      </c>
      <c r="G92" s="996">
        <v>50</v>
      </c>
      <c r="H92" s="996">
        <f t="shared" si="6"/>
        <v>46.745402349999999</v>
      </c>
      <c r="I92" s="996">
        <f t="shared" si="10"/>
        <v>31319.4195745</v>
      </c>
      <c r="J92" s="996">
        <v>50</v>
      </c>
      <c r="K92" s="996">
        <f t="shared" si="11"/>
        <v>46.745402349999999</v>
      </c>
      <c r="L92" s="996">
        <f t="shared" si="13"/>
        <v>31319.4195745</v>
      </c>
      <c r="M92" s="996">
        <f>SUM(I92,L92)</f>
        <v>62638.839148999999</v>
      </c>
      <c r="N92" s="996"/>
      <c r="O92" s="976">
        <v>0.93490804699999996</v>
      </c>
    </row>
    <row r="93" spans="1:18" ht="18.95" customHeight="1">
      <c r="A93" s="1014">
        <v>2.12</v>
      </c>
      <c r="B93" s="1016" t="s">
        <v>295</v>
      </c>
      <c r="C93" s="1220" t="s">
        <v>296</v>
      </c>
      <c r="D93" s="1017"/>
      <c r="E93" s="993" t="s">
        <v>297</v>
      </c>
      <c r="F93" s="994"/>
      <c r="G93" s="996"/>
      <c r="H93" s="996"/>
      <c r="I93" s="996"/>
      <c r="J93" s="996"/>
      <c r="K93" s="996"/>
      <c r="L93" s="996"/>
      <c r="M93" s="996"/>
      <c r="N93" s="996"/>
      <c r="O93" s="976">
        <v>0.93490804699999996</v>
      </c>
    </row>
    <row r="94" spans="1:18" ht="18.95" customHeight="1">
      <c r="A94" s="1014">
        <v>2.13</v>
      </c>
      <c r="B94" s="1016" t="s">
        <v>298</v>
      </c>
      <c r="C94" s="1220" t="s">
        <v>299</v>
      </c>
      <c r="D94" s="1017"/>
      <c r="E94" s="993">
        <v>483</v>
      </c>
      <c r="F94" s="994" t="s">
        <v>218</v>
      </c>
      <c r="G94" s="996">
        <v>1000</v>
      </c>
      <c r="H94" s="996">
        <f t="shared" si="6"/>
        <v>934.90804700000001</v>
      </c>
      <c r="I94" s="996">
        <f t="shared" si="10"/>
        <v>451560.58670099999</v>
      </c>
      <c r="J94" s="996">
        <v>174</v>
      </c>
      <c r="K94" s="996">
        <f t="shared" si="11"/>
        <v>162.674000178</v>
      </c>
      <c r="L94" s="996">
        <f t="shared" si="13"/>
        <v>78571.542085973997</v>
      </c>
      <c r="M94" s="996">
        <f t="shared" ref="M94:M99" si="14">SUM(I94,L94)</f>
        <v>530132.128786974</v>
      </c>
      <c r="N94" s="996"/>
      <c r="O94" s="976">
        <v>0.93490804699999996</v>
      </c>
    </row>
    <row r="95" spans="1:18" ht="18.95" customHeight="1">
      <c r="A95" s="1014">
        <v>2.14</v>
      </c>
      <c r="B95" s="1016" t="s">
        <v>300</v>
      </c>
      <c r="C95" s="1220" t="s">
        <v>301</v>
      </c>
      <c r="D95" s="1017"/>
      <c r="E95" s="993">
        <v>42</v>
      </c>
      <c r="F95" s="994" t="s">
        <v>218</v>
      </c>
      <c r="G95" s="996">
        <v>620</v>
      </c>
      <c r="H95" s="996">
        <f t="shared" si="6"/>
        <v>579.64298913999994</v>
      </c>
      <c r="I95" s="996">
        <f t="shared" si="10"/>
        <v>24345.005543879997</v>
      </c>
      <c r="J95" s="996">
        <v>174</v>
      </c>
      <c r="K95" s="996">
        <f t="shared" si="11"/>
        <v>162.674000178</v>
      </c>
      <c r="L95" s="996">
        <f t="shared" si="13"/>
        <v>6832.3080074760001</v>
      </c>
      <c r="M95" s="996">
        <f t="shared" si="14"/>
        <v>31177.313551355997</v>
      </c>
      <c r="N95" s="996"/>
      <c r="O95" s="976">
        <v>0.93490804699999996</v>
      </c>
    </row>
    <row r="96" spans="1:18" ht="18.95" customHeight="1">
      <c r="A96" s="1014">
        <v>2.15</v>
      </c>
      <c r="B96" s="1016" t="s">
        <v>302</v>
      </c>
      <c r="C96" s="1220" t="s">
        <v>303</v>
      </c>
      <c r="D96" s="1017"/>
      <c r="E96" s="993">
        <v>28</v>
      </c>
      <c r="F96" s="994" t="s">
        <v>218</v>
      </c>
      <c r="G96" s="996">
        <v>620</v>
      </c>
      <c r="H96" s="996">
        <f t="shared" si="6"/>
        <v>579.64298913999994</v>
      </c>
      <c r="I96" s="996">
        <f t="shared" si="10"/>
        <v>16230.003695919999</v>
      </c>
      <c r="J96" s="996">
        <v>174</v>
      </c>
      <c r="K96" s="996">
        <f t="shared" si="11"/>
        <v>162.674000178</v>
      </c>
      <c r="L96" s="996">
        <f t="shared" si="13"/>
        <v>4554.8720049840003</v>
      </c>
      <c r="M96" s="996">
        <f t="shared" si="14"/>
        <v>20784.875700903998</v>
      </c>
      <c r="N96" s="996"/>
      <c r="O96" s="976">
        <v>0.93490804699999996</v>
      </c>
    </row>
    <row r="97" spans="1:18" ht="18.95" customHeight="1">
      <c r="A97" s="1014">
        <v>2.16</v>
      </c>
      <c r="B97" s="1016" t="s">
        <v>304</v>
      </c>
      <c r="C97" s="1220" t="s">
        <v>305</v>
      </c>
      <c r="D97" s="1017"/>
      <c r="E97" s="993">
        <v>102</v>
      </c>
      <c r="F97" s="994" t="s">
        <v>218</v>
      </c>
      <c r="G97" s="996">
        <v>5200</v>
      </c>
      <c r="H97" s="996">
        <f t="shared" si="6"/>
        <v>4861.5218444000002</v>
      </c>
      <c r="I97" s="996">
        <f t="shared" si="10"/>
        <v>495875.22812879999</v>
      </c>
      <c r="J97" s="996">
        <v>2000</v>
      </c>
      <c r="K97" s="996">
        <f t="shared" si="11"/>
        <v>1869.816094</v>
      </c>
      <c r="L97" s="996">
        <f t="shared" si="13"/>
        <v>190721.241588</v>
      </c>
      <c r="M97" s="996">
        <f t="shared" si="14"/>
        <v>686596.46971680003</v>
      </c>
      <c r="N97" s="996"/>
      <c r="O97" s="976">
        <v>0.93490804699999996</v>
      </c>
    </row>
    <row r="98" spans="1:18" ht="18.95" customHeight="1">
      <c r="A98" s="1014">
        <v>2.17</v>
      </c>
      <c r="B98" s="1016" t="s">
        <v>306</v>
      </c>
      <c r="C98" s="1220" t="s">
        <v>307</v>
      </c>
      <c r="D98" s="1017"/>
      <c r="E98" s="993">
        <v>275</v>
      </c>
      <c r="F98" s="994" t="s">
        <v>218</v>
      </c>
      <c r="G98" s="996">
        <v>2100</v>
      </c>
      <c r="H98" s="996">
        <f t="shared" si="6"/>
        <v>1963.3068986999999</v>
      </c>
      <c r="I98" s="996">
        <f t="shared" si="10"/>
        <v>539909.39714250003</v>
      </c>
      <c r="J98" s="996">
        <v>1200</v>
      </c>
      <c r="K98" s="996">
        <f t="shared" si="11"/>
        <v>1121.8896563999999</v>
      </c>
      <c r="L98" s="996">
        <f t="shared" si="13"/>
        <v>308519.65550999995</v>
      </c>
      <c r="M98" s="996">
        <f t="shared" si="14"/>
        <v>848429.05265249999</v>
      </c>
      <c r="N98" s="996"/>
      <c r="O98" s="976">
        <v>0.93490804699999996</v>
      </c>
    </row>
    <row r="99" spans="1:18" ht="18.95" customHeight="1">
      <c r="A99" s="1014">
        <v>2.1800000000000002</v>
      </c>
      <c r="B99" s="1016" t="s">
        <v>308</v>
      </c>
      <c r="C99" s="1220" t="s">
        <v>307</v>
      </c>
      <c r="D99" s="1017"/>
      <c r="E99" s="993">
        <v>80</v>
      </c>
      <c r="F99" s="994" t="s">
        <v>218</v>
      </c>
      <c r="G99" s="996">
        <v>4500</v>
      </c>
      <c r="H99" s="996">
        <f t="shared" si="6"/>
        <v>4207.0862115</v>
      </c>
      <c r="I99" s="996">
        <f t="shared" si="10"/>
        <v>336566.89691999997</v>
      </c>
      <c r="J99" s="996">
        <v>2000</v>
      </c>
      <c r="K99" s="996">
        <f t="shared" si="11"/>
        <v>1869.816094</v>
      </c>
      <c r="L99" s="996">
        <f t="shared" si="13"/>
        <v>149585.28752000001</v>
      </c>
      <c r="M99" s="996">
        <f t="shared" si="14"/>
        <v>486152.18443999998</v>
      </c>
      <c r="N99" s="996"/>
      <c r="O99" s="976">
        <v>0.93490804699999996</v>
      </c>
    </row>
    <row r="100" spans="1:18" ht="18.95" customHeight="1">
      <c r="A100" s="1014">
        <v>2.19</v>
      </c>
      <c r="B100" s="1016" t="s">
        <v>309</v>
      </c>
      <c r="C100" s="1220" t="s">
        <v>310</v>
      </c>
      <c r="D100" s="1017"/>
      <c r="E100" s="993" t="s">
        <v>311</v>
      </c>
      <c r="F100" s="994"/>
      <c r="G100" s="996"/>
      <c r="H100" s="996"/>
      <c r="I100" s="996"/>
      <c r="J100" s="996"/>
      <c r="K100" s="996"/>
      <c r="L100" s="996"/>
      <c r="M100" s="996"/>
      <c r="N100" s="996"/>
      <c r="O100" s="976">
        <v>0.93490804699999996</v>
      </c>
    </row>
    <row r="101" spans="1:18" ht="18.95" customHeight="1">
      <c r="A101" s="1014"/>
      <c r="B101" s="1016" t="s">
        <v>312</v>
      </c>
      <c r="C101" s="1220"/>
      <c r="D101" s="1017"/>
      <c r="E101" s="993"/>
      <c r="F101" s="994"/>
      <c r="G101" s="996"/>
      <c r="H101" s="996"/>
      <c r="I101" s="996"/>
      <c r="J101" s="996"/>
      <c r="K101" s="996"/>
      <c r="L101" s="996"/>
      <c r="M101" s="996"/>
      <c r="N101" s="996"/>
      <c r="O101" s="976">
        <v>0.93490804699999996</v>
      </c>
    </row>
    <row r="102" spans="1:18" ht="18.95" customHeight="1">
      <c r="A102" s="1014">
        <v>2.2000000000000002</v>
      </c>
      <c r="B102" s="1016" t="s">
        <v>313</v>
      </c>
      <c r="C102" s="1220" t="s">
        <v>314</v>
      </c>
      <c r="D102" s="1017"/>
      <c r="E102" s="993" t="s">
        <v>315</v>
      </c>
      <c r="F102" s="994"/>
      <c r="G102" s="996"/>
      <c r="H102" s="996"/>
      <c r="I102" s="996"/>
      <c r="J102" s="996"/>
      <c r="K102" s="996"/>
      <c r="L102" s="996"/>
      <c r="M102" s="996"/>
      <c r="N102" s="996"/>
      <c r="O102" s="976">
        <v>0.93490804699999996</v>
      </c>
    </row>
    <row r="103" spans="1:18" ht="18.95" customHeight="1">
      <c r="A103" s="1014">
        <v>2.21</v>
      </c>
      <c r="B103" s="1016" t="s">
        <v>316</v>
      </c>
      <c r="C103" s="1220" t="s">
        <v>317</v>
      </c>
      <c r="D103" s="1017"/>
      <c r="E103" s="993">
        <v>106</v>
      </c>
      <c r="F103" s="994" t="s">
        <v>218</v>
      </c>
      <c r="G103" s="996">
        <v>1230</v>
      </c>
      <c r="H103" s="996">
        <f t="shared" si="6"/>
        <v>1149.9368978099999</v>
      </c>
      <c r="I103" s="996">
        <f t="shared" si="10"/>
        <v>121893.31116785998</v>
      </c>
      <c r="J103" s="996">
        <v>350</v>
      </c>
      <c r="K103" s="996">
        <f t="shared" ref="K103" si="15">J103*O103</f>
        <v>327.21781644999999</v>
      </c>
      <c r="L103" s="996">
        <f t="shared" ref="L103" si="16">K103*E103</f>
        <v>34685.088543699996</v>
      </c>
      <c r="M103" s="996">
        <f>SUM(L103+I103)</f>
        <v>156578.39971155999</v>
      </c>
      <c r="N103" s="996"/>
      <c r="O103" s="976">
        <v>0.93490804699999996</v>
      </c>
      <c r="Q103" s="293" t="s">
        <v>231</v>
      </c>
    </row>
    <row r="104" spans="1:18" ht="18.95" customHeight="1">
      <c r="A104" s="1014"/>
      <c r="B104" s="1016"/>
      <c r="C104" s="1220"/>
      <c r="D104" s="1017"/>
      <c r="E104" s="993"/>
      <c r="F104" s="994"/>
      <c r="G104" s="996"/>
      <c r="H104" s="996"/>
      <c r="I104" s="996"/>
      <c r="J104" s="996"/>
      <c r="K104" s="996"/>
      <c r="L104" s="996"/>
      <c r="M104" s="996"/>
      <c r="N104" s="996"/>
      <c r="O104" s="976">
        <v>0.93490804699999996</v>
      </c>
    </row>
    <row r="105" spans="1:18" ht="18.95" customHeight="1">
      <c r="A105" s="1014"/>
      <c r="B105" s="1016"/>
      <c r="C105" s="1220"/>
      <c r="D105" s="1017"/>
      <c r="E105" s="993"/>
      <c r="F105" s="994"/>
      <c r="G105" s="996"/>
      <c r="H105" s="996"/>
      <c r="I105" s="996"/>
      <c r="J105" s="996"/>
      <c r="K105" s="996"/>
      <c r="L105" s="996"/>
      <c r="M105" s="996"/>
      <c r="N105" s="996"/>
      <c r="O105" s="976">
        <v>0.93490804699999996</v>
      </c>
    </row>
    <row r="106" spans="1:18" s="862" customFormat="1" ht="18.95" customHeight="1">
      <c r="A106" s="1014">
        <v>2.2200000000000002</v>
      </c>
      <c r="B106" s="1016" t="s">
        <v>318</v>
      </c>
      <c r="C106" s="1220" t="s">
        <v>319</v>
      </c>
      <c r="D106" s="1017"/>
      <c r="E106" s="993">
        <v>9</v>
      </c>
      <c r="F106" s="994" t="s">
        <v>218</v>
      </c>
      <c r="G106" s="996">
        <v>750</v>
      </c>
      <c r="H106" s="996">
        <f t="shared" si="6"/>
        <v>701.18103524999992</v>
      </c>
      <c r="I106" s="996">
        <f t="shared" si="10"/>
        <v>6310.6293172499991</v>
      </c>
      <c r="J106" s="996">
        <v>280</v>
      </c>
      <c r="K106" s="996">
        <f t="shared" ref="K106" si="17">J106*O106</f>
        <v>261.77425316</v>
      </c>
      <c r="L106" s="996">
        <f t="shared" ref="L106" si="18">K106*E106</f>
        <v>2355.9682784400002</v>
      </c>
      <c r="M106" s="996">
        <f>SUM(L106+I106)</f>
        <v>8666.5975956900002</v>
      </c>
      <c r="N106" s="996"/>
      <c r="O106" s="976">
        <v>0.93490804699999996</v>
      </c>
      <c r="P106" s="976"/>
      <c r="Q106" s="293" t="s">
        <v>231</v>
      </c>
      <c r="R106" s="293"/>
    </row>
    <row r="107" spans="1:18" ht="18.95" customHeight="1">
      <c r="A107" s="1014">
        <v>2.23</v>
      </c>
      <c r="B107" s="1016" t="s">
        <v>320</v>
      </c>
      <c r="C107" s="1220" t="s">
        <v>321</v>
      </c>
      <c r="D107" s="1017"/>
      <c r="E107" s="993" t="s">
        <v>315</v>
      </c>
      <c r="F107" s="994"/>
      <c r="G107" s="996"/>
      <c r="H107" s="996"/>
      <c r="I107" s="996"/>
      <c r="J107" s="996"/>
      <c r="K107" s="996"/>
      <c r="L107" s="996"/>
      <c r="M107" s="996"/>
      <c r="N107" s="996"/>
      <c r="O107" s="976">
        <v>0.93490804699999996</v>
      </c>
    </row>
    <row r="108" spans="1:18" ht="18.95" customHeight="1">
      <c r="A108" s="1014"/>
      <c r="B108" s="1016"/>
      <c r="C108" s="1220" t="s">
        <v>322</v>
      </c>
      <c r="D108" s="1017"/>
      <c r="E108" s="993"/>
      <c r="F108" s="994"/>
      <c r="G108" s="996"/>
      <c r="H108" s="996"/>
      <c r="I108" s="996"/>
      <c r="J108" s="996"/>
      <c r="K108" s="996"/>
      <c r="L108" s="996"/>
      <c r="M108" s="996"/>
      <c r="N108" s="996"/>
      <c r="O108" s="976">
        <v>0.93490804699999996</v>
      </c>
    </row>
    <row r="109" spans="1:18" ht="18.95" customHeight="1">
      <c r="A109" s="1014">
        <v>2.2400000000000002</v>
      </c>
      <c r="B109" s="1016" t="s">
        <v>323</v>
      </c>
      <c r="C109" s="1220" t="s">
        <v>324</v>
      </c>
      <c r="D109" s="1017"/>
      <c r="E109" s="993">
        <v>973</v>
      </c>
      <c r="F109" s="994" t="s">
        <v>218</v>
      </c>
      <c r="G109" s="996">
        <v>487</v>
      </c>
      <c r="H109" s="996">
        <f t="shared" si="6"/>
        <v>455.30021888900001</v>
      </c>
      <c r="I109" s="996">
        <f t="shared" si="10"/>
        <v>443007.112978997</v>
      </c>
      <c r="J109" s="996">
        <v>130</v>
      </c>
      <c r="K109" s="996">
        <f t="shared" ref="K109" si="19">J109*O109</f>
        <v>121.53804611</v>
      </c>
      <c r="L109" s="996">
        <f t="shared" ref="L109" si="20">K109*E109</f>
        <v>118256.51886503</v>
      </c>
      <c r="M109" s="996">
        <f>SUM(I109,L109)</f>
        <v>561263.63184402697</v>
      </c>
      <c r="N109" s="996"/>
      <c r="O109" s="976">
        <v>0.93490804699999996</v>
      </c>
    </row>
    <row r="110" spans="1:18" ht="18.95" customHeight="1">
      <c r="A110" s="1014"/>
      <c r="B110" s="1016"/>
      <c r="C110" s="1220" t="s">
        <v>325</v>
      </c>
      <c r="D110" s="1017"/>
      <c r="E110" s="993"/>
      <c r="F110" s="994"/>
      <c r="G110" s="996"/>
      <c r="H110" s="996"/>
      <c r="I110" s="996"/>
      <c r="J110" s="996"/>
      <c r="K110" s="996"/>
      <c r="L110" s="996"/>
      <c r="M110" s="996"/>
      <c r="N110" s="996"/>
      <c r="O110" s="976">
        <v>0.93490804699999996</v>
      </c>
    </row>
    <row r="111" spans="1:18" ht="18.95" customHeight="1">
      <c r="A111" s="1014"/>
      <c r="B111" s="1016" t="s">
        <v>326</v>
      </c>
      <c r="C111" s="1220"/>
      <c r="D111" s="1017"/>
      <c r="E111" s="993"/>
      <c r="F111" s="994"/>
      <c r="G111" s="996"/>
      <c r="H111" s="996"/>
      <c r="I111" s="996"/>
      <c r="J111" s="996"/>
      <c r="K111" s="996"/>
      <c r="L111" s="996"/>
      <c r="M111" s="996"/>
      <c r="N111" s="996"/>
      <c r="O111" s="976">
        <v>0.93490804699999996</v>
      </c>
    </row>
    <row r="112" spans="1:18" ht="18.95" customHeight="1">
      <c r="A112" s="1014">
        <v>2.25</v>
      </c>
      <c r="B112" s="1016" t="s">
        <v>327</v>
      </c>
      <c r="C112" s="1220" t="s">
        <v>328</v>
      </c>
      <c r="D112" s="1017"/>
      <c r="E112" s="993">
        <v>27</v>
      </c>
      <c r="F112" s="994" t="s">
        <v>218</v>
      </c>
      <c r="G112" s="996">
        <v>640</v>
      </c>
      <c r="H112" s="996">
        <f t="shared" ref="H112:H173" si="21">G112*O112</f>
        <v>598.34115008000003</v>
      </c>
      <c r="I112" s="996">
        <f t="shared" si="10"/>
        <v>16155.211052160001</v>
      </c>
      <c r="J112" s="996">
        <v>320</v>
      </c>
      <c r="K112" s="996">
        <f t="shared" ref="K112:K114" si="22">J112*O112</f>
        <v>299.17057504000002</v>
      </c>
      <c r="L112" s="996">
        <f t="shared" ref="L112:L113" si="23">K112*E112</f>
        <v>8077.6055260800003</v>
      </c>
      <c r="M112" s="996">
        <f>SUM(L112+I112)</f>
        <v>24232.816578240003</v>
      </c>
      <c r="N112" s="996"/>
      <c r="O112" s="976">
        <v>0.93490804699999996</v>
      </c>
    </row>
    <row r="113" spans="1:18" ht="18.95" customHeight="1">
      <c r="A113" s="1014">
        <v>2.2599999999999998</v>
      </c>
      <c r="B113" s="1016" t="s">
        <v>329</v>
      </c>
      <c r="C113" s="1220" t="s">
        <v>317</v>
      </c>
      <c r="D113" s="1017"/>
      <c r="E113" s="993">
        <v>307</v>
      </c>
      <c r="F113" s="994" t="s">
        <v>218</v>
      </c>
      <c r="G113" s="996">
        <v>1230</v>
      </c>
      <c r="H113" s="996">
        <f t="shared" si="21"/>
        <v>1149.9368978099999</v>
      </c>
      <c r="I113" s="996">
        <f t="shared" si="10"/>
        <v>353030.62762766995</v>
      </c>
      <c r="J113" s="996">
        <v>350</v>
      </c>
      <c r="K113" s="996">
        <f t="shared" si="22"/>
        <v>327.21781644999999</v>
      </c>
      <c r="L113" s="996">
        <f t="shared" si="23"/>
        <v>100455.86965014999</v>
      </c>
      <c r="M113" s="996">
        <f>SUM(L113+I113)</f>
        <v>453486.49727781996</v>
      </c>
      <c r="N113" s="996"/>
      <c r="O113" s="976">
        <v>0.93490804699999996</v>
      </c>
      <c r="Q113" s="293" t="s">
        <v>231</v>
      </c>
    </row>
    <row r="114" spans="1:18" s="862" customFormat="1" ht="18.95" customHeight="1">
      <c r="A114" s="1014">
        <v>2.27</v>
      </c>
      <c r="B114" s="1016" t="s">
        <v>330</v>
      </c>
      <c r="C114" s="1220" t="s">
        <v>319</v>
      </c>
      <c r="D114" s="1017"/>
      <c r="E114" s="993">
        <v>701</v>
      </c>
      <c r="F114" s="994" t="s">
        <v>218</v>
      </c>
      <c r="G114" s="996">
        <v>750</v>
      </c>
      <c r="H114" s="996">
        <f t="shared" si="21"/>
        <v>701.18103524999992</v>
      </c>
      <c r="I114" s="996">
        <f>H114*E114</f>
        <v>491527.90571024996</v>
      </c>
      <c r="J114" s="996">
        <v>280</v>
      </c>
      <c r="K114" s="996">
        <f t="shared" si="22"/>
        <v>261.77425316</v>
      </c>
      <c r="L114" s="996">
        <f>K114*E114</f>
        <v>183503.75146515999</v>
      </c>
      <c r="M114" s="996">
        <f>SUM(L114+I114)</f>
        <v>675031.65717540996</v>
      </c>
      <c r="N114" s="996"/>
      <c r="O114" s="976">
        <v>0.93490804699999996</v>
      </c>
      <c r="P114" s="976"/>
      <c r="Q114" s="293" t="s">
        <v>331</v>
      </c>
      <c r="R114" s="293" t="s">
        <v>231</v>
      </c>
    </row>
    <row r="115" spans="1:18" ht="18.95" customHeight="1">
      <c r="A115" s="1014">
        <v>2.2799999999999998</v>
      </c>
      <c r="B115" s="1016" t="s">
        <v>332</v>
      </c>
      <c r="C115" s="1220" t="s">
        <v>333</v>
      </c>
      <c r="D115" s="1017"/>
      <c r="E115" s="993" t="s">
        <v>315</v>
      </c>
      <c r="F115" s="994"/>
      <c r="G115" s="996"/>
      <c r="H115" s="996"/>
      <c r="I115" s="996"/>
      <c r="J115" s="996"/>
      <c r="K115" s="996"/>
      <c r="L115" s="996"/>
      <c r="M115" s="996"/>
      <c r="N115" s="996"/>
      <c r="O115" s="976">
        <v>0.93490804699999996</v>
      </c>
    </row>
    <row r="116" spans="1:18" ht="18.95" customHeight="1">
      <c r="A116" s="1014"/>
      <c r="B116" s="1016"/>
      <c r="C116" s="1220" t="s">
        <v>322</v>
      </c>
      <c r="D116" s="1017"/>
      <c r="E116" s="993"/>
      <c r="F116" s="994"/>
      <c r="G116" s="996"/>
      <c r="H116" s="996"/>
      <c r="I116" s="996"/>
      <c r="J116" s="996"/>
      <c r="K116" s="996"/>
      <c r="L116" s="996"/>
      <c r="M116" s="996"/>
      <c r="N116" s="996"/>
      <c r="O116" s="976">
        <v>0.93490804699999996</v>
      </c>
    </row>
    <row r="117" spans="1:18" ht="18.95" customHeight="1">
      <c r="A117" s="1014">
        <v>2.29</v>
      </c>
      <c r="B117" s="1016" t="s">
        <v>334</v>
      </c>
      <c r="C117" s="1220" t="s">
        <v>335</v>
      </c>
      <c r="D117" s="1017"/>
      <c r="E117" s="993" t="s">
        <v>336</v>
      </c>
      <c r="F117" s="994"/>
      <c r="G117" s="996"/>
      <c r="H117" s="996"/>
      <c r="I117" s="996"/>
      <c r="J117" s="996"/>
      <c r="K117" s="996"/>
      <c r="L117" s="996"/>
      <c r="M117" s="996"/>
      <c r="N117" s="996"/>
      <c r="O117" s="976">
        <v>0.93490804699999996</v>
      </c>
    </row>
    <row r="118" spans="1:18" ht="18.95" customHeight="1">
      <c r="A118" s="1014">
        <v>2.2999999999999998</v>
      </c>
      <c r="B118" s="1016" t="s">
        <v>337</v>
      </c>
      <c r="C118" s="1220" t="s">
        <v>338</v>
      </c>
      <c r="D118" s="1017"/>
      <c r="E118" s="993" t="s">
        <v>315</v>
      </c>
      <c r="F118" s="994"/>
      <c r="G118" s="996"/>
      <c r="H118" s="996"/>
      <c r="I118" s="996"/>
      <c r="J118" s="996"/>
      <c r="K118" s="996"/>
      <c r="L118" s="996"/>
      <c r="M118" s="996"/>
      <c r="N118" s="996"/>
      <c r="O118" s="976">
        <v>0.93490804699999996</v>
      </c>
    </row>
    <row r="119" spans="1:18" ht="18.95" customHeight="1">
      <c r="A119" s="1014"/>
      <c r="B119" s="1016" t="s">
        <v>339</v>
      </c>
      <c r="C119" s="1220"/>
      <c r="D119" s="1017"/>
      <c r="E119" s="993"/>
      <c r="F119" s="994"/>
      <c r="G119" s="996"/>
      <c r="H119" s="996"/>
      <c r="I119" s="996"/>
      <c r="J119" s="996"/>
      <c r="K119" s="996"/>
      <c r="L119" s="996"/>
      <c r="M119" s="996"/>
      <c r="N119" s="996"/>
      <c r="O119" s="976">
        <v>0.93490804699999996</v>
      </c>
    </row>
    <row r="120" spans="1:18" ht="18.95" customHeight="1">
      <c r="A120" s="1014"/>
      <c r="B120" s="1016" t="s">
        <v>340</v>
      </c>
      <c r="C120" s="1220"/>
      <c r="D120" s="1017"/>
      <c r="E120" s="993"/>
      <c r="F120" s="994"/>
      <c r="G120" s="996"/>
      <c r="H120" s="996"/>
      <c r="I120" s="996"/>
      <c r="J120" s="996"/>
      <c r="K120" s="996"/>
      <c r="L120" s="996"/>
      <c r="M120" s="996"/>
      <c r="N120" s="996"/>
      <c r="O120" s="976">
        <v>0.93490804699999996</v>
      </c>
    </row>
    <row r="121" spans="1:18" ht="18.95" customHeight="1">
      <c r="A121" s="1014">
        <v>2.31</v>
      </c>
      <c r="B121" s="1016" t="s">
        <v>341</v>
      </c>
      <c r="C121" s="1220"/>
      <c r="D121" s="1017"/>
      <c r="E121" s="993"/>
      <c r="F121" s="994"/>
      <c r="G121" s="996"/>
      <c r="H121" s="996"/>
      <c r="I121" s="996"/>
      <c r="J121" s="996"/>
      <c r="K121" s="996"/>
      <c r="L121" s="996"/>
      <c r="M121" s="996"/>
      <c r="N121" s="996"/>
      <c r="O121" s="976">
        <v>0.93490804699999996</v>
      </c>
    </row>
    <row r="122" spans="1:18" ht="18.95" customHeight="1">
      <c r="A122" s="1014"/>
      <c r="B122" s="1016" t="s">
        <v>245</v>
      </c>
      <c r="C122" s="1220" t="s">
        <v>342</v>
      </c>
      <c r="D122" s="1017"/>
      <c r="E122" s="993">
        <v>50</v>
      </c>
      <c r="F122" s="994" t="s">
        <v>218</v>
      </c>
      <c r="G122" s="996">
        <v>4500</v>
      </c>
      <c r="H122" s="996">
        <f t="shared" si="21"/>
        <v>4207.0862115</v>
      </c>
      <c r="I122" s="996">
        <f t="shared" si="10"/>
        <v>210354.31057500001</v>
      </c>
      <c r="J122" s="996">
        <v>850</v>
      </c>
      <c r="K122" s="996">
        <f t="shared" ref="K122" si="24">J122*O122</f>
        <v>794.67183994999994</v>
      </c>
      <c r="L122" s="996">
        <f t="shared" ref="L122" si="25">K122*E122</f>
        <v>39733.5919975</v>
      </c>
      <c r="M122" s="996">
        <f>SUM(I122,L122)</f>
        <v>250087.9025725</v>
      </c>
      <c r="N122" s="996"/>
      <c r="O122" s="976">
        <v>0.93490804699999996</v>
      </c>
    </row>
    <row r="123" spans="1:18" ht="18.95" customHeight="1">
      <c r="A123" s="1014"/>
      <c r="B123" s="1016" t="s">
        <v>245</v>
      </c>
      <c r="C123" s="1220" t="s">
        <v>343</v>
      </c>
      <c r="D123" s="1017"/>
      <c r="E123" s="993" t="s">
        <v>344</v>
      </c>
      <c r="F123" s="994"/>
      <c r="G123" s="996"/>
      <c r="H123" s="996"/>
      <c r="I123" s="996"/>
      <c r="J123" s="996"/>
      <c r="K123" s="996"/>
      <c r="L123" s="996"/>
      <c r="M123" s="996"/>
      <c r="N123" s="996"/>
      <c r="O123" s="976">
        <v>0.93490804699999996</v>
      </c>
    </row>
    <row r="124" spans="1:18" ht="18.95" customHeight="1">
      <c r="A124" s="1014"/>
      <c r="B124" s="1016" t="s">
        <v>245</v>
      </c>
      <c r="C124" s="1220" t="s">
        <v>345</v>
      </c>
      <c r="D124" s="1017"/>
      <c r="E124" s="993" t="s">
        <v>344</v>
      </c>
      <c r="F124" s="994"/>
      <c r="G124" s="996"/>
      <c r="H124" s="996"/>
      <c r="I124" s="996"/>
      <c r="J124" s="996"/>
      <c r="K124" s="996"/>
      <c r="L124" s="996"/>
      <c r="M124" s="996"/>
      <c r="N124" s="996"/>
      <c r="O124" s="976">
        <v>0.93490804699999996</v>
      </c>
    </row>
    <row r="125" spans="1:18" ht="18.95" customHeight="1">
      <c r="A125" s="1014"/>
      <c r="B125" s="1016" t="s">
        <v>245</v>
      </c>
      <c r="C125" s="1220" t="s">
        <v>346</v>
      </c>
      <c r="D125" s="1017"/>
      <c r="E125" s="993">
        <v>973</v>
      </c>
      <c r="F125" s="994" t="s">
        <v>218</v>
      </c>
      <c r="G125" s="996">
        <v>243</v>
      </c>
      <c r="H125" s="996">
        <f t="shared" si="21"/>
        <v>227.18265542099999</v>
      </c>
      <c r="I125" s="996">
        <f t="shared" si="10"/>
        <v>221048.72372463299</v>
      </c>
      <c r="J125" s="996">
        <v>25</v>
      </c>
      <c r="K125" s="996">
        <f t="shared" ref="K125:K128" si="26">J125*O125</f>
        <v>23.372701175</v>
      </c>
      <c r="L125" s="996">
        <f t="shared" ref="L125:L128" si="27">K125*E125</f>
        <v>22741.638243275</v>
      </c>
      <c r="M125" s="996">
        <f>SUM(I125,L125)</f>
        <v>243790.36196790799</v>
      </c>
      <c r="N125" s="996"/>
      <c r="O125" s="976">
        <v>0.93490804699999996</v>
      </c>
    </row>
    <row r="126" spans="1:18" ht="18.95" customHeight="1">
      <c r="A126" s="1014"/>
      <c r="B126" s="1016" t="s">
        <v>245</v>
      </c>
      <c r="C126" s="1220" t="s">
        <v>347</v>
      </c>
      <c r="D126" s="1017"/>
      <c r="E126" s="993">
        <v>997</v>
      </c>
      <c r="F126" s="994" t="s">
        <v>348</v>
      </c>
      <c r="G126" s="996">
        <v>26</v>
      </c>
      <c r="H126" s="996">
        <f t="shared" si="21"/>
        <v>24.307609222</v>
      </c>
      <c r="I126" s="996">
        <f t="shared" si="10"/>
        <v>24234.686394333999</v>
      </c>
      <c r="J126" s="996">
        <v>12</v>
      </c>
      <c r="K126" s="996">
        <f t="shared" si="26"/>
        <v>11.218896564</v>
      </c>
      <c r="L126" s="996">
        <f t="shared" si="27"/>
        <v>11185.239874307999</v>
      </c>
      <c r="M126" s="996">
        <f>SUM(I126,L126)</f>
        <v>35419.926268641997</v>
      </c>
      <c r="N126" s="996"/>
      <c r="O126" s="976">
        <v>0.93490804699999996</v>
      </c>
    </row>
    <row r="127" spans="1:18" ht="18.95" customHeight="1">
      <c r="A127" s="1014"/>
      <c r="B127" s="1016" t="s">
        <v>245</v>
      </c>
      <c r="C127" s="1220" t="s">
        <v>349</v>
      </c>
      <c r="D127" s="1017"/>
      <c r="E127" s="993">
        <v>41</v>
      </c>
      <c r="F127" s="994" t="s">
        <v>348</v>
      </c>
      <c r="G127" s="996">
        <v>26</v>
      </c>
      <c r="H127" s="996">
        <f t="shared" si="21"/>
        <v>24.307609222</v>
      </c>
      <c r="I127" s="996">
        <f t="shared" si="10"/>
        <v>996.61197810199997</v>
      </c>
      <c r="J127" s="996">
        <v>12</v>
      </c>
      <c r="K127" s="996">
        <f t="shared" si="26"/>
        <v>11.218896564</v>
      </c>
      <c r="L127" s="996">
        <f t="shared" si="27"/>
        <v>459.974759124</v>
      </c>
      <c r="M127" s="996">
        <f>SUM(I127,L127)</f>
        <v>1456.586737226</v>
      </c>
      <c r="N127" s="996"/>
      <c r="O127" s="976">
        <v>0.93490804699999996</v>
      </c>
    </row>
    <row r="128" spans="1:18" ht="18.95" customHeight="1">
      <c r="A128" s="1014"/>
      <c r="B128" s="1016" t="s">
        <v>245</v>
      </c>
      <c r="C128" s="1220" t="s">
        <v>350</v>
      </c>
      <c r="D128" s="1017"/>
      <c r="E128" s="993">
        <v>1</v>
      </c>
      <c r="F128" s="994" t="s">
        <v>351</v>
      </c>
      <c r="G128" s="996">
        <v>2000</v>
      </c>
      <c r="H128" s="996">
        <f t="shared" si="21"/>
        <v>1869.816094</v>
      </c>
      <c r="I128" s="996">
        <f t="shared" si="10"/>
        <v>1869.816094</v>
      </c>
      <c r="J128" s="996">
        <v>1200</v>
      </c>
      <c r="K128" s="996">
        <f t="shared" si="26"/>
        <v>1121.8896563999999</v>
      </c>
      <c r="L128" s="996">
        <f t="shared" si="27"/>
        <v>1121.8896563999999</v>
      </c>
      <c r="M128" s="996">
        <f>SUM(I128,L128)</f>
        <v>2991.7057503999999</v>
      </c>
      <c r="N128" s="996"/>
      <c r="O128" s="976">
        <v>0.93490804699999996</v>
      </c>
    </row>
    <row r="129" spans="1:16" ht="18.95" customHeight="1">
      <c r="A129" s="1014"/>
      <c r="B129" s="1016" t="s">
        <v>352</v>
      </c>
      <c r="C129" s="1220" t="s">
        <v>353</v>
      </c>
      <c r="D129" s="1017"/>
      <c r="E129" s="993" t="s">
        <v>354</v>
      </c>
      <c r="F129" s="994"/>
      <c r="G129" s="996"/>
      <c r="H129" s="996"/>
      <c r="I129" s="996"/>
      <c r="J129" s="996"/>
      <c r="K129" s="996"/>
      <c r="L129" s="996"/>
      <c r="M129" s="996"/>
      <c r="N129" s="996"/>
      <c r="O129" s="976">
        <v>0.93490804699999996</v>
      </c>
    </row>
    <row r="130" spans="1:16" ht="18.95" customHeight="1">
      <c r="A130" s="1014">
        <v>2.4300000000000002</v>
      </c>
      <c r="B130" s="1016" t="s">
        <v>355</v>
      </c>
      <c r="C130" s="1220"/>
      <c r="D130" s="1017"/>
      <c r="E130" s="993"/>
      <c r="F130" s="994"/>
      <c r="G130" s="996"/>
      <c r="H130" s="996"/>
      <c r="I130" s="996"/>
      <c r="J130" s="996"/>
      <c r="K130" s="996"/>
      <c r="L130" s="996"/>
      <c r="M130" s="996"/>
      <c r="N130" s="996"/>
      <c r="O130" s="976">
        <v>0.93490804699999996</v>
      </c>
    </row>
    <row r="131" spans="1:16" ht="18.95" customHeight="1">
      <c r="A131" s="1014"/>
      <c r="B131" s="1016" t="s">
        <v>245</v>
      </c>
      <c r="C131" s="1220" t="s">
        <v>356</v>
      </c>
      <c r="D131" s="1017"/>
      <c r="E131" s="993">
        <v>765</v>
      </c>
      <c r="F131" s="994" t="s">
        <v>276</v>
      </c>
      <c r="G131" s="996">
        <v>350</v>
      </c>
      <c r="H131" s="996">
        <f t="shared" si="21"/>
        <v>327.21781644999999</v>
      </c>
      <c r="I131" s="996">
        <f t="shared" si="10"/>
        <v>250321.62958424998</v>
      </c>
      <c r="J131" s="996">
        <v>150</v>
      </c>
      <c r="K131" s="996">
        <f t="shared" ref="K131" si="28">J131*O131</f>
        <v>140.23620704999999</v>
      </c>
      <c r="L131" s="996">
        <f t="shared" ref="L131" si="29">K131*E131</f>
        <v>107280.69839324999</v>
      </c>
      <c r="M131" s="996">
        <f>SUM(I131,L131)</f>
        <v>357602.32797749998</v>
      </c>
      <c r="N131" s="996"/>
      <c r="O131" s="976">
        <v>0.93490804699999996</v>
      </c>
    </row>
    <row r="132" spans="1:16" ht="18.95" customHeight="1">
      <c r="A132" s="1014"/>
      <c r="B132" s="1016"/>
      <c r="C132" s="1220"/>
      <c r="D132" s="1017"/>
      <c r="E132" s="993"/>
      <c r="F132" s="994"/>
      <c r="G132" s="996"/>
      <c r="H132" s="996"/>
      <c r="I132" s="996"/>
      <c r="J132" s="996"/>
      <c r="K132" s="996"/>
      <c r="L132" s="996"/>
      <c r="M132" s="996"/>
      <c r="N132" s="996"/>
      <c r="O132" s="976">
        <v>0.93490804699999996</v>
      </c>
    </row>
    <row r="133" spans="1:16" ht="18.95" customHeight="1">
      <c r="A133" s="1014"/>
      <c r="B133" s="1016"/>
      <c r="C133" s="1220"/>
      <c r="D133" s="1017"/>
      <c r="E133" s="993"/>
      <c r="F133" s="994"/>
      <c r="G133" s="996"/>
      <c r="H133" s="996"/>
      <c r="I133" s="996"/>
      <c r="J133" s="996"/>
      <c r="K133" s="996"/>
      <c r="L133" s="996"/>
      <c r="M133" s="996"/>
      <c r="N133" s="996"/>
      <c r="O133" s="976">
        <v>0.93490804699999996</v>
      </c>
    </row>
    <row r="134" spans="1:16" ht="18.95" customHeight="1">
      <c r="A134" s="1014">
        <v>2.44</v>
      </c>
      <c r="B134" s="1016"/>
      <c r="C134" s="1220" t="s">
        <v>357</v>
      </c>
      <c r="D134" s="1017"/>
      <c r="E134" s="993">
        <v>1</v>
      </c>
      <c r="F134" s="994" t="s">
        <v>351</v>
      </c>
      <c r="G134" s="996">
        <v>25000</v>
      </c>
      <c r="H134" s="996">
        <f t="shared" si="21"/>
        <v>23372.701174999998</v>
      </c>
      <c r="I134" s="996">
        <f t="shared" si="10"/>
        <v>23372.701174999998</v>
      </c>
      <c r="J134" s="996">
        <v>12500</v>
      </c>
      <c r="K134" s="996">
        <f t="shared" ref="K134" si="30">J134*O134</f>
        <v>11686.350587499999</v>
      </c>
      <c r="L134" s="996">
        <f t="shared" ref="L134" si="31">K134*E134</f>
        <v>11686.350587499999</v>
      </c>
      <c r="M134" s="996">
        <f>SUM(I134,L134)</f>
        <v>35059.051762499999</v>
      </c>
      <c r="N134" s="996"/>
      <c r="O134" s="976">
        <v>0.93490804699999996</v>
      </c>
    </row>
    <row r="135" spans="1:16" ht="18.95" customHeight="1">
      <c r="A135" s="1014">
        <v>2.4500000000000002</v>
      </c>
      <c r="B135" s="1016" t="s">
        <v>335</v>
      </c>
      <c r="C135" s="1220"/>
      <c r="D135" s="1017"/>
      <c r="E135" s="993"/>
      <c r="F135" s="994"/>
      <c r="G135" s="996"/>
      <c r="H135" s="996"/>
      <c r="I135" s="996"/>
      <c r="J135" s="996"/>
      <c r="K135" s="996"/>
      <c r="L135" s="996"/>
      <c r="M135" s="996"/>
      <c r="N135" s="996"/>
      <c r="O135" s="976">
        <v>0.93490804699999996</v>
      </c>
    </row>
    <row r="136" spans="1:16" ht="18.95" customHeight="1">
      <c r="A136" s="1014"/>
      <c r="B136" s="1016" t="s">
        <v>245</v>
      </c>
      <c r="C136" s="1220" t="s">
        <v>358</v>
      </c>
      <c r="D136" s="1017"/>
      <c r="E136" s="993">
        <v>5327</v>
      </c>
      <c r="F136" s="994" t="s">
        <v>218</v>
      </c>
      <c r="G136" s="996">
        <v>30</v>
      </c>
      <c r="H136" s="996">
        <f t="shared" si="21"/>
        <v>28.047241409999998</v>
      </c>
      <c r="I136" s="996">
        <f t="shared" si="10"/>
        <v>149407.65499106998</v>
      </c>
      <c r="J136" s="996">
        <v>28</v>
      </c>
      <c r="K136" s="996">
        <f t="shared" ref="K136:K137" si="32">J136*O136</f>
        <v>26.177425315999997</v>
      </c>
      <c r="L136" s="996">
        <f>K136*E136</f>
        <v>139447.14465833199</v>
      </c>
      <c r="M136" s="996">
        <f>SUM(I136,L136)</f>
        <v>288854.79964940198</v>
      </c>
      <c r="N136" s="996"/>
      <c r="O136" s="976">
        <v>0.93490804699999996</v>
      </c>
    </row>
    <row r="137" spans="1:16" ht="18.95" customHeight="1">
      <c r="A137" s="1014"/>
      <c r="B137" s="1016" t="s">
        <v>245</v>
      </c>
      <c r="C137" s="1220" t="s">
        <v>359</v>
      </c>
      <c r="D137" s="1017"/>
      <c r="E137" s="993">
        <v>3610</v>
      </c>
      <c r="F137" s="994" t="s">
        <v>218</v>
      </c>
      <c r="G137" s="996">
        <v>45</v>
      </c>
      <c r="H137" s="996">
        <f t="shared" si="21"/>
        <v>42.070862114999997</v>
      </c>
      <c r="I137" s="996">
        <f t="shared" si="10"/>
        <v>151875.81223514999</v>
      </c>
      <c r="J137" s="996">
        <v>31</v>
      </c>
      <c r="K137" s="996">
        <f t="shared" si="32"/>
        <v>28.982149456999998</v>
      </c>
      <c r="L137" s="996">
        <f t="shared" ref="L137" si="33">K137*E137</f>
        <v>104625.55953976999</v>
      </c>
      <c r="M137" s="996">
        <f>SUM(I137,L137)</f>
        <v>256501.37177491997</v>
      </c>
      <c r="N137" s="996"/>
      <c r="O137" s="976">
        <v>0.93490804699999996</v>
      </c>
    </row>
    <row r="138" spans="1:16" ht="18.95" customHeight="1">
      <c r="A138" s="990"/>
      <c r="B138" s="1069"/>
      <c r="C138" s="1230"/>
      <c r="D138" s="1068"/>
      <c r="E138" s="993"/>
      <c r="F138" s="994"/>
      <c r="G138" s="993"/>
      <c r="H138" s="996"/>
      <c r="I138" s="996"/>
      <c r="J138" s="993"/>
      <c r="K138" s="993"/>
      <c r="L138" s="995"/>
      <c r="M138" s="993"/>
      <c r="N138" s="994"/>
      <c r="O138" s="981">
        <v>0.93490804699999996</v>
      </c>
      <c r="P138" s="973"/>
    </row>
    <row r="139" spans="1:16" ht="18.95" customHeight="1">
      <c r="A139" s="990"/>
      <c r="B139" s="1281"/>
      <c r="C139" s="1282"/>
      <c r="D139" s="1283"/>
      <c r="E139" s="993"/>
      <c r="F139" s="994"/>
      <c r="G139" s="993"/>
      <c r="H139" s="996"/>
      <c r="I139" s="996"/>
      <c r="J139" s="993"/>
      <c r="K139" s="993"/>
      <c r="L139" s="995"/>
      <c r="M139" s="1002">
        <f>SUM(M82:M138)</f>
        <v>7267154.3081127321</v>
      </c>
      <c r="N139" s="994"/>
      <c r="O139" s="981">
        <v>0.93490804699999996</v>
      </c>
      <c r="P139" s="973"/>
    </row>
    <row r="140" spans="1:16" ht="18.95" customHeight="1">
      <c r="A140" s="990"/>
      <c r="B140" s="1069"/>
      <c r="C140" s="1230"/>
      <c r="D140" s="1068"/>
      <c r="E140" s="993"/>
      <c r="F140" s="994"/>
      <c r="G140" s="993"/>
      <c r="H140" s="996"/>
      <c r="I140" s="996"/>
      <c r="J140" s="993"/>
      <c r="K140" s="993"/>
      <c r="L140" s="995"/>
      <c r="M140" s="993"/>
      <c r="N140" s="994"/>
      <c r="O140" s="981">
        <v>0.93490804699999996</v>
      </c>
      <c r="P140" s="973"/>
    </row>
    <row r="141" spans="1:16" ht="18.600000000000001" customHeight="1">
      <c r="A141" s="990"/>
      <c r="B141" s="1069"/>
      <c r="C141" s="1230"/>
      <c r="D141" s="1068"/>
      <c r="E141" s="993"/>
      <c r="F141" s="994"/>
      <c r="G141" s="993"/>
      <c r="H141" s="996"/>
      <c r="I141" s="996"/>
      <c r="J141" s="993"/>
      <c r="K141" s="993"/>
      <c r="L141" s="995"/>
      <c r="M141" s="993"/>
      <c r="N141" s="994"/>
      <c r="O141" s="981">
        <v>0.93490804699999996</v>
      </c>
      <c r="P141" s="973"/>
    </row>
    <row r="142" spans="1:16" ht="18.95" customHeight="1">
      <c r="A142" s="990"/>
      <c r="B142" s="1069"/>
      <c r="C142" s="1231"/>
      <c r="D142" s="1068"/>
      <c r="E142" s="993"/>
      <c r="F142" s="994"/>
      <c r="G142" s="993"/>
      <c r="H142" s="996"/>
      <c r="I142" s="996"/>
      <c r="J142" s="993"/>
      <c r="K142" s="993"/>
      <c r="L142" s="995"/>
      <c r="M142" s="993"/>
      <c r="N142" s="994"/>
      <c r="O142" s="981">
        <v>0.93490804699999996</v>
      </c>
      <c r="P142" s="973"/>
    </row>
    <row r="143" spans="1:16" ht="18.95" customHeight="1">
      <c r="A143" s="990"/>
      <c r="B143" s="1069"/>
      <c r="C143" s="1230"/>
      <c r="D143" s="1068"/>
      <c r="E143" s="993"/>
      <c r="F143" s="994"/>
      <c r="G143" s="993"/>
      <c r="H143" s="996"/>
      <c r="I143" s="996"/>
      <c r="J143" s="993"/>
      <c r="K143" s="993"/>
      <c r="L143" s="995"/>
      <c r="M143" s="993"/>
      <c r="N143" s="994"/>
      <c r="O143" s="981">
        <v>0.93490804699999996</v>
      </c>
      <c r="P143" s="973"/>
    </row>
    <row r="144" spans="1:16" ht="18.95" customHeight="1">
      <c r="A144" s="990"/>
      <c r="B144" s="1069"/>
      <c r="C144" s="1230"/>
      <c r="D144" s="1068"/>
      <c r="E144" s="993"/>
      <c r="F144" s="994"/>
      <c r="G144" s="993"/>
      <c r="H144" s="996"/>
      <c r="I144" s="996"/>
      <c r="J144" s="993"/>
      <c r="K144" s="993"/>
      <c r="L144" s="995"/>
      <c r="M144" s="993"/>
      <c r="N144" s="994"/>
      <c r="O144" s="981">
        <v>0.93490804699999996</v>
      </c>
      <c r="P144" s="973"/>
    </row>
    <row r="145" spans="1:16" ht="18.95" customHeight="1">
      <c r="A145" s="990"/>
      <c r="B145" s="1070"/>
      <c r="C145" s="1226"/>
      <c r="D145" s="1071"/>
      <c r="E145" s="993"/>
      <c r="F145" s="994"/>
      <c r="G145" s="993"/>
      <c r="H145" s="996"/>
      <c r="I145" s="996"/>
      <c r="J145" s="993"/>
      <c r="K145" s="993"/>
      <c r="L145" s="995"/>
      <c r="M145" s="993"/>
      <c r="N145" s="994"/>
      <c r="O145" s="981">
        <v>0.93490804699999996</v>
      </c>
      <c r="P145" s="973"/>
    </row>
    <row r="146" spans="1:16" ht="18.95" customHeight="1">
      <c r="A146" s="990"/>
      <c r="B146" s="1069"/>
      <c r="C146" s="1230"/>
      <c r="D146" s="1068"/>
      <c r="E146" s="993"/>
      <c r="F146" s="994"/>
      <c r="G146" s="993"/>
      <c r="H146" s="996"/>
      <c r="I146" s="996"/>
      <c r="J146" s="993"/>
      <c r="K146" s="993"/>
      <c r="L146" s="995"/>
      <c r="M146" s="993"/>
      <c r="N146" s="994"/>
      <c r="O146" s="981">
        <v>0.93490804699999996</v>
      </c>
      <c r="P146" s="973"/>
    </row>
    <row r="147" spans="1:16" ht="18.95" customHeight="1">
      <c r="A147" s="990"/>
      <c r="B147" s="1069"/>
      <c r="C147" s="1230"/>
      <c r="D147" s="1068"/>
      <c r="E147" s="993"/>
      <c r="F147" s="994"/>
      <c r="G147" s="993"/>
      <c r="H147" s="996"/>
      <c r="I147" s="996"/>
      <c r="J147" s="993"/>
      <c r="K147" s="993"/>
      <c r="L147" s="995"/>
      <c r="M147" s="993"/>
      <c r="N147" s="994"/>
      <c r="O147" s="981">
        <v>0.93490804699999996</v>
      </c>
      <c r="P147" s="973"/>
    </row>
    <row r="148" spans="1:16" ht="18.95" customHeight="1">
      <c r="A148" s="990"/>
      <c r="B148" s="1069"/>
      <c r="C148" s="1230"/>
      <c r="D148" s="1068"/>
      <c r="E148" s="993"/>
      <c r="F148" s="994"/>
      <c r="G148" s="993"/>
      <c r="H148" s="996"/>
      <c r="I148" s="996"/>
      <c r="J148" s="993"/>
      <c r="K148" s="993"/>
      <c r="L148" s="995"/>
      <c r="M148" s="993"/>
      <c r="N148" s="994"/>
      <c r="O148" s="981">
        <v>0.93490804699999996</v>
      </c>
      <c r="P148" s="973"/>
    </row>
    <row r="149" spans="1:16" ht="18.95" customHeight="1">
      <c r="A149" s="990"/>
      <c r="B149" s="1069"/>
      <c r="C149" s="1230"/>
      <c r="D149" s="1068"/>
      <c r="E149" s="993"/>
      <c r="F149" s="994"/>
      <c r="G149" s="993"/>
      <c r="H149" s="996"/>
      <c r="I149" s="996"/>
      <c r="J149" s="993"/>
      <c r="K149" s="993"/>
      <c r="L149" s="995"/>
      <c r="M149" s="993"/>
      <c r="N149" s="994"/>
      <c r="O149" s="981">
        <v>0.93490804699999996</v>
      </c>
      <c r="P149" s="973"/>
    </row>
    <row r="150" spans="1:16" ht="18.95" customHeight="1">
      <c r="A150" s="990"/>
      <c r="B150" s="1069"/>
      <c r="C150" s="1230"/>
      <c r="D150" s="1068"/>
      <c r="E150" s="993"/>
      <c r="F150" s="994"/>
      <c r="G150" s="993"/>
      <c r="H150" s="996"/>
      <c r="I150" s="996"/>
      <c r="J150" s="993"/>
      <c r="K150" s="993"/>
      <c r="L150" s="995"/>
      <c r="M150" s="993"/>
      <c r="N150" s="994"/>
      <c r="O150" s="981">
        <v>0.93490804699999996</v>
      </c>
      <c r="P150" s="973"/>
    </row>
    <row r="151" spans="1:16" ht="18.95" customHeight="1">
      <c r="A151" s="990"/>
      <c r="B151" s="1069"/>
      <c r="C151" s="1230"/>
      <c r="D151" s="1068"/>
      <c r="E151" s="993"/>
      <c r="F151" s="994"/>
      <c r="G151" s="993"/>
      <c r="H151" s="996"/>
      <c r="I151" s="996"/>
      <c r="J151" s="993"/>
      <c r="K151" s="993"/>
      <c r="L151" s="995"/>
      <c r="M151" s="993"/>
      <c r="N151" s="994"/>
      <c r="O151" s="981">
        <v>0.93490804699999996</v>
      </c>
      <c r="P151" s="973"/>
    </row>
    <row r="152" spans="1:16" ht="18.95" customHeight="1">
      <c r="A152" s="990"/>
      <c r="B152" s="1069"/>
      <c r="C152" s="1230"/>
      <c r="D152" s="1068"/>
      <c r="E152" s="993"/>
      <c r="F152" s="994"/>
      <c r="G152" s="993"/>
      <c r="H152" s="996"/>
      <c r="I152" s="996"/>
      <c r="J152" s="993"/>
      <c r="K152" s="993"/>
      <c r="L152" s="995"/>
      <c r="M152" s="993"/>
      <c r="N152" s="994"/>
      <c r="O152" s="981">
        <v>0.93490804699999996</v>
      </c>
      <c r="P152" s="973"/>
    </row>
    <row r="153" spans="1:16" ht="18.95" customHeight="1">
      <c r="A153" s="990"/>
      <c r="B153" s="1069"/>
      <c r="C153" s="1230"/>
      <c r="D153" s="1068"/>
      <c r="E153" s="993"/>
      <c r="F153" s="994"/>
      <c r="G153" s="993"/>
      <c r="H153" s="996"/>
      <c r="I153" s="996"/>
      <c r="J153" s="993"/>
      <c r="K153" s="993"/>
      <c r="L153" s="995"/>
      <c r="M153" s="993"/>
      <c r="N153" s="994"/>
      <c r="O153" s="981">
        <v>0.93490804699999996</v>
      </c>
      <c r="P153" s="973"/>
    </row>
    <row r="154" spans="1:16" ht="18.95" customHeight="1">
      <c r="A154" s="990"/>
      <c r="B154" s="1069"/>
      <c r="C154" s="1230"/>
      <c r="D154" s="1068"/>
      <c r="E154" s="993"/>
      <c r="F154" s="994"/>
      <c r="G154" s="993"/>
      <c r="H154" s="996"/>
      <c r="I154" s="996"/>
      <c r="J154" s="993"/>
      <c r="K154" s="993"/>
      <c r="L154" s="995"/>
      <c r="M154" s="993"/>
      <c r="N154" s="994"/>
      <c r="O154" s="981">
        <v>0.93490804699999996</v>
      </c>
      <c r="P154" s="973"/>
    </row>
    <row r="155" spans="1:16" ht="18.95" customHeight="1">
      <c r="A155" s="990"/>
      <c r="B155" s="1069"/>
      <c r="C155" s="1230"/>
      <c r="D155" s="1068"/>
      <c r="E155" s="993"/>
      <c r="F155" s="994"/>
      <c r="G155" s="993"/>
      <c r="H155" s="996"/>
      <c r="I155" s="996"/>
      <c r="J155" s="993"/>
      <c r="K155" s="993"/>
      <c r="L155" s="995"/>
      <c r="M155" s="993"/>
      <c r="N155" s="994"/>
      <c r="O155" s="981">
        <v>0.93490804699999996</v>
      </c>
      <c r="P155" s="973"/>
    </row>
    <row r="156" spans="1:16" ht="18.95" customHeight="1">
      <c r="A156" s="990"/>
      <c r="B156" s="1069"/>
      <c r="C156" s="1230"/>
      <c r="D156" s="1068"/>
      <c r="E156" s="993"/>
      <c r="F156" s="994"/>
      <c r="G156" s="993"/>
      <c r="H156" s="996"/>
      <c r="I156" s="996"/>
      <c r="J156" s="993"/>
      <c r="K156" s="993"/>
      <c r="L156" s="995"/>
      <c r="M156" s="993"/>
      <c r="N156" s="994"/>
      <c r="O156" s="981">
        <v>0.93490804699999996</v>
      </c>
      <c r="P156" s="973"/>
    </row>
    <row r="157" spans="1:16" ht="18.95" customHeight="1">
      <c r="A157" s="990"/>
      <c r="B157" s="1069"/>
      <c r="C157" s="1230"/>
      <c r="D157" s="1068"/>
      <c r="E157" s="993"/>
      <c r="F157" s="994"/>
      <c r="G157" s="993"/>
      <c r="H157" s="996"/>
      <c r="I157" s="996"/>
      <c r="J157" s="993"/>
      <c r="K157" s="993"/>
      <c r="L157" s="995"/>
      <c r="M157" s="993"/>
      <c r="N157" s="994"/>
      <c r="O157" s="981">
        <v>0.93490804699999996</v>
      </c>
      <c r="P157" s="973"/>
    </row>
    <row r="158" spans="1:16" ht="18.95" customHeight="1">
      <c r="A158" s="990"/>
      <c r="B158" s="1069"/>
      <c r="C158" s="1230"/>
      <c r="D158" s="1068"/>
      <c r="E158" s="993"/>
      <c r="F158" s="994"/>
      <c r="G158" s="993"/>
      <c r="H158" s="996"/>
      <c r="I158" s="996"/>
      <c r="J158" s="993"/>
      <c r="K158" s="993"/>
      <c r="L158" s="995"/>
      <c r="M158" s="993"/>
      <c r="N158" s="994"/>
      <c r="O158" s="981">
        <v>0.93490804699999996</v>
      </c>
      <c r="P158" s="973"/>
    </row>
    <row r="159" spans="1:16" ht="18.95" customHeight="1">
      <c r="A159" s="990"/>
      <c r="B159" s="1069"/>
      <c r="C159" s="1230"/>
      <c r="D159" s="1068"/>
      <c r="E159" s="993"/>
      <c r="F159" s="994"/>
      <c r="G159" s="993"/>
      <c r="H159" s="996"/>
      <c r="I159" s="996"/>
      <c r="J159" s="993"/>
      <c r="K159" s="993"/>
      <c r="L159" s="995"/>
      <c r="M159" s="993"/>
      <c r="N159" s="994"/>
      <c r="O159" s="981">
        <v>0.93490804699999996</v>
      </c>
      <c r="P159" s="973"/>
    </row>
    <row r="160" spans="1:16" ht="18.95" customHeight="1">
      <c r="A160" s="1006"/>
      <c r="B160" s="1072"/>
      <c r="C160" s="1232"/>
      <c r="D160" s="1073"/>
      <c r="E160" s="1009"/>
      <c r="F160" s="1010"/>
      <c r="G160" s="1009"/>
      <c r="H160" s="996"/>
      <c r="I160" s="996"/>
      <c r="J160" s="1009"/>
      <c r="K160" s="1009"/>
      <c r="L160" s="1011"/>
      <c r="M160" s="1009"/>
      <c r="N160" s="1010"/>
      <c r="O160" s="981">
        <v>0.93490804699999996</v>
      </c>
      <c r="P160" s="973"/>
    </row>
    <row r="161" spans="1:18" ht="18.95" customHeight="1">
      <c r="A161" s="1074">
        <v>3</v>
      </c>
      <c r="B161" s="1075" t="s">
        <v>207</v>
      </c>
      <c r="C161" s="1233"/>
      <c r="D161" s="1076"/>
      <c r="E161" s="986"/>
      <c r="F161" s="987"/>
      <c r="G161" s="986"/>
      <c r="H161" s="996"/>
      <c r="I161" s="996"/>
      <c r="J161" s="988"/>
      <c r="K161" s="988"/>
      <c r="L161" s="989"/>
      <c r="M161" s="987"/>
      <c r="N161" s="987"/>
      <c r="O161" s="981">
        <v>0.93490804699999996</v>
      </c>
      <c r="P161" s="973"/>
    </row>
    <row r="162" spans="1:18" ht="18.95" customHeight="1">
      <c r="A162" s="1036">
        <v>3.1</v>
      </c>
      <c r="B162" s="1016" t="s">
        <v>360</v>
      </c>
      <c r="C162" s="1234" t="s">
        <v>361</v>
      </c>
      <c r="D162" s="1077"/>
      <c r="E162" s="993">
        <v>0</v>
      </c>
      <c r="F162" s="994" t="s">
        <v>218</v>
      </c>
      <c r="G162" s="993"/>
      <c r="H162" s="996"/>
      <c r="I162" s="996"/>
      <c r="J162" s="993"/>
      <c r="K162" s="993"/>
      <c r="L162" s="996"/>
      <c r="M162" s="996"/>
      <c r="N162" s="996"/>
      <c r="O162" s="981">
        <v>0.93490804699999996</v>
      </c>
    </row>
    <row r="163" spans="1:18" s="862" customFormat="1" ht="18.95" customHeight="1">
      <c r="A163" s="1036">
        <v>3.2</v>
      </c>
      <c r="B163" s="1016" t="s">
        <v>362</v>
      </c>
      <c r="C163" s="1234" t="s">
        <v>363</v>
      </c>
      <c r="D163" s="1077"/>
      <c r="E163" s="993">
        <v>3508</v>
      </c>
      <c r="F163" s="994" t="s">
        <v>218</v>
      </c>
      <c r="G163" s="1078">
        <v>30</v>
      </c>
      <c r="H163" s="996">
        <f t="shared" si="21"/>
        <v>28.047241409999998</v>
      </c>
      <c r="I163" s="996">
        <f t="shared" ref="I163:I209" si="34">H163*E163</f>
        <v>98389.72286627999</v>
      </c>
      <c r="J163" s="1078">
        <v>30</v>
      </c>
      <c r="K163" s="996">
        <f t="shared" ref="K163:K225" si="35">J163*O163</f>
        <v>28.047241409999998</v>
      </c>
      <c r="L163" s="996">
        <f t="shared" ref="L163:L186" si="36">K163*E163</f>
        <v>98389.72286627999</v>
      </c>
      <c r="M163" s="996">
        <f>SUM(I163,L163)</f>
        <v>196779.44573255998</v>
      </c>
      <c r="N163" s="996"/>
      <c r="O163" s="981">
        <v>0.93490804699999996</v>
      </c>
      <c r="P163" s="980"/>
      <c r="Q163" s="862" t="s">
        <v>231</v>
      </c>
      <c r="R163" s="966"/>
    </row>
    <row r="164" spans="1:18" ht="18.95" customHeight="1">
      <c r="A164" s="1036">
        <v>3.3</v>
      </c>
      <c r="B164" s="1016" t="s">
        <v>364</v>
      </c>
      <c r="C164" s="1234" t="s">
        <v>365</v>
      </c>
      <c r="D164" s="1077"/>
      <c r="E164" s="993">
        <v>555</v>
      </c>
      <c r="F164" s="994" t="s">
        <v>218</v>
      </c>
      <c r="G164" s="1078">
        <v>200</v>
      </c>
      <c r="H164" s="996">
        <f t="shared" si="21"/>
        <v>186.9816094</v>
      </c>
      <c r="I164" s="996">
        <f t="shared" si="34"/>
        <v>103774.793217</v>
      </c>
      <c r="J164" s="1078">
        <v>45</v>
      </c>
      <c r="K164" s="996">
        <f t="shared" si="35"/>
        <v>42.070862114999997</v>
      </c>
      <c r="L164" s="996">
        <f t="shared" si="36"/>
        <v>23349.328473824997</v>
      </c>
      <c r="M164" s="996">
        <f t="shared" ref="M164:M169" si="37">SUM(I164,L164)</f>
        <v>127124.12169082499</v>
      </c>
      <c r="N164" s="996"/>
      <c r="O164" s="981">
        <v>0.93490804699999996</v>
      </c>
    </row>
    <row r="165" spans="1:18" ht="18.95" customHeight="1">
      <c r="A165" s="1036">
        <v>3.4</v>
      </c>
      <c r="B165" s="1016" t="s">
        <v>366</v>
      </c>
      <c r="C165" s="1235" t="s">
        <v>367</v>
      </c>
      <c r="D165" s="1077"/>
      <c r="E165" s="996">
        <v>103</v>
      </c>
      <c r="F165" s="994" t="s">
        <v>218</v>
      </c>
      <c r="G165" s="993">
        <v>0</v>
      </c>
      <c r="H165" s="996">
        <f t="shared" si="21"/>
        <v>0</v>
      </c>
      <c r="I165" s="996">
        <f t="shared" si="34"/>
        <v>0</v>
      </c>
      <c r="J165" s="993">
        <v>20</v>
      </c>
      <c r="K165" s="996">
        <f t="shared" si="35"/>
        <v>18.698160940000001</v>
      </c>
      <c r="L165" s="996">
        <f t="shared" si="36"/>
        <v>1925.9105768200002</v>
      </c>
      <c r="M165" s="996">
        <f t="shared" si="37"/>
        <v>1925.9105768200002</v>
      </c>
      <c r="N165" s="996"/>
      <c r="O165" s="981">
        <v>0.93490804699999996</v>
      </c>
    </row>
    <row r="166" spans="1:18" s="862" customFormat="1" ht="18.95" customHeight="1">
      <c r="A166" s="1036">
        <v>3.5</v>
      </c>
      <c r="B166" s="1016" t="s">
        <v>368</v>
      </c>
      <c r="C166" s="1235" t="s">
        <v>369</v>
      </c>
      <c r="D166" s="1079"/>
      <c r="E166" s="993">
        <v>102</v>
      </c>
      <c r="F166" s="994" t="s">
        <v>218</v>
      </c>
      <c r="G166" s="993">
        <v>270</v>
      </c>
      <c r="H166" s="996">
        <f t="shared" si="21"/>
        <v>252.42517268999998</v>
      </c>
      <c r="I166" s="996">
        <f t="shared" si="34"/>
        <v>25747.367614379997</v>
      </c>
      <c r="J166" s="993">
        <v>75</v>
      </c>
      <c r="K166" s="996">
        <f t="shared" si="35"/>
        <v>70.118103524999995</v>
      </c>
      <c r="L166" s="996">
        <f t="shared" si="36"/>
        <v>7152.0465595499991</v>
      </c>
      <c r="M166" s="996">
        <f t="shared" si="37"/>
        <v>32899.414173929996</v>
      </c>
      <c r="N166" s="996"/>
      <c r="O166" s="981">
        <v>0.93490804699999996</v>
      </c>
      <c r="P166" s="980"/>
      <c r="Q166" s="862" t="s">
        <v>231</v>
      </c>
      <c r="R166" s="966"/>
    </row>
    <row r="167" spans="1:18" s="862" customFormat="1" ht="18.95" customHeight="1">
      <c r="A167" s="1036">
        <v>3.6</v>
      </c>
      <c r="B167" s="1016" t="s">
        <v>370</v>
      </c>
      <c r="C167" s="1234" t="s">
        <v>371</v>
      </c>
      <c r="D167" s="1077"/>
      <c r="E167" s="993">
        <v>261</v>
      </c>
      <c r="F167" s="994" t="s">
        <v>218</v>
      </c>
      <c r="G167" s="995">
        <v>370</v>
      </c>
      <c r="H167" s="996">
        <f t="shared" si="21"/>
        <v>345.91597738999997</v>
      </c>
      <c r="I167" s="996">
        <f t="shared" si="34"/>
        <v>90284.070098789991</v>
      </c>
      <c r="J167" s="993">
        <v>75</v>
      </c>
      <c r="K167" s="996">
        <f t="shared" si="35"/>
        <v>70.118103524999995</v>
      </c>
      <c r="L167" s="996">
        <f t="shared" si="36"/>
        <v>18300.825020025</v>
      </c>
      <c r="M167" s="996">
        <f t="shared" si="37"/>
        <v>108584.89511881499</v>
      </c>
      <c r="N167" s="996"/>
      <c r="O167" s="981">
        <v>0.93490804699999996</v>
      </c>
      <c r="P167" s="980"/>
      <c r="Q167" s="862" t="s">
        <v>231</v>
      </c>
      <c r="R167" s="966"/>
    </row>
    <row r="168" spans="1:18" s="862" customFormat="1" ht="18.95" customHeight="1">
      <c r="A168" s="1036">
        <v>3.7</v>
      </c>
      <c r="B168" s="1016" t="s">
        <v>372</v>
      </c>
      <c r="C168" s="1236" t="s">
        <v>373</v>
      </c>
      <c r="D168" s="1077"/>
      <c r="E168" s="993">
        <v>205</v>
      </c>
      <c r="F168" s="994" t="s">
        <v>218</v>
      </c>
      <c r="G168" s="993">
        <v>378</v>
      </c>
      <c r="H168" s="996">
        <f t="shared" si="21"/>
        <v>353.39524176599997</v>
      </c>
      <c r="I168" s="996">
        <f t="shared" si="34"/>
        <v>72446.024562029997</v>
      </c>
      <c r="J168" s="993">
        <v>75</v>
      </c>
      <c r="K168" s="996">
        <f t="shared" si="35"/>
        <v>70.118103524999995</v>
      </c>
      <c r="L168" s="996">
        <f t="shared" si="36"/>
        <v>14374.211222624999</v>
      </c>
      <c r="M168" s="996">
        <f t="shared" si="37"/>
        <v>86820.235784655</v>
      </c>
      <c r="N168" s="996"/>
      <c r="O168" s="981">
        <v>0.93490804699999996</v>
      </c>
      <c r="P168" s="980"/>
      <c r="Q168" s="862" t="s">
        <v>231</v>
      </c>
      <c r="R168" s="966"/>
    </row>
    <row r="169" spans="1:18" ht="18.95" customHeight="1">
      <c r="A169" s="1036">
        <v>3.8</v>
      </c>
      <c r="B169" s="1016" t="s">
        <v>374</v>
      </c>
      <c r="C169" s="1234" t="s">
        <v>375</v>
      </c>
      <c r="D169" s="1079"/>
      <c r="E169" s="993">
        <v>257</v>
      </c>
      <c r="F169" s="994" t="s">
        <v>218</v>
      </c>
      <c r="G169" s="993">
        <v>1570</v>
      </c>
      <c r="H169" s="996">
        <f t="shared" si="21"/>
        <v>1467.80563379</v>
      </c>
      <c r="I169" s="996">
        <f t="shared" si="34"/>
        <v>377226.04788402998</v>
      </c>
      <c r="J169" s="993">
        <v>50</v>
      </c>
      <c r="K169" s="996">
        <f t="shared" si="35"/>
        <v>46.745402349999999</v>
      </c>
      <c r="L169" s="996">
        <f t="shared" si="36"/>
        <v>12013.568403949999</v>
      </c>
      <c r="M169" s="996">
        <f t="shared" si="37"/>
        <v>389239.61628798</v>
      </c>
      <c r="N169" s="994"/>
      <c r="O169" s="981">
        <v>0.93490804699999996</v>
      </c>
      <c r="P169" s="973"/>
    </row>
    <row r="170" spans="1:18" ht="18.95" customHeight="1">
      <c r="A170" s="1018"/>
      <c r="B170" s="1016"/>
      <c r="C170" s="1234" t="s">
        <v>376</v>
      </c>
      <c r="D170" s="1077"/>
      <c r="E170" s="993"/>
      <c r="F170" s="1080"/>
      <c r="G170" s="995"/>
      <c r="H170" s="996"/>
      <c r="I170" s="996"/>
      <c r="J170" s="993"/>
      <c r="K170" s="993"/>
      <c r="L170" s="996"/>
      <c r="M170" s="996"/>
      <c r="N170" s="994"/>
      <c r="O170" s="981">
        <v>0.93490804699999996</v>
      </c>
      <c r="P170" s="973"/>
    </row>
    <row r="171" spans="1:18" s="862" customFormat="1" ht="18.95" customHeight="1">
      <c r="A171" s="1036">
        <v>3.9</v>
      </c>
      <c r="B171" s="1016" t="s">
        <v>377</v>
      </c>
      <c r="C171" s="1234" t="s">
        <v>378</v>
      </c>
      <c r="D171" s="1077"/>
      <c r="E171" s="993">
        <v>375</v>
      </c>
      <c r="F171" s="994" t="s">
        <v>218</v>
      </c>
      <c r="G171" s="995">
        <v>869</v>
      </c>
      <c r="H171" s="996">
        <f t="shared" si="21"/>
        <v>812.43509284300001</v>
      </c>
      <c r="I171" s="996">
        <f t="shared" si="34"/>
        <v>304663.159816125</v>
      </c>
      <c r="J171" s="993">
        <v>321</v>
      </c>
      <c r="K171" s="996">
        <f t="shared" si="35"/>
        <v>300.10548308699998</v>
      </c>
      <c r="L171" s="996">
        <f t="shared" si="36"/>
        <v>112539.55615762499</v>
      </c>
      <c r="M171" s="996">
        <f>SUM(I171,L171)</f>
        <v>417202.71597374999</v>
      </c>
      <c r="N171" s="994"/>
      <c r="O171" s="981">
        <v>0.93490804699999996</v>
      </c>
      <c r="P171" s="979"/>
      <c r="Q171" s="862" t="s">
        <v>231</v>
      </c>
      <c r="R171" s="966"/>
    </row>
    <row r="172" spans="1:18" s="862" customFormat="1" ht="18.95" customHeight="1">
      <c r="A172" s="1039"/>
      <c r="B172" s="1016"/>
      <c r="C172" s="1234" t="s">
        <v>379</v>
      </c>
      <c r="D172" s="1077"/>
      <c r="E172" s="993"/>
      <c r="F172" s="994"/>
      <c r="G172" s="993"/>
      <c r="H172" s="996"/>
      <c r="I172" s="996"/>
      <c r="J172" s="993"/>
      <c r="K172" s="996"/>
      <c r="L172" s="996"/>
      <c r="M172" s="996"/>
      <c r="N172" s="994"/>
      <c r="O172" s="981">
        <v>0.93490804699999996</v>
      </c>
      <c r="P172" s="979"/>
      <c r="Q172" s="966"/>
      <c r="R172" s="966"/>
    </row>
    <row r="173" spans="1:18" ht="18.95" customHeight="1">
      <c r="A173" s="1018">
        <v>3.1</v>
      </c>
      <c r="B173" s="1016" t="s">
        <v>380</v>
      </c>
      <c r="C173" s="1235" t="s">
        <v>381</v>
      </c>
      <c r="D173" s="1077"/>
      <c r="E173" s="993">
        <v>370</v>
      </c>
      <c r="F173" s="994" t="s">
        <v>218</v>
      </c>
      <c r="G173" s="993">
        <v>420</v>
      </c>
      <c r="H173" s="996">
        <f t="shared" si="21"/>
        <v>392.66137973999997</v>
      </c>
      <c r="I173" s="996">
        <f t="shared" si="34"/>
        <v>145284.71050379999</v>
      </c>
      <c r="J173" s="993">
        <v>80</v>
      </c>
      <c r="K173" s="996">
        <f t="shared" si="35"/>
        <v>74.792643760000004</v>
      </c>
      <c r="L173" s="996">
        <f t="shared" si="36"/>
        <v>27673.278191200003</v>
      </c>
      <c r="M173" s="996">
        <f>SUM(I173,L173)</f>
        <v>172957.98869499998</v>
      </c>
      <c r="N173" s="994"/>
      <c r="O173" s="981">
        <v>0.93490804699999996</v>
      </c>
      <c r="P173" s="973"/>
    </row>
    <row r="174" spans="1:18" ht="18.95" customHeight="1">
      <c r="A174" s="1032">
        <v>3.11</v>
      </c>
      <c r="B174" s="1016" t="s">
        <v>382</v>
      </c>
      <c r="C174" s="1234" t="s">
        <v>383</v>
      </c>
      <c r="D174" s="1079"/>
      <c r="E174" s="993">
        <v>364</v>
      </c>
      <c r="F174" s="994" t="s">
        <v>218</v>
      </c>
      <c r="G174" s="993">
        <v>1900</v>
      </c>
      <c r="H174" s="996">
        <f t="shared" ref="H174:H237" si="38">G174*O174</f>
        <v>1776.3252892999999</v>
      </c>
      <c r="I174" s="996">
        <f t="shared" si="34"/>
        <v>646582.40530519991</v>
      </c>
      <c r="J174" s="993">
        <v>300</v>
      </c>
      <c r="K174" s="996">
        <f t="shared" si="35"/>
        <v>280.47241409999998</v>
      </c>
      <c r="L174" s="996">
        <f t="shared" si="36"/>
        <v>102091.95873239999</v>
      </c>
      <c r="M174" s="996">
        <f>SUM(I174,L174)</f>
        <v>748674.36403759988</v>
      </c>
      <c r="N174" s="994"/>
      <c r="O174" s="981">
        <v>0.93490804699999996</v>
      </c>
      <c r="P174" s="973"/>
    </row>
    <row r="175" spans="1:18" ht="18.95" customHeight="1">
      <c r="A175" s="1018"/>
      <c r="B175" s="1016"/>
      <c r="C175" s="1234" t="s">
        <v>384</v>
      </c>
      <c r="D175" s="1079"/>
      <c r="E175" s="993"/>
      <c r="F175" s="994"/>
      <c r="G175" s="993"/>
      <c r="H175" s="996"/>
      <c r="I175" s="996"/>
      <c r="J175" s="993"/>
      <c r="K175" s="996"/>
      <c r="L175" s="996"/>
      <c r="M175" s="996"/>
      <c r="N175" s="994"/>
      <c r="O175" s="981">
        <v>0.93490804699999996</v>
      </c>
      <c r="P175" s="973"/>
    </row>
    <row r="176" spans="1:18" ht="18.95" customHeight="1">
      <c r="A176" s="1036">
        <v>3.12</v>
      </c>
      <c r="B176" s="1016" t="s">
        <v>385</v>
      </c>
      <c r="C176" s="1234" t="s">
        <v>386</v>
      </c>
      <c r="D176" s="1079"/>
      <c r="E176" s="993">
        <v>92</v>
      </c>
      <c r="F176" s="994" t="s">
        <v>218</v>
      </c>
      <c r="G176" s="993">
        <v>4800</v>
      </c>
      <c r="H176" s="996">
        <f t="shared" si="38"/>
        <v>4487.5586255999997</v>
      </c>
      <c r="I176" s="996">
        <f t="shared" si="34"/>
        <v>412855.39355519996</v>
      </c>
      <c r="J176" s="993">
        <v>300</v>
      </c>
      <c r="K176" s="996">
        <f t="shared" si="35"/>
        <v>280.47241409999998</v>
      </c>
      <c r="L176" s="996">
        <f t="shared" si="36"/>
        <v>25803.462097199998</v>
      </c>
      <c r="M176" s="996">
        <f>SUM(I176,L176)</f>
        <v>438658.85565239994</v>
      </c>
      <c r="N176" s="994"/>
      <c r="O176" s="981">
        <v>0.93490804699999996</v>
      </c>
      <c r="P176" s="973"/>
    </row>
    <row r="177" spans="1:16" ht="18.95" customHeight="1">
      <c r="A177" s="1032"/>
      <c r="B177" s="1016"/>
      <c r="C177" s="1234" t="s">
        <v>387</v>
      </c>
      <c r="D177" s="1081"/>
      <c r="E177" s="993"/>
      <c r="F177" s="994"/>
      <c r="G177" s="993"/>
      <c r="H177" s="996"/>
      <c r="I177" s="996"/>
      <c r="J177" s="993"/>
      <c r="K177" s="996"/>
      <c r="L177" s="996"/>
      <c r="M177" s="996"/>
      <c r="N177" s="994"/>
      <c r="O177" s="981">
        <v>0.93490804699999996</v>
      </c>
      <c r="P177" s="973"/>
    </row>
    <row r="178" spans="1:16" ht="18.95" customHeight="1">
      <c r="A178" s="1018">
        <v>3.13</v>
      </c>
      <c r="B178" s="1042" t="s">
        <v>388</v>
      </c>
      <c r="C178" s="1237" t="s">
        <v>389</v>
      </c>
      <c r="D178" s="1081"/>
      <c r="E178" s="993">
        <v>200</v>
      </c>
      <c r="F178" s="994" t="s">
        <v>218</v>
      </c>
      <c r="G178" s="993">
        <v>550</v>
      </c>
      <c r="H178" s="996">
        <f t="shared" si="38"/>
        <v>514.19942585000001</v>
      </c>
      <c r="I178" s="996">
        <f t="shared" si="34"/>
        <v>102839.88517000001</v>
      </c>
      <c r="J178" s="993">
        <v>250</v>
      </c>
      <c r="K178" s="996">
        <f t="shared" si="35"/>
        <v>233.72701175</v>
      </c>
      <c r="L178" s="996">
        <f t="shared" si="36"/>
        <v>46745.402350000004</v>
      </c>
      <c r="M178" s="996">
        <f>SUM(I178,L178)</f>
        <v>149585.28752000001</v>
      </c>
      <c r="N178" s="994"/>
      <c r="O178" s="981">
        <v>0.93490804699999996</v>
      </c>
      <c r="P178" s="973"/>
    </row>
    <row r="179" spans="1:16" ht="18.95" customHeight="1">
      <c r="A179" s="1035">
        <v>3.14</v>
      </c>
      <c r="B179" s="1042" t="s">
        <v>390</v>
      </c>
      <c r="C179" s="1234" t="s">
        <v>391</v>
      </c>
      <c r="D179" s="1081"/>
      <c r="E179" s="993">
        <v>327</v>
      </c>
      <c r="F179" s="994" t="s">
        <v>218</v>
      </c>
      <c r="G179" s="993">
        <v>684</v>
      </c>
      <c r="H179" s="996">
        <f t="shared" si="38"/>
        <v>639.47710414799997</v>
      </c>
      <c r="I179" s="996">
        <f t="shared" si="34"/>
        <v>209109.01305639598</v>
      </c>
      <c r="J179" s="993">
        <v>267</v>
      </c>
      <c r="K179" s="996">
        <f t="shared" si="35"/>
        <v>249.620448549</v>
      </c>
      <c r="L179" s="996">
        <f t="shared" si="36"/>
        <v>81625.886675522997</v>
      </c>
      <c r="M179" s="996">
        <f>SUM(I179,L179)</f>
        <v>290734.89973191899</v>
      </c>
      <c r="N179" s="994"/>
      <c r="O179" s="981">
        <v>0.93490804699999996</v>
      </c>
      <c r="P179" s="973"/>
    </row>
    <row r="180" spans="1:16" ht="18.95" customHeight="1">
      <c r="A180" s="1032">
        <v>3.15</v>
      </c>
      <c r="B180" s="1042" t="s">
        <v>392</v>
      </c>
      <c r="C180" s="1234" t="s">
        <v>393</v>
      </c>
      <c r="D180" s="1081"/>
      <c r="E180" s="993">
        <v>60</v>
      </c>
      <c r="F180" s="994" t="s">
        <v>218</v>
      </c>
      <c r="G180" s="993">
        <v>2130</v>
      </c>
      <c r="H180" s="996">
        <f t="shared" si="38"/>
        <v>1991.3541401099999</v>
      </c>
      <c r="I180" s="996">
        <f t="shared" si="34"/>
        <v>119481.24840659999</v>
      </c>
      <c r="J180" s="993">
        <v>750</v>
      </c>
      <c r="K180" s="996">
        <f t="shared" si="35"/>
        <v>701.18103524999992</v>
      </c>
      <c r="L180" s="996">
        <f t="shared" si="36"/>
        <v>42070.862114999996</v>
      </c>
      <c r="M180" s="996">
        <f>SUM(I180,L180)</f>
        <v>161552.1105216</v>
      </c>
      <c r="N180" s="994"/>
      <c r="O180" s="981">
        <v>0.93490804699999996</v>
      </c>
      <c r="P180" s="973"/>
    </row>
    <row r="181" spans="1:16" ht="18.95" customHeight="1">
      <c r="A181" s="1032">
        <v>3.16</v>
      </c>
      <c r="B181" s="1042" t="s">
        <v>394</v>
      </c>
      <c r="C181" s="1234" t="s">
        <v>395</v>
      </c>
      <c r="D181" s="1081"/>
      <c r="E181" s="993">
        <v>180</v>
      </c>
      <c r="F181" s="994" t="s">
        <v>218</v>
      </c>
      <c r="G181" s="993">
        <v>80</v>
      </c>
      <c r="H181" s="996">
        <f t="shared" si="38"/>
        <v>74.792643760000004</v>
      </c>
      <c r="I181" s="996">
        <f t="shared" si="34"/>
        <v>13462.6758768</v>
      </c>
      <c r="J181" s="993">
        <v>120</v>
      </c>
      <c r="K181" s="996">
        <f t="shared" si="35"/>
        <v>112.18896563999999</v>
      </c>
      <c r="L181" s="996">
        <f t="shared" si="36"/>
        <v>20194.0138152</v>
      </c>
      <c r="M181" s="996">
        <f>SUM(I181,L181)</f>
        <v>33656.689692</v>
      </c>
      <c r="N181" s="994"/>
      <c r="O181" s="981">
        <v>0.93490804699999996</v>
      </c>
      <c r="P181" s="973"/>
    </row>
    <row r="182" spans="1:16" ht="18.95" customHeight="1">
      <c r="A182" s="1082">
        <v>3.17</v>
      </c>
      <c r="C182" s="1238" t="s">
        <v>357</v>
      </c>
      <c r="D182" s="1066"/>
      <c r="E182" s="996">
        <v>1</v>
      </c>
      <c r="F182" s="994" t="s">
        <v>351</v>
      </c>
      <c r="G182" s="993">
        <v>20000</v>
      </c>
      <c r="H182" s="996">
        <f t="shared" si="38"/>
        <v>18698.160939999998</v>
      </c>
      <c r="I182" s="996">
        <f t="shared" si="34"/>
        <v>18698.160939999998</v>
      </c>
      <c r="J182" s="993">
        <v>10000</v>
      </c>
      <c r="K182" s="996">
        <f t="shared" si="35"/>
        <v>9349.080469999999</v>
      </c>
      <c r="L182" s="996">
        <f t="shared" si="36"/>
        <v>9349.080469999999</v>
      </c>
      <c r="M182" s="996">
        <f>SUM(I182,L182)</f>
        <v>28047.241409999995</v>
      </c>
      <c r="N182" s="994"/>
      <c r="O182" s="981">
        <v>0.93490804699999996</v>
      </c>
      <c r="P182" s="973"/>
    </row>
    <row r="183" spans="1:16" ht="18.95" customHeight="1">
      <c r="A183" s="990">
        <v>3.8</v>
      </c>
      <c r="B183" s="1067" t="s">
        <v>396</v>
      </c>
      <c r="C183" s="1230"/>
      <c r="D183" s="1068"/>
      <c r="E183" s="993"/>
      <c r="F183" s="994"/>
      <c r="G183" s="993"/>
      <c r="H183" s="996"/>
      <c r="I183" s="996"/>
      <c r="J183" s="993"/>
      <c r="K183" s="996"/>
      <c r="L183" s="996"/>
      <c r="M183" s="996"/>
      <c r="N183" s="994"/>
      <c r="O183" s="981">
        <v>0.93490804699999996</v>
      </c>
      <c r="P183" s="973"/>
    </row>
    <row r="184" spans="1:16" ht="18.95" customHeight="1">
      <c r="A184" s="990"/>
      <c r="B184" s="1023" t="s">
        <v>245</v>
      </c>
      <c r="C184" s="1231" t="s">
        <v>397</v>
      </c>
      <c r="D184" s="1068"/>
      <c r="E184" s="996">
        <v>3350</v>
      </c>
      <c r="F184" s="994" t="s">
        <v>218</v>
      </c>
      <c r="G184" s="993">
        <v>30</v>
      </c>
      <c r="H184" s="996">
        <f t="shared" si="38"/>
        <v>28.047241409999998</v>
      </c>
      <c r="I184" s="996">
        <f t="shared" si="34"/>
        <v>93958.258723499996</v>
      </c>
      <c r="J184" s="993">
        <v>28</v>
      </c>
      <c r="K184" s="996">
        <f t="shared" si="35"/>
        <v>26.177425315999997</v>
      </c>
      <c r="L184" s="996">
        <f t="shared" si="36"/>
        <v>87694.374808599998</v>
      </c>
      <c r="M184" s="996">
        <f>SUM(I184,L184)</f>
        <v>181652.63353210001</v>
      </c>
      <c r="N184" s="994"/>
      <c r="O184" s="981">
        <v>0.93490804699999996</v>
      </c>
      <c r="P184" s="973"/>
    </row>
    <row r="185" spans="1:16" ht="18.95" customHeight="1">
      <c r="A185" s="990"/>
      <c r="B185" s="1023" t="s">
        <v>245</v>
      </c>
      <c r="C185" s="1231" t="s">
        <v>398</v>
      </c>
      <c r="D185" s="1068"/>
      <c r="E185" s="993">
        <v>720</v>
      </c>
      <c r="F185" s="994" t="s">
        <v>218</v>
      </c>
      <c r="G185" s="993">
        <v>45</v>
      </c>
      <c r="H185" s="996">
        <f t="shared" si="38"/>
        <v>42.070862114999997</v>
      </c>
      <c r="I185" s="996">
        <f t="shared" si="34"/>
        <v>30291.020722799996</v>
      </c>
      <c r="J185" s="993">
        <v>31</v>
      </c>
      <c r="K185" s="996">
        <f t="shared" si="35"/>
        <v>28.982149456999998</v>
      </c>
      <c r="L185" s="996">
        <f t="shared" si="36"/>
        <v>20867.147609039999</v>
      </c>
      <c r="M185" s="996">
        <f>SUM(I185,L185)</f>
        <v>51158.168331839996</v>
      </c>
      <c r="N185" s="994"/>
      <c r="O185" s="981">
        <v>0.93490804699999996</v>
      </c>
      <c r="P185" s="973"/>
    </row>
    <row r="186" spans="1:16" ht="18.95" customHeight="1">
      <c r="A186" s="990"/>
      <c r="B186" s="1023" t="s">
        <v>245</v>
      </c>
      <c r="C186" s="1239" t="s">
        <v>399</v>
      </c>
      <c r="D186" s="1083"/>
      <c r="E186" s="996">
        <v>1</v>
      </c>
      <c r="F186" s="994" t="s">
        <v>351</v>
      </c>
      <c r="G186" s="993">
        <v>10000</v>
      </c>
      <c r="H186" s="996">
        <f t="shared" si="38"/>
        <v>9349.080469999999</v>
      </c>
      <c r="I186" s="996">
        <f t="shared" si="34"/>
        <v>9349.080469999999</v>
      </c>
      <c r="J186" s="993">
        <v>5000</v>
      </c>
      <c r="K186" s="996">
        <f t="shared" si="35"/>
        <v>4674.5402349999995</v>
      </c>
      <c r="L186" s="996">
        <f t="shared" si="36"/>
        <v>4674.5402349999995</v>
      </c>
      <c r="M186" s="996">
        <f>SUM(I186,L186)</f>
        <v>14023.620704999998</v>
      </c>
      <c r="N186" s="994"/>
      <c r="O186" s="981">
        <v>0.93490804699999996</v>
      </c>
      <c r="P186" s="973"/>
    </row>
    <row r="187" spans="1:16" ht="18.95" customHeight="1">
      <c r="A187" s="1006"/>
      <c r="B187" s="1298"/>
      <c r="C187" s="1299"/>
      <c r="D187" s="1300"/>
      <c r="E187" s="1009"/>
      <c r="F187" s="1010"/>
      <c r="G187" s="1009"/>
      <c r="H187" s="996"/>
      <c r="I187" s="996"/>
      <c r="J187" s="1009"/>
      <c r="K187" s="996"/>
      <c r="L187" s="1011"/>
      <c r="M187" s="1084">
        <f>SUM(M163:M186)</f>
        <v>3631278.2151687942</v>
      </c>
      <c r="N187" s="1010"/>
      <c r="O187" s="981">
        <v>0.93490804699999996</v>
      </c>
      <c r="P187" s="973"/>
    </row>
    <row r="188" spans="1:16" ht="18.95" customHeight="1">
      <c r="A188" s="1085">
        <v>4</v>
      </c>
      <c r="B188" s="1049" t="s">
        <v>208</v>
      </c>
      <c r="C188" s="1240"/>
      <c r="D188" s="1086"/>
      <c r="E188" s="986"/>
      <c r="F188" s="987"/>
      <c r="G188" s="986"/>
      <c r="H188" s="996"/>
      <c r="I188" s="996"/>
      <c r="J188" s="986"/>
      <c r="K188" s="996"/>
      <c r="L188" s="1031"/>
      <c r="M188" s="1031"/>
      <c r="N188" s="987"/>
      <c r="O188" s="981">
        <v>0.93490804699999996</v>
      </c>
      <c r="P188" s="973"/>
    </row>
    <row r="189" spans="1:16" ht="18.95" customHeight="1">
      <c r="A189" s="1039">
        <v>4.0999999999999996</v>
      </c>
      <c r="B189" s="1087" t="s">
        <v>400</v>
      </c>
      <c r="C189" s="1225" t="s">
        <v>401</v>
      </c>
      <c r="D189" s="1061"/>
      <c r="E189" s="996">
        <v>1</v>
      </c>
      <c r="F189" s="994" t="s">
        <v>402</v>
      </c>
      <c r="G189" s="993">
        <v>33660</v>
      </c>
      <c r="H189" s="996">
        <f t="shared" si="38"/>
        <v>31469.00486202</v>
      </c>
      <c r="I189" s="996">
        <f t="shared" si="34"/>
        <v>31469.00486202</v>
      </c>
      <c r="J189" s="993">
        <v>12090</v>
      </c>
      <c r="K189" s="996">
        <f t="shared" si="35"/>
        <v>11303.03828823</v>
      </c>
      <c r="L189" s="996">
        <f t="shared" ref="L189:L252" si="39">K189*E189</f>
        <v>11303.03828823</v>
      </c>
      <c r="M189" s="996">
        <f>SUM(I189,L189)</f>
        <v>42772.04315025</v>
      </c>
      <c r="N189" s="1015"/>
      <c r="O189" s="981">
        <v>0.93490804699999996</v>
      </c>
      <c r="P189" s="973"/>
    </row>
    <row r="190" spans="1:16" ht="18.95" customHeight="1">
      <c r="A190" s="1036"/>
      <c r="B190" s="1088"/>
      <c r="C190" s="1225" t="s">
        <v>403</v>
      </c>
      <c r="D190" s="1061"/>
      <c r="E190" s="996"/>
      <c r="F190" s="994"/>
      <c r="G190" s="993"/>
      <c r="H190" s="996"/>
      <c r="I190" s="996"/>
      <c r="J190" s="993"/>
      <c r="K190" s="996"/>
      <c r="L190" s="996"/>
      <c r="M190" s="996"/>
      <c r="N190" s="996"/>
      <c r="O190" s="981">
        <v>0.93490804699999996</v>
      </c>
    </row>
    <row r="191" spans="1:16" ht="18.95" customHeight="1">
      <c r="A191" s="1036"/>
      <c r="B191" s="1088"/>
      <c r="C191" s="1225" t="s">
        <v>404</v>
      </c>
      <c r="D191" s="1061"/>
      <c r="E191" s="996"/>
      <c r="F191" s="994"/>
      <c r="G191" s="993"/>
      <c r="H191" s="996"/>
      <c r="I191" s="996"/>
      <c r="J191" s="993"/>
      <c r="K191" s="996"/>
      <c r="L191" s="996"/>
      <c r="M191" s="996"/>
      <c r="N191" s="996"/>
      <c r="O191" s="981">
        <v>0.93490804699999996</v>
      </c>
    </row>
    <row r="192" spans="1:16" ht="18.95" customHeight="1">
      <c r="A192" s="1036">
        <v>4.2</v>
      </c>
      <c r="B192" s="1087" t="s">
        <v>405</v>
      </c>
      <c r="C192" s="1225" t="s">
        <v>401</v>
      </c>
      <c r="D192" s="1061"/>
      <c r="E192" s="996">
        <v>1</v>
      </c>
      <c r="F192" s="994" t="s">
        <v>402</v>
      </c>
      <c r="G192" s="993">
        <v>39110</v>
      </c>
      <c r="H192" s="996">
        <f t="shared" si="38"/>
        <v>36564.253718169995</v>
      </c>
      <c r="I192" s="996">
        <f t="shared" si="34"/>
        <v>36564.253718169995</v>
      </c>
      <c r="J192" s="993">
        <v>14880</v>
      </c>
      <c r="K192" s="996">
        <f t="shared" si="35"/>
        <v>13911.431739359999</v>
      </c>
      <c r="L192" s="996">
        <f t="shared" si="39"/>
        <v>13911.431739359999</v>
      </c>
      <c r="M192" s="996">
        <f>SUM(I192,L192)</f>
        <v>50475.685457529995</v>
      </c>
      <c r="N192" s="996"/>
      <c r="O192" s="981">
        <v>0.93490804699999996</v>
      </c>
    </row>
    <row r="193" spans="1:16" ht="18.95" customHeight="1">
      <c r="A193" s="1036"/>
      <c r="B193" s="1088"/>
      <c r="C193" s="1225" t="s">
        <v>406</v>
      </c>
      <c r="D193" s="1061"/>
      <c r="E193" s="996"/>
      <c r="F193" s="994"/>
      <c r="G193" s="993"/>
      <c r="H193" s="996"/>
      <c r="I193" s="996"/>
      <c r="J193" s="993"/>
      <c r="K193" s="996"/>
      <c r="L193" s="996"/>
      <c r="M193" s="996"/>
      <c r="N193" s="996"/>
      <c r="O193" s="981">
        <v>0.93490804699999996</v>
      </c>
    </row>
    <row r="194" spans="1:16" ht="18.95" customHeight="1">
      <c r="A194" s="1039">
        <v>4.3</v>
      </c>
      <c r="B194" s="1087" t="s">
        <v>407</v>
      </c>
      <c r="C194" s="1225" t="s">
        <v>401</v>
      </c>
      <c r="D194" s="1061"/>
      <c r="E194" s="996">
        <v>1</v>
      </c>
      <c r="F194" s="994" t="s">
        <v>402</v>
      </c>
      <c r="G194" s="993">
        <v>40455</v>
      </c>
      <c r="H194" s="996">
        <f t="shared" si="38"/>
        <v>37821.705041385001</v>
      </c>
      <c r="I194" s="996">
        <f t="shared" si="34"/>
        <v>37821.705041385001</v>
      </c>
      <c r="J194" s="993">
        <v>17100</v>
      </c>
      <c r="K194" s="996">
        <f t="shared" si="35"/>
        <v>15986.9276037</v>
      </c>
      <c r="L194" s="996">
        <f t="shared" si="39"/>
        <v>15986.9276037</v>
      </c>
      <c r="M194" s="996">
        <f>SUM(I194,L194)</f>
        <v>53808.632645085003</v>
      </c>
      <c r="N194" s="996"/>
      <c r="O194" s="981">
        <v>0.93490804699999996</v>
      </c>
    </row>
    <row r="195" spans="1:16" ht="18.95" customHeight="1">
      <c r="A195" s="1036"/>
      <c r="B195" s="1088"/>
      <c r="C195" s="1225" t="s">
        <v>408</v>
      </c>
      <c r="D195" s="1061"/>
      <c r="E195" s="996"/>
      <c r="F195" s="994"/>
      <c r="G195" s="993"/>
      <c r="H195" s="996"/>
      <c r="I195" s="996"/>
      <c r="J195" s="993"/>
      <c r="K195" s="996"/>
      <c r="L195" s="996"/>
      <c r="M195" s="996"/>
      <c r="N195" s="996"/>
      <c r="O195" s="981">
        <v>0.93490804699999996</v>
      </c>
    </row>
    <row r="196" spans="1:16" ht="18.95" customHeight="1">
      <c r="A196" s="1036"/>
      <c r="B196" s="1089" t="s">
        <v>245</v>
      </c>
      <c r="C196" s="1225" t="s">
        <v>409</v>
      </c>
      <c r="D196" s="1061"/>
      <c r="E196" s="996" t="s">
        <v>410</v>
      </c>
      <c r="F196" s="994"/>
      <c r="G196" s="993"/>
      <c r="H196" s="996"/>
      <c r="I196" s="996"/>
      <c r="J196" s="993"/>
      <c r="K196" s="996"/>
      <c r="L196" s="996"/>
      <c r="M196" s="996"/>
      <c r="N196" s="996"/>
      <c r="O196" s="981">
        <v>0.93490804699999996</v>
      </c>
    </row>
    <row r="197" spans="1:16" ht="18.95" customHeight="1">
      <c r="A197" s="1036"/>
      <c r="B197" s="1090" t="s">
        <v>245</v>
      </c>
      <c r="C197" s="1225" t="s">
        <v>411</v>
      </c>
      <c r="D197" s="1061"/>
      <c r="E197" s="996"/>
      <c r="F197" s="994"/>
      <c r="G197" s="993"/>
      <c r="H197" s="996"/>
      <c r="I197" s="996"/>
      <c r="J197" s="993"/>
      <c r="K197" s="996"/>
      <c r="L197" s="996"/>
      <c r="M197" s="996"/>
      <c r="N197" s="996"/>
      <c r="O197" s="981">
        <v>0.93490804699999996</v>
      </c>
    </row>
    <row r="198" spans="1:16" ht="18.95" customHeight="1">
      <c r="A198" s="1036">
        <v>4.4000000000000004</v>
      </c>
      <c r="B198" s="1087" t="s">
        <v>412</v>
      </c>
      <c r="C198" s="1225" t="s">
        <v>413</v>
      </c>
      <c r="D198" s="1061"/>
      <c r="E198" s="996">
        <v>1</v>
      </c>
      <c r="F198" s="994" t="s">
        <v>402</v>
      </c>
      <c r="G198" s="993">
        <v>14550</v>
      </c>
      <c r="H198" s="996">
        <f t="shared" si="38"/>
        <v>13602.91208385</v>
      </c>
      <c r="I198" s="996">
        <f t="shared" si="34"/>
        <v>13602.91208385</v>
      </c>
      <c r="J198" s="993">
        <v>7625</v>
      </c>
      <c r="K198" s="996">
        <f t="shared" si="35"/>
        <v>7128.6738583749993</v>
      </c>
      <c r="L198" s="996">
        <f t="shared" si="39"/>
        <v>7128.6738583749993</v>
      </c>
      <c r="M198" s="996">
        <f>SUM(I198,L198)</f>
        <v>20731.585942225</v>
      </c>
      <c r="N198" s="994"/>
      <c r="O198" s="981">
        <v>0.93490804699999996</v>
      </c>
      <c r="P198" s="973"/>
    </row>
    <row r="199" spans="1:16" ht="18.95" customHeight="1">
      <c r="A199" s="1018"/>
      <c r="B199" s="1088"/>
      <c r="C199" s="1225" t="s">
        <v>414</v>
      </c>
      <c r="D199" s="1061"/>
      <c r="E199" s="996"/>
      <c r="F199" s="994"/>
      <c r="G199" s="993"/>
      <c r="H199" s="996"/>
      <c r="I199" s="996"/>
      <c r="J199" s="993"/>
      <c r="K199" s="996"/>
      <c r="L199" s="996"/>
      <c r="M199" s="1002"/>
      <c r="N199" s="994"/>
      <c r="O199" s="981">
        <v>0.93490804699999996</v>
      </c>
      <c r="P199" s="973"/>
    </row>
    <row r="200" spans="1:16" ht="18.95" customHeight="1">
      <c r="A200" s="1036"/>
      <c r="B200" s="1089" t="s">
        <v>245</v>
      </c>
      <c r="C200" s="1225" t="s">
        <v>409</v>
      </c>
      <c r="D200" s="1061"/>
      <c r="E200" s="996" t="s">
        <v>410</v>
      </c>
      <c r="F200" s="994"/>
      <c r="G200" s="993"/>
      <c r="H200" s="996"/>
      <c r="I200" s="996"/>
      <c r="J200" s="993"/>
      <c r="K200" s="996"/>
      <c r="L200" s="996"/>
      <c r="M200" s="994"/>
      <c r="N200" s="994"/>
      <c r="O200" s="981">
        <v>0.93490804699999996</v>
      </c>
      <c r="P200" s="973"/>
    </row>
    <row r="201" spans="1:16" ht="18.95" customHeight="1">
      <c r="A201" s="1091">
        <v>4.5</v>
      </c>
      <c r="B201" s="1092" t="s">
        <v>415</v>
      </c>
      <c r="C201" s="1225" t="s">
        <v>416</v>
      </c>
      <c r="D201" s="1061"/>
      <c r="E201" s="1034">
        <v>1</v>
      </c>
      <c r="F201" s="994" t="s">
        <v>402</v>
      </c>
      <c r="G201" s="993">
        <v>178175</v>
      </c>
      <c r="H201" s="996">
        <f t="shared" si="38"/>
        <v>166577.241274225</v>
      </c>
      <c r="I201" s="996">
        <f t="shared" si="34"/>
        <v>166577.241274225</v>
      </c>
      <c r="J201" s="993">
        <v>27525</v>
      </c>
      <c r="K201" s="996">
        <f t="shared" si="35"/>
        <v>25733.343993675</v>
      </c>
      <c r="L201" s="996">
        <f t="shared" si="39"/>
        <v>25733.343993675</v>
      </c>
      <c r="M201" s="996">
        <f>SUM(I201,L201)</f>
        <v>192310.58526789999</v>
      </c>
      <c r="N201" s="994"/>
      <c r="O201" s="981">
        <v>0.93490804699999996</v>
      </c>
      <c r="P201" s="973"/>
    </row>
    <row r="202" spans="1:16" ht="18.95" customHeight="1">
      <c r="A202" s="1036"/>
      <c r="B202" s="1093"/>
      <c r="C202" s="1221" t="s">
        <v>417</v>
      </c>
      <c r="D202" s="1000"/>
      <c r="E202" s="1034"/>
      <c r="F202" s="1080"/>
      <c r="G202" s="993"/>
      <c r="H202" s="996"/>
      <c r="I202" s="996"/>
      <c r="J202" s="993"/>
      <c r="K202" s="996"/>
      <c r="L202" s="996"/>
      <c r="M202" s="994"/>
      <c r="N202" s="994"/>
      <c r="O202" s="981">
        <v>0.93490804699999996</v>
      </c>
      <c r="P202" s="973"/>
    </row>
    <row r="203" spans="1:16" ht="18.95" customHeight="1">
      <c r="A203" s="1039">
        <v>4.5999999999999996</v>
      </c>
      <c r="B203" s="1093" t="s">
        <v>418</v>
      </c>
      <c r="C203" s="1225" t="s">
        <v>419</v>
      </c>
      <c r="D203" s="1000"/>
      <c r="E203" s="1034">
        <v>3</v>
      </c>
      <c r="F203" s="994" t="s">
        <v>402</v>
      </c>
      <c r="G203" s="993">
        <v>18335</v>
      </c>
      <c r="H203" s="996">
        <f t="shared" si="38"/>
        <v>17141.539041745</v>
      </c>
      <c r="I203" s="996">
        <f t="shared" si="34"/>
        <v>51424.617125235003</v>
      </c>
      <c r="J203" s="993">
        <v>7010</v>
      </c>
      <c r="K203" s="996">
        <f t="shared" si="35"/>
        <v>6553.7054094699997</v>
      </c>
      <c r="L203" s="996">
        <f t="shared" si="39"/>
        <v>19661.116228409999</v>
      </c>
      <c r="M203" s="996">
        <f>SUM(I203,L203)</f>
        <v>71085.733353645002</v>
      </c>
      <c r="N203" s="994"/>
      <c r="O203" s="981">
        <v>0.93490804699999996</v>
      </c>
      <c r="P203" s="973"/>
    </row>
    <row r="204" spans="1:16" ht="18.95" customHeight="1">
      <c r="A204" s="1018"/>
      <c r="B204" s="1093"/>
      <c r="C204" s="1221" t="s">
        <v>420</v>
      </c>
      <c r="D204" s="1000"/>
      <c r="E204" s="1034"/>
      <c r="F204" s="1080"/>
      <c r="G204" s="993"/>
      <c r="H204" s="996"/>
      <c r="I204" s="996"/>
      <c r="J204" s="993"/>
      <c r="K204" s="996"/>
      <c r="L204" s="996"/>
      <c r="M204" s="994"/>
      <c r="N204" s="994"/>
      <c r="O204" s="981">
        <v>0.93490804699999996</v>
      </c>
      <c r="P204" s="973"/>
    </row>
    <row r="205" spans="1:16" ht="18.95" customHeight="1">
      <c r="A205" s="1036">
        <v>4.7</v>
      </c>
      <c r="B205" s="1087" t="s">
        <v>421</v>
      </c>
      <c r="C205" s="1225" t="s">
        <v>401</v>
      </c>
      <c r="D205" s="1061"/>
      <c r="E205" s="1034">
        <v>1</v>
      </c>
      <c r="F205" s="994" t="s">
        <v>402</v>
      </c>
      <c r="G205" s="993">
        <v>78120</v>
      </c>
      <c r="H205" s="996">
        <f t="shared" si="38"/>
        <v>73035.016631639999</v>
      </c>
      <c r="I205" s="996">
        <f t="shared" si="34"/>
        <v>73035.016631639999</v>
      </c>
      <c r="J205" s="993">
        <v>28450</v>
      </c>
      <c r="K205" s="996">
        <f t="shared" si="35"/>
        <v>26598.13393715</v>
      </c>
      <c r="L205" s="996">
        <f t="shared" si="39"/>
        <v>26598.13393715</v>
      </c>
      <c r="M205" s="996">
        <f>SUM(I205,L205)</f>
        <v>99633.150568790006</v>
      </c>
      <c r="N205" s="994"/>
      <c r="O205" s="981">
        <v>0.93490804699999996</v>
      </c>
      <c r="P205" s="973"/>
    </row>
    <row r="206" spans="1:16" ht="18.95" customHeight="1">
      <c r="A206" s="1032"/>
      <c r="B206" s="1088"/>
      <c r="C206" s="1225" t="s">
        <v>422</v>
      </c>
      <c r="D206" s="1061"/>
      <c r="E206" s="1034"/>
      <c r="F206" s="1080"/>
      <c r="G206" s="993"/>
      <c r="H206" s="996"/>
      <c r="I206" s="996"/>
      <c r="J206" s="993"/>
      <c r="K206" s="996"/>
      <c r="L206" s="996"/>
      <c r="M206" s="994"/>
      <c r="N206" s="994"/>
      <c r="O206" s="981">
        <v>0.93490804699999996</v>
      </c>
      <c r="P206" s="973"/>
    </row>
    <row r="207" spans="1:16" ht="18.95" customHeight="1">
      <c r="A207" s="1091">
        <v>4.8</v>
      </c>
      <c r="B207" s="1093" t="s">
        <v>423</v>
      </c>
      <c r="C207" s="1225" t="s">
        <v>424</v>
      </c>
      <c r="D207" s="1000"/>
      <c r="E207" s="1034">
        <v>3</v>
      </c>
      <c r="F207" s="994" t="s">
        <v>402</v>
      </c>
      <c r="G207" s="993">
        <v>25460</v>
      </c>
      <c r="H207" s="996">
        <f t="shared" si="38"/>
        <v>23802.758876619999</v>
      </c>
      <c r="I207" s="996">
        <f t="shared" si="34"/>
        <v>71408.276629859989</v>
      </c>
      <c r="J207" s="993">
        <v>11840</v>
      </c>
      <c r="K207" s="996">
        <f t="shared" si="35"/>
        <v>11069.311276479999</v>
      </c>
      <c r="L207" s="996">
        <f t="shared" si="39"/>
        <v>33207.933829439993</v>
      </c>
      <c r="M207" s="996">
        <f>SUM(I207,L207)</f>
        <v>104616.21045929998</v>
      </c>
      <c r="N207" s="994"/>
      <c r="O207" s="981">
        <v>0.93490804699999996</v>
      </c>
      <c r="P207" s="973"/>
    </row>
    <row r="208" spans="1:16" ht="18.95" customHeight="1">
      <c r="A208" s="1043"/>
      <c r="B208" s="1093"/>
      <c r="C208" s="1221" t="s">
        <v>425</v>
      </c>
      <c r="D208" s="1000"/>
      <c r="E208" s="996"/>
      <c r="F208" s="994"/>
      <c r="G208" s="993"/>
      <c r="H208" s="996"/>
      <c r="I208" s="996"/>
      <c r="J208" s="993"/>
      <c r="K208" s="996"/>
      <c r="L208" s="996"/>
      <c r="M208" s="994"/>
      <c r="N208" s="994"/>
      <c r="O208" s="981">
        <v>0.93490804699999996</v>
      </c>
      <c r="P208" s="973"/>
    </row>
    <row r="209" spans="1:16" ht="18.95" customHeight="1">
      <c r="A209" s="1043">
        <v>4.9000000000000004</v>
      </c>
      <c r="B209" s="1087" t="s">
        <v>426</v>
      </c>
      <c r="C209" s="1225" t="s">
        <v>413</v>
      </c>
      <c r="D209" s="1061"/>
      <c r="E209" s="996">
        <v>2</v>
      </c>
      <c r="F209" s="994" t="s">
        <v>402</v>
      </c>
      <c r="G209" s="993">
        <v>25780</v>
      </c>
      <c r="H209" s="996">
        <f t="shared" si="38"/>
        <v>24101.929451659998</v>
      </c>
      <c r="I209" s="996">
        <f t="shared" si="34"/>
        <v>48203.858903319997</v>
      </c>
      <c r="J209" s="993">
        <v>9810</v>
      </c>
      <c r="K209" s="996">
        <f t="shared" si="35"/>
        <v>9171.4479410700005</v>
      </c>
      <c r="L209" s="996">
        <f t="shared" si="39"/>
        <v>18342.895882140001</v>
      </c>
      <c r="M209" s="996">
        <f>SUM(I209,L209)</f>
        <v>66546.754785459998</v>
      </c>
      <c r="N209" s="994"/>
      <c r="O209" s="981">
        <v>0.93490804699999996</v>
      </c>
      <c r="P209" s="973"/>
    </row>
    <row r="210" spans="1:16" ht="18.95" customHeight="1">
      <c r="A210" s="1043"/>
      <c r="B210" s="1088"/>
      <c r="C210" s="1225" t="s">
        <v>427</v>
      </c>
      <c r="D210" s="1061"/>
      <c r="E210" s="996"/>
      <c r="F210" s="994"/>
      <c r="G210" s="993"/>
      <c r="H210" s="996"/>
      <c r="I210" s="996"/>
      <c r="J210" s="993"/>
      <c r="K210" s="996"/>
      <c r="L210" s="996"/>
      <c r="M210" s="994"/>
      <c r="N210" s="994"/>
      <c r="O210" s="981">
        <v>0.93490804699999996</v>
      </c>
      <c r="P210" s="973"/>
    </row>
    <row r="211" spans="1:16" ht="18.95" customHeight="1">
      <c r="A211" s="1018">
        <v>4.0999999999999996</v>
      </c>
      <c r="B211" s="1087" t="s">
        <v>428</v>
      </c>
      <c r="C211" s="1225" t="s">
        <v>429</v>
      </c>
      <c r="D211" s="1061"/>
      <c r="E211" s="996">
        <v>1</v>
      </c>
      <c r="F211" s="994" t="s">
        <v>402</v>
      </c>
      <c r="G211" s="993">
        <v>48000</v>
      </c>
      <c r="H211" s="996">
        <f t="shared" si="38"/>
        <v>44875.586255999995</v>
      </c>
      <c r="I211" s="996">
        <f t="shared" ref="I211:I272" si="40">H211*E211</f>
        <v>44875.586255999995</v>
      </c>
      <c r="J211" s="993">
        <v>16050</v>
      </c>
      <c r="K211" s="996">
        <f t="shared" si="35"/>
        <v>15005.27415435</v>
      </c>
      <c r="L211" s="996">
        <f t="shared" si="39"/>
        <v>15005.27415435</v>
      </c>
      <c r="M211" s="996">
        <f>SUM(I211,L211)</f>
        <v>59880.860410349997</v>
      </c>
      <c r="N211" s="994"/>
      <c r="O211" s="981">
        <v>0.93490804699999996</v>
      </c>
      <c r="P211" s="973"/>
    </row>
    <row r="212" spans="1:16" ht="18.95" customHeight="1">
      <c r="A212" s="990"/>
      <c r="B212" s="1088"/>
      <c r="C212" s="1225" t="s">
        <v>430</v>
      </c>
      <c r="D212" s="1061"/>
      <c r="E212" s="993"/>
      <c r="F212" s="994"/>
      <c r="G212" s="993"/>
      <c r="H212" s="996"/>
      <c r="I212" s="996"/>
      <c r="J212" s="993"/>
      <c r="K212" s="996"/>
      <c r="L212" s="996"/>
      <c r="M212" s="993"/>
      <c r="N212" s="994"/>
      <c r="O212" s="981">
        <v>0.93490804699999996</v>
      </c>
      <c r="P212" s="973"/>
    </row>
    <row r="213" spans="1:16" ht="18.95" customHeight="1">
      <c r="A213" s="1018">
        <v>4.1100000000000003</v>
      </c>
      <c r="B213" s="1087" t="s">
        <v>431</v>
      </c>
      <c r="C213" s="1225" t="s">
        <v>429</v>
      </c>
      <c r="D213" s="1061"/>
      <c r="E213" s="993">
        <v>1</v>
      </c>
      <c r="F213" s="994" t="s">
        <v>402</v>
      </c>
      <c r="G213" s="993">
        <v>47800</v>
      </c>
      <c r="H213" s="996">
        <f t="shared" si="38"/>
        <v>44688.604646599997</v>
      </c>
      <c r="I213" s="996">
        <f t="shared" si="40"/>
        <v>44688.604646599997</v>
      </c>
      <c r="J213" s="993">
        <v>16250</v>
      </c>
      <c r="K213" s="996">
        <f t="shared" si="35"/>
        <v>15192.255763749999</v>
      </c>
      <c r="L213" s="996">
        <f t="shared" si="39"/>
        <v>15192.255763749999</v>
      </c>
      <c r="M213" s="996">
        <f>SUM(I213,L213)</f>
        <v>59880.860410349997</v>
      </c>
      <c r="N213" s="994"/>
      <c r="O213" s="981">
        <v>0.93490804699999996</v>
      </c>
      <c r="P213" s="973"/>
    </row>
    <row r="214" spans="1:16" ht="18.95" customHeight="1">
      <c r="A214" s="990"/>
      <c r="B214" s="1088"/>
      <c r="C214" s="1225" t="s">
        <v>432</v>
      </c>
      <c r="D214" s="1061"/>
      <c r="E214" s="993"/>
      <c r="F214" s="994"/>
      <c r="G214" s="993"/>
      <c r="H214" s="996"/>
      <c r="I214" s="996"/>
      <c r="J214" s="993"/>
      <c r="K214" s="996"/>
      <c r="L214" s="996"/>
      <c r="M214" s="993"/>
      <c r="N214" s="994"/>
      <c r="O214" s="981">
        <v>0.93490804699999996</v>
      </c>
      <c r="P214" s="973"/>
    </row>
    <row r="215" spans="1:16" ht="18.95" customHeight="1">
      <c r="A215" s="1006"/>
      <c r="B215" s="1007"/>
      <c r="C215" s="1218"/>
      <c r="D215" s="1008"/>
      <c r="E215" s="1009"/>
      <c r="F215" s="1010"/>
      <c r="G215" s="1009"/>
      <c r="H215" s="996"/>
      <c r="I215" s="996"/>
      <c r="J215" s="1009"/>
      <c r="K215" s="996"/>
      <c r="L215" s="996"/>
      <c r="M215" s="1009"/>
      <c r="N215" s="1010"/>
      <c r="O215" s="981">
        <v>0.93490804699999996</v>
      </c>
      <c r="P215" s="973"/>
    </row>
    <row r="216" spans="1:16" ht="18.95" customHeight="1">
      <c r="A216" s="1094">
        <v>4.12</v>
      </c>
      <c r="B216" s="1095" t="s">
        <v>433</v>
      </c>
      <c r="C216" s="1241" t="s">
        <v>429</v>
      </c>
      <c r="D216" s="1086"/>
      <c r="E216" s="986">
        <v>1</v>
      </c>
      <c r="F216" s="987" t="s">
        <v>402</v>
      </c>
      <c r="G216" s="986">
        <v>47140</v>
      </c>
      <c r="H216" s="996">
        <f t="shared" si="38"/>
        <v>44071.565335579995</v>
      </c>
      <c r="I216" s="996">
        <f t="shared" si="40"/>
        <v>44071.565335579995</v>
      </c>
      <c r="J216" s="986">
        <v>16000</v>
      </c>
      <c r="K216" s="996">
        <f t="shared" si="35"/>
        <v>14958.528752</v>
      </c>
      <c r="L216" s="996">
        <f t="shared" si="39"/>
        <v>14958.528752</v>
      </c>
      <c r="M216" s="1031">
        <f>SUM(I216,L216)</f>
        <v>59030.094087579993</v>
      </c>
      <c r="N216" s="987"/>
      <c r="O216" s="981">
        <v>0.93490804699999996</v>
      </c>
      <c r="P216" s="973"/>
    </row>
    <row r="217" spans="1:16" ht="18.95" customHeight="1">
      <c r="A217" s="1039"/>
      <c r="B217" s="1088"/>
      <c r="C217" s="1225" t="s">
        <v>430</v>
      </c>
      <c r="D217" s="1061"/>
      <c r="E217" s="993"/>
      <c r="F217" s="994"/>
      <c r="G217" s="993"/>
      <c r="H217" s="996"/>
      <c r="I217" s="996"/>
      <c r="J217" s="993"/>
      <c r="K217" s="996"/>
      <c r="L217" s="996"/>
      <c r="M217" s="1002"/>
      <c r="N217" s="994"/>
      <c r="O217" s="981">
        <v>0.93490804699999996</v>
      </c>
      <c r="P217" s="973"/>
    </row>
    <row r="218" spans="1:16" ht="18.95" customHeight="1">
      <c r="A218" s="1036">
        <v>4.13</v>
      </c>
      <c r="B218" s="1087" t="s">
        <v>434</v>
      </c>
      <c r="C218" s="1225" t="s">
        <v>435</v>
      </c>
      <c r="D218" s="1061"/>
      <c r="E218" s="993">
        <v>1</v>
      </c>
      <c r="F218" s="994" t="s">
        <v>402</v>
      </c>
      <c r="G218" s="993">
        <v>57950</v>
      </c>
      <c r="H218" s="996">
        <f t="shared" si="38"/>
        <v>54177.92132365</v>
      </c>
      <c r="I218" s="996">
        <f t="shared" si="40"/>
        <v>54177.92132365</v>
      </c>
      <c r="J218" s="993">
        <v>22600</v>
      </c>
      <c r="K218" s="996">
        <f t="shared" si="35"/>
        <v>21128.921862200001</v>
      </c>
      <c r="L218" s="996">
        <f t="shared" si="39"/>
        <v>21128.921862200001</v>
      </c>
      <c r="M218" s="996">
        <f>SUM(I218,L218)</f>
        <v>75306.843185849997</v>
      </c>
      <c r="N218" s="996"/>
      <c r="O218" s="981">
        <v>0.93490804699999996</v>
      </c>
    </row>
    <row r="219" spans="1:16" ht="18.95" customHeight="1">
      <c r="A219" s="1036"/>
      <c r="B219" s="1088"/>
      <c r="C219" s="1225" t="s">
        <v>403</v>
      </c>
      <c r="D219" s="1061"/>
      <c r="E219" s="993"/>
      <c r="F219" s="994"/>
      <c r="G219" s="995"/>
      <c r="H219" s="996"/>
      <c r="I219" s="996"/>
      <c r="J219" s="993"/>
      <c r="K219" s="996"/>
      <c r="L219" s="996"/>
      <c r="M219" s="993"/>
      <c r="N219" s="996"/>
      <c r="O219" s="981">
        <v>0.93490804699999996</v>
      </c>
    </row>
    <row r="220" spans="1:16" ht="18.95" customHeight="1">
      <c r="A220" s="1036"/>
      <c r="B220" s="1087"/>
      <c r="C220" s="1225" t="s">
        <v>436</v>
      </c>
      <c r="D220" s="1061"/>
      <c r="E220" s="993"/>
      <c r="F220" s="994"/>
      <c r="G220" s="993"/>
      <c r="H220" s="996"/>
      <c r="I220" s="996"/>
      <c r="J220" s="993"/>
      <c r="K220" s="996"/>
      <c r="L220" s="996"/>
      <c r="M220" s="996"/>
      <c r="N220" s="996"/>
      <c r="O220" s="981">
        <v>0.93490804699999996</v>
      </c>
    </row>
    <row r="221" spans="1:16" ht="18.95" customHeight="1">
      <c r="A221" s="1036">
        <v>4.1399999999999997</v>
      </c>
      <c r="B221" s="1087" t="s">
        <v>437</v>
      </c>
      <c r="C221" s="1225" t="s">
        <v>413</v>
      </c>
      <c r="D221" s="1061"/>
      <c r="E221" s="993">
        <v>1</v>
      </c>
      <c r="F221" s="994" t="s">
        <v>402</v>
      </c>
      <c r="G221" s="995">
        <v>18135</v>
      </c>
      <c r="H221" s="996">
        <f t="shared" si="38"/>
        <v>16954.557432344998</v>
      </c>
      <c r="I221" s="996">
        <f t="shared" si="40"/>
        <v>16954.557432344998</v>
      </c>
      <c r="J221" s="993">
        <v>8620</v>
      </c>
      <c r="K221" s="996">
        <f t="shared" si="35"/>
        <v>8058.9073651399995</v>
      </c>
      <c r="L221" s="996">
        <f t="shared" si="39"/>
        <v>8058.9073651399995</v>
      </c>
      <c r="M221" s="996">
        <f>SUM(I221,L221)</f>
        <v>25013.464797484998</v>
      </c>
      <c r="N221" s="996"/>
      <c r="O221" s="981">
        <v>0.93490804699999996</v>
      </c>
    </row>
    <row r="222" spans="1:16" ht="18.95" customHeight="1">
      <c r="A222" s="1039"/>
      <c r="B222" s="1088"/>
      <c r="C222" s="1225" t="s">
        <v>427</v>
      </c>
      <c r="D222" s="1061"/>
      <c r="E222" s="993"/>
      <c r="F222" s="994"/>
      <c r="G222" s="993"/>
      <c r="H222" s="996"/>
      <c r="I222" s="996"/>
      <c r="J222" s="993"/>
      <c r="K222" s="996"/>
      <c r="L222" s="996"/>
      <c r="M222" s="996"/>
      <c r="N222" s="996"/>
      <c r="O222" s="981">
        <v>0.93490804699999996</v>
      </c>
    </row>
    <row r="223" spans="1:16" ht="18.95" customHeight="1">
      <c r="A223" s="1036">
        <v>4.1500000000000004</v>
      </c>
      <c r="B223" s="1087" t="s">
        <v>438</v>
      </c>
      <c r="C223" s="1225" t="s">
        <v>401</v>
      </c>
      <c r="D223" s="1061"/>
      <c r="E223" s="993">
        <v>1</v>
      </c>
      <c r="F223" s="994" t="s">
        <v>402</v>
      </c>
      <c r="G223" s="995">
        <v>29560</v>
      </c>
      <c r="H223" s="996">
        <f t="shared" si="38"/>
        <v>27635.881869319997</v>
      </c>
      <c r="I223" s="996">
        <f t="shared" si="40"/>
        <v>27635.881869319997</v>
      </c>
      <c r="J223" s="993">
        <v>12500</v>
      </c>
      <c r="K223" s="996">
        <f t="shared" si="35"/>
        <v>11686.350587499999</v>
      </c>
      <c r="L223" s="996">
        <f t="shared" si="39"/>
        <v>11686.350587499999</v>
      </c>
      <c r="M223" s="996">
        <f>SUM(I223,L223)</f>
        <v>39322.232456819998</v>
      </c>
      <c r="N223" s="996"/>
      <c r="O223" s="981">
        <v>0.93490804699999996</v>
      </c>
    </row>
    <row r="224" spans="1:16" ht="18.95" customHeight="1">
      <c r="A224" s="1036"/>
      <c r="B224" s="1088"/>
      <c r="C224" s="1225" t="s">
        <v>439</v>
      </c>
      <c r="D224" s="1061"/>
      <c r="E224" s="993"/>
      <c r="F224" s="994"/>
      <c r="G224" s="993"/>
      <c r="H224" s="996"/>
      <c r="I224" s="996"/>
      <c r="J224" s="993"/>
      <c r="K224" s="996"/>
      <c r="L224" s="996"/>
      <c r="M224" s="996"/>
      <c r="N224" s="996"/>
      <c r="O224" s="981">
        <v>0.93490804699999996</v>
      </c>
    </row>
    <row r="225" spans="1:16" ht="18.95" customHeight="1">
      <c r="A225" s="1036">
        <v>4.16</v>
      </c>
      <c r="B225" s="1087" t="s">
        <v>440</v>
      </c>
      <c r="C225" s="1225" t="s">
        <v>401</v>
      </c>
      <c r="D225" s="1061"/>
      <c r="E225" s="993">
        <v>1</v>
      </c>
      <c r="F225" s="994" t="s">
        <v>402</v>
      </c>
      <c r="G225" s="995">
        <v>34350</v>
      </c>
      <c r="H225" s="996">
        <f t="shared" si="38"/>
        <v>32114.091414449998</v>
      </c>
      <c r="I225" s="996">
        <f t="shared" si="40"/>
        <v>32114.091414449998</v>
      </c>
      <c r="J225" s="993">
        <v>12700</v>
      </c>
      <c r="K225" s="996">
        <f t="shared" si="35"/>
        <v>11873.332196899999</v>
      </c>
      <c r="L225" s="996">
        <f t="shared" si="39"/>
        <v>11873.332196899999</v>
      </c>
      <c r="M225" s="996">
        <f>SUM(I225,L225)</f>
        <v>43987.423611349994</v>
      </c>
      <c r="N225" s="994"/>
      <c r="O225" s="981">
        <v>0.93490804699999996</v>
      </c>
      <c r="P225" s="973"/>
    </row>
    <row r="226" spans="1:16" ht="18.95" customHeight="1">
      <c r="A226" s="1036"/>
      <c r="B226" s="1088"/>
      <c r="C226" s="1225" t="s">
        <v>441</v>
      </c>
      <c r="D226" s="1061"/>
      <c r="E226" s="993"/>
      <c r="F226" s="994"/>
      <c r="G226" s="993"/>
      <c r="H226" s="996"/>
      <c r="I226" s="996"/>
      <c r="J226" s="993"/>
      <c r="K226" s="996"/>
      <c r="L226" s="996"/>
      <c r="M226" s="996"/>
      <c r="N226" s="994"/>
      <c r="O226" s="981">
        <v>0.93490804699999996</v>
      </c>
      <c r="P226" s="973"/>
    </row>
    <row r="227" spans="1:16" ht="18.95" customHeight="1">
      <c r="A227" s="1018">
        <v>4.17</v>
      </c>
      <c r="B227" s="1087" t="s">
        <v>442</v>
      </c>
      <c r="C227" s="1225" t="s">
        <v>401</v>
      </c>
      <c r="D227" s="1061"/>
      <c r="E227" s="993">
        <v>1</v>
      </c>
      <c r="F227" s="994" t="s">
        <v>402</v>
      </c>
      <c r="G227" s="995">
        <v>30150</v>
      </c>
      <c r="H227" s="996">
        <f t="shared" si="38"/>
        <v>28187.477617049997</v>
      </c>
      <c r="I227" s="996">
        <f t="shared" si="40"/>
        <v>28187.477617049997</v>
      </c>
      <c r="J227" s="993">
        <v>12300</v>
      </c>
      <c r="K227" s="996">
        <f t="shared" ref="K227:K290" si="41">J227*O227</f>
        <v>11499.368978099999</v>
      </c>
      <c r="L227" s="996">
        <f t="shared" si="39"/>
        <v>11499.368978099999</v>
      </c>
      <c r="M227" s="996">
        <f>SUM(I227,L227)</f>
        <v>39686.846595149997</v>
      </c>
      <c r="N227" s="994"/>
      <c r="O227" s="981">
        <v>0.93490804699999996</v>
      </c>
      <c r="P227" s="973"/>
    </row>
    <row r="228" spans="1:16" ht="18.95" customHeight="1">
      <c r="A228" s="1035"/>
      <c r="B228" s="1088"/>
      <c r="C228" s="1225" t="s">
        <v>443</v>
      </c>
      <c r="D228" s="1061"/>
      <c r="E228" s="993"/>
      <c r="F228" s="994"/>
      <c r="G228" s="993"/>
      <c r="H228" s="996"/>
      <c r="I228" s="996"/>
      <c r="J228" s="993"/>
      <c r="K228" s="996"/>
      <c r="L228" s="996"/>
      <c r="M228" s="996"/>
      <c r="N228" s="994"/>
      <c r="O228" s="981">
        <v>0.93490804699999996</v>
      </c>
      <c r="P228" s="973"/>
    </row>
    <row r="229" spans="1:16" ht="18.95" customHeight="1">
      <c r="A229" s="1032">
        <v>4.18</v>
      </c>
      <c r="B229" s="1087" t="s">
        <v>444</v>
      </c>
      <c r="C229" s="1225" t="s">
        <v>401</v>
      </c>
      <c r="D229" s="1061"/>
      <c r="E229" s="993">
        <v>1</v>
      </c>
      <c r="F229" s="994" t="s">
        <v>402</v>
      </c>
      <c r="G229" s="995">
        <v>111670</v>
      </c>
      <c r="H229" s="996">
        <f t="shared" si="38"/>
        <v>104401.18160848999</v>
      </c>
      <c r="I229" s="996">
        <f t="shared" si="40"/>
        <v>104401.18160848999</v>
      </c>
      <c r="J229" s="993">
        <v>28950</v>
      </c>
      <c r="K229" s="996">
        <f t="shared" si="41"/>
        <v>27065.587960649998</v>
      </c>
      <c r="L229" s="996">
        <f t="shared" si="39"/>
        <v>27065.587960649998</v>
      </c>
      <c r="M229" s="996">
        <f>SUM(I229,L229)</f>
        <v>131466.76956913999</v>
      </c>
      <c r="N229" s="994"/>
      <c r="O229" s="981">
        <v>0.93490804699999996</v>
      </c>
      <c r="P229" s="973"/>
    </row>
    <row r="230" spans="1:16" ht="18.95" customHeight="1">
      <c r="A230" s="1018"/>
      <c r="B230" s="1088"/>
      <c r="C230" s="1225" t="s">
        <v>445</v>
      </c>
      <c r="D230" s="1061"/>
      <c r="E230" s="996"/>
      <c r="F230" s="994"/>
      <c r="G230" s="993"/>
      <c r="H230" s="996"/>
      <c r="I230" s="996"/>
      <c r="J230" s="993"/>
      <c r="K230" s="996"/>
      <c r="L230" s="996"/>
      <c r="M230" s="996"/>
      <c r="N230" s="994"/>
      <c r="O230" s="981">
        <v>0.93490804699999996</v>
      </c>
      <c r="P230" s="973"/>
    </row>
    <row r="231" spans="1:16" ht="18.95" customHeight="1">
      <c r="A231" s="1032">
        <v>4.1900000000000004</v>
      </c>
      <c r="B231" s="1087" t="s">
        <v>446</v>
      </c>
      <c r="C231" s="1225" t="s">
        <v>401</v>
      </c>
      <c r="D231" s="1061"/>
      <c r="E231" s="993">
        <v>2</v>
      </c>
      <c r="F231" s="994" t="s">
        <v>402</v>
      </c>
      <c r="G231" s="993">
        <v>28975</v>
      </c>
      <c r="H231" s="996">
        <f t="shared" si="38"/>
        <v>27088.960661825</v>
      </c>
      <c r="I231" s="996">
        <f t="shared" si="40"/>
        <v>54177.92132365</v>
      </c>
      <c r="J231" s="993">
        <v>11690</v>
      </c>
      <c r="K231" s="996">
        <f t="shared" si="41"/>
        <v>10929.07506943</v>
      </c>
      <c r="L231" s="996">
        <f t="shared" si="39"/>
        <v>21858.150138860001</v>
      </c>
      <c r="M231" s="996">
        <f>SUM(I231,L231)</f>
        <v>76036.071462510008</v>
      </c>
      <c r="N231" s="994"/>
      <c r="O231" s="981">
        <v>0.93490804699999996</v>
      </c>
      <c r="P231" s="973"/>
    </row>
    <row r="232" spans="1:16" ht="18.95" customHeight="1">
      <c r="A232" s="1032"/>
      <c r="B232" s="1088"/>
      <c r="C232" s="1225" t="s">
        <v>447</v>
      </c>
      <c r="D232" s="1061"/>
      <c r="E232" s="993"/>
      <c r="F232" s="994"/>
      <c r="G232" s="995"/>
      <c r="H232" s="996"/>
      <c r="I232" s="996"/>
      <c r="J232" s="993"/>
      <c r="K232" s="996"/>
      <c r="L232" s="996"/>
      <c r="M232" s="993"/>
      <c r="N232" s="994"/>
      <c r="O232" s="981">
        <v>0.93490804699999996</v>
      </c>
      <c r="P232" s="973"/>
    </row>
    <row r="233" spans="1:16" ht="18.95" customHeight="1">
      <c r="A233" s="1032">
        <v>4.2</v>
      </c>
      <c r="B233" s="1087" t="s">
        <v>448</v>
      </c>
      <c r="C233" s="1225" t="s">
        <v>435</v>
      </c>
      <c r="D233" s="1061"/>
      <c r="E233" s="993">
        <v>2</v>
      </c>
      <c r="F233" s="994" t="s">
        <v>402</v>
      </c>
      <c r="G233" s="993">
        <v>92420</v>
      </c>
      <c r="H233" s="996">
        <f t="shared" si="38"/>
        <v>86404.201703739993</v>
      </c>
      <c r="I233" s="996">
        <f t="shared" si="40"/>
        <v>172808.40340747999</v>
      </c>
      <c r="J233" s="993">
        <v>41530</v>
      </c>
      <c r="K233" s="996">
        <f t="shared" si="41"/>
        <v>38826.731191909996</v>
      </c>
      <c r="L233" s="996">
        <f t="shared" si="39"/>
        <v>77653.462383819991</v>
      </c>
      <c r="M233" s="996">
        <f>SUM(I233,L233)</f>
        <v>250461.86579129996</v>
      </c>
      <c r="N233" s="994"/>
      <c r="O233" s="981">
        <v>0.93490804699999996</v>
      </c>
      <c r="P233" s="973"/>
    </row>
    <row r="234" spans="1:16" ht="18.95" customHeight="1">
      <c r="A234" s="1035"/>
      <c r="B234" s="1088"/>
      <c r="C234" s="1225" t="s">
        <v>449</v>
      </c>
      <c r="D234" s="1061"/>
      <c r="E234" s="993"/>
      <c r="F234" s="994"/>
      <c r="G234" s="995"/>
      <c r="H234" s="996"/>
      <c r="I234" s="996"/>
      <c r="J234" s="993"/>
      <c r="K234" s="996"/>
      <c r="L234" s="996"/>
      <c r="M234" s="993"/>
      <c r="N234" s="994"/>
      <c r="O234" s="981">
        <v>0.93490804699999996</v>
      </c>
      <c r="P234" s="973"/>
    </row>
    <row r="235" spans="1:16" ht="18.95" customHeight="1">
      <c r="A235" s="1032">
        <v>4.21</v>
      </c>
      <c r="B235" s="1087" t="s">
        <v>450</v>
      </c>
      <c r="C235" s="1225" t="s">
        <v>401</v>
      </c>
      <c r="D235" s="1061"/>
      <c r="E235" s="993">
        <v>1</v>
      </c>
      <c r="F235" s="994" t="s">
        <v>402</v>
      </c>
      <c r="G235" s="993">
        <v>242995</v>
      </c>
      <c r="H235" s="996">
        <f t="shared" si="38"/>
        <v>227177.98088076498</v>
      </c>
      <c r="I235" s="996">
        <f t="shared" si="40"/>
        <v>227177.98088076498</v>
      </c>
      <c r="J235" s="993">
        <v>123110</v>
      </c>
      <c r="K235" s="996">
        <f t="shared" si="41"/>
        <v>115096.52966617</v>
      </c>
      <c r="L235" s="996">
        <f t="shared" si="39"/>
        <v>115096.52966617</v>
      </c>
      <c r="M235" s="996">
        <f>SUM(I235,L235)</f>
        <v>342274.51054693497</v>
      </c>
      <c r="N235" s="994"/>
      <c r="O235" s="981">
        <v>0.93490804699999996</v>
      </c>
      <c r="P235" s="973"/>
    </row>
    <row r="236" spans="1:16" ht="18.95" customHeight="1">
      <c r="A236" s="1018"/>
      <c r="B236" s="1088"/>
      <c r="C236" s="1225" t="s">
        <v>451</v>
      </c>
      <c r="D236" s="1061"/>
      <c r="E236" s="996"/>
      <c r="F236" s="994"/>
      <c r="G236" s="993"/>
      <c r="H236" s="996"/>
      <c r="I236" s="996"/>
      <c r="J236" s="993"/>
      <c r="K236" s="996"/>
      <c r="L236" s="996"/>
      <c r="M236" s="996"/>
      <c r="N236" s="994"/>
      <c r="O236" s="981">
        <v>0.93490804699999996</v>
      </c>
      <c r="P236" s="973"/>
    </row>
    <row r="237" spans="1:16" ht="18.95" customHeight="1">
      <c r="A237" s="1032">
        <v>4.22</v>
      </c>
      <c r="B237" s="1087" t="s">
        <v>452</v>
      </c>
      <c r="C237" s="1225" t="s">
        <v>435</v>
      </c>
      <c r="D237" s="1061"/>
      <c r="E237" s="993">
        <v>1</v>
      </c>
      <c r="F237" s="994" t="s">
        <v>402</v>
      </c>
      <c r="G237" s="993">
        <v>92165</v>
      </c>
      <c r="H237" s="996">
        <f t="shared" si="38"/>
        <v>86165.800151755</v>
      </c>
      <c r="I237" s="996">
        <f t="shared" si="40"/>
        <v>86165.800151755</v>
      </c>
      <c r="J237" s="993">
        <v>33710</v>
      </c>
      <c r="K237" s="996">
        <f t="shared" si="41"/>
        <v>31515.750264369999</v>
      </c>
      <c r="L237" s="996">
        <f t="shared" si="39"/>
        <v>31515.750264369999</v>
      </c>
      <c r="M237" s="996">
        <f>SUM(I237,L237)</f>
        <v>117681.550416125</v>
      </c>
      <c r="N237" s="994"/>
      <c r="O237" s="981">
        <v>0.93490804699999996</v>
      </c>
      <c r="P237" s="973"/>
    </row>
    <row r="238" spans="1:16" ht="18.95" customHeight="1">
      <c r="A238" s="1021"/>
      <c r="B238" s="1088"/>
      <c r="C238" s="1225" t="s">
        <v>453</v>
      </c>
      <c r="D238" s="1061"/>
      <c r="E238" s="993"/>
      <c r="F238" s="994"/>
      <c r="G238" s="993"/>
      <c r="H238" s="996"/>
      <c r="I238" s="996"/>
      <c r="J238" s="993"/>
      <c r="K238" s="996"/>
      <c r="L238" s="996"/>
      <c r="M238" s="996"/>
      <c r="N238" s="994"/>
      <c r="O238" s="981">
        <v>0.93490804699999996</v>
      </c>
      <c r="P238" s="973"/>
    </row>
    <row r="239" spans="1:16" ht="18.95" customHeight="1">
      <c r="A239" s="1032">
        <v>4.2300000000000004</v>
      </c>
      <c r="B239" s="1087" t="s">
        <v>454</v>
      </c>
      <c r="C239" s="1225" t="s">
        <v>401</v>
      </c>
      <c r="D239" s="1061"/>
      <c r="E239" s="996">
        <v>1</v>
      </c>
      <c r="F239" s="994" t="s">
        <v>402</v>
      </c>
      <c r="G239" s="993">
        <v>49775</v>
      </c>
      <c r="H239" s="996">
        <f t="shared" ref="H239:H300" si="42">G239*O239</f>
        <v>46535.048039424997</v>
      </c>
      <c r="I239" s="996">
        <f t="shared" si="40"/>
        <v>46535.048039424997</v>
      </c>
      <c r="J239" s="993">
        <v>16740</v>
      </c>
      <c r="K239" s="996">
        <f t="shared" si="41"/>
        <v>15650.360706779999</v>
      </c>
      <c r="L239" s="996">
        <f t="shared" si="39"/>
        <v>15650.360706779999</v>
      </c>
      <c r="M239" s="996">
        <f>SUM(I239,L239)</f>
        <v>62185.408746204994</v>
      </c>
      <c r="N239" s="994"/>
      <c r="O239" s="981">
        <v>0.93490804699999996</v>
      </c>
      <c r="P239" s="973"/>
    </row>
    <row r="240" spans="1:16" ht="18.95" customHeight="1">
      <c r="A240" s="990"/>
      <c r="B240" s="1088"/>
      <c r="C240" s="1225" t="s">
        <v>455</v>
      </c>
      <c r="D240" s="1061"/>
      <c r="E240" s="993"/>
      <c r="F240" s="994"/>
      <c r="G240" s="993"/>
      <c r="H240" s="996"/>
      <c r="I240" s="996"/>
      <c r="J240" s="993"/>
      <c r="K240" s="996"/>
      <c r="L240" s="996"/>
      <c r="M240" s="996"/>
      <c r="N240" s="994"/>
      <c r="O240" s="981">
        <v>0.93490804699999996</v>
      </c>
      <c r="P240" s="973"/>
    </row>
    <row r="241" spans="1:16" ht="18.95" customHeight="1">
      <c r="A241" s="990">
        <v>4.24</v>
      </c>
      <c r="B241" s="1087" t="s">
        <v>456</v>
      </c>
      <c r="C241" s="1225" t="s">
        <v>401</v>
      </c>
      <c r="D241" s="1061"/>
      <c r="E241" s="996">
        <v>1</v>
      </c>
      <c r="F241" s="994" t="s">
        <v>402</v>
      </c>
      <c r="G241" s="993">
        <v>49775</v>
      </c>
      <c r="H241" s="996">
        <f t="shared" si="42"/>
        <v>46535.048039424997</v>
      </c>
      <c r="I241" s="996">
        <f t="shared" si="40"/>
        <v>46535.048039424997</v>
      </c>
      <c r="J241" s="993">
        <v>16740</v>
      </c>
      <c r="K241" s="996">
        <f t="shared" si="41"/>
        <v>15650.360706779999</v>
      </c>
      <c r="L241" s="996">
        <f t="shared" si="39"/>
        <v>15650.360706779999</v>
      </c>
      <c r="M241" s="996">
        <f>SUM(I241,L241)</f>
        <v>62185.408746204994</v>
      </c>
      <c r="N241" s="994"/>
      <c r="O241" s="981">
        <v>0.93490804699999996</v>
      </c>
      <c r="P241" s="973"/>
    </row>
    <row r="242" spans="1:16" ht="18.95" customHeight="1">
      <c r="A242" s="990"/>
      <c r="B242" s="1088"/>
      <c r="C242" s="1225" t="s">
        <v>455</v>
      </c>
      <c r="D242" s="1061"/>
      <c r="E242" s="1096"/>
      <c r="F242" s="1097"/>
      <c r="G242" s="1098"/>
      <c r="H242" s="996"/>
      <c r="I242" s="996"/>
      <c r="J242" s="1098"/>
      <c r="K242" s="996"/>
      <c r="L242" s="996"/>
      <c r="M242" s="1096"/>
      <c r="N242" s="994"/>
      <c r="O242" s="981">
        <v>0.93490804699999996</v>
      </c>
      <c r="P242" s="973"/>
    </row>
    <row r="243" spans="1:16" ht="18.95" customHeight="1">
      <c r="A243" s="1006"/>
      <c r="B243" s="1099"/>
      <c r="C243" s="1242"/>
      <c r="D243" s="1065"/>
      <c r="E243" s="1028"/>
      <c r="F243" s="1010"/>
      <c r="G243" s="1009"/>
      <c r="H243" s="996"/>
      <c r="I243" s="996"/>
      <c r="J243" s="1009"/>
      <c r="K243" s="996"/>
      <c r="L243" s="996"/>
      <c r="M243" s="1028"/>
      <c r="N243" s="1010"/>
      <c r="O243" s="981">
        <v>0.93490804699999996</v>
      </c>
      <c r="P243" s="973"/>
    </row>
    <row r="244" spans="1:16" ht="18.95" customHeight="1">
      <c r="A244" s="1094">
        <v>4.25</v>
      </c>
      <c r="B244" s="1095" t="s">
        <v>457</v>
      </c>
      <c r="C244" s="1241" t="s">
        <v>401</v>
      </c>
      <c r="D244" s="1086"/>
      <c r="E244" s="1031">
        <v>1</v>
      </c>
      <c r="F244" s="987" t="s">
        <v>402</v>
      </c>
      <c r="G244" s="986">
        <v>205935</v>
      </c>
      <c r="H244" s="996">
        <f t="shared" si="42"/>
        <v>192530.28865894501</v>
      </c>
      <c r="I244" s="996">
        <f t="shared" si="40"/>
        <v>192530.28865894501</v>
      </c>
      <c r="J244" s="986">
        <v>76040</v>
      </c>
      <c r="K244" s="996">
        <f t="shared" si="41"/>
        <v>71090.407893879994</v>
      </c>
      <c r="L244" s="996">
        <f t="shared" si="39"/>
        <v>71090.407893879994</v>
      </c>
      <c r="M244" s="1031">
        <f>SUM(I244,L244)</f>
        <v>263620.69655282499</v>
      </c>
      <c r="N244" s="987"/>
      <c r="O244" s="981">
        <v>0.93490804699999996</v>
      </c>
      <c r="P244" s="973"/>
    </row>
    <row r="245" spans="1:16" ht="18.95" customHeight="1">
      <c r="A245" s="1100"/>
      <c r="B245" s="1088"/>
      <c r="C245" s="1225" t="s">
        <v>458</v>
      </c>
      <c r="D245" s="1061"/>
      <c r="E245" s="996"/>
      <c r="F245" s="994"/>
      <c r="G245" s="993"/>
      <c r="H245" s="996"/>
      <c r="I245" s="996"/>
      <c r="J245" s="993"/>
      <c r="K245" s="996"/>
      <c r="L245" s="996"/>
      <c r="M245" s="996"/>
      <c r="N245" s="994"/>
      <c r="O245" s="981">
        <v>0.93490804699999996</v>
      </c>
      <c r="P245" s="973"/>
    </row>
    <row r="246" spans="1:16" ht="18.95" customHeight="1">
      <c r="A246" s="1101">
        <v>4.26</v>
      </c>
      <c r="B246" s="1087" t="s">
        <v>459</v>
      </c>
      <c r="C246" s="1225" t="s">
        <v>401</v>
      </c>
      <c r="D246" s="1061"/>
      <c r="E246" s="993">
        <v>1</v>
      </c>
      <c r="F246" s="994" t="s">
        <v>402</v>
      </c>
      <c r="G246" s="993">
        <v>90238</v>
      </c>
      <c r="H246" s="996">
        <f t="shared" si="42"/>
        <v>84364.232345185999</v>
      </c>
      <c r="I246" s="996">
        <f t="shared" si="40"/>
        <v>84364.232345185999</v>
      </c>
      <c r="J246" s="993">
        <v>27050</v>
      </c>
      <c r="K246" s="996">
        <f t="shared" si="41"/>
        <v>25289.262671349999</v>
      </c>
      <c r="L246" s="996">
        <f t="shared" si="39"/>
        <v>25289.262671349999</v>
      </c>
      <c r="M246" s="996">
        <f>SUM(I246,L246)</f>
        <v>109653.49501653601</v>
      </c>
      <c r="N246" s="994"/>
      <c r="O246" s="981">
        <v>0.93490804699999996</v>
      </c>
      <c r="P246" s="973"/>
    </row>
    <row r="247" spans="1:16" ht="18.95" customHeight="1">
      <c r="A247" s="1101"/>
      <c r="B247" s="1088"/>
      <c r="C247" s="1225" t="s">
        <v>460</v>
      </c>
      <c r="D247" s="1061"/>
      <c r="E247" s="993"/>
      <c r="F247" s="994"/>
      <c r="G247" s="993"/>
      <c r="H247" s="996"/>
      <c r="I247" s="996"/>
      <c r="J247" s="993"/>
      <c r="K247" s="996"/>
      <c r="L247" s="996"/>
      <c r="M247" s="996"/>
      <c r="N247" s="994"/>
      <c r="O247" s="981">
        <v>0.93490804699999996</v>
      </c>
      <c r="P247" s="973"/>
    </row>
    <row r="248" spans="1:16" ht="18.95" customHeight="1">
      <c r="A248" s="1101">
        <v>4.2699999999999996</v>
      </c>
      <c r="B248" s="1087" t="s">
        <v>461</v>
      </c>
      <c r="C248" s="1225" t="s">
        <v>435</v>
      </c>
      <c r="D248" s="1061"/>
      <c r="E248" s="996">
        <v>1</v>
      </c>
      <c r="F248" s="994" t="s">
        <v>402</v>
      </c>
      <c r="G248" s="993">
        <v>88530</v>
      </c>
      <c r="H248" s="996">
        <f t="shared" si="42"/>
        <v>82767.409400909994</v>
      </c>
      <c r="I248" s="996">
        <f t="shared" si="40"/>
        <v>82767.409400909994</v>
      </c>
      <c r="J248" s="993">
        <v>32250</v>
      </c>
      <c r="K248" s="996">
        <f t="shared" si="41"/>
        <v>30150.784515749998</v>
      </c>
      <c r="L248" s="996">
        <f t="shared" si="39"/>
        <v>30150.784515749998</v>
      </c>
      <c r="M248" s="996">
        <f>SUM(I248,L248)</f>
        <v>112918.19391665999</v>
      </c>
      <c r="N248" s="996"/>
      <c r="O248" s="981">
        <v>0.93490804699999996</v>
      </c>
    </row>
    <row r="249" spans="1:16" ht="18.95" customHeight="1">
      <c r="A249" s="1102"/>
      <c r="B249" s="1088"/>
      <c r="C249" s="1225" t="s">
        <v>462</v>
      </c>
      <c r="D249" s="1061"/>
      <c r="E249" s="993"/>
      <c r="F249" s="994"/>
      <c r="G249" s="993"/>
      <c r="H249" s="996"/>
      <c r="I249" s="996"/>
      <c r="J249" s="993"/>
      <c r="K249" s="996"/>
      <c r="L249" s="996"/>
      <c r="M249" s="996"/>
      <c r="N249" s="996"/>
      <c r="O249" s="981">
        <v>0.93490804699999996</v>
      </c>
    </row>
    <row r="250" spans="1:16" ht="18.95" customHeight="1">
      <c r="A250" s="1101">
        <v>4.28</v>
      </c>
      <c r="B250" s="1087" t="s">
        <v>463</v>
      </c>
      <c r="C250" s="1225" t="s">
        <v>401</v>
      </c>
      <c r="D250" s="1061"/>
      <c r="E250" s="996">
        <v>1</v>
      </c>
      <c r="F250" s="994" t="s">
        <v>402</v>
      </c>
      <c r="G250" s="993">
        <v>80220</v>
      </c>
      <c r="H250" s="996">
        <f t="shared" si="42"/>
        <v>74998.32353034</v>
      </c>
      <c r="I250" s="996">
        <f t="shared" si="40"/>
        <v>74998.32353034</v>
      </c>
      <c r="J250" s="993">
        <v>28180</v>
      </c>
      <c r="K250" s="996">
        <f t="shared" si="41"/>
        <v>26345.70876446</v>
      </c>
      <c r="L250" s="996">
        <f t="shared" si="39"/>
        <v>26345.70876446</v>
      </c>
      <c r="M250" s="996">
        <f>SUM(I250,L250)</f>
        <v>101344.0322948</v>
      </c>
      <c r="N250" s="996"/>
      <c r="O250" s="981">
        <v>0.93490804699999996</v>
      </c>
    </row>
    <row r="251" spans="1:16" ht="18.95" customHeight="1">
      <c r="A251" s="1101"/>
      <c r="B251" s="1088"/>
      <c r="C251" s="1225" t="s">
        <v>464</v>
      </c>
      <c r="D251" s="1061"/>
      <c r="E251" s="993"/>
      <c r="F251" s="994"/>
      <c r="G251" s="993"/>
      <c r="H251" s="996"/>
      <c r="I251" s="996"/>
      <c r="J251" s="993"/>
      <c r="K251" s="996"/>
      <c r="L251" s="996"/>
      <c r="M251" s="996"/>
      <c r="N251" s="996"/>
      <c r="O251" s="981">
        <v>0.93490804699999996</v>
      </c>
    </row>
    <row r="252" spans="1:16" ht="18.95" customHeight="1">
      <c r="A252" s="1101">
        <v>4.29</v>
      </c>
      <c r="B252" s="1087" t="s">
        <v>465</v>
      </c>
      <c r="C252" s="1225" t="s">
        <v>401</v>
      </c>
      <c r="D252" s="1061"/>
      <c r="E252" s="996">
        <v>1</v>
      </c>
      <c r="F252" s="994" t="s">
        <v>402</v>
      </c>
      <c r="G252" s="993">
        <v>414130</v>
      </c>
      <c r="H252" s="996">
        <f t="shared" si="42"/>
        <v>387173.46950410999</v>
      </c>
      <c r="I252" s="996">
        <f t="shared" si="40"/>
        <v>387173.46950410999</v>
      </c>
      <c r="J252" s="993">
        <v>153045</v>
      </c>
      <c r="K252" s="996">
        <f t="shared" si="41"/>
        <v>143083.00205311499</v>
      </c>
      <c r="L252" s="996">
        <f t="shared" si="39"/>
        <v>143083.00205311499</v>
      </c>
      <c r="M252" s="996">
        <f>SUM(I252,L252)</f>
        <v>530256.47155722498</v>
      </c>
      <c r="N252" s="996"/>
      <c r="O252" s="981">
        <v>0.93490804699999996</v>
      </c>
    </row>
    <row r="253" spans="1:16" ht="18.95" customHeight="1">
      <c r="A253" s="1101"/>
      <c r="B253" s="1088"/>
      <c r="C253" s="1225" t="s">
        <v>466</v>
      </c>
      <c r="D253" s="1061"/>
      <c r="E253" s="993"/>
      <c r="F253" s="994"/>
      <c r="G253" s="993"/>
      <c r="H253" s="996"/>
      <c r="I253" s="996"/>
      <c r="J253" s="993"/>
      <c r="K253" s="996"/>
      <c r="L253" s="996"/>
      <c r="M253" s="996"/>
      <c r="N253" s="996"/>
      <c r="O253" s="981">
        <v>0.93490804699999996</v>
      </c>
    </row>
    <row r="254" spans="1:16" ht="18.95" customHeight="1">
      <c r="A254" s="1103">
        <v>4.3</v>
      </c>
      <c r="B254" s="1087" t="s">
        <v>467</v>
      </c>
      <c r="C254" s="1225" t="s">
        <v>401</v>
      </c>
      <c r="D254" s="1061"/>
      <c r="E254" s="996">
        <v>1</v>
      </c>
      <c r="F254" s="994" t="s">
        <v>402</v>
      </c>
      <c r="G254" s="993">
        <v>68700</v>
      </c>
      <c r="H254" s="996">
        <f t="shared" si="42"/>
        <v>64228.182828899997</v>
      </c>
      <c r="I254" s="996">
        <f t="shared" si="40"/>
        <v>64228.182828899997</v>
      </c>
      <c r="J254" s="993">
        <v>25470</v>
      </c>
      <c r="K254" s="996">
        <f t="shared" si="41"/>
        <v>23812.10795709</v>
      </c>
      <c r="L254" s="996">
        <f t="shared" ref="L254:L260" si="43">K254*E254</f>
        <v>23812.10795709</v>
      </c>
      <c r="M254" s="996">
        <f>SUM(I254,L254)</f>
        <v>88040.290785990001</v>
      </c>
      <c r="N254" s="996"/>
      <c r="O254" s="981">
        <v>0.93490804699999996</v>
      </c>
    </row>
    <row r="255" spans="1:16" ht="18.95" customHeight="1">
      <c r="A255" s="1101"/>
      <c r="B255" s="1088"/>
      <c r="C255" s="1225" t="s">
        <v>468</v>
      </c>
      <c r="D255" s="1061"/>
      <c r="E255" s="993"/>
      <c r="F255" s="994"/>
      <c r="G255" s="993"/>
      <c r="H255" s="996"/>
      <c r="I255" s="996"/>
      <c r="J255" s="993"/>
      <c r="K255" s="996"/>
      <c r="L255" s="996"/>
      <c r="M255" s="996"/>
      <c r="N255" s="994"/>
      <c r="O255" s="981">
        <v>0.93490804699999996</v>
      </c>
      <c r="P255" s="973"/>
    </row>
    <row r="256" spans="1:16" ht="18.95" customHeight="1">
      <c r="A256" s="1104">
        <v>4.3099999999999996</v>
      </c>
      <c r="B256" s="1087" t="s">
        <v>469</v>
      </c>
      <c r="C256" s="1225" t="s">
        <v>401</v>
      </c>
      <c r="D256" s="1061"/>
      <c r="E256" s="993">
        <v>1</v>
      </c>
      <c r="F256" s="994" t="s">
        <v>402</v>
      </c>
      <c r="G256" s="993">
        <v>126500</v>
      </c>
      <c r="H256" s="996">
        <f t="shared" si="42"/>
        <v>118265.86794549999</v>
      </c>
      <c r="I256" s="996">
        <f t="shared" si="40"/>
        <v>118265.86794549999</v>
      </c>
      <c r="J256" s="993">
        <v>48340</v>
      </c>
      <c r="K256" s="996">
        <f t="shared" si="41"/>
        <v>45193.454991979997</v>
      </c>
      <c r="L256" s="996">
        <f t="shared" si="43"/>
        <v>45193.454991979997</v>
      </c>
      <c r="M256" s="996">
        <f>SUM(I256,L256)</f>
        <v>163459.32293748</v>
      </c>
      <c r="N256" s="994"/>
      <c r="O256" s="981">
        <v>0.93490804699999996</v>
      </c>
      <c r="P256" s="973"/>
    </row>
    <row r="257" spans="1:16" ht="18.95" customHeight="1">
      <c r="A257" s="1103"/>
      <c r="B257" s="1088"/>
      <c r="C257" s="1225" t="s">
        <v>470</v>
      </c>
      <c r="D257" s="1061"/>
      <c r="E257" s="996"/>
      <c r="F257" s="994"/>
      <c r="G257" s="993"/>
      <c r="H257" s="996"/>
      <c r="I257" s="996"/>
      <c r="J257" s="993"/>
      <c r="K257" s="996"/>
      <c r="L257" s="996"/>
      <c r="M257" s="996"/>
      <c r="N257" s="994"/>
      <c r="O257" s="981">
        <v>0.93490804699999996</v>
      </c>
      <c r="P257" s="973"/>
    </row>
    <row r="258" spans="1:16" ht="18.95" customHeight="1">
      <c r="A258" s="1101">
        <v>4.32</v>
      </c>
      <c r="B258" s="1087" t="s">
        <v>471</v>
      </c>
      <c r="C258" s="1225" t="s">
        <v>435</v>
      </c>
      <c r="D258" s="1061"/>
      <c r="E258" s="993">
        <v>1</v>
      </c>
      <c r="F258" s="994" t="s">
        <v>402</v>
      </c>
      <c r="G258" s="993">
        <v>74200</v>
      </c>
      <c r="H258" s="996">
        <f t="shared" si="42"/>
        <v>69370.177087399992</v>
      </c>
      <c r="I258" s="996">
        <f t="shared" si="40"/>
        <v>69370.177087399992</v>
      </c>
      <c r="J258" s="993">
        <v>29240</v>
      </c>
      <c r="K258" s="996">
        <f t="shared" si="41"/>
        <v>27336.711294279998</v>
      </c>
      <c r="L258" s="996">
        <f t="shared" si="43"/>
        <v>27336.711294279998</v>
      </c>
      <c r="M258" s="996">
        <f>SUM(I258,L258)</f>
        <v>96706.888381679993</v>
      </c>
      <c r="N258" s="994"/>
      <c r="O258" s="981">
        <v>0.93490804699999996</v>
      </c>
      <c r="P258" s="973"/>
    </row>
    <row r="259" spans="1:16" ht="18.95" customHeight="1">
      <c r="A259" s="1104"/>
      <c r="B259" s="1088"/>
      <c r="C259" s="1225" t="s">
        <v>472</v>
      </c>
      <c r="D259" s="1061"/>
      <c r="E259" s="993"/>
      <c r="F259" s="994"/>
      <c r="G259" s="993"/>
      <c r="H259" s="996"/>
      <c r="I259" s="996"/>
      <c r="J259" s="993"/>
      <c r="K259" s="996"/>
      <c r="L259" s="996"/>
      <c r="M259" s="996"/>
      <c r="N259" s="994"/>
      <c r="O259" s="981">
        <v>0.93490804699999996</v>
      </c>
      <c r="P259" s="973"/>
    </row>
    <row r="260" spans="1:16" ht="18.95" customHeight="1">
      <c r="A260" s="1103">
        <v>4.33</v>
      </c>
      <c r="B260" s="1087" t="s">
        <v>473</v>
      </c>
      <c r="C260" s="1225" t="s">
        <v>401</v>
      </c>
      <c r="D260" s="1061"/>
      <c r="E260" s="993">
        <v>1</v>
      </c>
      <c r="F260" s="994" t="s">
        <v>402</v>
      </c>
      <c r="G260" s="993">
        <v>318200</v>
      </c>
      <c r="H260" s="996">
        <f t="shared" si="42"/>
        <v>297487.74055539997</v>
      </c>
      <c r="I260" s="996">
        <f t="shared" si="40"/>
        <v>297487.74055539997</v>
      </c>
      <c r="J260" s="993">
        <v>126090</v>
      </c>
      <c r="K260" s="996">
        <f t="shared" si="41"/>
        <v>117882.55564623</v>
      </c>
      <c r="L260" s="996">
        <f t="shared" si="43"/>
        <v>117882.55564623</v>
      </c>
      <c r="M260" s="996">
        <f>SUM(I260,L260)</f>
        <v>415370.29620162997</v>
      </c>
      <c r="N260" s="994"/>
      <c r="O260" s="981">
        <v>0.93490804699999996</v>
      </c>
      <c r="P260" s="973"/>
    </row>
    <row r="261" spans="1:16" ht="18.95" customHeight="1">
      <c r="A261" s="1101"/>
      <c r="B261" s="1088"/>
      <c r="C261" s="1225" t="s">
        <v>474</v>
      </c>
      <c r="D261" s="1061"/>
      <c r="E261" s="993"/>
      <c r="F261" s="994"/>
      <c r="G261" s="993"/>
      <c r="H261" s="996"/>
      <c r="I261" s="996"/>
      <c r="J261" s="993"/>
      <c r="K261" s="996"/>
      <c r="L261" s="996"/>
      <c r="M261" s="996"/>
      <c r="N261" s="994"/>
      <c r="O261" s="981">
        <v>0.93490804699999996</v>
      </c>
      <c r="P261" s="973"/>
    </row>
    <row r="262" spans="1:16" ht="18.95" customHeight="1">
      <c r="A262" s="1104">
        <v>4.34</v>
      </c>
      <c r="B262" s="1087" t="s">
        <v>475</v>
      </c>
      <c r="C262" s="1225" t="s">
        <v>401</v>
      </c>
      <c r="D262" s="1061"/>
      <c r="E262" s="993">
        <v>1</v>
      </c>
      <c r="F262" s="994" t="s">
        <v>402</v>
      </c>
      <c r="G262" s="993">
        <v>96400</v>
      </c>
      <c r="H262" s="996">
        <f t="shared" si="42"/>
        <v>90125.135730800001</v>
      </c>
      <c r="I262" s="996">
        <f t="shared" si="40"/>
        <v>90125.135730800001</v>
      </c>
      <c r="J262" s="993">
        <v>36530</v>
      </c>
      <c r="K262" s="996">
        <f t="shared" si="41"/>
        <v>34152.190956909995</v>
      </c>
      <c r="L262" s="996">
        <f t="shared" ref="L262:L311" si="44">K262*E262</f>
        <v>34152.190956909995</v>
      </c>
      <c r="M262" s="996">
        <f>SUM(I262,L262)</f>
        <v>124277.32668771</v>
      </c>
      <c r="N262" s="994"/>
      <c r="O262" s="981">
        <v>0.93490804699999996</v>
      </c>
      <c r="P262" s="973"/>
    </row>
    <row r="263" spans="1:16" ht="18.95" customHeight="1">
      <c r="A263" s="1036"/>
      <c r="B263" s="1088"/>
      <c r="C263" s="1225" t="s">
        <v>476</v>
      </c>
      <c r="D263" s="1061"/>
      <c r="E263" s="993"/>
      <c r="F263" s="994"/>
      <c r="G263" s="993"/>
      <c r="H263" s="996"/>
      <c r="I263" s="996"/>
      <c r="J263" s="993"/>
      <c r="K263" s="996"/>
      <c r="L263" s="996"/>
      <c r="M263" s="996"/>
      <c r="N263" s="994"/>
      <c r="O263" s="981">
        <v>0.93490804699999996</v>
      </c>
      <c r="P263" s="973"/>
    </row>
    <row r="264" spans="1:16" ht="18.95" customHeight="1">
      <c r="A264" s="1032">
        <v>4.34</v>
      </c>
      <c r="B264" s="1087" t="s">
        <v>477</v>
      </c>
      <c r="C264" s="1225" t="s">
        <v>478</v>
      </c>
      <c r="D264" s="1061"/>
      <c r="E264" s="993">
        <v>1</v>
      </c>
      <c r="F264" s="994" t="s">
        <v>402</v>
      </c>
      <c r="G264" s="993">
        <v>33120</v>
      </c>
      <c r="H264" s="996">
        <f t="shared" si="42"/>
        <v>30964.154516639999</v>
      </c>
      <c r="I264" s="996">
        <f t="shared" si="40"/>
        <v>30964.154516639999</v>
      </c>
      <c r="J264" s="993">
        <v>11960</v>
      </c>
      <c r="K264" s="996">
        <f t="shared" si="41"/>
        <v>11181.500242119999</v>
      </c>
      <c r="L264" s="996">
        <f t="shared" si="44"/>
        <v>11181.500242119999</v>
      </c>
      <c r="M264" s="996">
        <f>SUM(I264,L264)</f>
        <v>42145.65475876</v>
      </c>
      <c r="N264" s="994"/>
      <c r="O264" s="981">
        <v>0.93490804699999996</v>
      </c>
      <c r="P264" s="973"/>
    </row>
    <row r="265" spans="1:16" ht="18.95" customHeight="1">
      <c r="A265" s="1018"/>
      <c r="B265" s="1088"/>
      <c r="C265" s="1225" t="s">
        <v>408</v>
      </c>
      <c r="D265" s="1061"/>
      <c r="E265" s="996"/>
      <c r="F265" s="994"/>
      <c r="G265" s="993"/>
      <c r="H265" s="996"/>
      <c r="I265" s="996"/>
      <c r="J265" s="993"/>
      <c r="K265" s="996"/>
      <c r="L265" s="996"/>
      <c r="M265" s="996"/>
      <c r="N265" s="994"/>
      <c r="O265" s="981">
        <v>0.93490804699999996</v>
      </c>
      <c r="P265" s="973"/>
    </row>
    <row r="266" spans="1:16" ht="18.95" customHeight="1">
      <c r="A266" s="1021">
        <v>4.3499999999999996</v>
      </c>
      <c r="B266" s="1087" t="s">
        <v>479</v>
      </c>
      <c r="C266" s="1225" t="s">
        <v>409</v>
      </c>
      <c r="D266" s="1061"/>
      <c r="E266" s="996" t="s">
        <v>410</v>
      </c>
      <c r="F266" s="994"/>
      <c r="G266" s="993"/>
      <c r="H266" s="996"/>
      <c r="I266" s="996"/>
      <c r="J266" s="993"/>
      <c r="K266" s="996"/>
      <c r="L266" s="996"/>
      <c r="M266" s="996"/>
      <c r="N266" s="994"/>
      <c r="O266" s="981">
        <v>0.93490804699999996</v>
      </c>
      <c r="P266" s="973"/>
    </row>
    <row r="267" spans="1:16" ht="18.95" customHeight="1">
      <c r="A267" s="1021"/>
      <c r="B267" s="1090" t="s">
        <v>245</v>
      </c>
      <c r="C267" s="1225" t="s">
        <v>480</v>
      </c>
      <c r="D267" s="1061"/>
      <c r="E267" s="996">
        <v>1</v>
      </c>
      <c r="F267" s="994" t="s">
        <v>402</v>
      </c>
      <c r="G267" s="993">
        <v>20220</v>
      </c>
      <c r="H267" s="996">
        <f t="shared" si="42"/>
        <v>18903.840710339999</v>
      </c>
      <c r="I267" s="996">
        <f t="shared" si="40"/>
        <v>18903.840710339999</v>
      </c>
      <c r="J267" s="993">
        <v>6825</v>
      </c>
      <c r="K267" s="996">
        <f t="shared" si="41"/>
        <v>6380.7474207750001</v>
      </c>
      <c r="L267" s="996">
        <f t="shared" si="44"/>
        <v>6380.7474207750001</v>
      </c>
      <c r="M267" s="996">
        <f>SUM(I267,L267)</f>
        <v>25284.588131115001</v>
      </c>
      <c r="N267" s="994"/>
      <c r="O267" s="981">
        <v>0.93490804699999996</v>
      </c>
      <c r="P267" s="973"/>
    </row>
    <row r="268" spans="1:16" ht="18.95" customHeight="1">
      <c r="A268" s="1021">
        <v>4.3600000000000003</v>
      </c>
      <c r="B268" s="1087" t="s">
        <v>481</v>
      </c>
      <c r="C268" s="1225" t="s">
        <v>482</v>
      </c>
      <c r="D268" s="1061"/>
      <c r="E268" s="993"/>
      <c r="F268" s="994"/>
      <c r="G268" s="993"/>
      <c r="H268" s="996"/>
      <c r="I268" s="996"/>
      <c r="J268" s="993"/>
      <c r="K268" s="996"/>
      <c r="L268" s="996"/>
      <c r="M268" s="996"/>
      <c r="N268" s="994"/>
      <c r="O268" s="981">
        <v>0.93490804699999996</v>
      </c>
      <c r="P268" s="973"/>
    </row>
    <row r="269" spans="1:16" ht="18.95" customHeight="1">
      <c r="A269" s="990"/>
      <c r="B269" s="1089" t="s">
        <v>245</v>
      </c>
      <c r="C269" s="1225" t="s">
        <v>409</v>
      </c>
      <c r="D269" s="1061"/>
      <c r="E269" s="996" t="s">
        <v>410</v>
      </c>
      <c r="F269" s="994"/>
      <c r="G269" s="993"/>
      <c r="H269" s="996"/>
      <c r="I269" s="996"/>
      <c r="J269" s="993"/>
      <c r="K269" s="996"/>
      <c r="L269" s="996"/>
      <c r="M269" s="996"/>
      <c r="N269" s="994"/>
      <c r="O269" s="981">
        <v>0.93490804699999996</v>
      </c>
      <c r="P269" s="973"/>
    </row>
    <row r="270" spans="1:16" ht="18.95" customHeight="1">
      <c r="A270" s="990"/>
      <c r="B270" s="1090" t="s">
        <v>245</v>
      </c>
      <c r="C270" s="1225" t="s">
        <v>483</v>
      </c>
      <c r="D270" s="1061"/>
      <c r="E270" s="996">
        <v>1</v>
      </c>
      <c r="F270" s="994" t="s">
        <v>402</v>
      </c>
      <c r="G270" s="993">
        <v>11260</v>
      </c>
      <c r="H270" s="996">
        <f t="shared" si="42"/>
        <v>10527.06460922</v>
      </c>
      <c r="I270" s="996">
        <f t="shared" si="40"/>
        <v>10527.06460922</v>
      </c>
      <c r="J270" s="993">
        <v>4195</v>
      </c>
      <c r="K270" s="996">
        <f t="shared" si="41"/>
        <v>3921.9392571650001</v>
      </c>
      <c r="L270" s="996">
        <f t="shared" si="44"/>
        <v>3921.9392571650001</v>
      </c>
      <c r="M270" s="996">
        <f>SUM(I270,L270)</f>
        <v>14449.003866385001</v>
      </c>
      <c r="N270" s="994"/>
      <c r="O270" s="981">
        <v>0.93490804699999996</v>
      </c>
      <c r="P270" s="973"/>
    </row>
    <row r="271" spans="1:16" ht="18.95" customHeight="1">
      <c r="A271" s="1006"/>
      <c r="B271" s="1007"/>
      <c r="C271" s="1218"/>
      <c r="D271" s="1008"/>
      <c r="E271" s="1009"/>
      <c r="F271" s="1010"/>
      <c r="G271" s="1009"/>
      <c r="H271" s="996"/>
      <c r="I271" s="996"/>
      <c r="J271" s="1009"/>
      <c r="K271" s="996"/>
      <c r="L271" s="996"/>
      <c r="M271" s="1009"/>
      <c r="N271" s="1010"/>
      <c r="O271" s="981">
        <v>0.93490804699999996</v>
      </c>
      <c r="P271" s="973"/>
    </row>
    <row r="272" spans="1:16" ht="18.95" customHeight="1">
      <c r="A272" s="1105">
        <v>4.37</v>
      </c>
      <c r="B272" s="1095" t="s">
        <v>484</v>
      </c>
      <c r="C272" s="1241" t="s">
        <v>485</v>
      </c>
      <c r="D272" s="1086"/>
      <c r="E272" s="986">
        <v>1</v>
      </c>
      <c r="F272" s="987" t="s">
        <v>402</v>
      </c>
      <c r="G272" s="986">
        <v>63950</v>
      </c>
      <c r="H272" s="996">
        <f t="shared" si="42"/>
        <v>59787.369605649998</v>
      </c>
      <c r="I272" s="996">
        <f t="shared" si="40"/>
        <v>59787.369605649998</v>
      </c>
      <c r="J272" s="986">
        <v>29610</v>
      </c>
      <c r="K272" s="996">
        <f t="shared" si="41"/>
        <v>27682.62727167</v>
      </c>
      <c r="L272" s="996">
        <f t="shared" si="44"/>
        <v>27682.62727167</v>
      </c>
      <c r="M272" s="1031">
        <f>SUM(I272,L272)</f>
        <v>87469.996877319994</v>
      </c>
      <c r="N272" s="987"/>
      <c r="O272" s="981">
        <v>0.93490804699999996</v>
      </c>
      <c r="P272" s="973"/>
    </row>
    <row r="273" spans="1:16" ht="18.95" customHeight="1">
      <c r="A273" s="1101"/>
      <c r="B273" s="1088"/>
      <c r="C273" s="1225" t="s">
        <v>486</v>
      </c>
      <c r="D273" s="1061"/>
      <c r="E273" s="996"/>
      <c r="F273" s="994"/>
      <c r="G273" s="993"/>
      <c r="H273" s="996"/>
      <c r="I273" s="996"/>
      <c r="J273" s="993"/>
      <c r="K273" s="996"/>
      <c r="L273" s="996"/>
      <c r="M273" s="996"/>
      <c r="N273" s="1015"/>
      <c r="O273" s="981">
        <v>0.93490804699999996</v>
      </c>
      <c r="P273" s="973"/>
    </row>
    <row r="274" spans="1:16" ht="18.95" customHeight="1">
      <c r="A274" s="1104">
        <v>4.38</v>
      </c>
      <c r="B274" s="1087" t="s">
        <v>487</v>
      </c>
      <c r="C274" s="1225" t="s">
        <v>409</v>
      </c>
      <c r="D274" s="1061"/>
      <c r="E274" s="996" t="s">
        <v>410</v>
      </c>
      <c r="F274" s="994"/>
      <c r="G274" s="993"/>
      <c r="H274" s="996"/>
      <c r="I274" s="996"/>
      <c r="J274" s="993"/>
      <c r="K274" s="996"/>
      <c r="L274" s="996"/>
      <c r="M274" s="996"/>
      <c r="N274" s="996"/>
      <c r="O274" s="981">
        <v>0.93490804699999996</v>
      </c>
    </row>
    <row r="275" spans="1:16" ht="18.95" customHeight="1">
      <c r="A275" s="1101"/>
      <c r="B275" s="1090" t="s">
        <v>245</v>
      </c>
      <c r="C275" s="1225" t="s">
        <v>488</v>
      </c>
      <c r="D275" s="1061"/>
      <c r="E275" s="996">
        <v>1</v>
      </c>
      <c r="F275" s="994" t="s">
        <v>402</v>
      </c>
      <c r="G275" s="993">
        <v>33100</v>
      </c>
      <c r="H275" s="996">
        <f t="shared" si="42"/>
        <v>30945.4563557</v>
      </c>
      <c r="I275" s="996">
        <f t="shared" ref="I275:I337" si="45">H275*E275</f>
        <v>30945.4563557</v>
      </c>
      <c r="J275" s="993">
        <v>11960</v>
      </c>
      <c r="K275" s="996">
        <f t="shared" si="41"/>
        <v>11181.500242119999</v>
      </c>
      <c r="L275" s="996">
        <f t="shared" si="44"/>
        <v>11181.500242119999</v>
      </c>
      <c r="M275" s="996">
        <f>SUM(I275,L275)</f>
        <v>42126.956597819997</v>
      </c>
      <c r="N275" s="996"/>
      <c r="O275" s="981">
        <v>0.93490804699999996</v>
      </c>
    </row>
    <row r="276" spans="1:16" ht="18.95" customHeight="1">
      <c r="A276" s="1101">
        <v>4.3899999999999997</v>
      </c>
      <c r="B276" s="1087" t="s">
        <v>489</v>
      </c>
      <c r="C276" s="1225" t="s">
        <v>478</v>
      </c>
      <c r="D276" s="1061"/>
      <c r="E276" s="996">
        <v>1</v>
      </c>
      <c r="F276" s="994" t="s">
        <v>402</v>
      </c>
      <c r="G276" s="993">
        <v>25960</v>
      </c>
      <c r="H276" s="996">
        <f t="shared" si="42"/>
        <v>24270.212900119997</v>
      </c>
      <c r="I276" s="996">
        <f t="shared" si="45"/>
        <v>24270.212900119997</v>
      </c>
      <c r="J276" s="993">
        <v>10450</v>
      </c>
      <c r="K276" s="996">
        <f t="shared" si="41"/>
        <v>9769.7890911499999</v>
      </c>
      <c r="L276" s="996">
        <f t="shared" si="44"/>
        <v>9769.7890911499999</v>
      </c>
      <c r="M276" s="996">
        <f>SUM(I276,L276)</f>
        <v>34040.001991269994</v>
      </c>
      <c r="N276" s="996"/>
      <c r="O276" s="981">
        <v>0.93490804699999996</v>
      </c>
    </row>
    <row r="277" spans="1:16" ht="18.95" customHeight="1">
      <c r="A277" s="1104"/>
      <c r="B277" s="1088"/>
      <c r="C277" s="1225" t="s">
        <v>490</v>
      </c>
      <c r="D277" s="1061"/>
      <c r="E277" s="996"/>
      <c r="F277" s="994"/>
      <c r="G277" s="993"/>
      <c r="H277" s="996"/>
      <c r="I277" s="996"/>
      <c r="J277" s="993"/>
      <c r="K277" s="996"/>
      <c r="L277" s="996"/>
      <c r="M277" s="996"/>
      <c r="N277" s="996"/>
      <c r="O277" s="981">
        <v>0.93490804699999996</v>
      </c>
    </row>
    <row r="278" spans="1:16" ht="18.95" customHeight="1">
      <c r="A278" s="1106">
        <v>4.4000000000000004</v>
      </c>
      <c r="B278" s="1087" t="s">
        <v>491</v>
      </c>
      <c r="C278" s="1225" t="s">
        <v>435</v>
      </c>
      <c r="D278" s="1061"/>
      <c r="E278" s="996">
        <v>1</v>
      </c>
      <c r="F278" s="994" t="s">
        <v>402</v>
      </c>
      <c r="G278" s="993">
        <v>32180</v>
      </c>
      <c r="H278" s="996">
        <f t="shared" si="42"/>
        <v>30085.340952459999</v>
      </c>
      <c r="I278" s="996">
        <f t="shared" si="45"/>
        <v>30085.340952459999</v>
      </c>
      <c r="J278" s="993">
        <v>18500</v>
      </c>
      <c r="K278" s="996">
        <f t="shared" si="41"/>
        <v>17295.798869499999</v>
      </c>
      <c r="L278" s="996">
        <f t="shared" si="44"/>
        <v>17295.798869499999</v>
      </c>
      <c r="M278" s="996">
        <f>SUM(I278,L278)</f>
        <v>47381.139821959994</v>
      </c>
      <c r="N278" s="996"/>
      <c r="O278" s="981">
        <v>0.93490804699999996</v>
      </c>
    </row>
    <row r="279" spans="1:16" ht="18.95" customHeight="1">
      <c r="A279" s="1103"/>
      <c r="B279" s="1088"/>
      <c r="C279" s="1225" t="s">
        <v>492</v>
      </c>
      <c r="D279" s="1061"/>
      <c r="E279" s="996"/>
      <c r="F279" s="994"/>
      <c r="G279" s="993"/>
      <c r="H279" s="996"/>
      <c r="I279" s="996"/>
      <c r="J279" s="993"/>
      <c r="K279" s="996"/>
      <c r="L279" s="996"/>
      <c r="M279" s="996"/>
      <c r="N279" s="996"/>
      <c r="O279" s="981">
        <v>0.93490804699999996</v>
      </c>
    </row>
    <row r="280" spans="1:16" ht="18.95" customHeight="1">
      <c r="A280" s="1101">
        <v>4.41</v>
      </c>
      <c r="B280" s="1087" t="s">
        <v>493</v>
      </c>
      <c r="C280" s="1225" t="s">
        <v>401</v>
      </c>
      <c r="D280" s="1061"/>
      <c r="E280" s="993">
        <v>1</v>
      </c>
      <c r="F280" s="994" t="s">
        <v>402</v>
      </c>
      <c r="G280" s="993">
        <v>126480</v>
      </c>
      <c r="H280" s="996">
        <f t="shared" si="42"/>
        <v>118247.16978456</v>
      </c>
      <c r="I280" s="996">
        <f t="shared" si="45"/>
        <v>118247.16978456</v>
      </c>
      <c r="J280" s="993">
        <v>52750</v>
      </c>
      <c r="K280" s="996">
        <f t="shared" si="41"/>
        <v>49316.399479250002</v>
      </c>
      <c r="L280" s="996">
        <f t="shared" si="44"/>
        <v>49316.399479250002</v>
      </c>
      <c r="M280" s="996">
        <f>SUM(I280,L280)</f>
        <v>167563.56926381</v>
      </c>
      <c r="N280" s="996"/>
      <c r="O280" s="981">
        <v>0.93490804699999996</v>
      </c>
    </row>
    <row r="281" spans="1:16" ht="18.95" customHeight="1">
      <c r="A281" s="1104"/>
      <c r="B281" s="1088"/>
      <c r="C281" s="1225" t="s">
        <v>494</v>
      </c>
      <c r="D281" s="1061"/>
      <c r="E281" s="993"/>
      <c r="F281" s="994"/>
      <c r="G281" s="993"/>
      <c r="H281" s="996"/>
      <c r="I281" s="996"/>
      <c r="J281" s="993"/>
      <c r="K281" s="996"/>
      <c r="L281" s="996"/>
      <c r="M281" s="996"/>
      <c r="N281" s="996"/>
      <c r="O281" s="981">
        <v>0.93490804699999996</v>
      </c>
    </row>
    <row r="282" spans="1:16" ht="18.95" customHeight="1">
      <c r="A282" s="1103">
        <v>4.42</v>
      </c>
      <c r="B282" s="1087" t="s">
        <v>495</v>
      </c>
      <c r="C282" s="1225" t="s">
        <v>496</v>
      </c>
      <c r="D282" s="1061"/>
      <c r="E282" s="993">
        <v>1</v>
      </c>
      <c r="F282" s="994" t="s">
        <v>402</v>
      </c>
      <c r="G282" s="993">
        <v>61350</v>
      </c>
      <c r="H282" s="996">
        <f t="shared" si="42"/>
        <v>57356.608683449995</v>
      </c>
      <c r="I282" s="996">
        <f t="shared" si="45"/>
        <v>57356.608683449995</v>
      </c>
      <c r="J282" s="993">
        <v>24050</v>
      </c>
      <c r="K282" s="996">
        <f t="shared" si="41"/>
        <v>22484.538530350001</v>
      </c>
      <c r="L282" s="996">
        <f t="shared" si="44"/>
        <v>22484.538530350001</v>
      </c>
      <c r="M282" s="996">
        <f>SUM(I282,L282)</f>
        <v>79841.147213799995</v>
      </c>
      <c r="N282" s="996"/>
      <c r="O282" s="981">
        <v>0.93490804699999996</v>
      </c>
    </row>
    <row r="283" spans="1:16" ht="18.95" customHeight="1">
      <c r="A283" s="1101"/>
      <c r="B283" s="1088"/>
      <c r="C283" s="1225" t="s">
        <v>497</v>
      </c>
      <c r="D283" s="1061"/>
      <c r="E283" s="993"/>
      <c r="F283" s="994"/>
      <c r="G283" s="993"/>
      <c r="H283" s="996"/>
      <c r="I283" s="996"/>
      <c r="J283" s="993"/>
      <c r="K283" s="996"/>
      <c r="L283" s="996"/>
      <c r="M283" s="996"/>
      <c r="N283" s="996"/>
      <c r="O283" s="981">
        <v>0.93490804699999996</v>
      </c>
    </row>
    <row r="284" spans="1:16" ht="18.95" customHeight="1">
      <c r="A284" s="1104">
        <v>4.43</v>
      </c>
      <c r="B284" s="1087" t="s">
        <v>498</v>
      </c>
      <c r="C284" s="1225" t="s">
        <v>401</v>
      </c>
      <c r="D284" s="1059"/>
      <c r="E284" s="996">
        <v>1</v>
      </c>
      <c r="F284" s="994" t="s">
        <v>402</v>
      </c>
      <c r="G284" s="993">
        <v>223600</v>
      </c>
      <c r="H284" s="996">
        <f t="shared" si="42"/>
        <v>209045.43930919998</v>
      </c>
      <c r="I284" s="996">
        <f t="shared" si="45"/>
        <v>209045.43930919998</v>
      </c>
      <c r="J284" s="993">
        <v>97810</v>
      </c>
      <c r="K284" s="996">
        <f t="shared" si="41"/>
        <v>91443.356077069999</v>
      </c>
      <c r="L284" s="996">
        <f t="shared" si="44"/>
        <v>91443.356077069999</v>
      </c>
      <c r="M284" s="996">
        <f>SUM(I284,L284)</f>
        <v>300488.79538626998</v>
      </c>
      <c r="N284" s="994"/>
      <c r="O284" s="981">
        <v>0.93490804699999996</v>
      </c>
      <c r="P284" s="973"/>
    </row>
    <row r="285" spans="1:16" ht="18.95" customHeight="1">
      <c r="A285" s="1103"/>
      <c r="B285" s="1088"/>
      <c r="C285" s="1225" t="s">
        <v>499</v>
      </c>
      <c r="D285" s="1059"/>
      <c r="E285" s="996"/>
      <c r="F285" s="994"/>
      <c r="G285" s="993"/>
      <c r="H285" s="996"/>
      <c r="I285" s="996"/>
      <c r="J285" s="993"/>
      <c r="K285" s="996"/>
      <c r="L285" s="996"/>
      <c r="M285" s="996"/>
      <c r="N285" s="994"/>
      <c r="O285" s="981">
        <v>0.93490804699999996</v>
      </c>
      <c r="P285" s="973"/>
    </row>
    <row r="286" spans="1:16" ht="18.95" customHeight="1">
      <c r="A286" s="1106">
        <v>4.4400000000000004</v>
      </c>
      <c r="B286" s="1087" t="s">
        <v>500</v>
      </c>
      <c r="C286" s="1225" t="s">
        <v>401</v>
      </c>
      <c r="D286" s="1059"/>
      <c r="E286" s="996">
        <v>1</v>
      </c>
      <c r="F286" s="994" t="s">
        <v>402</v>
      </c>
      <c r="G286" s="993">
        <v>755800</v>
      </c>
      <c r="H286" s="996">
        <f t="shared" si="42"/>
        <v>706603.50192259997</v>
      </c>
      <c r="I286" s="996">
        <f t="shared" si="45"/>
        <v>706603.50192259997</v>
      </c>
      <c r="J286" s="993">
        <v>256220</v>
      </c>
      <c r="K286" s="996">
        <f t="shared" si="41"/>
        <v>239542.13980233998</v>
      </c>
      <c r="L286" s="996">
        <f t="shared" si="44"/>
        <v>239542.13980233998</v>
      </c>
      <c r="M286" s="996">
        <f>SUM(I286,L286)</f>
        <v>946145.64172493992</v>
      </c>
      <c r="N286" s="994"/>
      <c r="O286" s="981">
        <v>0.93490804699999996</v>
      </c>
      <c r="P286" s="973"/>
    </row>
    <row r="287" spans="1:16" ht="18.95" customHeight="1">
      <c r="A287" s="1103"/>
      <c r="B287" s="1088"/>
      <c r="C287" s="1225" t="s">
        <v>501</v>
      </c>
      <c r="D287" s="1059"/>
      <c r="E287" s="996"/>
      <c r="F287" s="994"/>
      <c r="G287" s="993"/>
      <c r="H287" s="996"/>
      <c r="I287" s="996"/>
      <c r="J287" s="993"/>
      <c r="K287" s="996"/>
      <c r="L287" s="996"/>
      <c r="M287" s="996"/>
      <c r="N287" s="994"/>
      <c r="O287" s="981">
        <v>0.93490804699999996</v>
      </c>
      <c r="P287" s="973"/>
    </row>
    <row r="288" spans="1:16" ht="18.95" customHeight="1">
      <c r="A288" s="1101">
        <v>4.45</v>
      </c>
      <c r="B288" s="1087" t="s">
        <v>502</v>
      </c>
      <c r="C288" s="1225" t="s">
        <v>401</v>
      </c>
      <c r="D288" s="1061"/>
      <c r="E288" s="996">
        <v>1</v>
      </c>
      <c r="F288" s="994" t="s">
        <v>402</v>
      </c>
      <c r="G288" s="993">
        <v>304245</v>
      </c>
      <c r="H288" s="996">
        <f t="shared" si="42"/>
        <v>284441.09875951498</v>
      </c>
      <c r="I288" s="996">
        <f t="shared" si="45"/>
        <v>284441.09875951498</v>
      </c>
      <c r="J288" s="993">
        <v>122960</v>
      </c>
      <c r="K288" s="996">
        <f t="shared" si="41"/>
        <v>114956.29345912</v>
      </c>
      <c r="L288" s="996">
        <f t="shared" si="44"/>
        <v>114956.29345912</v>
      </c>
      <c r="M288" s="996">
        <f>SUM(I288,L288)</f>
        <v>399397.39221863495</v>
      </c>
      <c r="N288" s="994"/>
      <c r="O288" s="981">
        <v>0.93490804699999996</v>
      </c>
      <c r="P288" s="973"/>
    </row>
    <row r="289" spans="1:16" ht="18.95" customHeight="1">
      <c r="A289" s="1104"/>
      <c r="B289" s="1088"/>
      <c r="C289" s="1225" t="s">
        <v>503</v>
      </c>
      <c r="D289" s="1061"/>
      <c r="E289" s="996"/>
      <c r="F289" s="994"/>
      <c r="G289" s="993"/>
      <c r="H289" s="996"/>
      <c r="I289" s="996"/>
      <c r="J289" s="993"/>
      <c r="K289" s="996"/>
      <c r="L289" s="996"/>
      <c r="M289" s="996"/>
      <c r="N289" s="994"/>
      <c r="O289" s="981">
        <v>0.93490804699999996</v>
      </c>
      <c r="P289" s="973"/>
    </row>
    <row r="290" spans="1:16" ht="18.95" customHeight="1">
      <c r="A290" s="1103">
        <v>4.46</v>
      </c>
      <c r="B290" s="1087" t="s">
        <v>504</v>
      </c>
      <c r="C290" s="1225" t="s">
        <v>435</v>
      </c>
      <c r="D290" s="1061"/>
      <c r="E290" s="996">
        <v>1</v>
      </c>
      <c r="F290" s="994" t="s">
        <v>402</v>
      </c>
      <c r="G290" s="993">
        <v>33765</v>
      </c>
      <c r="H290" s="996">
        <f t="shared" si="42"/>
        <v>31567.170206954997</v>
      </c>
      <c r="I290" s="996">
        <f t="shared" si="45"/>
        <v>31567.170206954997</v>
      </c>
      <c r="J290" s="993">
        <v>19020</v>
      </c>
      <c r="K290" s="996">
        <f t="shared" si="41"/>
        <v>17781.95105394</v>
      </c>
      <c r="L290" s="996">
        <f t="shared" si="44"/>
        <v>17781.95105394</v>
      </c>
      <c r="M290" s="996">
        <f>SUM(I290,L290)</f>
        <v>49349.121260895001</v>
      </c>
      <c r="N290" s="994"/>
      <c r="O290" s="981">
        <v>0.93490804699999996</v>
      </c>
      <c r="P290" s="973"/>
    </row>
    <row r="291" spans="1:16" ht="18.95" customHeight="1">
      <c r="A291" s="1106"/>
      <c r="B291" s="1088"/>
      <c r="C291" s="1225" t="s">
        <v>505</v>
      </c>
      <c r="D291" s="1061"/>
      <c r="E291" s="996"/>
      <c r="F291" s="994"/>
      <c r="G291" s="993"/>
      <c r="H291" s="996"/>
      <c r="I291" s="996"/>
      <c r="J291" s="993"/>
      <c r="K291" s="996"/>
      <c r="L291" s="996"/>
      <c r="M291" s="996"/>
      <c r="N291" s="994"/>
      <c r="O291" s="981">
        <v>0.93490804699999996</v>
      </c>
      <c r="P291" s="973"/>
    </row>
    <row r="292" spans="1:16" ht="18.95" customHeight="1">
      <c r="A292" s="1103">
        <v>4.47</v>
      </c>
      <c r="B292" s="1087" t="s">
        <v>506</v>
      </c>
      <c r="C292" s="1225" t="s">
        <v>413</v>
      </c>
      <c r="D292" s="1107"/>
      <c r="E292" s="1296" t="s">
        <v>507</v>
      </c>
      <c r="F292" s="1297"/>
      <c r="G292" s="993"/>
      <c r="H292" s="996"/>
      <c r="I292" s="996"/>
      <c r="J292" s="993"/>
      <c r="K292" s="996"/>
      <c r="L292" s="996"/>
      <c r="M292" s="996"/>
      <c r="N292" s="994"/>
      <c r="O292" s="981">
        <v>0.93490804699999996</v>
      </c>
      <c r="P292" s="973"/>
    </row>
    <row r="293" spans="1:16" ht="18.95" customHeight="1">
      <c r="A293" s="1018"/>
      <c r="B293" s="1088"/>
      <c r="C293" s="1225" t="s">
        <v>508</v>
      </c>
      <c r="D293" s="1107"/>
      <c r="E293" s="996"/>
      <c r="F293" s="994"/>
      <c r="G293" s="993"/>
      <c r="H293" s="996"/>
      <c r="I293" s="996"/>
      <c r="J293" s="993"/>
      <c r="K293" s="996"/>
      <c r="L293" s="996"/>
      <c r="M293" s="996"/>
      <c r="N293" s="994"/>
      <c r="O293" s="981">
        <v>0.93490804699999996</v>
      </c>
      <c r="P293" s="973"/>
    </row>
    <row r="294" spans="1:16" ht="18.95" customHeight="1">
      <c r="A294" s="1036">
        <v>4.45</v>
      </c>
      <c r="B294" s="1087" t="s">
        <v>509</v>
      </c>
      <c r="C294" s="1225" t="s">
        <v>401</v>
      </c>
      <c r="D294" s="1061"/>
      <c r="E294" s="996">
        <v>1</v>
      </c>
      <c r="F294" s="994" t="s">
        <v>402</v>
      </c>
      <c r="G294" s="993">
        <v>19830</v>
      </c>
      <c r="H294" s="996">
        <f t="shared" si="42"/>
        <v>18539.22657201</v>
      </c>
      <c r="I294" s="996">
        <f t="shared" si="45"/>
        <v>18539.22657201</v>
      </c>
      <c r="J294" s="993">
        <v>11090</v>
      </c>
      <c r="K294" s="996">
        <f t="shared" ref="K294:K349" si="46">J294*O294</f>
        <v>10368.130241229999</v>
      </c>
      <c r="L294" s="996">
        <f t="shared" si="44"/>
        <v>10368.130241229999</v>
      </c>
      <c r="M294" s="996">
        <f>SUM(I294,L294)</f>
        <v>28907.35681324</v>
      </c>
      <c r="N294" s="994"/>
      <c r="O294" s="981">
        <v>0.93490804699999996</v>
      </c>
      <c r="P294" s="973"/>
    </row>
    <row r="295" spans="1:16" ht="18.95" customHeight="1">
      <c r="A295" s="1032"/>
      <c r="B295" s="1088"/>
      <c r="C295" s="1225" t="s">
        <v>510</v>
      </c>
      <c r="D295" s="1061"/>
      <c r="E295" s="996"/>
      <c r="F295" s="994"/>
      <c r="G295" s="993"/>
      <c r="H295" s="996"/>
      <c r="I295" s="996"/>
      <c r="J295" s="993"/>
      <c r="K295" s="996"/>
      <c r="L295" s="996"/>
      <c r="M295" s="996"/>
      <c r="N295" s="994"/>
      <c r="O295" s="981">
        <v>0.93490804699999996</v>
      </c>
      <c r="P295" s="973"/>
    </row>
    <row r="296" spans="1:16" ht="18.95" customHeight="1">
      <c r="A296" s="1018">
        <v>4.46</v>
      </c>
      <c r="B296" s="1087" t="s">
        <v>511</v>
      </c>
      <c r="C296" s="1225" t="s">
        <v>401</v>
      </c>
      <c r="D296" s="1061"/>
      <c r="E296" s="993">
        <v>1</v>
      </c>
      <c r="F296" s="994" t="s">
        <v>402</v>
      </c>
      <c r="G296" s="993">
        <v>124540</v>
      </c>
      <c r="H296" s="996">
        <f t="shared" si="42"/>
        <v>116433.44817337999</v>
      </c>
      <c r="I296" s="996">
        <f t="shared" si="45"/>
        <v>116433.44817337999</v>
      </c>
      <c r="J296" s="993">
        <v>49830</v>
      </c>
      <c r="K296" s="996">
        <f t="shared" si="46"/>
        <v>46586.467982009999</v>
      </c>
      <c r="L296" s="996">
        <f t="shared" si="44"/>
        <v>46586.467982009999</v>
      </c>
      <c r="M296" s="996">
        <f>SUM(I296,L296)</f>
        <v>163019.91615538998</v>
      </c>
      <c r="N296" s="994"/>
      <c r="O296" s="981">
        <v>0.93490804699999996</v>
      </c>
      <c r="P296" s="973"/>
    </row>
    <row r="297" spans="1:16" ht="18.95" customHeight="1">
      <c r="A297" s="1035"/>
      <c r="B297" s="1088"/>
      <c r="C297" s="1225" t="s">
        <v>512</v>
      </c>
      <c r="D297" s="1061"/>
      <c r="E297" s="993"/>
      <c r="F297" s="994"/>
      <c r="G297" s="993"/>
      <c r="H297" s="996"/>
      <c r="I297" s="996"/>
      <c r="J297" s="993"/>
      <c r="K297" s="996"/>
      <c r="L297" s="996"/>
      <c r="M297" s="996"/>
      <c r="N297" s="994"/>
      <c r="O297" s="981">
        <v>0.93490804699999996</v>
      </c>
      <c r="P297" s="973"/>
    </row>
    <row r="298" spans="1:16" ht="18.95" customHeight="1">
      <c r="A298" s="1018">
        <v>4.47</v>
      </c>
      <c r="B298" s="1087" t="s">
        <v>513</v>
      </c>
      <c r="C298" s="1225" t="s">
        <v>413</v>
      </c>
      <c r="D298" s="1107"/>
      <c r="E298" s="1296" t="s">
        <v>507</v>
      </c>
      <c r="F298" s="1297"/>
      <c r="G298" s="993"/>
      <c r="H298" s="996"/>
      <c r="I298" s="996"/>
      <c r="J298" s="993"/>
      <c r="K298" s="996"/>
      <c r="L298" s="996"/>
      <c r="M298" s="996"/>
      <c r="N298" s="994"/>
      <c r="O298" s="981">
        <v>0.93490804699999996</v>
      </c>
      <c r="P298" s="973"/>
    </row>
    <row r="299" spans="1:16" ht="18.95" customHeight="1">
      <c r="A299" s="1108"/>
      <c r="B299" s="1109"/>
      <c r="C299" s="1243" t="s">
        <v>514</v>
      </c>
      <c r="D299" s="1110"/>
      <c r="E299" s="1009"/>
      <c r="F299" s="1010"/>
      <c r="G299" s="1009"/>
      <c r="H299" s="996"/>
      <c r="I299" s="996"/>
      <c r="J299" s="1009"/>
      <c r="K299" s="996"/>
      <c r="L299" s="996"/>
      <c r="M299" s="1028"/>
      <c r="N299" s="1010"/>
      <c r="O299" s="981">
        <v>0.93490804699999996</v>
      </c>
      <c r="P299" s="973"/>
    </row>
    <row r="300" spans="1:16" ht="18.95" customHeight="1">
      <c r="A300" s="1094">
        <v>4.4800000000000004</v>
      </c>
      <c r="B300" s="1111" t="s">
        <v>515</v>
      </c>
      <c r="C300" s="1241" t="s">
        <v>516</v>
      </c>
      <c r="D300" s="1112"/>
      <c r="E300" s="986">
        <v>2</v>
      </c>
      <c r="F300" s="987" t="s">
        <v>402</v>
      </c>
      <c r="G300" s="986">
        <v>13500</v>
      </c>
      <c r="H300" s="996">
        <f t="shared" si="42"/>
        <v>12621.2586345</v>
      </c>
      <c r="I300" s="996">
        <f t="shared" si="45"/>
        <v>25242.517269</v>
      </c>
      <c r="J300" s="986">
        <v>1500</v>
      </c>
      <c r="K300" s="996">
        <f t="shared" si="46"/>
        <v>1402.3620704999998</v>
      </c>
      <c r="L300" s="996">
        <f t="shared" si="44"/>
        <v>2804.7241409999997</v>
      </c>
      <c r="M300" s="1031">
        <f>SUM(I300,L300)</f>
        <v>28047.241409999999</v>
      </c>
      <c r="N300" s="987"/>
      <c r="O300" s="981">
        <v>0.93490804699999996</v>
      </c>
      <c r="P300" s="973"/>
    </row>
    <row r="301" spans="1:16" ht="18.95" customHeight="1">
      <c r="A301" s="1036"/>
      <c r="B301" s="1088"/>
      <c r="C301" s="1225" t="s">
        <v>517</v>
      </c>
      <c r="D301" s="1107"/>
      <c r="E301" s="993"/>
      <c r="F301" s="994"/>
      <c r="G301" s="993"/>
      <c r="H301" s="996"/>
      <c r="I301" s="996"/>
      <c r="J301" s="993"/>
      <c r="K301" s="996"/>
      <c r="L301" s="996"/>
      <c r="M301" s="996"/>
      <c r="N301" s="994"/>
      <c r="O301" s="981">
        <v>0.93490804699999996</v>
      </c>
      <c r="P301" s="973"/>
    </row>
    <row r="302" spans="1:16" ht="18.95" customHeight="1">
      <c r="A302" s="1036">
        <v>4.49</v>
      </c>
      <c r="B302" s="1088" t="s">
        <v>518</v>
      </c>
      <c r="C302" s="1225" t="s">
        <v>519</v>
      </c>
      <c r="D302" s="1107"/>
      <c r="E302" s="993">
        <v>1</v>
      </c>
      <c r="F302" s="994" t="s">
        <v>402</v>
      </c>
      <c r="G302" s="993">
        <v>8500</v>
      </c>
      <c r="H302" s="996">
        <f t="shared" ref="H302:H364" si="47">G302*O302</f>
        <v>7946.7183994999996</v>
      </c>
      <c r="I302" s="996">
        <f t="shared" si="45"/>
        <v>7946.7183994999996</v>
      </c>
      <c r="J302" s="993">
        <v>1000</v>
      </c>
      <c r="K302" s="996">
        <f t="shared" si="46"/>
        <v>934.90804700000001</v>
      </c>
      <c r="L302" s="996">
        <f t="shared" si="44"/>
        <v>934.90804700000001</v>
      </c>
      <c r="M302" s="996">
        <f>SUM(I302,L302)</f>
        <v>8881.6264465000004</v>
      </c>
      <c r="N302" s="994"/>
      <c r="O302" s="981">
        <v>0.93490804699999996</v>
      </c>
      <c r="P302" s="973"/>
    </row>
    <row r="303" spans="1:16" ht="18.95" customHeight="1">
      <c r="A303" s="1021">
        <v>4.5</v>
      </c>
      <c r="B303" s="1063" t="s">
        <v>520</v>
      </c>
      <c r="C303" s="1239" t="s">
        <v>521</v>
      </c>
      <c r="D303" s="1061"/>
      <c r="E303" s="996">
        <v>8</v>
      </c>
      <c r="F303" s="994" t="s">
        <v>402</v>
      </c>
      <c r="G303" s="993">
        <v>20070</v>
      </c>
      <c r="H303" s="996">
        <f t="shared" si="47"/>
        <v>18763.60450329</v>
      </c>
      <c r="I303" s="996">
        <f t="shared" si="45"/>
        <v>150108.83602632</v>
      </c>
      <c r="J303" s="993">
        <v>1000</v>
      </c>
      <c r="K303" s="996">
        <f t="shared" si="46"/>
        <v>934.90804700000001</v>
      </c>
      <c r="L303" s="996">
        <f t="shared" si="44"/>
        <v>7479.2643760000001</v>
      </c>
      <c r="M303" s="996">
        <f>SUM(I303,L303)</f>
        <v>157588.10040232001</v>
      </c>
      <c r="N303" s="994"/>
      <c r="O303" s="981">
        <v>0.93490804699999996</v>
      </c>
      <c r="P303" s="973"/>
    </row>
    <row r="304" spans="1:16" ht="18.95" customHeight="1">
      <c r="A304" s="1021"/>
      <c r="B304" s="1063"/>
      <c r="C304" s="1239" t="s">
        <v>522</v>
      </c>
      <c r="D304" s="1061"/>
      <c r="E304" s="993"/>
      <c r="F304" s="994"/>
      <c r="G304" s="993"/>
      <c r="H304" s="996"/>
      <c r="I304" s="996"/>
      <c r="J304" s="993"/>
      <c r="K304" s="996"/>
      <c r="L304" s="996"/>
      <c r="M304" s="996"/>
      <c r="N304" s="994"/>
      <c r="O304" s="981">
        <v>0.93490804699999996</v>
      </c>
      <c r="P304" s="973"/>
    </row>
    <row r="305" spans="1:16" ht="18.95" customHeight="1">
      <c r="A305" s="1036">
        <v>4.51</v>
      </c>
      <c r="B305" s="1063" t="s">
        <v>523</v>
      </c>
      <c r="C305" s="1239" t="s">
        <v>524</v>
      </c>
      <c r="D305" s="1061"/>
      <c r="E305" s="996">
        <v>4</v>
      </c>
      <c r="F305" s="994" t="s">
        <v>402</v>
      </c>
      <c r="G305" s="993">
        <v>9250</v>
      </c>
      <c r="H305" s="996">
        <f t="shared" si="47"/>
        <v>8647.8994347499993</v>
      </c>
      <c r="I305" s="996">
        <f t="shared" si="45"/>
        <v>34591.597738999997</v>
      </c>
      <c r="J305" s="993">
        <v>1000</v>
      </c>
      <c r="K305" s="996">
        <f t="shared" si="46"/>
        <v>934.90804700000001</v>
      </c>
      <c r="L305" s="996">
        <f t="shared" si="44"/>
        <v>3739.632188</v>
      </c>
      <c r="M305" s="996">
        <f>SUM(I305,L305)</f>
        <v>38331.229927</v>
      </c>
      <c r="N305" s="994"/>
      <c r="O305" s="981">
        <v>0.93490804699999996</v>
      </c>
      <c r="P305" s="973"/>
    </row>
    <row r="306" spans="1:16" ht="18.95" customHeight="1">
      <c r="A306" s="1021">
        <v>4.5199999999999996</v>
      </c>
      <c r="B306" s="1063" t="s">
        <v>525</v>
      </c>
      <c r="C306" s="1239" t="s">
        <v>526</v>
      </c>
      <c r="D306" s="1061"/>
      <c r="E306" s="996">
        <v>3</v>
      </c>
      <c r="F306" s="994" t="s">
        <v>402</v>
      </c>
      <c r="G306" s="993">
        <v>14010</v>
      </c>
      <c r="H306" s="996">
        <f t="shared" si="47"/>
        <v>13098.06173847</v>
      </c>
      <c r="I306" s="996">
        <f t="shared" si="45"/>
        <v>39294.185215409998</v>
      </c>
      <c r="J306" s="993">
        <v>2000</v>
      </c>
      <c r="K306" s="996">
        <f t="shared" si="46"/>
        <v>1869.816094</v>
      </c>
      <c r="L306" s="996">
        <f t="shared" si="44"/>
        <v>5609.4482820000003</v>
      </c>
      <c r="M306" s="996">
        <f>SUM(I306,L306)</f>
        <v>44903.633497409995</v>
      </c>
      <c r="N306" s="994"/>
      <c r="O306" s="981">
        <v>0.93490804699999996</v>
      </c>
      <c r="P306" s="973"/>
    </row>
    <row r="307" spans="1:16" ht="18.95" customHeight="1">
      <c r="A307" s="1021">
        <v>4.53</v>
      </c>
      <c r="B307" s="1063" t="s">
        <v>527</v>
      </c>
      <c r="C307" s="1239" t="s">
        <v>528</v>
      </c>
      <c r="D307" s="1058"/>
      <c r="E307" s="996">
        <v>6</v>
      </c>
      <c r="F307" s="994" t="s">
        <v>402</v>
      </c>
      <c r="G307" s="993">
        <v>12320</v>
      </c>
      <c r="H307" s="996">
        <f t="shared" si="47"/>
        <v>11518.06713904</v>
      </c>
      <c r="I307" s="996">
        <f t="shared" si="45"/>
        <v>69108.402834239998</v>
      </c>
      <c r="J307" s="993">
        <v>1000</v>
      </c>
      <c r="K307" s="996">
        <f t="shared" si="46"/>
        <v>934.90804700000001</v>
      </c>
      <c r="L307" s="996">
        <f t="shared" si="44"/>
        <v>5609.4482820000003</v>
      </c>
      <c r="M307" s="996">
        <f>SUM(I307,L307)</f>
        <v>74717.851116239995</v>
      </c>
      <c r="N307" s="994"/>
      <c r="O307" s="981">
        <v>0.93490804699999996</v>
      </c>
      <c r="P307" s="973"/>
    </row>
    <row r="308" spans="1:16" ht="18.95" customHeight="1">
      <c r="A308" s="1036">
        <v>4.54</v>
      </c>
      <c r="B308" s="1063" t="s">
        <v>529</v>
      </c>
      <c r="C308" s="1239" t="s">
        <v>530</v>
      </c>
      <c r="D308" s="1058"/>
      <c r="E308" s="996">
        <v>4</v>
      </c>
      <c r="F308" s="994" t="s">
        <v>402</v>
      </c>
      <c r="G308" s="993">
        <v>12920</v>
      </c>
      <c r="H308" s="996">
        <f t="shared" si="47"/>
        <v>12079.01196724</v>
      </c>
      <c r="I308" s="996">
        <f t="shared" si="45"/>
        <v>48316.047868959999</v>
      </c>
      <c r="J308" s="993">
        <v>1000</v>
      </c>
      <c r="K308" s="996">
        <f t="shared" si="46"/>
        <v>934.90804700000001</v>
      </c>
      <c r="L308" s="996">
        <f t="shared" si="44"/>
        <v>3739.632188</v>
      </c>
      <c r="M308" s="996">
        <f>SUM(I308,L308)</f>
        <v>52055.680056960002</v>
      </c>
      <c r="N308" s="994"/>
      <c r="O308" s="981">
        <v>0.93490804699999996</v>
      </c>
      <c r="P308" s="973"/>
    </row>
    <row r="309" spans="1:16" ht="18.95" customHeight="1">
      <c r="A309" s="1036"/>
      <c r="B309" s="1063"/>
      <c r="C309" s="1244" t="s">
        <v>531</v>
      </c>
      <c r="D309" s="1113"/>
      <c r="E309" s="996"/>
      <c r="F309" s="994"/>
      <c r="G309" s="993"/>
      <c r="H309" s="996"/>
      <c r="I309" s="996"/>
      <c r="J309" s="993"/>
      <c r="K309" s="996"/>
      <c r="L309" s="996"/>
      <c r="M309" s="996"/>
      <c r="N309" s="994"/>
      <c r="O309" s="981">
        <v>0.93490804699999996</v>
      </c>
      <c r="P309" s="973"/>
    </row>
    <row r="310" spans="1:16" ht="18.95" customHeight="1">
      <c r="A310" s="1036">
        <v>4.55</v>
      </c>
      <c r="B310" s="1063" t="s">
        <v>532</v>
      </c>
      <c r="C310" s="1225" t="s">
        <v>533</v>
      </c>
      <c r="D310" s="1113"/>
      <c r="E310" s="996">
        <v>1</v>
      </c>
      <c r="F310" s="994" t="s">
        <v>402</v>
      </c>
      <c r="G310" s="993">
        <v>28200</v>
      </c>
      <c r="H310" s="996">
        <f t="shared" si="47"/>
        <v>26364.406925399999</v>
      </c>
      <c r="I310" s="996">
        <f t="shared" si="45"/>
        <v>26364.406925399999</v>
      </c>
      <c r="J310" s="993">
        <v>0</v>
      </c>
      <c r="K310" s="996">
        <f t="shared" si="46"/>
        <v>0</v>
      </c>
      <c r="L310" s="996">
        <f t="shared" si="44"/>
        <v>0</v>
      </c>
      <c r="M310" s="996">
        <f>SUM(I310,L310)</f>
        <v>26364.406925399999</v>
      </c>
      <c r="N310" s="994"/>
      <c r="O310" s="981">
        <v>0.93490804699999996</v>
      </c>
      <c r="P310" s="973"/>
    </row>
    <row r="311" spans="1:16" ht="18.95" customHeight="1">
      <c r="A311" s="1021">
        <v>4.5599999999999996</v>
      </c>
      <c r="B311" s="1063" t="s">
        <v>534</v>
      </c>
      <c r="C311" s="1239" t="s">
        <v>535</v>
      </c>
      <c r="D311" s="1061"/>
      <c r="E311" s="996">
        <v>1</v>
      </c>
      <c r="F311" s="994" t="s">
        <v>402</v>
      </c>
      <c r="G311" s="993">
        <v>11000</v>
      </c>
      <c r="H311" s="996">
        <f t="shared" si="47"/>
        <v>10283.988517</v>
      </c>
      <c r="I311" s="996">
        <f t="shared" si="45"/>
        <v>10283.988517</v>
      </c>
      <c r="J311" s="993">
        <v>1000</v>
      </c>
      <c r="K311" s="996">
        <f t="shared" si="46"/>
        <v>934.90804700000001</v>
      </c>
      <c r="L311" s="996">
        <f t="shared" si="44"/>
        <v>934.90804700000001</v>
      </c>
      <c r="M311" s="996">
        <f>SUM(I311,L311)</f>
        <v>11218.896564000001</v>
      </c>
      <c r="N311" s="996"/>
      <c r="O311" s="981">
        <v>0.93490804699999996</v>
      </c>
    </row>
    <row r="312" spans="1:16" ht="18.95" customHeight="1">
      <c r="A312" s="1036">
        <v>4.57</v>
      </c>
      <c r="B312" s="1063" t="s">
        <v>536</v>
      </c>
      <c r="C312" s="1239" t="s">
        <v>537</v>
      </c>
      <c r="D312" s="1061"/>
      <c r="E312" s="996">
        <v>2</v>
      </c>
      <c r="F312" s="994" t="s">
        <v>402</v>
      </c>
      <c r="G312" s="993">
        <v>26530</v>
      </c>
      <c r="H312" s="996">
        <f t="shared" si="47"/>
        <v>24803.110486909998</v>
      </c>
      <c r="I312" s="996">
        <f t="shared" si="45"/>
        <v>49606.220973819996</v>
      </c>
      <c r="J312" s="993">
        <v>2000</v>
      </c>
      <c r="K312" s="996">
        <f t="shared" si="46"/>
        <v>1869.816094</v>
      </c>
      <c r="L312" s="996">
        <f t="shared" ref="L312:L334" si="48">K312*E312</f>
        <v>3739.632188</v>
      </c>
      <c r="M312" s="996">
        <f>SUM(I312,L312)</f>
        <v>53345.85316182</v>
      </c>
      <c r="N312" s="994"/>
      <c r="O312" s="981">
        <v>0.93490804699999996</v>
      </c>
      <c r="P312" s="973"/>
    </row>
    <row r="313" spans="1:16" ht="18.95" customHeight="1">
      <c r="A313" s="1036">
        <v>4.58</v>
      </c>
      <c r="B313" s="1063" t="s">
        <v>538</v>
      </c>
      <c r="C313" s="1239" t="s">
        <v>539</v>
      </c>
      <c r="D313" s="1058"/>
      <c r="E313" s="996">
        <v>2</v>
      </c>
      <c r="F313" s="994" t="s">
        <v>402</v>
      </c>
      <c r="G313" s="993">
        <v>19110</v>
      </c>
      <c r="H313" s="996">
        <f t="shared" si="47"/>
        <v>17866.092778170001</v>
      </c>
      <c r="I313" s="996">
        <f t="shared" si="45"/>
        <v>35732.185556340002</v>
      </c>
      <c r="J313" s="993">
        <v>2000</v>
      </c>
      <c r="K313" s="996">
        <f t="shared" si="46"/>
        <v>1869.816094</v>
      </c>
      <c r="L313" s="996">
        <f t="shared" si="48"/>
        <v>3739.632188</v>
      </c>
      <c r="M313" s="996">
        <f>SUM(I313,L313)</f>
        <v>39471.817744340005</v>
      </c>
      <c r="N313" s="994"/>
      <c r="O313" s="981">
        <v>0.93490804699999996</v>
      </c>
      <c r="P313" s="973"/>
    </row>
    <row r="314" spans="1:16" ht="18.95" customHeight="1">
      <c r="A314" s="1021">
        <v>4.59</v>
      </c>
      <c r="B314" s="1063" t="s">
        <v>540</v>
      </c>
      <c r="C314" s="1239" t="s">
        <v>541</v>
      </c>
      <c r="D314" s="1061"/>
      <c r="E314" s="996">
        <v>6</v>
      </c>
      <c r="F314" s="994" t="s">
        <v>402</v>
      </c>
      <c r="G314" s="993">
        <v>11830</v>
      </c>
      <c r="H314" s="996">
        <f t="shared" si="47"/>
        <v>11059.962196009999</v>
      </c>
      <c r="I314" s="996">
        <f t="shared" si="45"/>
        <v>66359.77317606</v>
      </c>
      <c r="J314" s="993">
        <v>1000</v>
      </c>
      <c r="K314" s="996">
        <f t="shared" si="46"/>
        <v>934.90804700000001</v>
      </c>
      <c r="L314" s="996">
        <f t="shared" si="48"/>
        <v>5609.4482820000003</v>
      </c>
      <c r="M314" s="996">
        <f>SUM(I314,L314)</f>
        <v>71969.221458059998</v>
      </c>
      <c r="N314" s="994"/>
      <c r="O314" s="981">
        <v>0.93490804699999996</v>
      </c>
      <c r="P314" s="973"/>
    </row>
    <row r="315" spans="1:16" ht="18.95" customHeight="1">
      <c r="A315" s="1021"/>
      <c r="B315" s="1063"/>
      <c r="C315" s="1225" t="s">
        <v>542</v>
      </c>
      <c r="D315" s="1113"/>
      <c r="E315" s="993"/>
      <c r="F315" s="994"/>
      <c r="G315" s="993"/>
      <c r="H315" s="996"/>
      <c r="I315" s="996"/>
      <c r="J315" s="993"/>
      <c r="K315" s="996"/>
      <c r="L315" s="996"/>
      <c r="M315" s="996"/>
      <c r="N315" s="994"/>
      <c r="O315" s="981">
        <v>0.93490804699999996</v>
      </c>
      <c r="P315" s="973"/>
    </row>
    <row r="316" spans="1:16" ht="18.95" customHeight="1">
      <c r="A316" s="1018">
        <v>4.5999999999999996</v>
      </c>
      <c r="B316" s="1063" t="s">
        <v>543</v>
      </c>
      <c r="C316" s="1239" t="s">
        <v>544</v>
      </c>
      <c r="D316" s="1061"/>
      <c r="E316" s="993">
        <v>4</v>
      </c>
      <c r="F316" s="994" t="s">
        <v>402</v>
      </c>
      <c r="G316" s="993">
        <v>13700</v>
      </c>
      <c r="H316" s="996">
        <f t="shared" si="47"/>
        <v>12808.2402439</v>
      </c>
      <c r="I316" s="996">
        <f t="shared" si="45"/>
        <v>51232.960975599999</v>
      </c>
      <c r="J316" s="993">
        <v>1000</v>
      </c>
      <c r="K316" s="996">
        <f t="shared" si="46"/>
        <v>934.90804700000001</v>
      </c>
      <c r="L316" s="996">
        <f t="shared" si="48"/>
        <v>3739.632188</v>
      </c>
      <c r="M316" s="996">
        <f>SUM(I316,L316)</f>
        <v>54972.593163600002</v>
      </c>
      <c r="N316" s="994"/>
      <c r="O316" s="981">
        <v>0.93490804699999996</v>
      </c>
      <c r="P316" s="973"/>
    </row>
    <row r="317" spans="1:16" ht="18.95" customHeight="1">
      <c r="A317" s="1018"/>
      <c r="B317" s="1063"/>
      <c r="C317" s="1225" t="s">
        <v>545</v>
      </c>
      <c r="D317" s="1061"/>
      <c r="E317" s="993"/>
      <c r="F317" s="994"/>
      <c r="G317" s="993"/>
      <c r="H317" s="996"/>
      <c r="I317" s="996"/>
      <c r="J317" s="993"/>
      <c r="K317" s="996"/>
      <c r="L317" s="996"/>
      <c r="M317" s="996"/>
      <c r="N317" s="994"/>
      <c r="O317" s="981">
        <v>0.93490804699999996</v>
      </c>
      <c r="P317" s="973"/>
    </row>
    <row r="318" spans="1:16" ht="18.95" customHeight="1">
      <c r="A318" s="1021">
        <v>4.6100000000000003</v>
      </c>
      <c r="B318" s="1063" t="s">
        <v>546</v>
      </c>
      <c r="C318" s="1239" t="s">
        <v>547</v>
      </c>
      <c r="D318" s="1061"/>
      <c r="E318" s="993">
        <v>1</v>
      </c>
      <c r="F318" s="994" t="s">
        <v>402</v>
      </c>
      <c r="G318" s="993">
        <v>17480</v>
      </c>
      <c r="H318" s="996">
        <f t="shared" si="47"/>
        <v>16342.192661559999</v>
      </c>
      <c r="I318" s="996">
        <f t="shared" si="45"/>
        <v>16342.192661559999</v>
      </c>
      <c r="J318" s="993">
        <v>1000</v>
      </c>
      <c r="K318" s="996">
        <f t="shared" si="46"/>
        <v>934.90804700000001</v>
      </c>
      <c r="L318" s="996">
        <f t="shared" si="48"/>
        <v>934.90804700000001</v>
      </c>
      <c r="M318" s="996">
        <f>SUM(I318,L318)</f>
        <v>17277.100708559999</v>
      </c>
      <c r="N318" s="994"/>
      <c r="O318" s="981">
        <v>0.93490804699999996</v>
      </c>
      <c r="P318" s="973"/>
    </row>
    <row r="319" spans="1:16" ht="18.95" customHeight="1">
      <c r="A319" s="1021"/>
      <c r="B319" s="1063"/>
      <c r="C319" s="1225" t="s">
        <v>517</v>
      </c>
      <c r="D319" s="1113"/>
      <c r="E319" s="993"/>
      <c r="F319" s="994"/>
      <c r="G319" s="993"/>
      <c r="H319" s="996"/>
      <c r="I319" s="996"/>
      <c r="J319" s="993"/>
      <c r="K319" s="996"/>
      <c r="L319" s="996"/>
      <c r="M319" s="996"/>
      <c r="N319" s="994"/>
      <c r="O319" s="981">
        <v>0.93490804699999996</v>
      </c>
      <c r="P319" s="973"/>
    </row>
    <row r="320" spans="1:16" ht="18.95" customHeight="1">
      <c r="A320" s="1018">
        <v>4.62</v>
      </c>
      <c r="B320" s="1063" t="s">
        <v>548</v>
      </c>
      <c r="C320" s="1239" t="s">
        <v>549</v>
      </c>
      <c r="D320" s="1061"/>
      <c r="E320" s="993">
        <v>2</v>
      </c>
      <c r="F320" s="994" t="s">
        <v>402</v>
      </c>
      <c r="G320" s="993">
        <v>20400</v>
      </c>
      <c r="H320" s="996">
        <f t="shared" si="47"/>
        <v>19072.124158799998</v>
      </c>
      <c r="I320" s="996">
        <f t="shared" si="45"/>
        <v>38144.248317599995</v>
      </c>
      <c r="J320" s="993">
        <v>1000</v>
      </c>
      <c r="K320" s="996">
        <f t="shared" si="46"/>
        <v>934.90804700000001</v>
      </c>
      <c r="L320" s="996">
        <f t="shared" si="48"/>
        <v>1869.816094</v>
      </c>
      <c r="M320" s="996">
        <f>SUM(I320,L320)</f>
        <v>40014.064411599997</v>
      </c>
      <c r="N320" s="994"/>
      <c r="O320" s="981">
        <v>0.93490804699999996</v>
      </c>
      <c r="P320" s="973"/>
    </row>
    <row r="321" spans="1:16" ht="18.95" customHeight="1">
      <c r="A321" s="1036"/>
      <c r="B321" s="1063"/>
      <c r="C321" s="1225" t="s">
        <v>550</v>
      </c>
      <c r="D321" s="1061"/>
      <c r="E321" s="993"/>
      <c r="F321" s="994"/>
      <c r="G321" s="993"/>
      <c r="H321" s="996"/>
      <c r="I321" s="996"/>
      <c r="J321" s="993"/>
      <c r="K321" s="996"/>
      <c r="L321" s="996"/>
      <c r="M321" s="996"/>
      <c r="N321" s="994"/>
      <c r="O321" s="981">
        <v>0.93490804699999996</v>
      </c>
      <c r="P321" s="973"/>
    </row>
    <row r="322" spans="1:16" ht="18.95" customHeight="1">
      <c r="A322" s="1036">
        <v>4.63</v>
      </c>
      <c r="B322" s="1063" t="s">
        <v>551</v>
      </c>
      <c r="C322" s="1239" t="s">
        <v>535</v>
      </c>
      <c r="D322" s="1061"/>
      <c r="E322" s="993">
        <v>0</v>
      </c>
      <c r="F322" s="994" t="s">
        <v>402</v>
      </c>
      <c r="G322" s="993">
        <v>12320</v>
      </c>
      <c r="H322" s="996">
        <f t="shared" si="47"/>
        <v>11518.06713904</v>
      </c>
      <c r="I322" s="996">
        <f t="shared" si="45"/>
        <v>0</v>
      </c>
      <c r="J322" s="993">
        <v>1000</v>
      </c>
      <c r="K322" s="996">
        <f t="shared" si="46"/>
        <v>934.90804700000001</v>
      </c>
      <c r="L322" s="996">
        <f t="shared" si="48"/>
        <v>0</v>
      </c>
      <c r="M322" s="996">
        <f>SUM(I322,L322)</f>
        <v>0</v>
      </c>
      <c r="N322" s="994"/>
      <c r="O322" s="981">
        <v>0.93490804699999996</v>
      </c>
      <c r="P322" s="973"/>
    </row>
    <row r="323" spans="1:16" ht="18.95" customHeight="1">
      <c r="A323" s="1018">
        <v>4.6399999999999997</v>
      </c>
      <c r="B323" s="1114" t="s">
        <v>552</v>
      </c>
      <c r="C323" s="1239"/>
      <c r="D323" s="1061"/>
      <c r="E323" s="996"/>
      <c r="F323" s="994"/>
      <c r="G323" s="993"/>
      <c r="H323" s="996"/>
      <c r="I323" s="996"/>
      <c r="J323" s="993"/>
      <c r="K323" s="996"/>
      <c r="L323" s="996"/>
      <c r="M323" s="996"/>
      <c r="N323" s="994"/>
      <c r="O323" s="981">
        <v>0.93490804699999996</v>
      </c>
      <c r="P323" s="973"/>
    </row>
    <row r="324" spans="1:16" ht="18.95" customHeight="1">
      <c r="A324" s="1018"/>
      <c r="B324" s="1115" t="s">
        <v>245</v>
      </c>
      <c r="C324" s="1225" t="s">
        <v>553</v>
      </c>
      <c r="D324" s="1061"/>
      <c r="E324" s="993">
        <v>12</v>
      </c>
      <c r="F324" s="994" t="s">
        <v>402</v>
      </c>
      <c r="G324" s="993">
        <v>19100</v>
      </c>
      <c r="H324" s="996">
        <f t="shared" si="47"/>
        <v>17856.7436977</v>
      </c>
      <c r="I324" s="996">
        <f t="shared" si="45"/>
        <v>214280.92437239998</v>
      </c>
      <c r="J324" s="993">
        <v>0</v>
      </c>
      <c r="K324" s="996">
        <f t="shared" si="46"/>
        <v>0</v>
      </c>
      <c r="L324" s="996">
        <f t="shared" si="48"/>
        <v>0</v>
      </c>
      <c r="M324" s="996">
        <f t="shared" ref="M324:M347" si="49">SUM(I324,L324)</f>
        <v>214280.92437239998</v>
      </c>
      <c r="N324" s="994"/>
      <c r="O324" s="981">
        <v>0.93490804699999996</v>
      </c>
      <c r="P324" s="973"/>
    </row>
    <row r="325" spans="1:16" ht="18.95" customHeight="1">
      <c r="A325" s="1018"/>
      <c r="B325" s="1115" t="s">
        <v>245</v>
      </c>
      <c r="C325" s="1225" t="s">
        <v>554</v>
      </c>
      <c r="D325" s="1061"/>
      <c r="E325" s="993">
        <v>11</v>
      </c>
      <c r="F325" s="994" t="s">
        <v>402</v>
      </c>
      <c r="G325" s="993">
        <v>21800</v>
      </c>
      <c r="H325" s="996">
        <f t="shared" si="47"/>
        <v>20380.995424599998</v>
      </c>
      <c r="I325" s="996">
        <f t="shared" si="45"/>
        <v>224190.94967059998</v>
      </c>
      <c r="J325" s="993">
        <v>0</v>
      </c>
      <c r="K325" s="996">
        <f t="shared" si="46"/>
        <v>0</v>
      </c>
      <c r="L325" s="996">
        <f t="shared" si="48"/>
        <v>0</v>
      </c>
      <c r="M325" s="996">
        <f t="shared" si="49"/>
        <v>224190.94967059998</v>
      </c>
      <c r="N325" s="994"/>
      <c r="O325" s="981">
        <v>0.93490804699999996</v>
      </c>
      <c r="P325" s="973"/>
    </row>
    <row r="326" spans="1:16" ht="18.95" customHeight="1">
      <c r="A326" s="1018"/>
      <c r="B326" s="1115" t="s">
        <v>245</v>
      </c>
      <c r="C326" s="1225" t="s">
        <v>555</v>
      </c>
      <c r="D326" s="1113"/>
      <c r="E326" s="993">
        <v>1</v>
      </c>
      <c r="F326" s="994" t="s">
        <v>402</v>
      </c>
      <c r="G326" s="993">
        <v>38200</v>
      </c>
      <c r="H326" s="996">
        <f t="shared" si="47"/>
        <v>35713.4873954</v>
      </c>
      <c r="I326" s="996">
        <f t="shared" si="45"/>
        <v>35713.4873954</v>
      </c>
      <c r="J326" s="993">
        <v>0</v>
      </c>
      <c r="K326" s="996">
        <f t="shared" si="46"/>
        <v>0</v>
      </c>
      <c r="L326" s="996">
        <f t="shared" si="48"/>
        <v>0</v>
      </c>
      <c r="M326" s="996">
        <f t="shared" si="49"/>
        <v>35713.4873954</v>
      </c>
      <c r="N326" s="994"/>
      <c r="O326" s="981">
        <v>0.93490804699999996</v>
      </c>
      <c r="P326" s="973"/>
    </row>
    <row r="327" spans="1:16" ht="18.95" customHeight="1">
      <c r="A327" s="1018"/>
      <c r="B327" s="1115"/>
      <c r="C327" s="1225"/>
      <c r="D327" s="1061"/>
      <c r="E327" s="993"/>
      <c r="F327" s="994"/>
      <c r="G327" s="993"/>
      <c r="H327" s="996"/>
      <c r="I327" s="996"/>
      <c r="J327" s="993"/>
      <c r="K327" s="996"/>
      <c r="L327" s="996"/>
      <c r="M327" s="996"/>
      <c r="N327" s="994"/>
      <c r="O327" s="981">
        <v>0.93490804699999996</v>
      </c>
      <c r="P327" s="973"/>
    </row>
    <row r="328" spans="1:16" ht="18.95" customHeight="1">
      <c r="A328" s="1018"/>
      <c r="B328" s="1115"/>
      <c r="C328" s="1225"/>
      <c r="D328" s="1113"/>
      <c r="E328" s="993"/>
      <c r="F328" s="994"/>
      <c r="G328" s="993"/>
      <c r="H328" s="996"/>
      <c r="I328" s="996"/>
      <c r="J328" s="993"/>
      <c r="K328" s="996"/>
      <c r="L328" s="996"/>
      <c r="M328" s="996"/>
      <c r="N328" s="994"/>
      <c r="O328" s="981">
        <v>0.93490804699999996</v>
      </c>
      <c r="P328" s="973"/>
    </row>
    <row r="329" spans="1:16" ht="18.95" customHeight="1">
      <c r="A329" s="1018"/>
      <c r="B329" s="1115" t="s">
        <v>245</v>
      </c>
      <c r="C329" s="1225" t="s">
        <v>556</v>
      </c>
      <c r="D329" s="1061"/>
      <c r="E329" s="993">
        <v>8</v>
      </c>
      <c r="F329" s="994" t="s">
        <v>402</v>
      </c>
      <c r="G329" s="993">
        <v>42370</v>
      </c>
      <c r="H329" s="996">
        <f t="shared" si="47"/>
        <v>39612.05395139</v>
      </c>
      <c r="I329" s="996">
        <f t="shared" si="45"/>
        <v>316896.43161112</v>
      </c>
      <c r="J329" s="993">
        <v>0</v>
      </c>
      <c r="K329" s="996">
        <f t="shared" si="46"/>
        <v>0</v>
      </c>
      <c r="L329" s="996">
        <f t="shared" si="48"/>
        <v>0</v>
      </c>
      <c r="M329" s="996">
        <f t="shared" si="49"/>
        <v>316896.43161112</v>
      </c>
      <c r="N329" s="994"/>
      <c r="O329" s="981">
        <v>0.93490804699999996</v>
      </c>
      <c r="P329" s="973"/>
    </row>
    <row r="330" spans="1:16" ht="18.95" customHeight="1">
      <c r="A330" s="1018"/>
      <c r="B330" s="1115" t="s">
        <v>245</v>
      </c>
      <c r="C330" s="1225" t="s">
        <v>557</v>
      </c>
      <c r="D330" s="1113"/>
      <c r="E330" s="993">
        <v>1</v>
      </c>
      <c r="F330" s="994" t="s">
        <v>402</v>
      </c>
      <c r="G330" s="993">
        <v>38200</v>
      </c>
      <c r="H330" s="996">
        <f t="shared" si="47"/>
        <v>35713.4873954</v>
      </c>
      <c r="I330" s="996">
        <f t="shared" si="45"/>
        <v>35713.4873954</v>
      </c>
      <c r="J330" s="993">
        <v>0</v>
      </c>
      <c r="K330" s="996">
        <f t="shared" si="46"/>
        <v>0</v>
      </c>
      <c r="L330" s="996">
        <f t="shared" si="48"/>
        <v>0</v>
      </c>
      <c r="M330" s="996">
        <f t="shared" si="49"/>
        <v>35713.4873954</v>
      </c>
      <c r="N330" s="994"/>
      <c r="O330" s="981">
        <v>0.93490804699999996</v>
      </c>
      <c r="P330" s="973"/>
    </row>
    <row r="331" spans="1:16" ht="18.95" customHeight="1">
      <c r="A331" s="1018"/>
      <c r="B331" s="1115" t="s">
        <v>245</v>
      </c>
      <c r="C331" s="1225" t="s">
        <v>558</v>
      </c>
      <c r="D331" s="1061"/>
      <c r="E331" s="993">
        <v>4</v>
      </c>
      <c r="F331" s="994" t="s">
        <v>402</v>
      </c>
      <c r="G331" s="993">
        <v>43600</v>
      </c>
      <c r="H331" s="996">
        <f t="shared" si="47"/>
        <v>40761.990849199996</v>
      </c>
      <c r="I331" s="996">
        <f t="shared" si="45"/>
        <v>163047.96339679998</v>
      </c>
      <c r="J331" s="993">
        <v>0</v>
      </c>
      <c r="K331" s="996">
        <f t="shared" si="46"/>
        <v>0</v>
      </c>
      <c r="L331" s="996">
        <f t="shared" si="48"/>
        <v>0</v>
      </c>
      <c r="M331" s="996">
        <f t="shared" si="49"/>
        <v>163047.96339679998</v>
      </c>
      <c r="N331" s="994"/>
      <c r="O331" s="981">
        <v>0.93490804699999996</v>
      </c>
      <c r="P331" s="973"/>
    </row>
    <row r="332" spans="1:16" ht="18.95" customHeight="1">
      <c r="A332" s="1018"/>
      <c r="B332" s="1115" t="s">
        <v>245</v>
      </c>
      <c r="C332" s="1225" t="s">
        <v>559</v>
      </c>
      <c r="D332" s="1113"/>
      <c r="E332" s="993">
        <v>2</v>
      </c>
      <c r="F332" s="994" t="s">
        <v>402</v>
      </c>
      <c r="G332" s="993">
        <v>65400</v>
      </c>
      <c r="H332" s="996">
        <f t="shared" si="47"/>
        <v>61142.986273800001</v>
      </c>
      <c r="I332" s="996">
        <f t="shared" si="45"/>
        <v>122285.9725476</v>
      </c>
      <c r="J332" s="993">
        <v>0</v>
      </c>
      <c r="K332" s="996">
        <f t="shared" si="46"/>
        <v>0</v>
      </c>
      <c r="L332" s="996">
        <f t="shared" si="48"/>
        <v>0</v>
      </c>
      <c r="M332" s="996">
        <f t="shared" si="49"/>
        <v>122285.9725476</v>
      </c>
      <c r="N332" s="994"/>
      <c r="O332" s="981">
        <v>0.93490804699999996</v>
      </c>
      <c r="P332" s="973"/>
    </row>
    <row r="333" spans="1:16" ht="18.95" customHeight="1">
      <c r="A333" s="1018"/>
      <c r="B333" s="1115" t="s">
        <v>245</v>
      </c>
      <c r="C333" s="1225" t="s">
        <v>560</v>
      </c>
      <c r="D333" s="1005"/>
      <c r="E333" s="993">
        <v>3</v>
      </c>
      <c r="F333" s="994" t="s">
        <v>402</v>
      </c>
      <c r="G333" s="993">
        <v>87200</v>
      </c>
      <c r="H333" s="996">
        <f t="shared" si="47"/>
        <v>81523.981698399992</v>
      </c>
      <c r="I333" s="996">
        <f t="shared" si="45"/>
        <v>244571.94509519998</v>
      </c>
      <c r="J333" s="993">
        <v>0</v>
      </c>
      <c r="K333" s="996">
        <f t="shared" si="46"/>
        <v>0</v>
      </c>
      <c r="L333" s="996">
        <f t="shared" si="48"/>
        <v>0</v>
      </c>
      <c r="M333" s="996">
        <f t="shared" si="49"/>
        <v>244571.94509519998</v>
      </c>
      <c r="N333" s="994"/>
      <c r="O333" s="981">
        <v>0.93490804699999996</v>
      </c>
      <c r="P333" s="973"/>
    </row>
    <row r="334" spans="1:16" ht="18.95" customHeight="1">
      <c r="A334" s="1018"/>
      <c r="B334" s="1115" t="s">
        <v>245</v>
      </c>
      <c r="C334" s="1225" t="s">
        <v>561</v>
      </c>
      <c r="D334" s="1061"/>
      <c r="E334" s="993">
        <v>1</v>
      </c>
      <c r="F334" s="994" t="s">
        <v>402</v>
      </c>
      <c r="G334" s="993">
        <v>109000</v>
      </c>
      <c r="H334" s="996">
        <f t="shared" si="47"/>
        <v>101904.97712299999</v>
      </c>
      <c r="I334" s="996">
        <f t="shared" si="45"/>
        <v>101904.97712299999</v>
      </c>
      <c r="J334" s="993">
        <v>0</v>
      </c>
      <c r="K334" s="996">
        <f t="shared" si="46"/>
        <v>0</v>
      </c>
      <c r="L334" s="996">
        <f t="shared" si="48"/>
        <v>0</v>
      </c>
      <c r="M334" s="996">
        <f t="shared" si="49"/>
        <v>101904.97712299999</v>
      </c>
      <c r="N334" s="994"/>
      <c r="O334" s="981">
        <v>0.93490804699999996</v>
      </c>
      <c r="P334" s="973"/>
    </row>
    <row r="335" spans="1:16" ht="18.95" customHeight="1">
      <c r="A335" s="1018"/>
      <c r="B335" s="1115" t="s">
        <v>245</v>
      </c>
      <c r="C335" s="1225" t="s">
        <v>562</v>
      </c>
      <c r="D335" s="1061"/>
      <c r="E335" s="993">
        <v>1</v>
      </c>
      <c r="F335" s="994" t="s">
        <v>402</v>
      </c>
      <c r="G335" s="993">
        <v>130000</v>
      </c>
      <c r="H335" s="996">
        <f t="shared" si="47"/>
        <v>121538.04611</v>
      </c>
      <c r="I335" s="996">
        <f t="shared" si="45"/>
        <v>121538.04611</v>
      </c>
      <c r="J335" s="993">
        <v>0</v>
      </c>
      <c r="K335" s="996">
        <f t="shared" si="46"/>
        <v>0</v>
      </c>
      <c r="L335" s="996">
        <f t="shared" ref="L335:L347" si="50">J335*E335</f>
        <v>0</v>
      </c>
      <c r="M335" s="996">
        <f t="shared" si="49"/>
        <v>121538.04611</v>
      </c>
      <c r="N335" s="994"/>
      <c r="O335" s="981">
        <v>0.93490804699999996</v>
      </c>
      <c r="P335" s="973"/>
    </row>
    <row r="336" spans="1:16" ht="18.95" customHeight="1">
      <c r="A336" s="1018"/>
      <c r="B336" s="1115" t="s">
        <v>245</v>
      </c>
      <c r="C336" s="1225" t="s">
        <v>563</v>
      </c>
      <c r="D336" s="1005"/>
      <c r="E336" s="993">
        <v>3</v>
      </c>
      <c r="F336" s="994" t="s">
        <v>402</v>
      </c>
      <c r="G336" s="993">
        <v>10820</v>
      </c>
      <c r="H336" s="996">
        <f t="shared" si="47"/>
        <v>10115.705068539999</v>
      </c>
      <c r="I336" s="996">
        <f t="shared" si="45"/>
        <v>30347.115205619997</v>
      </c>
      <c r="J336" s="993">
        <v>0</v>
      </c>
      <c r="K336" s="996">
        <f t="shared" si="46"/>
        <v>0</v>
      </c>
      <c r="L336" s="996">
        <f t="shared" si="50"/>
        <v>0</v>
      </c>
      <c r="M336" s="996">
        <f t="shared" si="49"/>
        <v>30347.115205619997</v>
      </c>
      <c r="N336" s="994"/>
      <c r="O336" s="981">
        <v>0.93490804699999996</v>
      </c>
      <c r="P336" s="973"/>
    </row>
    <row r="337" spans="1:16" ht="18.95" customHeight="1">
      <c r="A337" s="1018"/>
      <c r="B337" s="1115" t="s">
        <v>245</v>
      </c>
      <c r="C337" s="1225" t="s">
        <v>564</v>
      </c>
      <c r="D337" s="1005"/>
      <c r="E337" s="993">
        <v>3</v>
      </c>
      <c r="F337" s="994" t="s">
        <v>402</v>
      </c>
      <c r="G337" s="993">
        <v>20040</v>
      </c>
      <c r="H337" s="996">
        <f t="shared" si="47"/>
        <v>18735.55726188</v>
      </c>
      <c r="I337" s="996">
        <f t="shared" si="45"/>
        <v>56206.671785639999</v>
      </c>
      <c r="J337" s="993">
        <v>0</v>
      </c>
      <c r="K337" s="996">
        <f t="shared" si="46"/>
        <v>0</v>
      </c>
      <c r="L337" s="996">
        <f t="shared" si="50"/>
        <v>0</v>
      </c>
      <c r="M337" s="996">
        <f t="shared" si="49"/>
        <v>56206.671785639999</v>
      </c>
      <c r="N337" s="994"/>
      <c r="O337" s="981">
        <v>0.93490804699999996</v>
      </c>
      <c r="P337" s="973"/>
    </row>
    <row r="338" spans="1:16" ht="18.95" customHeight="1">
      <c r="A338" s="1018"/>
      <c r="B338" s="1115" t="s">
        <v>245</v>
      </c>
      <c r="C338" s="1225" t="s">
        <v>565</v>
      </c>
      <c r="D338" s="1113"/>
      <c r="E338" s="993">
        <v>1</v>
      </c>
      <c r="F338" s="994" t="s">
        <v>402</v>
      </c>
      <c r="G338" s="993">
        <v>30670</v>
      </c>
      <c r="H338" s="996">
        <f t="shared" si="47"/>
        <v>28673.629801489998</v>
      </c>
      <c r="I338" s="996">
        <f t="shared" ref="I338:I349" si="51">H338*E338</f>
        <v>28673.629801489998</v>
      </c>
      <c r="J338" s="993">
        <v>0</v>
      </c>
      <c r="K338" s="996">
        <f t="shared" si="46"/>
        <v>0</v>
      </c>
      <c r="L338" s="996">
        <f t="shared" si="50"/>
        <v>0</v>
      </c>
      <c r="M338" s="996">
        <f t="shared" si="49"/>
        <v>28673.629801489998</v>
      </c>
      <c r="N338" s="994"/>
      <c r="O338" s="981">
        <v>0.93490804699999996</v>
      </c>
      <c r="P338" s="973"/>
    </row>
    <row r="339" spans="1:16" ht="18.95" customHeight="1">
      <c r="A339" s="1018"/>
      <c r="B339" s="1115" t="s">
        <v>245</v>
      </c>
      <c r="C339" s="1225" t="s">
        <v>566</v>
      </c>
      <c r="D339" s="1005"/>
      <c r="E339" s="993">
        <v>1</v>
      </c>
      <c r="F339" s="994" t="s">
        <v>402</v>
      </c>
      <c r="G339" s="993">
        <v>74270</v>
      </c>
      <c r="H339" s="996">
        <f t="shared" si="47"/>
        <v>69435.620650689991</v>
      </c>
      <c r="I339" s="996">
        <f t="shared" si="51"/>
        <v>69435.620650689991</v>
      </c>
      <c r="J339" s="993">
        <v>0</v>
      </c>
      <c r="K339" s="996">
        <f t="shared" si="46"/>
        <v>0</v>
      </c>
      <c r="L339" s="996">
        <f t="shared" si="50"/>
        <v>0</v>
      </c>
      <c r="M339" s="996">
        <f t="shared" si="49"/>
        <v>69435.620650689991</v>
      </c>
      <c r="N339" s="994"/>
      <c r="O339" s="981">
        <v>0.93490804699999996</v>
      </c>
      <c r="P339" s="973"/>
    </row>
    <row r="340" spans="1:16" ht="18.95" customHeight="1">
      <c r="A340" s="1018"/>
      <c r="B340" s="1115" t="s">
        <v>245</v>
      </c>
      <c r="C340" s="1225" t="s">
        <v>567</v>
      </c>
      <c r="D340" s="1061"/>
      <c r="E340" s="993">
        <v>1</v>
      </c>
      <c r="F340" s="994" t="s">
        <v>402</v>
      </c>
      <c r="G340" s="993">
        <v>10290</v>
      </c>
      <c r="H340" s="996">
        <f t="shared" si="47"/>
        <v>9620.20380363</v>
      </c>
      <c r="I340" s="996">
        <f t="shared" si="51"/>
        <v>9620.20380363</v>
      </c>
      <c r="J340" s="993">
        <v>0</v>
      </c>
      <c r="K340" s="996">
        <f t="shared" si="46"/>
        <v>0</v>
      </c>
      <c r="L340" s="996">
        <f t="shared" si="50"/>
        <v>0</v>
      </c>
      <c r="M340" s="996">
        <f t="shared" si="49"/>
        <v>9620.20380363</v>
      </c>
      <c r="N340" s="994"/>
      <c r="O340" s="981">
        <v>0.93490804699999996</v>
      </c>
      <c r="P340" s="973"/>
    </row>
    <row r="341" spans="1:16" ht="18.95" customHeight="1">
      <c r="A341" s="1018"/>
      <c r="B341" s="1115" t="s">
        <v>245</v>
      </c>
      <c r="C341" s="1225" t="s">
        <v>568</v>
      </c>
      <c r="D341" s="1113"/>
      <c r="E341" s="993">
        <v>2</v>
      </c>
      <c r="F341" s="994" t="s">
        <v>402</v>
      </c>
      <c r="G341" s="993">
        <v>3480</v>
      </c>
      <c r="H341" s="996">
        <f t="shared" si="47"/>
        <v>3253.4800035599997</v>
      </c>
      <c r="I341" s="996">
        <f t="shared" si="51"/>
        <v>6506.9600071199993</v>
      </c>
      <c r="J341" s="993">
        <v>0</v>
      </c>
      <c r="K341" s="996">
        <f t="shared" si="46"/>
        <v>0</v>
      </c>
      <c r="L341" s="996">
        <f t="shared" si="50"/>
        <v>0</v>
      </c>
      <c r="M341" s="996">
        <f t="shared" si="49"/>
        <v>6506.9600071199993</v>
      </c>
      <c r="N341" s="994"/>
      <c r="O341" s="981">
        <v>0.93490804699999996</v>
      </c>
      <c r="P341" s="973"/>
    </row>
    <row r="342" spans="1:16" ht="18.95" customHeight="1">
      <c r="A342" s="1018"/>
      <c r="B342" s="1115" t="s">
        <v>245</v>
      </c>
      <c r="C342" s="1225" t="s">
        <v>569</v>
      </c>
      <c r="D342" s="1061"/>
      <c r="E342" s="993">
        <v>1</v>
      </c>
      <c r="F342" s="994" t="s">
        <v>402</v>
      </c>
      <c r="G342" s="993">
        <v>5470</v>
      </c>
      <c r="H342" s="996">
        <f t="shared" si="47"/>
        <v>5113.9470170899995</v>
      </c>
      <c r="I342" s="996">
        <f t="shared" si="51"/>
        <v>5113.9470170899995</v>
      </c>
      <c r="J342" s="993">
        <v>0</v>
      </c>
      <c r="K342" s="996">
        <f t="shared" si="46"/>
        <v>0</v>
      </c>
      <c r="L342" s="996">
        <f t="shared" si="50"/>
        <v>0</v>
      </c>
      <c r="M342" s="996">
        <f t="shared" si="49"/>
        <v>5113.9470170899995</v>
      </c>
      <c r="N342" s="994"/>
      <c r="O342" s="981">
        <v>0.93490804699999996</v>
      </c>
      <c r="P342" s="973"/>
    </row>
    <row r="343" spans="1:16" ht="18.95" customHeight="1">
      <c r="A343" s="1018"/>
      <c r="B343" s="1115" t="s">
        <v>245</v>
      </c>
      <c r="C343" s="1225" t="s">
        <v>570</v>
      </c>
      <c r="D343" s="1113"/>
      <c r="E343" s="993">
        <v>8</v>
      </c>
      <c r="F343" s="994" t="s">
        <v>402</v>
      </c>
      <c r="G343" s="993">
        <v>10450</v>
      </c>
      <c r="H343" s="996">
        <f t="shared" si="47"/>
        <v>9769.7890911499999</v>
      </c>
      <c r="I343" s="996">
        <f t="shared" si="51"/>
        <v>78158.312729199999</v>
      </c>
      <c r="J343" s="993">
        <v>0</v>
      </c>
      <c r="K343" s="996">
        <f t="shared" si="46"/>
        <v>0</v>
      </c>
      <c r="L343" s="996">
        <f t="shared" si="50"/>
        <v>0</v>
      </c>
      <c r="M343" s="996">
        <f t="shared" si="49"/>
        <v>78158.312729199999</v>
      </c>
      <c r="N343" s="994"/>
      <c r="O343" s="981">
        <v>0.93490804699999996</v>
      </c>
      <c r="P343" s="973"/>
    </row>
    <row r="344" spans="1:16" ht="18.95" customHeight="1">
      <c r="A344" s="1018"/>
      <c r="B344" s="1115" t="s">
        <v>245</v>
      </c>
      <c r="C344" s="1225" t="s">
        <v>571</v>
      </c>
      <c r="D344" s="1113"/>
      <c r="E344" s="993">
        <v>4</v>
      </c>
      <c r="F344" s="994" t="s">
        <v>402</v>
      </c>
      <c r="G344" s="993">
        <v>345</v>
      </c>
      <c r="H344" s="996">
        <f t="shared" si="47"/>
        <v>322.54327621499999</v>
      </c>
      <c r="I344" s="996">
        <f t="shared" si="51"/>
        <v>1290.17310486</v>
      </c>
      <c r="J344" s="993">
        <v>0</v>
      </c>
      <c r="K344" s="996">
        <f t="shared" si="46"/>
        <v>0</v>
      </c>
      <c r="L344" s="996">
        <f t="shared" si="50"/>
        <v>0</v>
      </c>
      <c r="M344" s="996">
        <f t="shared" si="49"/>
        <v>1290.17310486</v>
      </c>
      <c r="N344" s="994"/>
      <c r="O344" s="981">
        <v>0.93490804699999996</v>
      </c>
      <c r="P344" s="973"/>
    </row>
    <row r="345" spans="1:16" ht="18.95" customHeight="1">
      <c r="A345" s="1018"/>
      <c r="B345" s="1115" t="s">
        <v>245</v>
      </c>
      <c r="C345" s="1225" t="s">
        <v>572</v>
      </c>
      <c r="D345" s="1061"/>
      <c r="E345" s="993">
        <v>3</v>
      </c>
      <c r="F345" s="994" t="s">
        <v>402</v>
      </c>
      <c r="G345" s="993">
        <v>1275</v>
      </c>
      <c r="H345" s="996">
        <f t="shared" si="47"/>
        <v>1192.0077599249998</v>
      </c>
      <c r="I345" s="996">
        <f t="shared" si="51"/>
        <v>3576.0232797749995</v>
      </c>
      <c r="J345" s="993">
        <v>0</v>
      </c>
      <c r="K345" s="996">
        <f t="shared" si="46"/>
        <v>0</v>
      </c>
      <c r="L345" s="996">
        <f t="shared" si="50"/>
        <v>0</v>
      </c>
      <c r="M345" s="996">
        <f t="shared" si="49"/>
        <v>3576.0232797749995</v>
      </c>
      <c r="N345" s="994"/>
      <c r="O345" s="981">
        <v>0.93490804699999996</v>
      </c>
      <c r="P345" s="973"/>
    </row>
    <row r="346" spans="1:16" ht="18.95" customHeight="1">
      <c r="A346" s="1018"/>
      <c r="B346" s="1115" t="s">
        <v>245</v>
      </c>
      <c r="C346" s="1225" t="s">
        <v>573</v>
      </c>
      <c r="D346" s="1113"/>
      <c r="E346" s="993">
        <v>13</v>
      </c>
      <c r="F346" s="994" t="s">
        <v>402</v>
      </c>
      <c r="G346" s="993">
        <v>5470</v>
      </c>
      <c r="H346" s="996">
        <f t="shared" si="47"/>
        <v>5113.9470170899995</v>
      </c>
      <c r="I346" s="996">
        <f t="shared" si="51"/>
        <v>66481.311222169999</v>
      </c>
      <c r="J346" s="993">
        <v>0</v>
      </c>
      <c r="K346" s="996">
        <f t="shared" si="46"/>
        <v>0</v>
      </c>
      <c r="L346" s="996">
        <f t="shared" si="50"/>
        <v>0</v>
      </c>
      <c r="M346" s="996">
        <f t="shared" si="49"/>
        <v>66481.311222169999</v>
      </c>
      <c r="N346" s="994"/>
      <c r="O346" s="981">
        <v>0.93490804699999996</v>
      </c>
      <c r="P346" s="973"/>
    </row>
    <row r="347" spans="1:16" ht="18.95" customHeight="1">
      <c r="A347" s="1018"/>
      <c r="B347" s="1115" t="s">
        <v>245</v>
      </c>
      <c r="C347" s="1225" t="s">
        <v>574</v>
      </c>
      <c r="D347" s="1113"/>
      <c r="E347" s="993">
        <v>4</v>
      </c>
      <c r="F347" s="994" t="s">
        <v>402</v>
      </c>
      <c r="G347" s="993">
        <v>7870</v>
      </c>
      <c r="H347" s="996">
        <f t="shared" si="47"/>
        <v>7357.7263298899998</v>
      </c>
      <c r="I347" s="996">
        <f t="shared" si="51"/>
        <v>29430.905319559999</v>
      </c>
      <c r="J347" s="993">
        <v>0</v>
      </c>
      <c r="K347" s="996">
        <f t="shared" si="46"/>
        <v>0</v>
      </c>
      <c r="L347" s="996">
        <f t="shared" si="50"/>
        <v>0</v>
      </c>
      <c r="M347" s="996">
        <f t="shared" si="49"/>
        <v>29430.905319559999</v>
      </c>
      <c r="N347" s="994"/>
      <c r="O347" s="981">
        <v>0.93490804699999996</v>
      </c>
      <c r="P347" s="973"/>
    </row>
    <row r="348" spans="1:16" ht="18.95" customHeight="1">
      <c r="A348" s="1018"/>
      <c r="B348" s="1115" t="s">
        <v>245</v>
      </c>
      <c r="C348" s="1225" t="s">
        <v>575</v>
      </c>
      <c r="D348" s="1113"/>
      <c r="E348" s="993">
        <v>8</v>
      </c>
      <c r="F348" s="994" t="s">
        <v>402</v>
      </c>
      <c r="G348" s="993">
        <v>15350</v>
      </c>
      <c r="H348" s="996">
        <f t="shared" si="47"/>
        <v>14350.838521449999</v>
      </c>
      <c r="I348" s="996">
        <f t="shared" si="51"/>
        <v>114806.7081716</v>
      </c>
      <c r="J348" s="993">
        <v>0</v>
      </c>
      <c r="K348" s="996">
        <f t="shared" si="46"/>
        <v>0</v>
      </c>
      <c r="L348" s="996">
        <f>J348*E348</f>
        <v>0</v>
      </c>
      <c r="M348" s="996">
        <f>SUM(I348,L348)</f>
        <v>114806.7081716</v>
      </c>
      <c r="N348" s="994"/>
      <c r="O348" s="981">
        <v>0.93490804699999996</v>
      </c>
      <c r="P348" s="973"/>
    </row>
    <row r="349" spans="1:16" ht="18.95" customHeight="1">
      <c r="A349" s="1018"/>
      <c r="B349" s="1115" t="s">
        <v>245</v>
      </c>
      <c r="C349" s="1225" t="s">
        <v>576</v>
      </c>
      <c r="D349" s="1113"/>
      <c r="E349" s="993">
        <v>3</v>
      </c>
      <c r="F349" s="994" t="s">
        <v>402</v>
      </c>
      <c r="G349" s="993">
        <v>5380</v>
      </c>
      <c r="H349" s="996">
        <f t="shared" si="47"/>
        <v>5029.80529286</v>
      </c>
      <c r="I349" s="996">
        <f t="shared" si="51"/>
        <v>15089.415878579999</v>
      </c>
      <c r="J349" s="993">
        <v>0</v>
      </c>
      <c r="K349" s="996">
        <f t="shared" si="46"/>
        <v>0</v>
      </c>
      <c r="L349" s="996">
        <f>J349*E349</f>
        <v>0</v>
      </c>
      <c r="M349" s="996">
        <f>SUM(I349,L349)</f>
        <v>15089.415878579999</v>
      </c>
      <c r="N349" s="994"/>
      <c r="O349" s="981">
        <v>0.93490804699999996</v>
      </c>
      <c r="P349" s="973"/>
    </row>
    <row r="350" spans="1:16" ht="18.95" customHeight="1">
      <c r="A350" s="1036"/>
      <c r="B350" s="1063"/>
      <c r="C350" s="1239"/>
      <c r="D350" s="1061"/>
      <c r="E350" s="996"/>
      <c r="F350" s="994"/>
      <c r="G350" s="993"/>
      <c r="H350" s="996"/>
      <c r="I350" s="993"/>
      <c r="J350" s="993"/>
      <c r="K350" s="993"/>
      <c r="L350" s="996"/>
      <c r="M350" s="996"/>
      <c r="N350" s="994"/>
      <c r="O350" s="981">
        <v>0.93490804699999996</v>
      </c>
      <c r="P350" s="973"/>
    </row>
    <row r="351" spans="1:16" ht="18.95" customHeight="1">
      <c r="A351" s="1018"/>
      <c r="B351" s="1281"/>
      <c r="C351" s="1282"/>
      <c r="D351" s="1283"/>
      <c r="E351" s="996"/>
      <c r="F351" s="994"/>
      <c r="G351" s="993"/>
      <c r="H351" s="996"/>
      <c r="I351" s="993"/>
      <c r="J351" s="993"/>
      <c r="K351" s="993"/>
      <c r="L351" s="996"/>
      <c r="M351" s="1116">
        <f>SUM(M189:M350)</f>
        <v>9393678.3885660432</v>
      </c>
      <c r="N351" s="994"/>
      <c r="O351" s="981">
        <v>0.93490804699999996</v>
      </c>
      <c r="P351" s="973"/>
    </row>
    <row r="352" spans="1:16" ht="18.95" customHeight="1">
      <c r="A352" s="1018"/>
      <c r="B352" s="1044"/>
      <c r="C352" s="1226"/>
      <c r="D352" s="1045"/>
      <c r="E352" s="996"/>
      <c r="F352" s="994"/>
      <c r="G352" s="993"/>
      <c r="H352" s="996"/>
      <c r="I352" s="993"/>
      <c r="J352" s="993"/>
      <c r="K352" s="993"/>
      <c r="L352" s="996"/>
      <c r="M352" s="1116"/>
      <c r="N352" s="994"/>
      <c r="O352" s="981">
        <v>0.93490804699999996</v>
      </c>
      <c r="P352" s="973"/>
    </row>
    <row r="353" spans="1:16" ht="18.95" customHeight="1">
      <c r="A353" s="1018"/>
      <c r="B353" s="1044"/>
      <c r="C353" s="1226"/>
      <c r="D353" s="1045"/>
      <c r="E353" s="996"/>
      <c r="F353" s="994"/>
      <c r="G353" s="993"/>
      <c r="H353" s="996"/>
      <c r="I353" s="993"/>
      <c r="J353" s="993"/>
      <c r="K353" s="993"/>
      <c r="L353" s="996"/>
      <c r="M353" s="1116"/>
      <c r="N353" s="994"/>
      <c r="O353" s="981">
        <v>0.93490804699999996</v>
      </c>
      <c r="P353" s="973"/>
    </row>
    <row r="354" spans="1:16" ht="18.95" customHeight="1">
      <c r="A354" s="1036"/>
      <c r="B354" s="1063"/>
      <c r="C354" s="1239"/>
      <c r="D354" s="1005"/>
      <c r="E354" s="996"/>
      <c r="F354" s="994"/>
      <c r="G354" s="993"/>
      <c r="H354" s="996"/>
      <c r="I354" s="993"/>
      <c r="J354" s="993"/>
      <c r="K354" s="993"/>
      <c r="L354" s="996"/>
      <c r="M354" s="996"/>
      <c r="N354" s="994"/>
      <c r="O354" s="981">
        <v>0.93490804699999996</v>
      </c>
      <c r="P354" s="973"/>
    </row>
    <row r="355" spans="1:16" ht="18.95" customHeight="1">
      <c r="A355" s="1117"/>
      <c r="B355" s="1007"/>
      <c r="C355" s="1218"/>
      <c r="D355" s="1008"/>
      <c r="E355" s="1009"/>
      <c r="F355" s="1010"/>
      <c r="G355" s="1009"/>
      <c r="H355" s="996"/>
      <c r="I355" s="1009"/>
      <c r="J355" s="1009"/>
      <c r="K355" s="1009"/>
      <c r="L355" s="1011"/>
      <c r="M355" s="1009"/>
      <c r="N355" s="1010"/>
      <c r="O355" s="981">
        <v>0.93490804699999996</v>
      </c>
      <c r="P355" s="973"/>
    </row>
    <row r="356" spans="1:16" ht="18.95" customHeight="1">
      <c r="A356" s="1085">
        <v>5</v>
      </c>
      <c r="B356" s="1049" t="s">
        <v>209</v>
      </c>
      <c r="C356" s="1228"/>
      <c r="D356" s="1118"/>
      <c r="E356" s="986"/>
      <c r="F356" s="987"/>
      <c r="G356" s="986"/>
      <c r="H356" s="996"/>
      <c r="I356" s="986"/>
      <c r="J356" s="986"/>
      <c r="K356" s="986"/>
      <c r="L356" s="988"/>
      <c r="M356" s="989"/>
      <c r="N356" s="987"/>
      <c r="O356" s="981">
        <v>0.93490804699999996</v>
      </c>
      <c r="P356" s="973"/>
    </row>
    <row r="357" spans="1:16" ht="18.95" customHeight="1">
      <c r="A357" s="1119"/>
      <c r="B357" s="1053"/>
      <c r="C357" s="1229"/>
      <c r="D357" s="1120"/>
      <c r="E357" s="1034"/>
      <c r="F357" s="1015"/>
      <c r="G357" s="1034"/>
      <c r="H357" s="996"/>
      <c r="I357" s="1034"/>
      <c r="J357" s="1034"/>
      <c r="K357" s="1034"/>
      <c r="L357" s="1056"/>
      <c r="M357" s="1121"/>
      <c r="N357" s="1015"/>
      <c r="O357" s="981">
        <v>0.93490804699999996</v>
      </c>
      <c r="P357" s="973"/>
    </row>
    <row r="358" spans="1:16" ht="18.95" customHeight="1">
      <c r="A358" s="1122">
        <v>5.0999999999999996</v>
      </c>
      <c r="B358" s="1042" t="s">
        <v>577</v>
      </c>
      <c r="C358" s="1225" t="s">
        <v>578</v>
      </c>
      <c r="D358" s="1061"/>
      <c r="E358" s="993">
        <v>1</v>
      </c>
      <c r="F358" s="994" t="s">
        <v>402</v>
      </c>
      <c r="G358" s="993">
        <v>55650</v>
      </c>
      <c r="H358" s="996">
        <f t="shared" si="47"/>
        <v>52027.632815550001</v>
      </c>
      <c r="I358" s="996">
        <f t="shared" ref="I358:I420" si="52">H358*E358</f>
        <v>52027.632815550001</v>
      </c>
      <c r="J358" s="993">
        <v>15550</v>
      </c>
      <c r="K358" s="996">
        <f t="shared" ref="K358" si="53">J358*O358</f>
        <v>14537.820130849999</v>
      </c>
      <c r="L358" s="996">
        <f>K358*E358</f>
        <v>14537.820130849999</v>
      </c>
      <c r="M358" s="996">
        <f>SUM(I358,L358)</f>
        <v>66565.452946400008</v>
      </c>
      <c r="N358" s="996"/>
      <c r="O358" s="981">
        <v>0.93490804699999996</v>
      </c>
    </row>
    <row r="359" spans="1:16" ht="18.95" customHeight="1">
      <c r="A359" s="1106"/>
      <c r="B359" s="1042"/>
      <c r="C359" s="1225" t="s">
        <v>579</v>
      </c>
      <c r="D359" s="1061"/>
      <c r="E359" s="993"/>
      <c r="F359" s="994"/>
      <c r="G359" s="993"/>
      <c r="H359" s="996"/>
      <c r="I359" s="996"/>
      <c r="J359" s="993"/>
      <c r="K359" s="993"/>
      <c r="L359" s="995"/>
      <c r="M359" s="996"/>
      <c r="N359" s="996"/>
      <c r="O359" s="981">
        <v>0.93490804699999996</v>
      </c>
    </row>
    <row r="360" spans="1:16" ht="18.95" customHeight="1">
      <c r="A360" s="1122">
        <v>5.2</v>
      </c>
      <c r="B360" s="1042" t="s">
        <v>580</v>
      </c>
      <c r="C360" s="1225" t="s">
        <v>578</v>
      </c>
      <c r="D360" s="1061"/>
      <c r="E360" s="996">
        <v>1</v>
      </c>
      <c r="F360" s="994" t="s">
        <v>402</v>
      </c>
      <c r="G360" s="993">
        <v>52190</v>
      </c>
      <c r="H360" s="996">
        <f t="shared" si="47"/>
        <v>48792.850972929999</v>
      </c>
      <c r="I360" s="996">
        <f t="shared" si="52"/>
        <v>48792.850972929999</v>
      </c>
      <c r="J360" s="993">
        <v>14660</v>
      </c>
      <c r="K360" s="996">
        <f t="shared" ref="K360" si="54">J360*O360</f>
        <v>13705.751969019999</v>
      </c>
      <c r="L360" s="996">
        <f>K360*E360</f>
        <v>13705.751969019999</v>
      </c>
      <c r="M360" s="996">
        <f>SUM(I360,L360)</f>
        <v>62498.602941949997</v>
      </c>
      <c r="N360" s="996"/>
      <c r="O360" s="981">
        <v>0.93490804699999996</v>
      </c>
    </row>
    <row r="361" spans="1:16" ht="18.95" customHeight="1">
      <c r="A361" s="1122"/>
      <c r="B361" s="1042"/>
      <c r="C361" s="1225" t="s">
        <v>581</v>
      </c>
      <c r="D361" s="1061"/>
      <c r="E361" s="993"/>
      <c r="F361" s="994"/>
      <c r="G361" s="993"/>
      <c r="H361" s="996"/>
      <c r="I361" s="996"/>
      <c r="J361" s="993"/>
      <c r="K361" s="993"/>
      <c r="L361" s="995"/>
      <c r="M361" s="996"/>
      <c r="N361" s="996"/>
      <c r="O361" s="981">
        <v>0.93490804699999996</v>
      </c>
    </row>
    <row r="362" spans="1:16" ht="18.95" customHeight="1">
      <c r="A362" s="1122">
        <v>5.3</v>
      </c>
      <c r="B362" s="1042" t="s">
        <v>582</v>
      </c>
      <c r="C362" s="1225" t="s">
        <v>578</v>
      </c>
      <c r="D362" s="1061"/>
      <c r="E362" s="996">
        <v>1</v>
      </c>
      <c r="F362" s="994" t="s">
        <v>402</v>
      </c>
      <c r="G362" s="993">
        <v>52530</v>
      </c>
      <c r="H362" s="996">
        <f t="shared" si="47"/>
        <v>49110.719708910001</v>
      </c>
      <c r="I362" s="996">
        <f t="shared" si="52"/>
        <v>49110.719708910001</v>
      </c>
      <c r="J362" s="993">
        <v>14755</v>
      </c>
      <c r="K362" s="996">
        <f t="shared" ref="K362" si="55">J362*O362</f>
        <v>13794.568233484999</v>
      </c>
      <c r="L362" s="996">
        <f>K362*E362</f>
        <v>13794.568233484999</v>
      </c>
      <c r="M362" s="996">
        <f>SUM(I362,L362)</f>
        <v>62905.287942395</v>
      </c>
      <c r="N362" s="996"/>
      <c r="O362" s="981">
        <v>0.93490804699999996</v>
      </c>
    </row>
    <row r="363" spans="1:16" ht="18.95" customHeight="1">
      <c r="A363" s="1102"/>
      <c r="B363" s="1042"/>
      <c r="C363" s="1225" t="s">
        <v>583</v>
      </c>
      <c r="D363" s="1061"/>
      <c r="E363" s="993"/>
      <c r="F363" s="994"/>
      <c r="G363" s="993"/>
      <c r="H363" s="996"/>
      <c r="I363" s="996"/>
      <c r="J363" s="993"/>
      <c r="K363" s="993"/>
      <c r="L363" s="995"/>
      <c r="M363" s="996"/>
      <c r="N363" s="996"/>
      <c r="O363" s="981">
        <v>0.93490804699999996</v>
      </c>
    </row>
    <row r="364" spans="1:16" ht="18.95" customHeight="1">
      <c r="A364" s="1122">
        <v>5.4</v>
      </c>
      <c r="B364" s="1042" t="s">
        <v>584</v>
      </c>
      <c r="C364" s="1225" t="s">
        <v>585</v>
      </c>
      <c r="D364" s="1059"/>
      <c r="E364" s="996">
        <v>1</v>
      </c>
      <c r="F364" s="994" t="s">
        <v>402</v>
      </c>
      <c r="G364" s="993">
        <v>10100</v>
      </c>
      <c r="H364" s="996">
        <f t="shared" si="47"/>
        <v>9442.5712746999998</v>
      </c>
      <c r="I364" s="996">
        <f t="shared" si="52"/>
        <v>9442.5712746999998</v>
      </c>
      <c r="J364" s="993">
        <v>2770</v>
      </c>
      <c r="K364" s="996">
        <f t="shared" ref="K364:K372" si="56">J364*O364</f>
        <v>2589.6952901899999</v>
      </c>
      <c r="L364" s="996">
        <f>K364*E364</f>
        <v>2589.6952901899999</v>
      </c>
      <c r="M364" s="996">
        <f>SUM(I364,L364)</f>
        <v>12032.26656489</v>
      </c>
      <c r="N364" s="996"/>
      <c r="O364" s="981">
        <v>0.93490804699999996</v>
      </c>
    </row>
    <row r="365" spans="1:16" ht="18.95" customHeight="1">
      <c r="A365" s="1100"/>
      <c r="B365" s="1042"/>
      <c r="C365" s="1225" t="s">
        <v>586</v>
      </c>
      <c r="D365" s="1059"/>
      <c r="E365" s="993"/>
      <c r="F365" s="994"/>
      <c r="G365" s="993"/>
      <c r="H365" s="996"/>
      <c r="I365" s="996"/>
      <c r="J365" s="993"/>
      <c r="K365" s="993"/>
      <c r="L365" s="995"/>
      <c r="M365" s="996"/>
      <c r="N365" s="994"/>
      <c r="O365" s="981">
        <v>0.93490804699999996</v>
      </c>
      <c r="P365" s="973"/>
    </row>
    <row r="366" spans="1:16" ht="18.95" customHeight="1">
      <c r="A366" s="1122">
        <v>5.5</v>
      </c>
      <c r="B366" s="1042" t="s">
        <v>587</v>
      </c>
      <c r="C366" s="1225" t="s">
        <v>578</v>
      </c>
      <c r="D366" s="1060"/>
      <c r="E366" s="993">
        <v>1</v>
      </c>
      <c r="F366" s="994" t="s">
        <v>402</v>
      </c>
      <c r="G366" s="993">
        <v>72480</v>
      </c>
      <c r="H366" s="996">
        <f t="shared" ref="H366:H428" si="57">G366*O366</f>
        <v>67762.135246559992</v>
      </c>
      <c r="I366" s="996">
        <f t="shared" si="52"/>
        <v>67762.135246559992</v>
      </c>
      <c r="J366" s="993">
        <v>20630</v>
      </c>
      <c r="K366" s="996">
        <f t="shared" ref="K366" si="58">J366*O366</f>
        <v>19287.15300961</v>
      </c>
      <c r="L366" s="996">
        <f>K366*E366</f>
        <v>19287.15300961</v>
      </c>
      <c r="M366" s="996">
        <f>SUM(I366,L366)</f>
        <v>87049.288256169995</v>
      </c>
      <c r="N366" s="994"/>
      <c r="O366" s="981">
        <v>0.93490804699999996</v>
      </c>
      <c r="P366" s="973"/>
    </row>
    <row r="367" spans="1:16" ht="18.95" customHeight="1">
      <c r="A367" s="1100"/>
      <c r="B367" s="1042"/>
      <c r="C367" s="1225" t="s">
        <v>588</v>
      </c>
      <c r="D367" s="1059"/>
      <c r="E367" s="996"/>
      <c r="F367" s="994"/>
      <c r="G367" s="993"/>
      <c r="H367" s="996"/>
      <c r="I367" s="996"/>
      <c r="J367" s="993"/>
      <c r="K367" s="993"/>
      <c r="L367" s="995"/>
      <c r="M367" s="996"/>
      <c r="N367" s="994"/>
      <c r="O367" s="981">
        <v>0.93490804699999996</v>
      </c>
      <c r="P367" s="973"/>
    </row>
    <row r="368" spans="1:16" ht="18.95" customHeight="1">
      <c r="A368" s="1122">
        <v>5.6</v>
      </c>
      <c r="B368" s="1042" t="s">
        <v>589</v>
      </c>
      <c r="C368" s="1225" t="s">
        <v>578</v>
      </c>
      <c r="D368" s="1059"/>
      <c r="E368" s="993">
        <v>2</v>
      </c>
      <c r="F368" s="994" t="s">
        <v>402</v>
      </c>
      <c r="G368" s="993">
        <v>52880</v>
      </c>
      <c r="H368" s="996">
        <f t="shared" si="57"/>
        <v>49437.937525360001</v>
      </c>
      <c r="I368" s="996">
        <f t="shared" si="52"/>
        <v>98875.875050720002</v>
      </c>
      <c r="J368" s="993">
        <v>14840</v>
      </c>
      <c r="K368" s="996">
        <f t="shared" ref="K368" si="59">J368*O368</f>
        <v>13874.03541748</v>
      </c>
      <c r="L368" s="996">
        <f>K368*E368</f>
        <v>27748.070834959999</v>
      </c>
      <c r="M368" s="996">
        <f>SUM(I368,L368)</f>
        <v>126623.94588568</v>
      </c>
      <c r="N368" s="994"/>
      <c r="O368" s="981">
        <v>0.93490804699999996</v>
      </c>
      <c r="P368" s="973"/>
    </row>
    <row r="369" spans="1:16" ht="18.95" customHeight="1">
      <c r="A369" s="1100"/>
      <c r="B369" s="1042"/>
      <c r="C369" s="1225" t="s">
        <v>590</v>
      </c>
      <c r="D369" s="1059"/>
      <c r="E369" s="996"/>
      <c r="F369" s="994"/>
      <c r="G369" s="993"/>
      <c r="H369" s="996"/>
      <c r="I369" s="996"/>
      <c r="J369" s="993"/>
      <c r="K369" s="993"/>
      <c r="L369" s="995"/>
      <c r="M369" s="996"/>
      <c r="N369" s="994"/>
      <c r="O369" s="981">
        <v>0.93490804699999996</v>
      </c>
      <c r="P369" s="973"/>
    </row>
    <row r="370" spans="1:16" ht="18.95" customHeight="1">
      <c r="A370" s="1122">
        <v>5.7</v>
      </c>
      <c r="B370" s="1042" t="s">
        <v>591</v>
      </c>
      <c r="C370" s="1225" t="s">
        <v>578</v>
      </c>
      <c r="D370" s="1059"/>
      <c r="E370" s="993">
        <v>1</v>
      </c>
      <c r="F370" s="994" t="s">
        <v>402</v>
      </c>
      <c r="G370" s="993">
        <v>52190</v>
      </c>
      <c r="H370" s="996">
        <f t="shared" si="57"/>
        <v>48792.850972929999</v>
      </c>
      <c r="I370" s="996">
        <f t="shared" si="52"/>
        <v>48792.850972929999</v>
      </c>
      <c r="J370" s="993">
        <v>14660</v>
      </c>
      <c r="K370" s="996">
        <f t="shared" ref="K370" si="60">J370*O370</f>
        <v>13705.751969019999</v>
      </c>
      <c r="L370" s="996">
        <f>K370*E370</f>
        <v>13705.751969019999</v>
      </c>
      <c r="M370" s="996">
        <f>SUM(I370,L370)</f>
        <v>62498.602941949997</v>
      </c>
      <c r="N370" s="994"/>
      <c r="O370" s="981">
        <v>0.93490804699999996</v>
      </c>
      <c r="P370" s="973"/>
    </row>
    <row r="371" spans="1:16" ht="18.95" customHeight="1">
      <c r="A371" s="1100"/>
      <c r="B371" s="1042"/>
      <c r="C371" s="1225" t="s">
        <v>581</v>
      </c>
      <c r="D371" s="1059"/>
      <c r="E371" s="996"/>
      <c r="F371" s="994"/>
      <c r="G371" s="993"/>
      <c r="H371" s="996"/>
      <c r="I371" s="996"/>
      <c r="J371" s="993"/>
      <c r="K371" s="993"/>
      <c r="L371" s="995"/>
      <c r="M371" s="996"/>
      <c r="N371" s="994"/>
      <c r="O371" s="981">
        <v>0.93490804699999996</v>
      </c>
      <c r="P371" s="973"/>
    </row>
    <row r="372" spans="1:16" ht="18.95" customHeight="1">
      <c r="A372" s="1122">
        <v>5.8</v>
      </c>
      <c r="B372" s="1042" t="s">
        <v>592</v>
      </c>
      <c r="C372" s="1225" t="s">
        <v>578</v>
      </c>
      <c r="D372" s="1059"/>
      <c r="E372" s="993">
        <v>1</v>
      </c>
      <c r="F372" s="994" t="s">
        <v>402</v>
      </c>
      <c r="G372" s="993">
        <v>54890</v>
      </c>
      <c r="H372" s="996">
        <f t="shared" si="57"/>
        <v>51317.10269983</v>
      </c>
      <c r="I372" s="996">
        <f t="shared" si="52"/>
        <v>51317.10269983</v>
      </c>
      <c r="J372" s="993">
        <v>15365</v>
      </c>
      <c r="K372" s="996">
        <f t="shared" si="56"/>
        <v>14364.862142155</v>
      </c>
      <c r="L372" s="996">
        <f>K372*E372</f>
        <v>14364.862142155</v>
      </c>
      <c r="M372" s="996">
        <f>SUM(I372,L372)</f>
        <v>65681.964841984998</v>
      </c>
      <c r="N372" s="994"/>
      <c r="O372" s="981">
        <v>0.93490804699999996</v>
      </c>
      <c r="P372" s="973"/>
    </row>
    <row r="373" spans="1:16" ht="18.95" customHeight="1">
      <c r="A373" s="1100"/>
      <c r="B373" s="1042"/>
      <c r="C373" s="1225" t="s">
        <v>593</v>
      </c>
      <c r="D373" s="1059"/>
      <c r="E373" s="996"/>
      <c r="F373" s="994"/>
      <c r="G373" s="993"/>
      <c r="H373" s="996"/>
      <c r="I373" s="996"/>
      <c r="J373" s="993"/>
      <c r="K373" s="993"/>
      <c r="L373" s="995"/>
      <c r="M373" s="996"/>
      <c r="N373" s="994"/>
      <c r="O373" s="981">
        <v>0.93490804699999996</v>
      </c>
      <c r="P373" s="973"/>
    </row>
    <row r="374" spans="1:16" ht="18.95" customHeight="1">
      <c r="A374" s="1122">
        <v>5.9</v>
      </c>
      <c r="B374" s="1042" t="s">
        <v>594</v>
      </c>
      <c r="C374" s="1225" t="s">
        <v>595</v>
      </c>
      <c r="D374" s="1059"/>
      <c r="E374" s="996">
        <v>3</v>
      </c>
      <c r="F374" s="994" t="s">
        <v>402</v>
      </c>
      <c r="G374" s="993">
        <v>9450</v>
      </c>
      <c r="H374" s="996">
        <f t="shared" si="57"/>
        <v>8834.8810441499991</v>
      </c>
      <c r="I374" s="996">
        <f t="shared" si="52"/>
        <v>26504.643132449997</v>
      </c>
      <c r="J374" s="993">
        <v>2660</v>
      </c>
      <c r="K374" s="996">
        <f t="shared" ref="K374" si="61">J374*O374</f>
        <v>2486.85540502</v>
      </c>
      <c r="L374" s="996">
        <f>K374*E374</f>
        <v>7460.5662150600001</v>
      </c>
      <c r="M374" s="996">
        <f>SUM(I374,L374)</f>
        <v>33965.209347509997</v>
      </c>
      <c r="N374" s="994"/>
      <c r="O374" s="981">
        <v>0.93490804699999996</v>
      </c>
      <c r="P374" s="973"/>
    </row>
    <row r="375" spans="1:16" ht="18.95" customHeight="1">
      <c r="A375" s="1100"/>
      <c r="B375" s="1057"/>
      <c r="C375" s="1225" t="s">
        <v>596</v>
      </c>
      <c r="D375" s="1059"/>
      <c r="E375" s="996"/>
      <c r="F375" s="994"/>
      <c r="G375" s="993"/>
      <c r="H375" s="996"/>
      <c r="I375" s="996"/>
      <c r="J375" s="993"/>
      <c r="K375" s="993"/>
      <c r="L375" s="995"/>
      <c r="M375" s="996"/>
      <c r="N375" s="994"/>
      <c r="O375" s="981">
        <v>0.93490804699999996</v>
      </c>
      <c r="P375" s="973"/>
    </row>
    <row r="376" spans="1:16" ht="18.95" customHeight="1">
      <c r="A376" s="1106">
        <v>5.0999999999999996</v>
      </c>
      <c r="B376" s="1057" t="s">
        <v>597</v>
      </c>
      <c r="C376" s="1225" t="s">
        <v>578</v>
      </c>
      <c r="D376" s="1059"/>
      <c r="E376" s="996">
        <v>3</v>
      </c>
      <c r="F376" s="994" t="s">
        <v>402</v>
      </c>
      <c r="G376" s="993">
        <v>14960</v>
      </c>
      <c r="H376" s="996">
        <f t="shared" si="57"/>
        <v>13986.224383119999</v>
      </c>
      <c r="I376" s="996">
        <f t="shared" si="52"/>
        <v>41958.673149359995</v>
      </c>
      <c r="J376" s="993">
        <v>3960</v>
      </c>
      <c r="K376" s="996">
        <f t="shared" ref="K376" si="62">J376*O376</f>
        <v>3702.2358661200001</v>
      </c>
      <c r="L376" s="996">
        <f>K376*E376</f>
        <v>11106.707598360001</v>
      </c>
      <c r="M376" s="996">
        <f>SUM(I376,L376)</f>
        <v>53065.380747719995</v>
      </c>
      <c r="N376" s="994"/>
      <c r="O376" s="981">
        <v>0.93490804699999996</v>
      </c>
      <c r="P376" s="973"/>
    </row>
    <row r="377" spans="1:16" ht="18.95" customHeight="1">
      <c r="A377" s="1106"/>
      <c r="B377" s="1057"/>
      <c r="C377" s="1225" t="s">
        <v>598</v>
      </c>
      <c r="D377" s="1059"/>
      <c r="E377" s="996"/>
      <c r="F377" s="994"/>
      <c r="G377" s="993"/>
      <c r="H377" s="996"/>
      <c r="I377" s="996"/>
      <c r="J377" s="993"/>
      <c r="K377" s="993"/>
      <c r="L377" s="996">
        <f t="shared" ref="L377:L432" si="63">K377*E377</f>
        <v>0</v>
      </c>
      <c r="M377" s="996"/>
      <c r="N377" s="994"/>
      <c r="O377" s="981">
        <v>0.93490804699999996</v>
      </c>
      <c r="P377" s="973"/>
    </row>
    <row r="378" spans="1:16" ht="18.95" customHeight="1">
      <c r="A378" s="1106">
        <v>5.1100000000000003</v>
      </c>
      <c r="B378" s="1057" t="s">
        <v>599</v>
      </c>
      <c r="C378" s="1225" t="s">
        <v>600</v>
      </c>
      <c r="D378" s="1060"/>
      <c r="E378" s="996">
        <v>1</v>
      </c>
      <c r="F378" s="994" t="s">
        <v>402</v>
      </c>
      <c r="G378" s="993">
        <v>14460</v>
      </c>
      <c r="H378" s="996">
        <f t="shared" si="57"/>
        <v>13518.770359619999</v>
      </c>
      <c r="I378" s="996">
        <f t="shared" si="52"/>
        <v>13518.770359619999</v>
      </c>
      <c r="J378" s="993">
        <v>5420</v>
      </c>
      <c r="K378" s="996">
        <f t="shared" ref="K378:K382" si="64">J378*O378</f>
        <v>5067.20161474</v>
      </c>
      <c r="L378" s="996">
        <f t="shared" si="63"/>
        <v>5067.20161474</v>
      </c>
      <c r="M378" s="996">
        <f>SUM(I378,L378)</f>
        <v>18585.97197436</v>
      </c>
      <c r="N378" s="994"/>
      <c r="O378" s="981">
        <v>0.93490804699999996</v>
      </c>
      <c r="P378" s="973"/>
    </row>
    <row r="379" spans="1:16" ht="18.95" customHeight="1">
      <c r="A379" s="1106">
        <v>5.12</v>
      </c>
      <c r="B379" s="1057" t="s">
        <v>601</v>
      </c>
      <c r="C379" s="1225" t="s">
        <v>602</v>
      </c>
      <c r="D379" s="1059"/>
      <c r="E379" s="993">
        <v>1</v>
      </c>
      <c r="F379" s="994" t="s">
        <v>402</v>
      </c>
      <c r="G379" s="993">
        <v>14500</v>
      </c>
      <c r="H379" s="996">
        <f t="shared" si="57"/>
        <v>13556.166681499999</v>
      </c>
      <c r="I379" s="996">
        <f t="shared" si="52"/>
        <v>13556.166681499999</v>
      </c>
      <c r="J379" s="993">
        <v>5440</v>
      </c>
      <c r="K379" s="996">
        <f t="shared" si="64"/>
        <v>5085.8997756799999</v>
      </c>
      <c r="L379" s="996">
        <f t="shared" si="63"/>
        <v>5085.8997756799999</v>
      </c>
      <c r="M379" s="996">
        <f>SUM(I379,L379)</f>
        <v>18642.066457180001</v>
      </c>
      <c r="N379" s="994"/>
      <c r="O379" s="981">
        <v>0.93490804699999996</v>
      </c>
      <c r="P379" s="973"/>
    </row>
    <row r="380" spans="1:16" ht="18.95" customHeight="1">
      <c r="A380" s="1106">
        <v>5.13</v>
      </c>
      <c r="B380" s="1057" t="s">
        <v>603</v>
      </c>
      <c r="C380" s="1225" t="s">
        <v>604</v>
      </c>
      <c r="D380" s="1061"/>
      <c r="E380" s="996">
        <v>1</v>
      </c>
      <c r="F380" s="994" t="s">
        <v>402</v>
      </c>
      <c r="G380" s="993">
        <v>9520</v>
      </c>
      <c r="H380" s="996">
        <f t="shared" si="57"/>
        <v>8900.3246074399995</v>
      </c>
      <c r="I380" s="996">
        <f t="shared" si="52"/>
        <v>8900.3246074399995</v>
      </c>
      <c r="J380" s="993">
        <v>3000</v>
      </c>
      <c r="K380" s="996">
        <f t="shared" si="64"/>
        <v>2804.7241409999997</v>
      </c>
      <c r="L380" s="996">
        <f t="shared" si="63"/>
        <v>2804.7241409999997</v>
      </c>
      <c r="M380" s="996">
        <f>SUM(I380,L380)</f>
        <v>11705.04874844</v>
      </c>
      <c r="N380" s="994"/>
      <c r="O380" s="981">
        <v>0.93490804699999996</v>
      </c>
      <c r="P380" s="973"/>
    </row>
    <row r="381" spans="1:16" ht="18.95" customHeight="1">
      <c r="A381" s="1106">
        <v>5.14</v>
      </c>
      <c r="B381" s="1057" t="s">
        <v>605</v>
      </c>
      <c r="C381" s="1225" t="s">
        <v>606</v>
      </c>
      <c r="D381" s="1060"/>
      <c r="E381" s="996">
        <v>1</v>
      </c>
      <c r="F381" s="994" t="s">
        <v>402</v>
      </c>
      <c r="G381" s="993">
        <v>6960</v>
      </c>
      <c r="H381" s="996">
        <f t="shared" si="57"/>
        <v>6506.9600071199993</v>
      </c>
      <c r="I381" s="996">
        <f t="shared" si="52"/>
        <v>6506.9600071199993</v>
      </c>
      <c r="J381" s="993">
        <v>9140</v>
      </c>
      <c r="K381" s="996">
        <f t="shared" si="64"/>
        <v>8545.0595495799989</v>
      </c>
      <c r="L381" s="996">
        <f t="shared" si="63"/>
        <v>8545.0595495799989</v>
      </c>
      <c r="M381" s="996">
        <f>SUM(I381,L381)</f>
        <v>15052.019556699997</v>
      </c>
      <c r="N381" s="994"/>
      <c r="O381" s="981">
        <v>0.93490804699999996</v>
      </c>
      <c r="P381" s="973"/>
    </row>
    <row r="382" spans="1:16" ht="18.95" customHeight="1">
      <c r="A382" s="1106">
        <v>5.15</v>
      </c>
      <c r="B382" s="1057" t="s">
        <v>607</v>
      </c>
      <c r="C382" s="1225" t="s">
        <v>578</v>
      </c>
      <c r="D382" s="1061"/>
      <c r="E382" s="996">
        <v>1</v>
      </c>
      <c r="F382" s="994" t="s">
        <v>402</v>
      </c>
      <c r="G382" s="993">
        <v>30400</v>
      </c>
      <c r="H382" s="996">
        <f t="shared" si="57"/>
        <v>28421.204628799998</v>
      </c>
      <c r="I382" s="996">
        <f t="shared" si="52"/>
        <v>28421.204628799998</v>
      </c>
      <c r="J382" s="993">
        <v>8720</v>
      </c>
      <c r="K382" s="996">
        <f t="shared" si="64"/>
        <v>8152.3981698399994</v>
      </c>
      <c r="L382" s="996">
        <f t="shared" si="63"/>
        <v>8152.3981698399994</v>
      </c>
      <c r="M382" s="996">
        <f>SUM(I382,L382)</f>
        <v>36573.60279864</v>
      </c>
      <c r="N382" s="994"/>
      <c r="O382" s="981">
        <v>0.93490804699999996</v>
      </c>
      <c r="P382" s="973"/>
    </row>
    <row r="383" spans="1:16" ht="18.95" customHeight="1">
      <c r="A383" s="1006"/>
      <c r="B383" s="1123"/>
      <c r="C383" s="1243" t="s">
        <v>608</v>
      </c>
      <c r="D383" s="1124"/>
      <c r="E383" s="1009"/>
      <c r="F383" s="1010"/>
      <c r="G383" s="1009"/>
      <c r="H383" s="996"/>
      <c r="I383" s="996"/>
      <c r="J383" s="1009"/>
      <c r="K383" s="1009"/>
      <c r="L383" s="996"/>
      <c r="M383" s="1009"/>
      <c r="N383" s="1010"/>
      <c r="O383" s="981">
        <v>0.93490804699999996</v>
      </c>
      <c r="P383" s="973"/>
    </row>
    <row r="384" spans="1:16" ht="18.95" customHeight="1">
      <c r="A384" s="1125">
        <v>5.16</v>
      </c>
      <c r="B384" s="1126" t="s">
        <v>609</v>
      </c>
      <c r="C384" s="1241" t="s">
        <v>578</v>
      </c>
      <c r="D384" s="1118"/>
      <c r="E384" s="986">
        <v>1</v>
      </c>
      <c r="F384" s="987" t="s">
        <v>402</v>
      </c>
      <c r="G384" s="986">
        <v>27930</v>
      </c>
      <c r="H384" s="996">
        <f t="shared" si="57"/>
        <v>26111.981752709999</v>
      </c>
      <c r="I384" s="996">
        <f t="shared" si="52"/>
        <v>26111.981752709999</v>
      </c>
      <c r="J384" s="986">
        <v>8100</v>
      </c>
      <c r="K384" s="996">
        <f t="shared" ref="K384" si="65">J384*O384</f>
        <v>7572.7551807</v>
      </c>
      <c r="L384" s="996">
        <f t="shared" si="63"/>
        <v>7572.7551807</v>
      </c>
      <c r="M384" s="1031">
        <f>SUM(I384,L384)</f>
        <v>33684.73693341</v>
      </c>
      <c r="N384" s="987"/>
      <c r="O384" s="981">
        <v>0.93490804699999996</v>
      </c>
      <c r="P384" s="973"/>
    </row>
    <row r="385" spans="1:16" ht="18.95" customHeight="1">
      <c r="A385" s="1127"/>
      <c r="B385" s="1057"/>
      <c r="C385" s="1225" t="s">
        <v>610</v>
      </c>
      <c r="D385" s="1113"/>
      <c r="E385" s="1034"/>
      <c r="F385" s="1015"/>
      <c r="G385" s="1034"/>
      <c r="H385" s="996"/>
      <c r="I385" s="996"/>
      <c r="J385" s="1034"/>
      <c r="K385" s="993"/>
      <c r="L385" s="996" t="s">
        <v>611</v>
      </c>
      <c r="M385" s="1121"/>
      <c r="N385" s="1015"/>
      <c r="O385" s="981">
        <v>0.93490804699999996</v>
      </c>
      <c r="P385" s="973"/>
    </row>
    <row r="386" spans="1:16" ht="18.95" customHeight="1">
      <c r="A386" s="1106">
        <v>5.17</v>
      </c>
      <c r="B386" s="1057" t="s">
        <v>612</v>
      </c>
      <c r="C386" s="1225" t="s">
        <v>578</v>
      </c>
      <c r="D386" s="1060"/>
      <c r="E386" s="993">
        <v>1</v>
      </c>
      <c r="F386" s="994" t="s">
        <v>402</v>
      </c>
      <c r="G386" s="993">
        <v>23800</v>
      </c>
      <c r="H386" s="996">
        <f t="shared" si="57"/>
        <v>22250.8115186</v>
      </c>
      <c r="I386" s="996">
        <f t="shared" si="52"/>
        <v>22250.8115186</v>
      </c>
      <c r="J386" s="993">
        <v>7120</v>
      </c>
      <c r="K386" s="996">
        <f t="shared" ref="K386" si="66">J386*O386</f>
        <v>6656.5452946400001</v>
      </c>
      <c r="L386" s="996">
        <f t="shared" si="63"/>
        <v>6656.5452946400001</v>
      </c>
      <c r="M386" s="996">
        <f>SUM(I386,L386)</f>
        <v>28907.35681324</v>
      </c>
      <c r="N386" s="996"/>
      <c r="O386" s="981">
        <v>0.93490804699999996</v>
      </c>
    </row>
    <row r="387" spans="1:16" ht="18.95" customHeight="1">
      <c r="A387" s="1036"/>
      <c r="B387" s="1057"/>
      <c r="C387" s="1225" t="s">
        <v>613</v>
      </c>
      <c r="D387" s="1061"/>
      <c r="E387" s="993"/>
      <c r="F387" s="994"/>
      <c r="G387" s="993"/>
      <c r="H387" s="996"/>
      <c r="I387" s="996"/>
      <c r="J387" s="993"/>
      <c r="K387" s="993"/>
      <c r="L387" s="996" t="s">
        <v>611</v>
      </c>
      <c r="M387" s="996"/>
      <c r="N387" s="996"/>
      <c r="O387" s="981">
        <v>0.93490804699999996</v>
      </c>
    </row>
    <row r="388" spans="1:16" ht="18.95" customHeight="1">
      <c r="A388" s="1106">
        <v>5.18</v>
      </c>
      <c r="B388" s="1057" t="s">
        <v>614</v>
      </c>
      <c r="C388" s="1225" t="s">
        <v>578</v>
      </c>
      <c r="D388" s="1061"/>
      <c r="E388" s="993">
        <v>1</v>
      </c>
      <c r="F388" s="994" t="s">
        <v>402</v>
      </c>
      <c r="G388" s="993">
        <v>23800</v>
      </c>
      <c r="H388" s="996">
        <f t="shared" si="57"/>
        <v>22250.8115186</v>
      </c>
      <c r="I388" s="996">
        <f t="shared" si="52"/>
        <v>22250.8115186</v>
      </c>
      <c r="J388" s="993">
        <v>7120</v>
      </c>
      <c r="K388" s="996">
        <f t="shared" ref="K388" si="67">J388*O388</f>
        <v>6656.5452946400001</v>
      </c>
      <c r="L388" s="996">
        <f t="shared" si="63"/>
        <v>6656.5452946400001</v>
      </c>
      <c r="M388" s="996">
        <f>SUM(I388,L388)</f>
        <v>28907.35681324</v>
      </c>
      <c r="N388" s="996"/>
      <c r="O388" s="981">
        <v>0.93490804699999996</v>
      </c>
    </row>
    <row r="389" spans="1:16" ht="18.95" customHeight="1">
      <c r="A389" s="1128"/>
      <c r="B389" s="1057"/>
      <c r="C389" s="1225" t="s">
        <v>613</v>
      </c>
      <c r="D389" s="1059"/>
      <c r="E389" s="993"/>
      <c r="F389" s="994"/>
      <c r="G389" s="993"/>
      <c r="H389" s="996"/>
      <c r="I389" s="996"/>
      <c r="J389" s="993"/>
      <c r="K389" s="993"/>
      <c r="L389" s="996" t="s">
        <v>611</v>
      </c>
      <c r="M389" s="996"/>
      <c r="N389" s="996"/>
      <c r="O389" s="981">
        <v>0.93490804699999996</v>
      </c>
    </row>
    <row r="390" spans="1:16" ht="18.95" customHeight="1">
      <c r="A390" s="1106">
        <v>5.19</v>
      </c>
      <c r="B390" s="1057" t="s">
        <v>615</v>
      </c>
      <c r="C390" s="1225" t="s">
        <v>578</v>
      </c>
      <c r="D390" s="1059"/>
      <c r="E390" s="993">
        <v>2</v>
      </c>
      <c r="F390" s="994" t="s">
        <v>402</v>
      </c>
      <c r="G390" s="993">
        <v>24340</v>
      </c>
      <c r="H390" s="996">
        <f t="shared" si="57"/>
        <v>22755.66186398</v>
      </c>
      <c r="I390" s="996">
        <f t="shared" si="52"/>
        <v>45511.32372796</v>
      </c>
      <c r="J390" s="993">
        <v>7250</v>
      </c>
      <c r="K390" s="996">
        <f t="shared" ref="K390" si="68">J390*O390</f>
        <v>6778.0833407499995</v>
      </c>
      <c r="L390" s="996">
        <f t="shared" si="63"/>
        <v>13556.166681499999</v>
      </c>
      <c r="M390" s="996">
        <f>SUM(I390,L390)</f>
        <v>59067.490409459999</v>
      </c>
      <c r="N390" s="996"/>
      <c r="O390" s="981">
        <v>0.93490804699999996</v>
      </c>
    </row>
    <row r="391" spans="1:16" ht="18.95" customHeight="1">
      <c r="A391" s="1036"/>
      <c r="B391" s="1057"/>
      <c r="C391" s="1225" t="s">
        <v>616</v>
      </c>
      <c r="D391" s="1059"/>
      <c r="E391" s="993"/>
      <c r="F391" s="994"/>
      <c r="G391" s="993"/>
      <c r="H391" s="996"/>
      <c r="I391" s="996"/>
      <c r="J391" s="993"/>
      <c r="K391" s="993"/>
      <c r="L391" s="996" t="s">
        <v>611</v>
      </c>
      <c r="M391" s="996"/>
      <c r="N391" s="996"/>
      <c r="O391" s="981">
        <v>0.93490804699999996</v>
      </c>
    </row>
    <row r="392" spans="1:16" ht="18.95" customHeight="1">
      <c r="A392" s="1106">
        <v>5.2</v>
      </c>
      <c r="B392" s="1057" t="s">
        <v>617</v>
      </c>
      <c r="C392" s="1225" t="s">
        <v>578</v>
      </c>
      <c r="D392" s="1058"/>
      <c r="E392" s="993">
        <v>1</v>
      </c>
      <c r="F392" s="994" t="s">
        <v>402</v>
      </c>
      <c r="G392" s="993">
        <v>26520</v>
      </c>
      <c r="H392" s="996">
        <f t="shared" si="57"/>
        <v>24793.76140644</v>
      </c>
      <c r="I392" s="996">
        <f t="shared" si="52"/>
        <v>24793.76140644</v>
      </c>
      <c r="J392" s="993">
        <v>7790</v>
      </c>
      <c r="K392" s="996">
        <f t="shared" ref="K392" si="69">J392*O392</f>
        <v>7282.9336861299998</v>
      </c>
      <c r="L392" s="996">
        <f t="shared" si="63"/>
        <v>7282.9336861299998</v>
      </c>
      <c r="M392" s="996">
        <f>SUM(I392,L392)</f>
        <v>32076.69509257</v>
      </c>
      <c r="N392" s="994"/>
      <c r="O392" s="981">
        <v>0.93490804699999996</v>
      </c>
      <c r="P392" s="973"/>
    </row>
    <row r="393" spans="1:16" ht="18.95" customHeight="1">
      <c r="A393" s="990"/>
      <c r="B393" s="1057"/>
      <c r="C393" s="1225" t="s">
        <v>618</v>
      </c>
      <c r="D393" s="1061"/>
      <c r="E393" s="993"/>
      <c r="F393" s="994"/>
      <c r="G393" s="993"/>
      <c r="H393" s="996"/>
      <c r="I393" s="996"/>
      <c r="J393" s="993"/>
      <c r="K393" s="993"/>
      <c r="L393" s="995"/>
      <c r="M393" s="996"/>
      <c r="N393" s="994"/>
      <c r="O393" s="981">
        <v>0.93490804699999996</v>
      </c>
      <c r="P393" s="973"/>
    </row>
    <row r="394" spans="1:16" ht="18.95" customHeight="1">
      <c r="A394" s="1106">
        <v>5.21</v>
      </c>
      <c r="B394" s="1057" t="s">
        <v>619</v>
      </c>
      <c r="C394" s="1225" t="s">
        <v>578</v>
      </c>
      <c r="D394" s="1060"/>
      <c r="E394" s="993">
        <v>1</v>
      </c>
      <c r="F394" s="994" t="s">
        <v>402</v>
      </c>
      <c r="G394" s="993">
        <v>52420</v>
      </c>
      <c r="H394" s="996">
        <f t="shared" si="57"/>
        <v>49007.879823739997</v>
      </c>
      <c r="I394" s="996">
        <f t="shared" si="52"/>
        <v>49007.879823739997</v>
      </c>
      <c r="J394" s="993">
        <v>14700</v>
      </c>
      <c r="K394" s="996">
        <f t="shared" ref="K394" si="70">J394*O394</f>
        <v>13743.148290899999</v>
      </c>
      <c r="L394" s="996">
        <f t="shared" si="63"/>
        <v>13743.148290899999</v>
      </c>
      <c r="M394" s="996">
        <f>SUM(I394,L394)</f>
        <v>62751.028114639994</v>
      </c>
      <c r="N394" s="994"/>
      <c r="O394" s="981">
        <v>0.93490804699999996</v>
      </c>
      <c r="P394" s="973"/>
    </row>
    <row r="395" spans="1:16" ht="18.95" customHeight="1">
      <c r="A395" s="990"/>
      <c r="B395" s="1057"/>
      <c r="C395" s="1225" t="s">
        <v>620</v>
      </c>
      <c r="D395" s="1061"/>
      <c r="E395" s="993"/>
      <c r="F395" s="994"/>
      <c r="G395" s="993"/>
      <c r="H395" s="996"/>
      <c r="I395" s="996"/>
      <c r="J395" s="993"/>
      <c r="K395" s="993"/>
      <c r="L395" s="996" t="s">
        <v>611</v>
      </c>
      <c r="M395" s="996"/>
      <c r="N395" s="994"/>
      <c r="O395" s="981">
        <v>0.93490804699999996</v>
      </c>
      <c r="P395" s="973"/>
    </row>
    <row r="396" spans="1:16" ht="18.95" customHeight="1">
      <c r="A396" s="1106">
        <v>5.22</v>
      </c>
      <c r="B396" s="1057" t="s">
        <v>621</v>
      </c>
      <c r="C396" s="1225" t="s">
        <v>578</v>
      </c>
      <c r="D396" s="1061"/>
      <c r="E396" s="993">
        <v>1</v>
      </c>
      <c r="F396" s="994" t="s">
        <v>402</v>
      </c>
      <c r="G396" s="993">
        <v>48100</v>
      </c>
      <c r="H396" s="996">
        <f t="shared" si="57"/>
        <v>44969.077060700001</v>
      </c>
      <c r="I396" s="996">
        <f t="shared" si="52"/>
        <v>44969.077060700001</v>
      </c>
      <c r="J396" s="993">
        <v>13520</v>
      </c>
      <c r="K396" s="996">
        <f t="shared" ref="K396" si="71">J396*O396</f>
        <v>12639.956795439999</v>
      </c>
      <c r="L396" s="996">
        <f t="shared" si="63"/>
        <v>12639.956795439999</v>
      </c>
      <c r="M396" s="996">
        <f>SUM(I396,L396)</f>
        <v>57609.033856139999</v>
      </c>
      <c r="N396" s="994"/>
      <c r="O396" s="981">
        <v>0.93490804699999996</v>
      </c>
      <c r="P396" s="973"/>
    </row>
    <row r="397" spans="1:16" ht="18.95" customHeight="1">
      <c r="A397" s="990"/>
      <c r="B397" s="1057"/>
      <c r="C397" s="1225" t="s">
        <v>622</v>
      </c>
      <c r="D397" s="1061"/>
      <c r="E397" s="993"/>
      <c r="F397" s="994"/>
      <c r="G397" s="993"/>
      <c r="H397" s="996"/>
      <c r="I397" s="996"/>
      <c r="J397" s="993"/>
      <c r="K397" s="993"/>
      <c r="L397" s="996" t="s">
        <v>611</v>
      </c>
      <c r="M397" s="996"/>
      <c r="N397" s="994"/>
      <c r="O397" s="981">
        <v>0.93490804699999996</v>
      </c>
      <c r="P397" s="973"/>
    </row>
    <row r="398" spans="1:16" ht="18.95" customHeight="1">
      <c r="A398" s="1106">
        <v>5.23</v>
      </c>
      <c r="B398" s="1057" t="s">
        <v>623</v>
      </c>
      <c r="C398" s="1225" t="s">
        <v>578</v>
      </c>
      <c r="D398" s="1071"/>
      <c r="E398" s="993">
        <v>1</v>
      </c>
      <c r="F398" s="994" t="s">
        <v>402</v>
      </c>
      <c r="G398" s="993">
        <v>46700</v>
      </c>
      <c r="H398" s="996">
        <f t="shared" si="57"/>
        <v>43660.205794900001</v>
      </c>
      <c r="I398" s="996">
        <f t="shared" si="52"/>
        <v>43660.205794900001</v>
      </c>
      <c r="J398" s="993">
        <v>13760</v>
      </c>
      <c r="K398" s="996">
        <f t="shared" ref="K398" si="72">J398*O398</f>
        <v>12864.334726719999</v>
      </c>
      <c r="L398" s="996">
        <f t="shared" si="63"/>
        <v>12864.334726719999</v>
      </c>
      <c r="M398" s="996">
        <f>SUM(I398,L398)</f>
        <v>56524.540521620002</v>
      </c>
      <c r="N398" s="994"/>
      <c r="O398" s="981">
        <v>0.93490804699999996</v>
      </c>
      <c r="P398" s="973"/>
    </row>
    <row r="399" spans="1:16" ht="18.95" customHeight="1">
      <c r="A399" s="990"/>
      <c r="B399" s="1057"/>
      <c r="C399" s="1225" t="s">
        <v>624</v>
      </c>
      <c r="D399" s="1061"/>
      <c r="E399" s="993"/>
      <c r="F399" s="994"/>
      <c r="G399" s="993"/>
      <c r="H399" s="996"/>
      <c r="I399" s="996"/>
      <c r="J399" s="993"/>
      <c r="K399" s="993"/>
      <c r="L399" s="996" t="s">
        <v>611</v>
      </c>
      <c r="M399" s="996"/>
      <c r="N399" s="994"/>
      <c r="O399" s="981">
        <v>0.93490804699999996</v>
      </c>
      <c r="P399" s="973"/>
    </row>
    <row r="400" spans="1:16" ht="18.95" customHeight="1">
      <c r="A400" s="1106">
        <v>5.24</v>
      </c>
      <c r="B400" s="1057" t="s">
        <v>625</v>
      </c>
      <c r="C400" s="1225" t="s">
        <v>578</v>
      </c>
      <c r="D400" s="1061"/>
      <c r="E400" s="993">
        <v>1</v>
      </c>
      <c r="F400" s="994" t="s">
        <v>402</v>
      </c>
      <c r="G400" s="993">
        <v>44700</v>
      </c>
      <c r="H400" s="996">
        <f t="shared" si="57"/>
        <v>41790.389700899999</v>
      </c>
      <c r="I400" s="996">
        <f t="shared" si="52"/>
        <v>41790.389700899999</v>
      </c>
      <c r="J400" s="993">
        <v>12680</v>
      </c>
      <c r="K400" s="996">
        <f t="shared" ref="K400" si="73">J400*O400</f>
        <v>11854.63403596</v>
      </c>
      <c r="L400" s="996">
        <f t="shared" si="63"/>
        <v>11854.63403596</v>
      </c>
      <c r="M400" s="996">
        <f>SUM(I400,L400)</f>
        <v>53645.023736859999</v>
      </c>
      <c r="N400" s="994"/>
      <c r="O400" s="981">
        <v>0.93490804699999996</v>
      </c>
      <c r="P400" s="973"/>
    </row>
    <row r="401" spans="1:16" ht="18.95" customHeight="1">
      <c r="A401" s="1106"/>
      <c r="B401" s="1057"/>
      <c r="C401" s="1225" t="s">
        <v>626</v>
      </c>
      <c r="D401" s="1061"/>
      <c r="E401" s="993"/>
      <c r="F401" s="994"/>
      <c r="G401" s="993"/>
      <c r="H401" s="996"/>
      <c r="I401" s="996"/>
      <c r="J401" s="993"/>
      <c r="K401" s="993"/>
      <c r="L401" s="996"/>
      <c r="M401" s="996"/>
      <c r="N401" s="994"/>
      <c r="O401" s="981">
        <v>0.93490804699999996</v>
      </c>
      <c r="P401" s="973"/>
    </row>
    <row r="402" spans="1:16" ht="18.95" customHeight="1">
      <c r="A402" s="1106">
        <v>5.25</v>
      </c>
      <c r="B402" s="1057" t="s">
        <v>627</v>
      </c>
      <c r="C402" s="1225" t="s">
        <v>628</v>
      </c>
      <c r="D402" s="1059"/>
      <c r="E402" s="993">
        <v>0</v>
      </c>
      <c r="F402" s="994" t="s">
        <v>402</v>
      </c>
      <c r="G402" s="993"/>
      <c r="H402" s="996"/>
      <c r="I402" s="996"/>
      <c r="J402" s="993"/>
      <c r="K402" s="996"/>
      <c r="L402" s="996"/>
      <c r="M402" s="996"/>
      <c r="N402" s="994"/>
      <c r="O402" s="981">
        <v>0.93490804699999996</v>
      </c>
      <c r="P402" s="973"/>
    </row>
    <row r="403" spans="1:16" ht="18.95" customHeight="1">
      <c r="A403" s="1106">
        <v>5.26</v>
      </c>
      <c r="B403" s="1057" t="s">
        <v>629</v>
      </c>
      <c r="C403" s="1225" t="s">
        <v>578</v>
      </c>
      <c r="D403" s="1059"/>
      <c r="E403" s="993">
        <v>1</v>
      </c>
      <c r="F403" s="994" t="s">
        <v>402</v>
      </c>
      <c r="G403" s="993">
        <v>36500</v>
      </c>
      <c r="H403" s="996">
        <f t="shared" si="57"/>
        <v>34124.143715500002</v>
      </c>
      <c r="I403" s="996">
        <f t="shared" si="52"/>
        <v>34124.143715500002</v>
      </c>
      <c r="J403" s="993">
        <v>10630</v>
      </c>
      <c r="K403" s="996">
        <f t="shared" ref="K403" si="74">J403*O403</f>
        <v>9938.0725396099988</v>
      </c>
      <c r="L403" s="996">
        <f t="shared" si="63"/>
        <v>9938.0725396099988</v>
      </c>
      <c r="M403" s="996">
        <f>SUM(I403,L403)</f>
        <v>44062.216255110005</v>
      </c>
      <c r="N403" s="994"/>
      <c r="O403" s="981">
        <v>0.93490804699999996</v>
      </c>
      <c r="P403" s="973"/>
    </row>
    <row r="404" spans="1:16" ht="18.95" customHeight="1">
      <c r="A404" s="1036"/>
      <c r="B404" s="1057"/>
      <c r="C404" s="1225" t="s">
        <v>630</v>
      </c>
      <c r="D404" s="1071"/>
      <c r="E404" s="993"/>
      <c r="F404" s="994"/>
      <c r="G404" s="993"/>
      <c r="H404" s="996"/>
      <c r="I404" s="996"/>
      <c r="J404" s="993"/>
      <c r="K404" s="993"/>
      <c r="L404" s="996" t="s">
        <v>611</v>
      </c>
      <c r="M404" s="996"/>
      <c r="N404" s="994"/>
      <c r="O404" s="981">
        <v>0.93490804699999996</v>
      </c>
      <c r="P404" s="973"/>
    </row>
    <row r="405" spans="1:16" ht="18.95" customHeight="1">
      <c r="A405" s="1103">
        <v>5.27</v>
      </c>
      <c r="B405" s="1057" t="s">
        <v>631</v>
      </c>
      <c r="C405" s="1225" t="s">
        <v>578</v>
      </c>
      <c r="D405" s="1059"/>
      <c r="E405" s="993">
        <v>1</v>
      </c>
      <c r="F405" s="994" t="s">
        <v>402</v>
      </c>
      <c r="G405" s="993">
        <v>35350</v>
      </c>
      <c r="H405" s="996">
        <f t="shared" si="57"/>
        <v>33048.999461449996</v>
      </c>
      <c r="I405" s="996">
        <f t="shared" si="52"/>
        <v>33048.999461449996</v>
      </c>
      <c r="J405" s="993">
        <v>8200</v>
      </c>
      <c r="K405" s="996">
        <f t="shared" ref="K405" si="75">J405*O405</f>
        <v>7666.2459853999999</v>
      </c>
      <c r="L405" s="996">
        <f t="shared" si="63"/>
        <v>7666.2459853999999</v>
      </c>
      <c r="M405" s="996">
        <f>SUM(I405,L405)</f>
        <v>40715.245446849993</v>
      </c>
      <c r="N405" s="994"/>
      <c r="O405" s="981">
        <v>0.93490804699999996</v>
      </c>
      <c r="P405" s="973"/>
    </row>
    <row r="406" spans="1:16" ht="18.95" customHeight="1">
      <c r="A406" s="1103"/>
      <c r="B406" s="1057"/>
      <c r="C406" s="1225" t="s">
        <v>632</v>
      </c>
      <c r="D406" s="1071"/>
      <c r="E406" s="993"/>
      <c r="F406" s="994"/>
      <c r="G406" s="993"/>
      <c r="H406" s="996"/>
      <c r="I406" s="996"/>
      <c r="J406" s="993"/>
      <c r="K406" s="993"/>
      <c r="L406" s="996" t="s">
        <v>611</v>
      </c>
      <c r="M406" s="996"/>
      <c r="N406" s="994"/>
      <c r="O406" s="981">
        <v>0.93490804699999996</v>
      </c>
      <c r="P406" s="973"/>
    </row>
    <row r="407" spans="1:16" ht="18.95" customHeight="1">
      <c r="A407" s="1103">
        <v>5.28</v>
      </c>
      <c r="B407" s="1057" t="s">
        <v>633</v>
      </c>
      <c r="C407" s="1225" t="s">
        <v>634</v>
      </c>
      <c r="D407" s="1059"/>
      <c r="E407" s="993">
        <v>3</v>
      </c>
      <c r="F407" s="994" t="s">
        <v>402</v>
      </c>
      <c r="G407" s="993">
        <v>37970</v>
      </c>
      <c r="H407" s="996">
        <f t="shared" si="57"/>
        <v>35498.458544590001</v>
      </c>
      <c r="I407" s="996">
        <f t="shared" si="52"/>
        <v>106495.37563377</v>
      </c>
      <c r="J407" s="993">
        <v>11000</v>
      </c>
      <c r="K407" s="996">
        <f t="shared" ref="K407" si="76">J407*O407</f>
        <v>10283.988517</v>
      </c>
      <c r="L407" s="996">
        <f t="shared" si="63"/>
        <v>30851.965551000001</v>
      </c>
      <c r="M407" s="996">
        <f>SUM(I407,L407)</f>
        <v>137347.34118476999</v>
      </c>
      <c r="N407" s="994"/>
      <c r="O407" s="981">
        <v>0.93490804699999996</v>
      </c>
      <c r="P407" s="973"/>
    </row>
    <row r="408" spans="1:16" ht="18.95" customHeight="1">
      <c r="A408" s="1018"/>
      <c r="B408" s="1057"/>
      <c r="C408" s="1225" t="s">
        <v>635</v>
      </c>
      <c r="D408" s="1059"/>
      <c r="E408" s="993"/>
      <c r="F408" s="994"/>
      <c r="G408" s="993"/>
      <c r="H408" s="996"/>
      <c r="I408" s="996"/>
      <c r="J408" s="993"/>
      <c r="K408" s="993"/>
      <c r="L408" s="996" t="s">
        <v>611</v>
      </c>
      <c r="M408" s="996"/>
      <c r="N408" s="994"/>
      <c r="O408" s="981">
        <v>0.93490804699999996</v>
      </c>
      <c r="P408" s="973"/>
    </row>
    <row r="409" spans="1:16" ht="18.95" customHeight="1">
      <c r="A409" s="1128">
        <v>5.29</v>
      </c>
      <c r="B409" s="1057" t="s">
        <v>636</v>
      </c>
      <c r="C409" s="1225" t="s">
        <v>634</v>
      </c>
      <c r="D409" s="1059"/>
      <c r="E409" s="993">
        <v>3</v>
      </c>
      <c r="F409" s="994" t="s">
        <v>402</v>
      </c>
      <c r="G409" s="993">
        <v>44575</v>
      </c>
      <c r="H409" s="996">
        <f t="shared" si="57"/>
        <v>41673.526195024999</v>
      </c>
      <c r="I409" s="996">
        <f t="shared" si="52"/>
        <v>125020.578585075</v>
      </c>
      <c r="J409" s="993">
        <v>12650</v>
      </c>
      <c r="K409" s="996">
        <f t="shared" ref="K409" si="77">J409*O409</f>
        <v>11826.586794549999</v>
      </c>
      <c r="L409" s="996">
        <f t="shared" si="63"/>
        <v>35479.760383649998</v>
      </c>
      <c r="M409" s="996">
        <f>SUM(I409,L409)</f>
        <v>160500.338968725</v>
      </c>
      <c r="N409" s="994"/>
      <c r="O409" s="981">
        <v>0.93490804699999996</v>
      </c>
      <c r="P409" s="973"/>
    </row>
    <row r="410" spans="1:16" ht="18.95" customHeight="1">
      <c r="A410" s="1129"/>
      <c r="B410" s="1057"/>
      <c r="C410" s="1225" t="s">
        <v>635</v>
      </c>
      <c r="D410" s="1059"/>
      <c r="E410" s="993"/>
      <c r="F410" s="994"/>
      <c r="G410" s="993"/>
      <c r="H410" s="996"/>
      <c r="I410" s="996"/>
      <c r="J410" s="993"/>
      <c r="K410" s="996"/>
      <c r="L410" s="996"/>
      <c r="M410" s="1116"/>
      <c r="N410" s="1097"/>
      <c r="O410" s="981">
        <v>0.93490804699999996</v>
      </c>
      <c r="P410" s="973"/>
    </row>
    <row r="411" spans="1:16" ht="18.95" customHeight="1">
      <c r="A411" s="1130"/>
      <c r="B411" s="1099"/>
      <c r="C411" s="1242"/>
      <c r="D411" s="1065"/>
      <c r="E411" s="1028"/>
      <c r="F411" s="1010"/>
      <c r="G411" s="1009"/>
      <c r="H411" s="996"/>
      <c r="I411" s="996"/>
      <c r="J411" s="1009"/>
      <c r="K411" s="1009"/>
      <c r="L411" s="996"/>
      <c r="M411" s="1028"/>
      <c r="N411" s="1010"/>
      <c r="O411" s="981">
        <v>0.93490804699999996</v>
      </c>
      <c r="P411" s="973"/>
    </row>
    <row r="412" spans="1:16" ht="18.95" customHeight="1">
      <c r="A412" s="1131">
        <v>5.3</v>
      </c>
      <c r="B412" s="1126" t="s">
        <v>637</v>
      </c>
      <c r="C412" s="1241" t="s">
        <v>634</v>
      </c>
      <c r="D412" s="1132"/>
      <c r="E412" s="1031">
        <v>3</v>
      </c>
      <c r="F412" s="987" t="s">
        <v>402</v>
      </c>
      <c r="G412" s="1133">
        <v>50310</v>
      </c>
      <c r="H412" s="996">
        <f t="shared" si="57"/>
        <v>47035.223844569999</v>
      </c>
      <c r="I412" s="996">
        <f t="shared" si="52"/>
        <v>141105.67153371</v>
      </c>
      <c r="J412" s="1133">
        <v>14100</v>
      </c>
      <c r="K412" s="996">
        <f t="shared" ref="K412" si="78">J412*O412</f>
        <v>13182.203462699999</v>
      </c>
      <c r="L412" s="996">
        <f t="shared" si="63"/>
        <v>39546.610388100002</v>
      </c>
      <c r="M412" s="1031">
        <f>SUM(I412,L412)</f>
        <v>180652.28192181</v>
      </c>
      <c r="N412" s="987"/>
      <c r="O412" s="981">
        <v>0.93490804699999996</v>
      </c>
      <c r="P412" s="973"/>
    </row>
    <row r="413" spans="1:16" ht="18.95" customHeight="1">
      <c r="A413" s="1128"/>
      <c r="B413" s="1057"/>
      <c r="C413" s="1225" t="s">
        <v>635</v>
      </c>
      <c r="D413" s="1059"/>
      <c r="E413" s="996"/>
      <c r="F413" s="994"/>
      <c r="G413" s="1134"/>
      <c r="H413" s="996"/>
      <c r="I413" s="996"/>
      <c r="J413" s="1134"/>
      <c r="K413" s="993"/>
      <c r="L413" s="996" t="s">
        <v>611</v>
      </c>
      <c r="M413" s="996"/>
      <c r="N413" s="994"/>
      <c r="O413" s="981">
        <v>0.93490804699999996</v>
      </c>
      <c r="P413" s="973"/>
    </row>
    <row r="414" spans="1:16" ht="18.95" customHeight="1">
      <c r="A414" s="1128">
        <v>5.31</v>
      </c>
      <c r="B414" s="1057" t="s">
        <v>638</v>
      </c>
      <c r="C414" s="1225" t="s">
        <v>634</v>
      </c>
      <c r="D414" s="1059"/>
      <c r="E414" s="996">
        <v>2</v>
      </c>
      <c r="F414" s="994" t="s">
        <v>402</v>
      </c>
      <c r="G414" s="1134">
        <v>48100</v>
      </c>
      <c r="H414" s="996">
        <f t="shared" si="57"/>
        <v>44969.077060700001</v>
      </c>
      <c r="I414" s="996">
        <f t="shared" si="52"/>
        <v>89938.154121400003</v>
      </c>
      <c r="J414" s="1134">
        <v>13520</v>
      </c>
      <c r="K414" s="996">
        <f t="shared" ref="K414" si="79">J414*O414</f>
        <v>12639.956795439999</v>
      </c>
      <c r="L414" s="996">
        <f t="shared" si="63"/>
        <v>25279.913590879998</v>
      </c>
      <c r="M414" s="996">
        <f>SUM(I414,L414)</f>
        <v>115218.06771228</v>
      </c>
      <c r="N414" s="994"/>
      <c r="O414" s="981">
        <v>0.93490804699999996</v>
      </c>
      <c r="P414" s="973"/>
    </row>
    <row r="415" spans="1:16" ht="18.95" customHeight="1">
      <c r="A415" s="1128"/>
      <c r="B415" s="1057"/>
      <c r="C415" s="1225" t="s">
        <v>635</v>
      </c>
      <c r="D415" s="1058"/>
      <c r="E415" s="996"/>
      <c r="F415" s="994"/>
      <c r="G415" s="1134"/>
      <c r="H415" s="996"/>
      <c r="I415" s="996"/>
      <c r="J415" s="1134"/>
      <c r="K415" s="993"/>
      <c r="L415" s="996" t="s">
        <v>611</v>
      </c>
      <c r="M415" s="996"/>
      <c r="N415" s="994"/>
      <c r="O415" s="981">
        <v>0.93490804699999996</v>
      </c>
      <c r="P415" s="973"/>
    </row>
    <row r="416" spans="1:16" ht="18.95" customHeight="1">
      <c r="A416" s="1128">
        <v>5.32</v>
      </c>
      <c r="B416" s="1057" t="s">
        <v>639</v>
      </c>
      <c r="C416" s="1225" t="s">
        <v>634</v>
      </c>
      <c r="D416" s="1059"/>
      <c r="E416" s="996">
        <v>2</v>
      </c>
      <c r="F416" s="994" t="s">
        <v>402</v>
      </c>
      <c r="G416" s="1134">
        <v>48100</v>
      </c>
      <c r="H416" s="996">
        <f t="shared" si="57"/>
        <v>44969.077060700001</v>
      </c>
      <c r="I416" s="996">
        <f t="shared" si="52"/>
        <v>89938.154121400003</v>
      </c>
      <c r="J416" s="1134">
        <v>13520</v>
      </c>
      <c r="K416" s="996">
        <f t="shared" ref="K416" si="80">J416*O416</f>
        <v>12639.956795439999</v>
      </c>
      <c r="L416" s="996">
        <f t="shared" si="63"/>
        <v>25279.913590879998</v>
      </c>
      <c r="M416" s="996">
        <f>SUM(I416,L416)</f>
        <v>115218.06771228</v>
      </c>
      <c r="N416" s="994"/>
      <c r="O416" s="981">
        <v>0.93490804699999996</v>
      </c>
      <c r="P416" s="973"/>
    </row>
    <row r="417" spans="1:16" ht="18.95" customHeight="1">
      <c r="A417" s="1128"/>
      <c r="B417" s="1057"/>
      <c r="C417" s="1225" t="s">
        <v>635</v>
      </c>
      <c r="D417" s="1058"/>
      <c r="E417" s="996"/>
      <c r="F417" s="994"/>
      <c r="G417" s="1134"/>
      <c r="H417" s="996"/>
      <c r="I417" s="996"/>
      <c r="J417" s="1134"/>
      <c r="K417" s="993"/>
      <c r="L417" s="996" t="s">
        <v>611</v>
      </c>
      <c r="M417" s="996"/>
      <c r="N417" s="994"/>
      <c r="O417" s="981">
        <v>0.93490804699999996</v>
      </c>
      <c r="P417" s="973"/>
    </row>
    <row r="418" spans="1:16" ht="18.95" customHeight="1">
      <c r="A418" s="1128">
        <v>5.33</v>
      </c>
      <c r="B418" s="1057" t="s">
        <v>640</v>
      </c>
      <c r="C418" s="1225" t="s">
        <v>634</v>
      </c>
      <c r="D418" s="1059"/>
      <c r="E418" s="996">
        <v>3</v>
      </c>
      <c r="F418" s="994" t="s">
        <v>402</v>
      </c>
      <c r="G418" s="1134">
        <v>45610</v>
      </c>
      <c r="H418" s="996">
        <f t="shared" si="57"/>
        <v>42641.156023669995</v>
      </c>
      <c r="I418" s="996">
        <f t="shared" si="52"/>
        <v>127923.46807100999</v>
      </c>
      <c r="J418" s="1134">
        <v>12930</v>
      </c>
      <c r="K418" s="996">
        <f t="shared" ref="K418" si="81">J418*O418</f>
        <v>12088.361047709999</v>
      </c>
      <c r="L418" s="996">
        <f t="shared" si="63"/>
        <v>36265.083143129996</v>
      </c>
      <c r="M418" s="996">
        <f>SUM(I418,L418)</f>
        <v>164188.55121414</v>
      </c>
      <c r="N418" s="994"/>
      <c r="O418" s="981">
        <v>0.93490804699999996</v>
      </c>
      <c r="P418" s="973"/>
    </row>
    <row r="419" spans="1:16" ht="18.95" customHeight="1">
      <c r="A419" s="1128"/>
      <c r="B419" s="1057"/>
      <c r="C419" s="1225" t="s">
        <v>635</v>
      </c>
      <c r="D419" s="1059"/>
      <c r="E419" s="996"/>
      <c r="F419" s="994"/>
      <c r="G419" s="1134"/>
      <c r="H419" s="996"/>
      <c r="I419" s="996"/>
      <c r="J419" s="1134"/>
      <c r="K419" s="1134"/>
      <c r="L419" s="996" t="s">
        <v>611</v>
      </c>
      <c r="M419" s="996"/>
      <c r="N419" s="994"/>
      <c r="O419" s="981">
        <v>0.93490804699999996</v>
      </c>
      <c r="P419" s="973"/>
    </row>
    <row r="420" spans="1:16" ht="18.95" customHeight="1">
      <c r="A420" s="1128">
        <v>5.34</v>
      </c>
      <c r="B420" s="1057" t="s">
        <v>641</v>
      </c>
      <c r="C420" s="1225" t="s">
        <v>634</v>
      </c>
      <c r="D420" s="1059"/>
      <c r="E420" s="996">
        <v>3</v>
      </c>
      <c r="F420" s="994" t="s">
        <v>402</v>
      </c>
      <c r="G420" s="1134">
        <v>49260</v>
      </c>
      <c r="H420" s="996">
        <f t="shared" si="57"/>
        <v>46053.570395219998</v>
      </c>
      <c r="I420" s="996">
        <f t="shared" si="52"/>
        <v>138160.71118565998</v>
      </c>
      <c r="J420" s="1134">
        <v>13860</v>
      </c>
      <c r="K420" s="996">
        <f t="shared" ref="K420" si="82">J420*O420</f>
        <v>12957.82553142</v>
      </c>
      <c r="L420" s="996">
        <f t="shared" si="63"/>
        <v>38873.476594259999</v>
      </c>
      <c r="M420" s="996">
        <f>SUM(I420,L420)</f>
        <v>177034.18777991997</v>
      </c>
      <c r="N420" s="994"/>
      <c r="O420" s="981">
        <v>0.93490804699999996</v>
      </c>
      <c r="P420" s="973"/>
    </row>
    <row r="421" spans="1:16" ht="18.95" customHeight="1">
      <c r="A421" s="1128"/>
      <c r="B421" s="1057"/>
      <c r="C421" s="1225" t="s">
        <v>635</v>
      </c>
      <c r="D421" s="1059"/>
      <c r="E421" s="996"/>
      <c r="F421" s="994"/>
      <c r="G421" s="1134"/>
      <c r="H421" s="996"/>
      <c r="I421" s="996"/>
      <c r="J421" s="1134"/>
      <c r="K421" s="993"/>
      <c r="L421" s="996"/>
      <c r="M421" s="996"/>
      <c r="N421" s="994"/>
      <c r="O421" s="981">
        <v>0.93490804699999996</v>
      </c>
      <c r="P421" s="973"/>
    </row>
    <row r="422" spans="1:16" ht="18.95" customHeight="1">
      <c r="A422" s="1128">
        <v>5.35</v>
      </c>
      <c r="B422" s="1057" t="s">
        <v>642</v>
      </c>
      <c r="C422" s="1225" t="s">
        <v>634</v>
      </c>
      <c r="D422" s="1059"/>
      <c r="E422" s="996">
        <v>1</v>
      </c>
      <c r="F422" s="994" t="s">
        <v>402</v>
      </c>
      <c r="G422" s="1134">
        <v>33550</v>
      </c>
      <c r="H422" s="996">
        <f t="shared" si="57"/>
        <v>31366.164976849999</v>
      </c>
      <c r="I422" s="996">
        <f t="shared" ref="I422:I436" si="83">H422*E422</f>
        <v>31366.164976849999</v>
      </c>
      <c r="J422" s="1134">
        <v>9610</v>
      </c>
      <c r="K422" s="996">
        <f t="shared" ref="K422" si="84">J422*O422</f>
        <v>8984.4663316699989</v>
      </c>
      <c r="L422" s="996">
        <f t="shared" si="63"/>
        <v>8984.4663316699989</v>
      </c>
      <c r="M422" s="996">
        <f>SUM(I422,L422)</f>
        <v>40350.631308519994</v>
      </c>
      <c r="N422" s="994"/>
      <c r="O422" s="981">
        <v>0.93490804699999996</v>
      </c>
      <c r="P422" s="973"/>
    </row>
    <row r="423" spans="1:16" ht="18.95" customHeight="1">
      <c r="A423" s="1128"/>
      <c r="B423" s="1057"/>
      <c r="C423" s="1225" t="s">
        <v>635</v>
      </c>
      <c r="D423" s="1059"/>
      <c r="E423" s="996"/>
      <c r="F423" s="994"/>
      <c r="G423" s="1134"/>
      <c r="H423" s="996"/>
      <c r="I423" s="996"/>
      <c r="J423" s="1134"/>
      <c r="K423" s="993"/>
      <c r="L423" s="996" t="s">
        <v>611</v>
      </c>
      <c r="M423" s="996"/>
      <c r="N423" s="994"/>
      <c r="O423" s="981">
        <v>0.93490804699999996</v>
      </c>
      <c r="P423" s="973"/>
    </row>
    <row r="424" spans="1:16" ht="18.95" customHeight="1">
      <c r="A424" s="1128">
        <v>5.36</v>
      </c>
      <c r="B424" s="1042" t="s">
        <v>643</v>
      </c>
      <c r="C424" s="1225" t="s">
        <v>644</v>
      </c>
      <c r="D424" s="1061"/>
      <c r="E424" s="996">
        <v>2</v>
      </c>
      <c r="F424" s="994" t="s">
        <v>402</v>
      </c>
      <c r="G424" s="1134">
        <v>115500</v>
      </c>
      <c r="H424" s="996">
        <f t="shared" si="57"/>
        <v>107981.87942849999</v>
      </c>
      <c r="I424" s="996">
        <f t="shared" si="83"/>
        <v>215963.75885699998</v>
      </c>
      <c r="J424" s="1134">
        <v>21300</v>
      </c>
      <c r="K424" s="996">
        <f t="shared" ref="K424" si="85">J424*O424</f>
        <v>19913.541401099999</v>
      </c>
      <c r="L424" s="996">
        <f t="shared" si="63"/>
        <v>39827.082802199999</v>
      </c>
      <c r="M424" s="996">
        <f>SUM(I424,L424)</f>
        <v>255790.84165919997</v>
      </c>
      <c r="N424" s="994"/>
      <c r="O424" s="981">
        <v>0.93490804699999996</v>
      </c>
      <c r="P424" s="973"/>
    </row>
    <row r="425" spans="1:16" ht="18.95" customHeight="1">
      <c r="A425" s="1128"/>
      <c r="B425" s="1042"/>
      <c r="C425" s="1225" t="s">
        <v>645</v>
      </c>
      <c r="D425" s="1062"/>
      <c r="E425" s="996"/>
      <c r="F425" s="994"/>
      <c r="G425" s="1134"/>
      <c r="H425" s="996"/>
      <c r="I425" s="996"/>
      <c r="J425" s="1134"/>
      <c r="K425" s="993"/>
      <c r="L425" s="996" t="s">
        <v>611</v>
      </c>
      <c r="M425" s="996"/>
      <c r="N425" s="994"/>
      <c r="O425" s="981">
        <v>0.93490804699999996</v>
      </c>
      <c r="P425" s="973"/>
    </row>
    <row r="426" spans="1:16" ht="18.95" customHeight="1">
      <c r="A426" s="1128">
        <v>5.37</v>
      </c>
      <c r="B426" s="1057" t="s">
        <v>646</v>
      </c>
      <c r="C426" s="1225" t="s">
        <v>585</v>
      </c>
      <c r="D426" s="1071"/>
      <c r="E426" s="996">
        <v>1</v>
      </c>
      <c r="F426" s="994" t="s">
        <v>402</v>
      </c>
      <c r="G426" s="1134">
        <v>25725</v>
      </c>
      <c r="H426" s="996">
        <f t="shared" si="57"/>
        <v>24050.509509075</v>
      </c>
      <c r="I426" s="996">
        <f t="shared" si="83"/>
        <v>24050.509509075</v>
      </c>
      <c r="J426" s="1134">
        <v>8000</v>
      </c>
      <c r="K426" s="996">
        <f t="shared" ref="K426" si="86">J426*O426</f>
        <v>7479.2643760000001</v>
      </c>
      <c r="L426" s="996">
        <f t="shared" si="63"/>
        <v>7479.2643760000001</v>
      </c>
      <c r="M426" s="996">
        <f>SUM(I426,L426)</f>
        <v>31529.773885074999</v>
      </c>
      <c r="N426" s="994"/>
      <c r="O426" s="981">
        <v>0.93490804699999996</v>
      </c>
      <c r="P426" s="973"/>
    </row>
    <row r="427" spans="1:16" ht="18.95" customHeight="1">
      <c r="A427" s="1128"/>
      <c r="B427" s="1057"/>
      <c r="C427" s="1225" t="s">
        <v>647</v>
      </c>
      <c r="D427" s="1061"/>
      <c r="E427" s="996"/>
      <c r="F427" s="994"/>
      <c r="G427" s="1134"/>
      <c r="H427" s="996"/>
      <c r="I427" s="996"/>
      <c r="J427" s="1134"/>
      <c r="K427" s="1134"/>
      <c r="L427" s="996" t="s">
        <v>611</v>
      </c>
      <c r="M427" s="996"/>
      <c r="N427" s="994"/>
      <c r="O427" s="981">
        <v>0.93490804699999996</v>
      </c>
      <c r="P427" s="973"/>
    </row>
    <row r="428" spans="1:16" ht="18.95" customHeight="1">
      <c r="A428" s="1128">
        <v>5.38</v>
      </c>
      <c r="B428" s="1057" t="s">
        <v>648</v>
      </c>
      <c r="C428" s="1225" t="s">
        <v>585</v>
      </c>
      <c r="D428" s="1071"/>
      <c r="E428" s="996">
        <v>1</v>
      </c>
      <c r="F428" s="994" t="s">
        <v>402</v>
      </c>
      <c r="G428" s="1134">
        <v>27900</v>
      </c>
      <c r="H428" s="996">
        <f t="shared" si="57"/>
        <v>26083.934511299998</v>
      </c>
      <c r="I428" s="996">
        <f t="shared" si="83"/>
        <v>26083.934511299998</v>
      </c>
      <c r="J428" s="1134">
        <v>8680</v>
      </c>
      <c r="K428" s="996">
        <f t="shared" ref="K428" si="87">J428*O428</f>
        <v>8115.0018479599994</v>
      </c>
      <c r="L428" s="996">
        <f t="shared" si="63"/>
        <v>8115.0018479599994</v>
      </c>
      <c r="M428" s="996">
        <f>SUM(I428,L428)</f>
        <v>34198.936359259998</v>
      </c>
      <c r="N428" s="994"/>
      <c r="O428" s="981">
        <v>0.93490804699999996</v>
      </c>
      <c r="P428" s="973"/>
    </row>
    <row r="429" spans="1:16" ht="18.95" customHeight="1">
      <c r="A429" s="1135"/>
      <c r="B429" s="1057"/>
      <c r="C429" s="1225" t="s">
        <v>647</v>
      </c>
      <c r="D429" s="1061"/>
      <c r="E429" s="996"/>
      <c r="F429" s="994"/>
      <c r="G429" s="1134"/>
      <c r="H429" s="996"/>
      <c r="I429" s="996"/>
      <c r="J429" s="1134"/>
      <c r="K429" s="993"/>
      <c r="L429" s="996" t="s">
        <v>611</v>
      </c>
      <c r="M429" s="996"/>
      <c r="N429" s="994"/>
      <c r="O429" s="981">
        <v>0.93490804699999996</v>
      </c>
      <c r="P429" s="973"/>
    </row>
    <row r="430" spans="1:16" ht="18.95" customHeight="1">
      <c r="A430" s="1103">
        <v>5.39</v>
      </c>
      <c r="B430" s="1057" t="s">
        <v>649</v>
      </c>
      <c r="C430" s="1225" t="s">
        <v>585</v>
      </c>
      <c r="D430" s="1136"/>
      <c r="E430" s="996">
        <v>1</v>
      </c>
      <c r="F430" s="994" t="s">
        <v>402</v>
      </c>
      <c r="G430" s="1134">
        <v>30900</v>
      </c>
      <c r="H430" s="996">
        <f t="shared" ref="H430:H471" si="88">G430*O430</f>
        <v>28888.658652300001</v>
      </c>
      <c r="I430" s="996">
        <f t="shared" si="83"/>
        <v>28888.658652300001</v>
      </c>
      <c r="J430" s="1134">
        <v>9480</v>
      </c>
      <c r="K430" s="996">
        <f t="shared" ref="K430" si="89">J430*O430</f>
        <v>8862.9282855599995</v>
      </c>
      <c r="L430" s="996">
        <f t="shared" si="63"/>
        <v>8862.9282855599995</v>
      </c>
      <c r="M430" s="996">
        <f>SUM(I430,L430)</f>
        <v>37751.586937860004</v>
      </c>
      <c r="N430" s="994"/>
      <c r="O430" s="981">
        <v>0.93490804699999996</v>
      </c>
      <c r="P430" s="973"/>
    </row>
    <row r="431" spans="1:16" ht="18.95" customHeight="1">
      <c r="A431" s="1103"/>
      <c r="B431" s="1057"/>
      <c r="C431" s="1225" t="s">
        <v>650</v>
      </c>
      <c r="D431" s="1136"/>
      <c r="E431" s="996"/>
      <c r="F431" s="994"/>
      <c r="G431" s="1134"/>
      <c r="H431" s="996"/>
      <c r="I431" s="996"/>
      <c r="J431" s="1134"/>
      <c r="K431" s="993"/>
      <c r="L431" s="996" t="s">
        <v>611</v>
      </c>
      <c r="M431" s="996"/>
      <c r="N431" s="994"/>
      <c r="O431" s="981">
        <v>0.93490804699999996</v>
      </c>
      <c r="P431" s="973"/>
    </row>
    <row r="432" spans="1:16" ht="18.95" customHeight="1">
      <c r="A432" s="1103">
        <v>5.4</v>
      </c>
      <c r="B432" s="1057" t="s">
        <v>651</v>
      </c>
      <c r="C432" s="1225" t="s">
        <v>652</v>
      </c>
      <c r="D432" s="1059"/>
      <c r="E432" s="996">
        <v>1</v>
      </c>
      <c r="F432" s="994" t="s">
        <v>402</v>
      </c>
      <c r="G432" s="1134">
        <v>8245</v>
      </c>
      <c r="H432" s="996">
        <f t="shared" si="88"/>
        <v>7708.3168475149996</v>
      </c>
      <c r="I432" s="996">
        <f t="shared" si="83"/>
        <v>7708.3168475149996</v>
      </c>
      <c r="J432" s="1134">
        <v>2410</v>
      </c>
      <c r="K432" s="996">
        <f t="shared" ref="K432" si="90">J432*O432</f>
        <v>2253.1283932699998</v>
      </c>
      <c r="L432" s="996">
        <f t="shared" si="63"/>
        <v>2253.1283932699998</v>
      </c>
      <c r="M432" s="996">
        <f>SUM(I432,L432)</f>
        <v>9961.4452407850004</v>
      </c>
      <c r="N432" s="994"/>
      <c r="O432" s="981">
        <v>0.93490804699999996</v>
      </c>
      <c r="P432" s="973"/>
    </row>
    <row r="433" spans="1:16" ht="18.95" customHeight="1">
      <c r="A433" s="1103"/>
      <c r="B433" s="1057"/>
      <c r="C433" s="1225" t="s">
        <v>653</v>
      </c>
      <c r="D433" s="1059"/>
      <c r="E433" s="996"/>
      <c r="F433" s="994"/>
      <c r="G433" s="1134"/>
      <c r="H433" s="996"/>
      <c r="I433" s="996"/>
      <c r="J433" s="1134"/>
      <c r="K433" s="993"/>
      <c r="L433" s="996"/>
      <c r="M433" s="996"/>
      <c r="N433" s="994"/>
      <c r="O433" s="981">
        <v>0.93490804699999996</v>
      </c>
      <c r="P433" s="973"/>
    </row>
    <row r="434" spans="1:16" ht="18.95" customHeight="1">
      <c r="A434" s="1103">
        <v>5.41</v>
      </c>
      <c r="C434" s="1245" t="s">
        <v>654</v>
      </c>
      <c r="D434" s="1059"/>
      <c r="E434" s="996">
        <v>1</v>
      </c>
      <c r="F434" s="994" t="s">
        <v>351</v>
      </c>
      <c r="G434" s="1134">
        <v>360000</v>
      </c>
      <c r="H434" s="996">
        <f t="shared" si="88"/>
        <v>336566.89691999997</v>
      </c>
      <c r="I434" s="996">
        <f t="shared" si="83"/>
        <v>336566.89691999997</v>
      </c>
      <c r="J434" s="1134">
        <v>0</v>
      </c>
      <c r="K434" s="996">
        <f t="shared" ref="K434" si="91">J434*O434</f>
        <v>0</v>
      </c>
      <c r="L434" s="996">
        <f>J434*E434</f>
        <v>0</v>
      </c>
      <c r="M434" s="996">
        <f>SUM(I434,L434)</f>
        <v>336566.89691999997</v>
      </c>
      <c r="N434" s="994"/>
      <c r="O434" s="981">
        <v>0.93490804699999996</v>
      </c>
      <c r="P434" s="973"/>
    </row>
    <row r="435" spans="1:16" ht="18.95" customHeight="1">
      <c r="A435" s="1103">
        <v>5.42</v>
      </c>
      <c r="C435" s="1245" t="s">
        <v>655</v>
      </c>
      <c r="D435" s="1059"/>
      <c r="E435" s="996">
        <v>1</v>
      </c>
      <c r="F435" s="994" t="s">
        <v>351</v>
      </c>
      <c r="G435" s="1134">
        <v>240000</v>
      </c>
      <c r="H435" s="996">
        <f t="shared" si="88"/>
        <v>224377.93127999999</v>
      </c>
      <c r="I435" s="996">
        <f t="shared" si="83"/>
        <v>224377.93127999999</v>
      </c>
      <c r="J435" s="1134">
        <v>0</v>
      </c>
      <c r="K435" s="1134"/>
      <c r="L435" s="996">
        <f>J435*E435</f>
        <v>0</v>
      </c>
      <c r="M435" s="996">
        <f>SUM(I435,L435)</f>
        <v>224377.93127999999</v>
      </c>
      <c r="N435" s="994"/>
      <c r="O435" s="981">
        <v>0.93490804699999996</v>
      </c>
      <c r="P435" s="973"/>
    </row>
    <row r="436" spans="1:16" ht="18.95" customHeight="1">
      <c r="A436" s="1103">
        <v>5.43</v>
      </c>
      <c r="C436" s="1245" t="s">
        <v>656</v>
      </c>
      <c r="D436" s="1059"/>
      <c r="E436" s="996">
        <v>1</v>
      </c>
      <c r="F436" s="994" t="s">
        <v>351</v>
      </c>
      <c r="G436" s="1134">
        <v>1840000</v>
      </c>
      <c r="H436" s="996">
        <f t="shared" si="88"/>
        <v>1720230.80648</v>
      </c>
      <c r="I436" s="996">
        <f t="shared" si="83"/>
        <v>1720230.80648</v>
      </c>
      <c r="J436" s="1134">
        <v>0</v>
      </c>
      <c r="K436" s="1134"/>
      <c r="L436" s="996">
        <f>J436*E436</f>
        <v>0</v>
      </c>
      <c r="M436" s="996">
        <f>SUM(I436,L436)</f>
        <v>1720230.80648</v>
      </c>
      <c r="N436" s="994"/>
      <c r="O436" s="981">
        <v>0.93490804699999996</v>
      </c>
      <c r="P436" s="973"/>
    </row>
    <row r="437" spans="1:16" ht="18.95" customHeight="1">
      <c r="A437" s="1103"/>
      <c r="B437" s="1063"/>
      <c r="C437" s="1225"/>
      <c r="D437" s="1071"/>
      <c r="E437" s="996"/>
      <c r="F437" s="994"/>
      <c r="G437" s="1134"/>
      <c r="H437" s="996"/>
      <c r="I437" s="996"/>
      <c r="J437" s="1134"/>
      <c r="K437" s="1134"/>
      <c r="L437" s="996"/>
      <c r="M437" s="996"/>
      <c r="N437" s="994"/>
      <c r="O437" s="981">
        <v>0.93490804699999996</v>
      </c>
      <c r="P437" s="973"/>
    </row>
    <row r="438" spans="1:16" ht="18.95" customHeight="1">
      <c r="A438" s="1135"/>
      <c r="B438" s="1281"/>
      <c r="C438" s="1282"/>
      <c r="D438" s="1283"/>
      <c r="E438" s="996"/>
      <c r="F438" s="994"/>
      <c r="G438" s="1134"/>
      <c r="H438" s="996"/>
      <c r="I438" s="993"/>
      <c r="J438" s="1134"/>
      <c r="K438" s="1134"/>
      <c r="L438" s="996"/>
      <c r="M438" s="1116">
        <f>SUM(M358:M437)</f>
        <v>4972313.1225097356</v>
      </c>
      <c r="N438" s="994"/>
      <c r="O438" s="981">
        <v>0.93490804699999996</v>
      </c>
      <c r="P438" s="973"/>
    </row>
    <row r="439" spans="1:16" ht="18.95" customHeight="1">
      <c r="A439" s="1130"/>
      <c r="B439" s="1099"/>
      <c r="C439" s="1242"/>
      <c r="D439" s="1065"/>
      <c r="E439" s="1028"/>
      <c r="F439" s="1010"/>
      <c r="G439" s="1137"/>
      <c r="H439" s="996"/>
      <c r="I439" s="1009"/>
      <c r="J439" s="1137"/>
      <c r="K439" s="1137"/>
      <c r="L439" s="1028"/>
      <c r="M439" s="1028"/>
      <c r="N439" s="1010"/>
      <c r="O439" s="981">
        <v>0.93490804699999996</v>
      </c>
      <c r="P439" s="973"/>
    </row>
    <row r="440" spans="1:16" ht="18.95" customHeight="1">
      <c r="A440" s="1074">
        <v>6</v>
      </c>
      <c r="B440" s="1049" t="s">
        <v>210</v>
      </c>
      <c r="C440" s="1228"/>
      <c r="D440" s="1138"/>
      <c r="E440" s="1139"/>
      <c r="F440" s="1140"/>
      <c r="G440" s="1141"/>
      <c r="H440" s="996"/>
      <c r="I440" s="1139"/>
      <c r="J440" s="1141"/>
      <c r="K440" s="1141"/>
      <c r="L440" s="1142"/>
      <c r="M440" s="1142"/>
      <c r="N440" s="987"/>
      <c r="O440" s="981">
        <v>0.93490804699999996</v>
      </c>
      <c r="P440" s="973"/>
    </row>
    <row r="441" spans="1:16" ht="18.95" customHeight="1">
      <c r="A441" s="1127"/>
      <c r="B441" s="1143"/>
      <c r="C441" s="1225"/>
      <c r="D441" s="1058"/>
      <c r="E441" s="993"/>
      <c r="F441" s="994"/>
      <c r="G441" s="1144"/>
      <c r="H441" s="996"/>
      <c r="I441" s="993"/>
      <c r="J441" s="1145"/>
      <c r="K441" s="1145"/>
      <c r="L441" s="995"/>
      <c r="M441" s="993"/>
      <c r="N441" s="1015"/>
      <c r="O441" s="981">
        <v>0.93490804699999996</v>
      </c>
      <c r="P441" s="973"/>
    </row>
    <row r="442" spans="1:16" ht="18.95" customHeight="1">
      <c r="A442" s="1101">
        <v>6.1</v>
      </c>
      <c r="C442" s="1245" t="s">
        <v>353</v>
      </c>
      <c r="D442" s="1059"/>
      <c r="E442" s="996">
        <v>34</v>
      </c>
      <c r="F442" s="994" t="s">
        <v>402</v>
      </c>
      <c r="G442" s="993">
        <v>13900</v>
      </c>
      <c r="H442" s="996">
        <f t="shared" si="88"/>
        <v>12995.2218533</v>
      </c>
      <c r="I442" s="996">
        <f t="shared" ref="I442:I471" si="92">H442*E442</f>
        <v>441837.54301219998</v>
      </c>
      <c r="J442" s="993">
        <v>750</v>
      </c>
      <c r="K442" s="996">
        <f t="shared" ref="K442:K470" si="93">J442*O442</f>
        <v>701.18103524999992</v>
      </c>
      <c r="L442" s="996">
        <f>K442*E442</f>
        <v>23840.155198499997</v>
      </c>
      <c r="M442" s="996">
        <f>SUM(I442,L442)</f>
        <v>465677.69821069995</v>
      </c>
      <c r="N442" s="996"/>
      <c r="O442" s="981">
        <v>0.93490804699999996</v>
      </c>
    </row>
    <row r="443" spans="1:16" ht="18.95" customHeight="1">
      <c r="A443" s="1036">
        <v>6.2</v>
      </c>
      <c r="C443" s="1245" t="s">
        <v>657</v>
      </c>
      <c r="D443" s="1059"/>
      <c r="E443" s="996">
        <v>33</v>
      </c>
      <c r="F443" s="994" t="s">
        <v>402</v>
      </c>
      <c r="G443" s="993">
        <v>9402.5</v>
      </c>
      <c r="H443" s="996">
        <f t="shared" si="88"/>
        <v>8790.472911917499</v>
      </c>
      <c r="I443" s="996">
        <f t="shared" si="92"/>
        <v>290085.60609327746</v>
      </c>
      <c r="J443" s="993">
        <v>485</v>
      </c>
      <c r="K443" s="996">
        <f t="shared" si="93"/>
        <v>453.43040279499996</v>
      </c>
      <c r="L443" s="996">
        <f t="shared" ref="L443:L470" si="94">K443*E443</f>
        <v>14963.203292234999</v>
      </c>
      <c r="M443" s="996">
        <f>SUM(I443,L443)</f>
        <v>305048.80938551243</v>
      </c>
      <c r="N443" s="996"/>
      <c r="O443" s="981">
        <v>0.93490804699999996</v>
      </c>
    </row>
    <row r="444" spans="1:16" ht="18.95" customHeight="1">
      <c r="A444" s="1101">
        <v>6.3</v>
      </c>
      <c r="C444" s="1245" t="s">
        <v>658</v>
      </c>
      <c r="D444" s="1059"/>
      <c r="E444" s="996">
        <v>3</v>
      </c>
      <c r="F444" s="994" t="s">
        <v>402</v>
      </c>
      <c r="G444" s="993">
        <v>13967.5</v>
      </c>
      <c r="H444" s="996">
        <f t="shared" si="88"/>
        <v>13058.328146472499</v>
      </c>
      <c r="I444" s="996">
        <f t="shared" si="92"/>
        <v>39174.984439417494</v>
      </c>
      <c r="J444" s="993">
        <v>485</v>
      </c>
      <c r="K444" s="996">
        <f t="shared" si="93"/>
        <v>453.43040279499996</v>
      </c>
      <c r="L444" s="996">
        <f t="shared" si="94"/>
        <v>1360.2912083849999</v>
      </c>
      <c r="M444" s="996">
        <f>SUM(I444,L444)</f>
        <v>40535.275647802497</v>
      </c>
      <c r="N444" s="996"/>
      <c r="O444" s="981">
        <v>0.93490804699999996</v>
      </c>
    </row>
    <row r="445" spans="1:16" ht="18.95" customHeight="1">
      <c r="A445" s="1036">
        <v>6.4</v>
      </c>
      <c r="C445" s="1245" t="s">
        <v>659</v>
      </c>
      <c r="D445" s="1059"/>
      <c r="E445" s="996">
        <v>2</v>
      </c>
      <c r="F445" s="994" t="s">
        <v>402</v>
      </c>
      <c r="G445" s="993">
        <v>10507.5</v>
      </c>
      <c r="H445" s="996">
        <f t="shared" si="88"/>
        <v>9823.5463038524995</v>
      </c>
      <c r="I445" s="996">
        <f t="shared" si="92"/>
        <v>19647.092607704999</v>
      </c>
      <c r="J445" s="993">
        <v>485</v>
      </c>
      <c r="K445" s="996">
        <f t="shared" si="93"/>
        <v>453.43040279499996</v>
      </c>
      <c r="L445" s="996">
        <f t="shared" si="94"/>
        <v>906.86080558999993</v>
      </c>
      <c r="M445" s="996">
        <f>SUM(I445,L445)</f>
        <v>20553.953413294999</v>
      </c>
      <c r="N445" s="996"/>
      <c r="O445" s="981">
        <v>0.93490804699999996</v>
      </c>
    </row>
    <row r="446" spans="1:16" ht="18.95" customHeight="1">
      <c r="A446" s="1101">
        <v>6.5</v>
      </c>
      <c r="C446" s="1245" t="s">
        <v>660</v>
      </c>
      <c r="D446" s="1059"/>
      <c r="E446" s="996">
        <v>1</v>
      </c>
      <c r="F446" s="994" t="s">
        <v>402</v>
      </c>
      <c r="G446" s="993">
        <v>13967.5</v>
      </c>
      <c r="H446" s="996">
        <f t="shared" si="88"/>
        <v>13058.328146472499</v>
      </c>
      <c r="I446" s="996">
        <f t="shared" si="92"/>
        <v>13058.328146472499</v>
      </c>
      <c r="J446" s="993">
        <v>485</v>
      </c>
      <c r="K446" s="996">
        <f t="shared" si="93"/>
        <v>453.43040279499996</v>
      </c>
      <c r="L446" s="996">
        <f t="shared" si="94"/>
        <v>453.43040279499996</v>
      </c>
      <c r="M446" s="996">
        <f t="shared" ref="M446:M465" si="95">SUM(I446,L446)</f>
        <v>13511.758549267499</v>
      </c>
      <c r="N446" s="996"/>
      <c r="O446" s="981">
        <v>0.93490804699999996</v>
      </c>
    </row>
    <row r="447" spans="1:16" ht="18.95" customHeight="1">
      <c r="A447" s="1036">
        <v>6.6</v>
      </c>
      <c r="C447" s="1245" t="s">
        <v>661</v>
      </c>
      <c r="D447" s="1059"/>
      <c r="E447" s="996">
        <v>34</v>
      </c>
      <c r="F447" s="994" t="s">
        <v>402</v>
      </c>
      <c r="G447" s="993">
        <v>7450</v>
      </c>
      <c r="H447" s="996">
        <f t="shared" si="88"/>
        <v>6965.0649501500002</v>
      </c>
      <c r="I447" s="996">
        <f t="shared" si="92"/>
        <v>236812.20830510001</v>
      </c>
      <c r="J447" s="993">
        <v>450</v>
      </c>
      <c r="K447" s="996">
        <f t="shared" si="93"/>
        <v>420.70862115</v>
      </c>
      <c r="L447" s="996">
        <f t="shared" si="94"/>
        <v>14304.0931191</v>
      </c>
      <c r="M447" s="996">
        <f t="shared" si="95"/>
        <v>251116.30142420001</v>
      </c>
      <c r="N447" s="996"/>
      <c r="O447" s="981">
        <v>0.93490804699999996</v>
      </c>
    </row>
    <row r="448" spans="1:16" ht="18.95" customHeight="1">
      <c r="A448" s="1101">
        <v>6.7</v>
      </c>
      <c r="C448" s="1245" t="s">
        <v>662</v>
      </c>
      <c r="D448" s="1059"/>
      <c r="E448" s="996">
        <v>3</v>
      </c>
      <c r="F448" s="994" t="s">
        <v>402</v>
      </c>
      <c r="G448" s="993">
        <v>6140</v>
      </c>
      <c r="H448" s="996">
        <f t="shared" si="88"/>
        <v>5740.3354085800001</v>
      </c>
      <c r="I448" s="996">
        <f t="shared" si="92"/>
        <v>17221.006225739999</v>
      </c>
      <c r="J448" s="993">
        <v>450</v>
      </c>
      <c r="K448" s="996">
        <f t="shared" si="93"/>
        <v>420.70862115</v>
      </c>
      <c r="L448" s="996">
        <f t="shared" si="94"/>
        <v>1262.12586345</v>
      </c>
      <c r="M448" s="996">
        <f t="shared" si="95"/>
        <v>18483.13208919</v>
      </c>
      <c r="N448" s="994"/>
      <c r="O448" s="981">
        <v>0.93490804699999996</v>
      </c>
      <c r="P448" s="973"/>
    </row>
    <row r="449" spans="1:16" ht="18.95" customHeight="1">
      <c r="A449" s="1036">
        <v>6.8</v>
      </c>
      <c r="C449" s="1245" t="s">
        <v>663</v>
      </c>
      <c r="D449" s="1059"/>
      <c r="E449" s="996">
        <v>1</v>
      </c>
      <c r="F449" s="994" t="s">
        <v>402</v>
      </c>
      <c r="G449" s="993">
        <v>7570</v>
      </c>
      <c r="H449" s="996">
        <f t="shared" si="88"/>
        <v>7077.2539157900001</v>
      </c>
      <c r="I449" s="996">
        <f t="shared" si="92"/>
        <v>7077.2539157900001</v>
      </c>
      <c r="J449" s="993">
        <v>450</v>
      </c>
      <c r="K449" s="996">
        <f t="shared" si="93"/>
        <v>420.70862115</v>
      </c>
      <c r="L449" s="996">
        <f t="shared" si="94"/>
        <v>420.70862115</v>
      </c>
      <c r="M449" s="996">
        <f t="shared" si="95"/>
        <v>7497.9625369400001</v>
      </c>
      <c r="N449" s="994"/>
      <c r="O449" s="981">
        <v>0.93490804699999996</v>
      </c>
      <c r="P449" s="973"/>
    </row>
    <row r="450" spans="1:16" ht="18.95" customHeight="1">
      <c r="A450" s="1036">
        <v>6.9</v>
      </c>
      <c r="C450" s="1245" t="s">
        <v>664</v>
      </c>
      <c r="D450" s="1059"/>
      <c r="E450" s="996">
        <v>18</v>
      </c>
      <c r="F450" s="994" t="s">
        <v>402</v>
      </c>
      <c r="G450" s="993">
        <v>12870</v>
      </c>
      <c r="H450" s="996">
        <f t="shared" si="88"/>
        <v>12032.26656489</v>
      </c>
      <c r="I450" s="996">
        <f t="shared" si="92"/>
        <v>216580.79816802</v>
      </c>
      <c r="J450" s="993">
        <v>485</v>
      </c>
      <c r="K450" s="996">
        <f t="shared" si="93"/>
        <v>453.43040279499996</v>
      </c>
      <c r="L450" s="996">
        <f t="shared" si="94"/>
        <v>8161.7472503099998</v>
      </c>
      <c r="M450" s="996">
        <f t="shared" si="95"/>
        <v>224742.54541833</v>
      </c>
      <c r="N450" s="994"/>
      <c r="O450" s="981">
        <v>0.93490804699999996</v>
      </c>
      <c r="P450" s="973"/>
    </row>
    <row r="451" spans="1:16" ht="18.95" customHeight="1">
      <c r="A451" s="1106">
        <v>6.1</v>
      </c>
      <c r="C451" s="1246" t="s">
        <v>665</v>
      </c>
      <c r="D451" s="1071"/>
      <c r="E451" s="996">
        <v>38</v>
      </c>
      <c r="F451" s="994" t="s">
        <v>402</v>
      </c>
      <c r="G451" s="993">
        <v>510</v>
      </c>
      <c r="H451" s="996">
        <f t="shared" si="88"/>
        <v>476.80310397</v>
      </c>
      <c r="I451" s="996">
        <f t="shared" si="92"/>
        <v>18118.517950860001</v>
      </c>
      <c r="J451" s="993">
        <v>35</v>
      </c>
      <c r="K451" s="996">
        <f t="shared" si="93"/>
        <v>32.721781645</v>
      </c>
      <c r="L451" s="996">
        <f t="shared" si="94"/>
        <v>1243.42770251</v>
      </c>
      <c r="M451" s="996">
        <f t="shared" si="95"/>
        <v>19361.945653369999</v>
      </c>
      <c r="N451" s="994"/>
      <c r="O451" s="981">
        <v>0.93490804699999996</v>
      </c>
      <c r="P451" s="973"/>
    </row>
    <row r="452" spans="1:16" ht="18.95" customHeight="1">
      <c r="A452" s="1036">
        <v>6.11</v>
      </c>
      <c r="C452" s="1245" t="s">
        <v>666</v>
      </c>
      <c r="D452" s="1060"/>
      <c r="E452" s="993">
        <v>16</v>
      </c>
      <c r="F452" s="994" t="s">
        <v>402</v>
      </c>
      <c r="G452" s="993">
        <v>1800</v>
      </c>
      <c r="H452" s="996">
        <f t="shared" si="88"/>
        <v>1682.8344846</v>
      </c>
      <c r="I452" s="996">
        <f t="shared" si="92"/>
        <v>26925.3517536</v>
      </c>
      <c r="J452" s="993">
        <v>170</v>
      </c>
      <c r="K452" s="996">
        <f t="shared" si="93"/>
        <v>158.93436799</v>
      </c>
      <c r="L452" s="996">
        <f t="shared" si="94"/>
        <v>2542.94988784</v>
      </c>
      <c r="M452" s="996">
        <f t="shared" si="95"/>
        <v>29468.301641440001</v>
      </c>
      <c r="N452" s="994"/>
      <c r="O452" s="981">
        <v>0.93490804699999996</v>
      </c>
      <c r="P452" s="973"/>
    </row>
    <row r="453" spans="1:16" ht="18.95" customHeight="1">
      <c r="A453" s="1018">
        <v>6.12</v>
      </c>
      <c r="C453" s="1245" t="s">
        <v>667</v>
      </c>
      <c r="D453" s="1060"/>
      <c r="E453" s="993">
        <v>2</v>
      </c>
      <c r="F453" s="994" t="s">
        <v>402</v>
      </c>
      <c r="G453" s="993">
        <v>2090</v>
      </c>
      <c r="H453" s="996">
        <f t="shared" si="88"/>
        <v>1953.9578182299999</v>
      </c>
      <c r="I453" s="996">
        <f t="shared" si="92"/>
        <v>3907.9156364599999</v>
      </c>
      <c r="J453" s="993">
        <v>70</v>
      </c>
      <c r="K453" s="996">
        <f t="shared" si="93"/>
        <v>65.44356329</v>
      </c>
      <c r="L453" s="996">
        <f t="shared" si="94"/>
        <v>130.88712658</v>
      </c>
      <c r="M453" s="996">
        <f t="shared" si="95"/>
        <v>4038.8027630399997</v>
      </c>
      <c r="N453" s="994"/>
      <c r="O453" s="981">
        <v>0.93490804699999996</v>
      </c>
      <c r="P453" s="973"/>
    </row>
    <row r="454" spans="1:16" ht="18.95" customHeight="1">
      <c r="A454" s="1018">
        <v>6.13</v>
      </c>
      <c r="C454" s="1245" t="s">
        <v>668</v>
      </c>
      <c r="D454" s="1060"/>
      <c r="E454" s="993">
        <v>2</v>
      </c>
      <c r="F454" s="994" t="s">
        <v>402</v>
      </c>
      <c r="G454" s="993">
        <v>980</v>
      </c>
      <c r="H454" s="996">
        <f t="shared" si="88"/>
        <v>916.20988605999992</v>
      </c>
      <c r="I454" s="996">
        <f t="shared" si="92"/>
        <v>1832.4197721199998</v>
      </c>
      <c r="J454" s="993">
        <v>70</v>
      </c>
      <c r="K454" s="996">
        <f t="shared" si="93"/>
        <v>65.44356329</v>
      </c>
      <c r="L454" s="996">
        <f t="shared" si="94"/>
        <v>130.88712658</v>
      </c>
      <c r="M454" s="996">
        <f t="shared" si="95"/>
        <v>1963.3068986999999</v>
      </c>
      <c r="N454" s="994"/>
      <c r="O454" s="981">
        <v>0.93490804699999996</v>
      </c>
      <c r="P454" s="973"/>
    </row>
    <row r="455" spans="1:16" ht="18.95" customHeight="1">
      <c r="A455" s="1018">
        <v>6.14</v>
      </c>
      <c r="C455" s="1245" t="s">
        <v>669</v>
      </c>
      <c r="D455" s="1060"/>
      <c r="E455" s="993">
        <v>2</v>
      </c>
      <c r="F455" s="994" t="s">
        <v>402</v>
      </c>
      <c r="G455" s="993">
        <v>860</v>
      </c>
      <c r="H455" s="996">
        <f t="shared" si="88"/>
        <v>804.02092041999992</v>
      </c>
      <c r="I455" s="996">
        <f t="shared" si="92"/>
        <v>1608.0418408399998</v>
      </c>
      <c r="J455" s="993">
        <v>70</v>
      </c>
      <c r="K455" s="996">
        <f t="shared" si="93"/>
        <v>65.44356329</v>
      </c>
      <c r="L455" s="996">
        <f t="shared" si="94"/>
        <v>130.88712658</v>
      </c>
      <c r="M455" s="996">
        <f t="shared" si="95"/>
        <v>1738.9289674199999</v>
      </c>
      <c r="N455" s="994"/>
      <c r="O455" s="981">
        <v>0.93490804699999996</v>
      </c>
      <c r="P455" s="973"/>
    </row>
    <row r="456" spans="1:16" ht="18.95" customHeight="1">
      <c r="A456" s="1018">
        <v>6.15</v>
      </c>
      <c r="C456" s="1245" t="s">
        <v>670</v>
      </c>
      <c r="D456" s="1060"/>
      <c r="E456" s="993">
        <v>2</v>
      </c>
      <c r="F456" s="994" t="s">
        <v>402</v>
      </c>
      <c r="G456" s="993">
        <v>1730</v>
      </c>
      <c r="H456" s="996">
        <f t="shared" si="88"/>
        <v>1617.3909213099998</v>
      </c>
      <c r="I456" s="996">
        <f t="shared" si="92"/>
        <v>3234.7818426199997</v>
      </c>
      <c r="J456" s="993">
        <v>130</v>
      </c>
      <c r="K456" s="996">
        <f t="shared" si="93"/>
        <v>121.53804611</v>
      </c>
      <c r="L456" s="996">
        <f t="shared" si="94"/>
        <v>243.07609221999999</v>
      </c>
      <c r="M456" s="996">
        <f t="shared" si="95"/>
        <v>3477.8579348399999</v>
      </c>
      <c r="N456" s="994"/>
      <c r="O456" s="981">
        <v>0.93490804699999996</v>
      </c>
      <c r="P456" s="973"/>
    </row>
    <row r="457" spans="1:16" ht="18.95" customHeight="1">
      <c r="A457" s="1018">
        <v>6.16</v>
      </c>
      <c r="C457" s="1245" t="s">
        <v>671</v>
      </c>
      <c r="D457" s="1061"/>
      <c r="E457" s="993">
        <v>3</v>
      </c>
      <c r="F457" s="994" t="s">
        <v>402</v>
      </c>
      <c r="G457" s="993">
        <v>28100</v>
      </c>
      <c r="H457" s="996">
        <f t="shared" si="88"/>
        <v>26270.9161207</v>
      </c>
      <c r="I457" s="996">
        <f t="shared" si="92"/>
        <v>78812.748362099999</v>
      </c>
      <c r="J457" s="993">
        <v>175</v>
      </c>
      <c r="K457" s="996">
        <f t="shared" si="93"/>
        <v>163.60890822499999</v>
      </c>
      <c r="L457" s="996">
        <f t="shared" si="94"/>
        <v>490.82672467499998</v>
      </c>
      <c r="M457" s="996">
        <f t="shared" si="95"/>
        <v>79303.575086775003</v>
      </c>
      <c r="N457" s="994"/>
      <c r="O457" s="981">
        <v>0.93490804699999996</v>
      </c>
      <c r="P457" s="973"/>
    </row>
    <row r="458" spans="1:16" ht="18.95" customHeight="1">
      <c r="A458" s="1100">
        <v>6.17</v>
      </c>
      <c r="C458" s="1247" t="s">
        <v>672</v>
      </c>
      <c r="D458" s="1058"/>
      <c r="E458" s="993">
        <v>3</v>
      </c>
      <c r="F458" s="994" t="s">
        <v>402</v>
      </c>
      <c r="G458" s="993">
        <v>1117.5</v>
      </c>
      <c r="H458" s="996">
        <f t="shared" si="88"/>
        <v>1044.7597425224999</v>
      </c>
      <c r="I458" s="996">
        <f t="shared" si="92"/>
        <v>3134.2792275674997</v>
      </c>
      <c r="J458" s="993">
        <v>25</v>
      </c>
      <c r="K458" s="996">
        <f t="shared" si="93"/>
        <v>23.372701175</v>
      </c>
      <c r="L458" s="996">
        <f t="shared" si="94"/>
        <v>70.118103524999995</v>
      </c>
      <c r="M458" s="996">
        <f t="shared" si="95"/>
        <v>3204.3973310924998</v>
      </c>
      <c r="N458" s="994"/>
      <c r="O458" s="981">
        <v>0.93490804699999996</v>
      </c>
      <c r="P458" s="973"/>
    </row>
    <row r="459" spans="1:16" ht="18.95" customHeight="1">
      <c r="A459" s="1021">
        <v>6.18</v>
      </c>
      <c r="C459" s="1245" t="s">
        <v>673</v>
      </c>
      <c r="D459" s="1064"/>
      <c r="E459" s="993">
        <v>13</v>
      </c>
      <c r="F459" s="994" t="s">
        <v>402</v>
      </c>
      <c r="G459" s="993">
        <v>570</v>
      </c>
      <c r="H459" s="996">
        <f t="shared" si="88"/>
        <v>532.89758678999999</v>
      </c>
      <c r="I459" s="996">
        <f t="shared" si="92"/>
        <v>6927.6686282700002</v>
      </c>
      <c r="J459" s="993">
        <v>25</v>
      </c>
      <c r="K459" s="996">
        <f t="shared" si="93"/>
        <v>23.372701175</v>
      </c>
      <c r="L459" s="996">
        <f t="shared" si="94"/>
        <v>303.84511527500001</v>
      </c>
      <c r="M459" s="996">
        <f t="shared" si="95"/>
        <v>7231.5137435450006</v>
      </c>
      <c r="N459" s="994"/>
      <c r="O459" s="981">
        <v>0.93490804699999996</v>
      </c>
      <c r="P459" s="973"/>
    </row>
    <row r="460" spans="1:16" ht="18.95" customHeight="1">
      <c r="A460" s="1021">
        <v>6.19</v>
      </c>
      <c r="C460" s="1248" t="s">
        <v>674</v>
      </c>
      <c r="D460" s="1061"/>
      <c r="E460" s="996">
        <v>4</v>
      </c>
      <c r="F460" s="994" t="s">
        <v>402</v>
      </c>
      <c r="G460" s="993">
        <v>637.5</v>
      </c>
      <c r="H460" s="996">
        <f t="shared" si="88"/>
        <v>596.00387996249992</v>
      </c>
      <c r="I460" s="996">
        <f t="shared" si="92"/>
        <v>2384.0155198499997</v>
      </c>
      <c r="J460" s="993">
        <v>120</v>
      </c>
      <c r="K460" s="996">
        <f t="shared" si="93"/>
        <v>112.18896563999999</v>
      </c>
      <c r="L460" s="996">
        <f t="shared" si="94"/>
        <v>448.75586255999997</v>
      </c>
      <c r="M460" s="996">
        <f t="shared" si="95"/>
        <v>2832.7713824099997</v>
      </c>
      <c r="N460" s="994"/>
      <c r="O460" s="981">
        <v>0.93490804699999996</v>
      </c>
      <c r="P460" s="973"/>
    </row>
    <row r="461" spans="1:16" ht="18.95" customHeight="1">
      <c r="A461" s="1018">
        <v>6.2</v>
      </c>
      <c r="C461" s="1246" t="s">
        <v>675</v>
      </c>
      <c r="D461" s="1061"/>
      <c r="E461" s="996">
        <v>12</v>
      </c>
      <c r="F461" s="994" t="s">
        <v>402</v>
      </c>
      <c r="G461" s="993">
        <v>1650</v>
      </c>
      <c r="H461" s="996">
        <f t="shared" si="88"/>
        <v>1542.5982775499999</v>
      </c>
      <c r="I461" s="996">
        <f t="shared" si="92"/>
        <v>18511.1793306</v>
      </c>
      <c r="J461" s="993">
        <v>200</v>
      </c>
      <c r="K461" s="996">
        <f t="shared" si="93"/>
        <v>186.9816094</v>
      </c>
      <c r="L461" s="996">
        <f t="shared" si="94"/>
        <v>2243.7793127999998</v>
      </c>
      <c r="M461" s="996">
        <f t="shared" si="95"/>
        <v>20754.958643400001</v>
      </c>
      <c r="N461" s="994"/>
      <c r="O461" s="981">
        <v>0.93490804699999996</v>
      </c>
      <c r="P461" s="973"/>
    </row>
    <row r="462" spans="1:16" ht="18.95" customHeight="1">
      <c r="A462" s="1018">
        <v>6.21</v>
      </c>
      <c r="C462" s="1246" t="s">
        <v>676</v>
      </c>
      <c r="D462" s="1146"/>
      <c r="E462" s="996">
        <v>9</v>
      </c>
      <c r="F462" s="994" t="s">
        <v>402</v>
      </c>
      <c r="G462" s="993">
        <v>3000</v>
      </c>
      <c r="H462" s="996">
        <f t="shared" si="88"/>
        <v>2804.7241409999997</v>
      </c>
      <c r="I462" s="996">
        <f t="shared" si="92"/>
        <v>25242.517268999996</v>
      </c>
      <c r="J462" s="993">
        <v>360</v>
      </c>
      <c r="K462" s="996">
        <f t="shared" si="93"/>
        <v>336.56689691999998</v>
      </c>
      <c r="L462" s="996">
        <f t="shared" si="94"/>
        <v>3029.1020722799999</v>
      </c>
      <c r="M462" s="996">
        <f t="shared" si="95"/>
        <v>28271.619341279995</v>
      </c>
      <c r="N462" s="994"/>
      <c r="O462" s="981">
        <v>0.93490804699999996</v>
      </c>
      <c r="P462" s="973"/>
    </row>
    <row r="463" spans="1:16" ht="18.95" customHeight="1">
      <c r="A463" s="1091">
        <v>6.2200000000000104</v>
      </c>
      <c r="C463" s="1245" t="s">
        <v>677</v>
      </c>
      <c r="D463" s="1058"/>
      <c r="E463" s="993">
        <v>9</v>
      </c>
      <c r="F463" s="994" t="s">
        <v>402</v>
      </c>
      <c r="G463" s="993">
        <v>2100</v>
      </c>
      <c r="H463" s="993">
        <f t="shared" si="88"/>
        <v>1963.3068986999999</v>
      </c>
      <c r="I463" s="993">
        <f t="shared" si="92"/>
        <v>17669.762088299998</v>
      </c>
      <c r="J463" s="993">
        <v>250</v>
      </c>
      <c r="K463" s="996">
        <f t="shared" si="93"/>
        <v>233.72701175</v>
      </c>
      <c r="L463" s="996">
        <f t="shared" si="94"/>
        <v>2103.54310575</v>
      </c>
      <c r="M463" s="996">
        <f t="shared" si="95"/>
        <v>19773.305194049997</v>
      </c>
      <c r="N463" s="994"/>
      <c r="O463" s="973">
        <v>0.93490804699999996</v>
      </c>
      <c r="P463" s="973"/>
    </row>
    <row r="464" spans="1:16" ht="18.95" customHeight="1">
      <c r="A464" s="1091">
        <v>6.2300000000000102</v>
      </c>
      <c r="C464" s="1245" t="s">
        <v>678</v>
      </c>
      <c r="D464" s="1058"/>
      <c r="E464" s="993">
        <v>2</v>
      </c>
      <c r="F464" s="994" t="s">
        <v>402</v>
      </c>
      <c r="G464" s="993">
        <v>2250</v>
      </c>
      <c r="H464" s="993">
        <f t="shared" si="88"/>
        <v>2103.54310575</v>
      </c>
      <c r="I464" s="993">
        <f t="shared" si="92"/>
        <v>4207.0862115</v>
      </c>
      <c r="J464" s="993">
        <v>270</v>
      </c>
      <c r="K464" s="996">
        <f t="shared" si="93"/>
        <v>252.42517268999998</v>
      </c>
      <c r="L464" s="996">
        <f t="shared" si="94"/>
        <v>504.85034537999996</v>
      </c>
      <c r="M464" s="996">
        <f t="shared" si="95"/>
        <v>4711.9365568800004</v>
      </c>
      <c r="N464" s="994"/>
      <c r="O464" s="973">
        <v>0.93490804699999996</v>
      </c>
      <c r="P464" s="973"/>
    </row>
    <row r="465" spans="1:16" ht="18.95" customHeight="1">
      <c r="A465" s="1091">
        <v>6.24000000000001</v>
      </c>
      <c r="C465" s="1245" t="s">
        <v>679</v>
      </c>
      <c r="D465" s="1058"/>
      <c r="E465" s="993">
        <v>36.4</v>
      </c>
      <c r="F465" s="994" t="s">
        <v>276</v>
      </c>
      <c r="G465" s="993">
        <v>3000</v>
      </c>
      <c r="H465" s="993">
        <f t="shared" si="88"/>
        <v>2804.7241409999997</v>
      </c>
      <c r="I465" s="993">
        <f t="shared" si="92"/>
        <v>102091.95873239999</v>
      </c>
      <c r="J465" s="993">
        <v>600</v>
      </c>
      <c r="K465" s="996">
        <f t="shared" si="93"/>
        <v>560.94482819999996</v>
      </c>
      <c r="L465" s="996">
        <f t="shared" si="94"/>
        <v>20418.391746479996</v>
      </c>
      <c r="M465" s="996">
        <f t="shared" si="95"/>
        <v>122510.35047887999</v>
      </c>
      <c r="N465" s="994"/>
      <c r="O465" s="973">
        <v>0.93490804699999996</v>
      </c>
      <c r="P465" s="973"/>
    </row>
    <row r="466" spans="1:16" ht="18.95" customHeight="1">
      <c r="A466" s="1091">
        <v>6.25</v>
      </c>
      <c r="C466" s="1245" t="s">
        <v>680</v>
      </c>
      <c r="D466" s="1058"/>
      <c r="E466" s="993">
        <v>16.100000000000001</v>
      </c>
      <c r="F466" s="994" t="s">
        <v>276</v>
      </c>
      <c r="G466" s="993">
        <v>1000</v>
      </c>
      <c r="H466" s="993">
        <f t="shared" si="88"/>
        <v>934.90804700000001</v>
      </c>
      <c r="I466" s="993">
        <f t="shared" si="92"/>
        <v>15052.019556700001</v>
      </c>
      <c r="J466" s="993">
        <v>200</v>
      </c>
      <c r="K466" s="996">
        <f t="shared" si="93"/>
        <v>186.9816094</v>
      </c>
      <c r="L466" s="996">
        <f t="shared" si="94"/>
        <v>3010.4039113400004</v>
      </c>
      <c r="M466" s="996">
        <f>SUM(I466,L466)</f>
        <v>18062.42346804</v>
      </c>
      <c r="N466" s="994"/>
      <c r="O466" s="973">
        <v>0.93490804699999996</v>
      </c>
      <c r="P466" s="973"/>
    </row>
    <row r="467" spans="1:16" ht="18.95" customHeight="1">
      <c r="A467" s="1091"/>
      <c r="C467" s="1245"/>
      <c r="D467" s="1058"/>
      <c r="E467" s="993"/>
      <c r="F467" s="994"/>
      <c r="G467" s="993"/>
      <c r="H467" s="993"/>
      <c r="I467" s="993"/>
      <c r="J467" s="993"/>
      <c r="K467" s="996"/>
      <c r="L467" s="996"/>
      <c r="M467" s="996"/>
      <c r="N467" s="994"/>
      <c r="O467" s="973">
        <v>0.93490804699999996</v>
      </c>
      <c r="P467" s="973"/>
    </row>
    <row r="468" spans="1:16" ht="18.95" customHeight="1">
      <c r="A468" s="1091"/>
      <c r="C468" s="1245"/>
      <c r="D468" s="1058"/>
      <c r="E468" s="993"/>
      <c r="F468" s="994"/>
      <c r="G468" s="993"/>
      <c r="H468" s="993"/>
      <c r="I468" s="993"/>
      <c r="J468" s="993"/>
      <c r="K468" s="996"/>
      <c r="L468" s="996"/>
      <c r="M468" s="996"/>
      <c r="N468" s="994"/>
      <c r="O468" s="973">
        <v>0.93490804699999996</v>
      </c>
      <c r="P468" s="973"/>
    </row>
    <row r="469" spans="1:16" ht="18.95" customHeight="1">
      <c r="A469" s="1091">
        <v>6.26</v>
      </c>
      <c r="C469" s="1245" t="s">
        <v>681</v>
      </c>
      <c r="D469" s="1058"/>
      <c r="E469" s="993">
        <v>1</v>
      </c>
      <c r="F469" s="994" t="s">
        <v>402</v>
      </c>
      <c r="G469" s="993">
        <v>4000</v>
      </c>
      <c r="H469" s="993">
        <f t="shared" si="88"/>
        <v>3739.632188</v>
      </c>
      <c r="I469" s="993">
        <f t="shared" si="92"/>
        <v>3739.632188</v>
      </c>
      <c r="J469" s="993">
        <v>160</v>
      </c>
      <c r="K469" s="996">
        <f t="shared" si="93"/>
        <v>149.58528752000001</v>
      </c>
      <c r="L469" s="996">
        <f t="shared" si="94"/>
        <v>149.58528752000001</v>
      </c>
      <c r="M469" s="996">
        <f>SUM(I469,L469)</f>
        <v>3889.2174755199999</v>
      </c>
      <c r="N469" s="994"/>
      <c r="O469" s="973">
        <v>0.93490804699999996</v>
      </c>
      <c r="P469" s="973"/>
    </row>
    <row r="470" spans="1:16" ht="18.95" customHeight="1">
      <c r="A470" s="1091">
        <v>6.27</v>
      </c>
      <c r="C470" s="1245" t="s">
        <v>682</v>
      </c>
      <c r="D470" s="1058"/>
      <c r="E470" s="993">
        <v>1</v>
      </c>
      <c r="F470" s="994" t="s">
        <v>402</v>
      </c>
      <c r="G470" s="993">
        <v>2000</v>
      </c>
      <c r="H470" s="993">
        <f t="shared" si="88"/>
        <v>1869.816094</v>
      </c>
      <c r="I470" s="993">
        <f t="shared" si="92"/>
        <v>1869.816094</v>
      </c>
      <c r="J470" s="993">
        <v>160</v>
      </c>
      <c r="K470" s="996">
        <f t="shared" si="93"/>
        <v>149.58528752000001</v>
      </c>
      <c r="L470" s="996">
        <f t="shared" si="94"/>
        <v>149.58528752000001</v>
      </c>
      <c r="M470" s="996">
        <f>SUM(I470,L470)</f>
        <v>2019.4013815200001</v>
      </c>
      <c r="N470" s="994"/>
      <c r="O470" s="973">
        <v>0.93490804699999996</v>
      </c>
      <c r="P470" s="973"/>
    </row>
    <row r="471" spans="1:16" ht="18.95" customHeight="1">
      <c r="A471" s="1091">
        <v>6.28</v>
      </c>
      <c r="C471" s="1245" t="s">
        <v>683</v>
      </c>
      <c r="D471" s="1058"/>
      <c r="E471" s="993">
        <v>95</v>
      </c>
      <c r="F471" s="994" t="s">
        <v>402</v>
      </c>
      <c r="G471" s="993">
        <v>100</v>
      </c>
      <c r="H471" s="993">
        <f t="shared" si="88"/>
        <v>93.490804699999998</v>
      </c>
      <c r="I471" s="993">
        <f t="shared" si="92"/>
        <v>8881.6264465000004</v>
      </c>
      <c r="J471" s="993">
        <v>0</v>
      </c>
      <c r="K471" s="996"/>
      <c r="L471" s="996">
        <f>J471*E471</f>
        <v>0</v>
      </c>
      <c r="M471" s="996">
        <f>SUM(I471,L471)</f>
        <v>8881.6264465000004</v>
      </c>
      <c r="N471" s="994"/>
      <c r="O471" s="973">
        <v>0.93490804699999996</v>
      </c>
      <c r="P471" s="973"/>
    </row>
    <row r="472" spans="1:16" ht="18.95" customHeight="1">
      <c r="A472" s="1091"/>
      <c r="B472" s="1149"/>
      <c r="C472" s="1239"/>
      <c r="D472" s="1058"/>
      <c r="E472" s="993"/>
      <c r="F472" s="994"/>
      <c r="G472" s="993"/>
      <c r="H472" s="993"/>
      <c r="I472" s="993"/>
      <c r="J472" s="993"/>
      <c r="K472" s="996"/>
      <c r="L472" s="996"/>
      <c r="M472" s="996"/>
      <c r="N472" s="994"/>
      <c r="O472" s="973">
        <v>0.93490804699999996</v>
      </c>
      <c r="P472" s="973"/>
    </row>
    <row r="473" spans="1:16" ht="18.95" customHeight="1">
      <c r="A473" s="1091"/>
      <c r="B473" s="1149"/>
      <c r="C473" s="1239"/>
      <c r="D473" s="1058"/>
      <c r="E473" s="993"/>
      <c r="F473" s="994"/>
      <c r="G473" s="993"/>
      <c r="H473" s="993"/>
      <c r="I473" s="993"/>
      <c r="J473" s="993"/>
      <c r="K473" s="996"/>
      <c r="L473" s="996"/>
      <c r="M473" s="996">
        <f>SUM(M442:M472)</f>
        <v>1728663.6770639399</v>
      </c>
      <c r="N473" s="994"/>
      <c r="O473" s="973">
        <v>0.93490804699999996</v>
      </c>
      <c r="P473" s="973"/>
    </row>
    <row r="474" spans="1:16" ht="18.95" customHeight="1">
      <c r="A474" s="1091"/>
      <c r="B474" s="1149"/>
      <c r="C474" s="1239"/>
      <c r="D474" s="1058"/>
      <c r="E474" s="993"/>
      <c r="F474" s="994"/>
      <c r="G474" s="993"/>
      <c r="H474" s="993"/>
      <c r="I474" s="993"/>
      <c r="J474" s="993"/>
      <c r="K474" s="996"/>
      <c r="L474" s="996"/>
      <c r="M474" s="996"/>
      <c r="N474" s="994"/>
      <c r="O474" s="973">
        <v>0.93490804699999996</v>
      </c>
      <c r="P474" s="973"/>
    </row>
    <row r="475" spans="1:16" ht="18.95" customHeight="1">
      <c r="A475" s="1091"/>
      <c r="B475" s="1149"/>
      <c r="C475" s="1239"/>
      <c r="D475" s="1058"/>
      <c r="E475" s="993"/>
      <c r="F475" s="994"/>
      <c r="G475" s="993"/>
      <c r="H475" s="993"/>
      <c r="I475" s="993"/>
      <c r="J475" s="993"/>
      <c r="K475" s="996"/>
      <c r="L475" s="996"/>
      <c r="M475" s="996"/>
      <c r="N475" s="994"/>
      <c r="O475" s="973">
        <v>0.93490804699999996</v>
      </c>
      <c r="P475" s="973"/>
    </row>
    <row r="476" spans="1:16" ht="18.95" customHeight="1">
      <c r="A476" s="1091"/>
      <c r="B476" s="1149"/>
      <c r="C476" s="1239"/>
      <c r="D476" s="1058"/>
      <c r="E476" s="993"/>
      <c r="F476" s="994"/>
      <c r="G476" s="993"/>
      <c r="H476" s="993"/>
      <c r="I476" s="993"/>
      <c r="J476" s="993"/>
      <c r="K476" s="996"/>
      <c r="L476" s="996"/>
      <c r="M476" s="996"/>
      <c r="N476" s="994"/>
      <c r="O476" s="973">
        <v>0.93490804699999996</v>
      </c>
      <c r="P476" s="973"/>
    </row>
    <row r="477" spans="1:16" ht="18.95" customHeight="1">
      <c r="A477" s="1091"/>
      <c r="B477" s="1149"/>
      <c r="C477" s="1239"/>
      <c r="D477" s="1058"/>
      <c r="E477" s="993"/>
      <c r="F477" s="994"/>
      <c r="G477" s="993"/>
      <c r="H477" s="993"/>
      <c r="I477" s="993"/>
      <c r="J477" s="993"/>
      <c r="K477" s="996"/>
      <c r="L477" s="996"/>
      <c r="M477" s="996"/>
      <c r="N477" s="994"/>
      <c r="O477" s="973">
        <v>0.93490804699999996</v>
      </c>
      <c r="P477" s="973"/>
    </row>
    <row r="478" spans="1:16" ht="18.95" customHeight="1">
      <c r="A478" s="1091"/>
      <c r="B478" s="1149"/>
      <c r="C478" s="1239"/>
      <c r="D478" s="1058"/>
      <c r="E478" s="993"/>
      <c r="F478" s="994"/>
      <c r="G478" s="993"/>
      <c r="H478" s="993"/>
      <c r="I478" s="993"/>
      <c r="J478" s="993"/>
      <c r="K478" s="996"/>
      <c r="L478" s="996"/>
      <c r="M478" s="996"/>
      <c r="N478" s="994"/>
      <c r="O478" s="973">
        <v>0.93490804699999996</v>
      </c>
      <c r="P478" s="973"/>
    </row>
    <row r="479" spans="1:16" ht="18.95" customHeight="1">
      <c r="A479" s="1091"/>
      <c r="B479" s="1149"/>
      <c r="C479" s="1239"/>
      <c r="D479" s="1058"/>
      <c r="E479" s="993"/>
      <c r="F479" s="994"/>
      <c r="G479" s="993"/>
      <c r="H479" s="993"/>
      <c r="I479" s="993"/>
      <c r="J479" s="993"/>
      <c r="K479" s="996"/>
      <c r="L479" s="996"/>
      <c r="M479" s="996"/>
      <c r="N479" s="994"/>
      <c r="O479" s="973">
        <v>0.93490804699999996</v>
      </c>
      <c r="P479" s="973"/>
    </row>
    <row r="480" spans="1:16" ht="18.95" customHeight="1">
      <c r="A480" s="1091"/>
      <c r="B480" s="1149"/>
      <c r="C480" s="1239"/>
      <c r="D480" s="1058"/>
      <c r="E480" s="993"/>
      <c r="F480" s="994"/>
      <c r="G480" s="993"/>
      <c r="H480" s="993"/>
      <c r="I480" s="993"/>
      <c r="J480" s="993"/>
      <c r="K480" s="996"/>
      <c r="L480" s="996"/>
      <c r="M480" s="996"/>
      <c r="N480" s="994"/>
      <c r="O480" s="973">
        <v>0.93490804699999996</v>
      </c>
      <c r="P480" s="973"/>
    </row>
    <row r="481" spans="1:16" ht="18.95" customHeight="1">
      <c r="A481" s="1091"/>
      <c r="B481" s="1149"/>
      <c r="C481" s="1239"/>
      <c r="D481" s="1058"/>
      <c r="E481" s="993"/>
      <c r="F481" s="994"/>
      <c r="G481" s="993"/>
      <c r="H481" s="993"/>
      <c r="I481" s="993"/>
      <c r="J481" s="993"/>
      <c r="K481" s="996"/>
      <c r="L481" s="996"/>
      <c r="M481" s="996"/>
      <c r="N481" s="994"/>
      <c r="O481" s="973">
        <v>0.93490804699999996</v>
      </c>
      <c r="P481" s="973"/>
    </row>
    <row r="482" spans="1:16" ht="18.95" customHeight="1">
      <c r="A482" s="1091"/>
      <c r="B482" s="1149"/>
      <c r="C482" s="1239"/>
      <c r="D482" s="1058"/>
      <c r="E482" s="993"/>
      <c r="F482" s="994"/>
      <c r="G482" s="993"/>
      <c r="H482" s="993"/>
      <c r="I482" s="993"/>
      <c r="J482" s="993"/>
      <c r="K482" s="996"/>
      <c r="L482" s="996"/>
      <c r="M482" s="996"/>
      <c r="N482" s="994"/>
      <c r="O482" s="973">
        <v>0.93490804699999996</v>
      </c>
      <c r="P482" s="973"/>
    </row>
    <row r="483" spans="1:16" ht="18.95" customHeight="1">
      <c r="A483" s="1091"/>
      <c r="B483" s="1149"/>
      <c r="C483" s="1239"/>
      <c r="D483" s="1058"/>
      <c r="E483" s="993"/>
      <c r="F483" s="994"/>
      <c r="G483" s="993"/>
      <c r="H483" s="993"/>
      <c r="I483" s="993"/>
      <c r="J483" s="993"/>
      <c r="K483" s="996"/>
      <c r="L483" s="996"/>
      <c r="M483" s="996"/>
      <c r="N483" s="994"/>
      <c r="O483" s="973">
        <v>0.93490804699999996</v>
      </c>
      <c r="P483" s="973"/>
    </row>
    <row r="484" spans="1:16" ht="18.95" customHeight="1">
      <c r="A484" s="1091"/>
      <c r="B484" s="1149"/>
      <c r="C484" s="1239"/>
      <c r="D484" s="1058"/>
      <c r="E484" s="993"/>
      <c r="F484" s="994"/>
      <c r="G484" s="993"/>
      <c r="H484" s="993"/>
      <c r="I484" s="993"/>
      <c r="J484" s="993"/>
      <c r="K484" s="996"/>
      <c r="L484" s="996"/>
      <c r="M484" s="996"/>
      <c r="N484" s="994"/>
      <c r="O484" s="973">
        <v>0.93490804699999996</v>
      </c>
      <c r="P484" s="973"/>
    </row>
    <row r="485" spans="1:16" ht="18.95" customHeight="1">
      <c r="A485" s="1091"/>
      <c r="B485" s="1149"/>
      <c r="C485" s="1239"/>
      <c r="D485" s="1058"/>
      <c r="E485" s="993"/>
      <c r="F485" s="994"/>
      <c r="G485" s="993"/>
      <c r="H485" s="993"/>
      <c r="I485" s="993"/>
      <c r="J485" s="993"/>
      <c r="K485" s="996"/>
      <c r="L485" s="996"/>
      <c r="M485" s="996"/>
      <c r="N485" s="994"/>
      <c r="O485" s="973">
        <v>0.93490804699999996</v>
      </c>
      <c r="P485" s="973"/>
    </row>
    <row r="486" spans="1:16" ht="18.95" customHeight="1">
      <c r="A486" s="1091"/>
      <c r="B486" s="1149"/>
      <c r="C486" s="1239"/>
      <c r="D486" s="1058"/>
      <c r="E486" s="993"/>
      <c r="F486" s="994"/>
      <c r="G486" s="993"/>
      <c r="H486" s="993"/>
      <c r="I486" s="993"/>
      <c r="J486" s="993"/>
      <c r="K486" s="996"/>
      <c r="L486" s="996"/>
      <c r="M486" s="996"/>
      <c r="N486" s="994"/>
      <c r="O486" s="973">
        <v>0.93490804699999996</v>
      </c>
      <c r="P486" s="973"/>
    </row>
    <row r="487" spans="1:16" ht="18.95" customHeight="1">
      <c r="A487" s="1091"/>
      <c r="B487" s="1149"/>
      <c r="C487" s="1239"/>
      <c r="D487" s="1058"/>
      <c r="E487" s="993"/>
      <c r="F487" s="994"/>
      <c r="G487" s="993"/>
      <c r="H487" s="993"/>
      <c r="I487" s="993"/>
      <c r="J487" s="993"/>
      <c r="K487" s="996"/>
      <c r="L487" s="996"/>
      <c r="M487" s="996"/>
      <c r="N487" s="994"/>
      <c r="O487" s="973">
        <v>0.93490804699999996</v>
      </c>
      <c r="P487" s="973"/>
    </row>
    <row r="488" spans="1:16" ht="18.95" customHeight="1">
      <c r="A488" s="1091"/>
      <c r="B488" s="1149"/>
      <c r="C488" s="1239"/>
      <c r="D488" s="1058"/>
      <c r="E488" s="993"/>
      <c r="F488" s="994"/>
      <c r="G488" s="993"/>
      <c r="H488" s="993"/>
      <c r="I488" s="993"/>
      <c r="J488" s="993"/>
      <c r="K488" s="996"/>
      <c r="L488" s="996"/>
      <c r="M488" s="996"/>
      <c r="N488" s="994"/>
      <c r="O488" s="973">
        <v>0.93490804699999996</v>
      </c>
      <c r="P488" s="973"/>
    </row>
    <row r="489" spans="1:16" ht="18.95" customHeight="1">
      <c r="A489" s="1091"/>
      <c r="B489" s="1149"/>
      <c r="C489" s="1239"/>
      <c r="D489" s="1058"/>
      <c r="E489" s="993"/>
      <c r="F489" s="994"/>
      <c r="G489" s="993"/>
      <c r="H489" s="993"/>
      <c r="I489" s="993"/>
      <c r="J489" s="993"/>
      <c r="K489" s="996"/>
      <c r="L489" s="996"/>
      <c r="M489" s="996"/>
      <c r="N489" s="994"/>
      <c r="O489" s="973">
        <v>0.93490804699999996</v>
      </c>
      <c r="P489" s="973"/>
    </row>
    <row r="490" spans="1:16" ht="18.95" customHeight="1">
      <c r="A490" s="1091"/>
      <c r="B490" s="1149"/>
      <c r="C490" s="1239"/>
      <c r="D490" s="1058"/>
      <c r="E490" s="993"/>
      <c r="F490" s="994"/>
      <c r="G490" s="993"/>
      <c r="H490" s="993"/>
      <c r="I490" s="993"/>
      <c r="J490" s="993"/>
      <c r="K490" s="996"/>
      <c r="L490" s="996"/>
      <c r="M490" s="996"/>
      <c r="N490" s="994"/>
      <c r="O490" s="973">
        <v>0.93490804699999996</v>
      </c>
      <c r="P490" s="973"/>
    </row>
    <row r="491" spans="1:16" ht="18.95" customHeight="1">
      <c r="A491" s="1091"/>
      <c r="B491" s="1149"/>
      <c r="C491" s="1239"/>
      <c r="D491" s="1058"/>
      <c r="E491" s="993"/>
      <c r="F491" s="994"/>
      <c r="G491" s="993"/>
      <c r="H491" s="993"/>
      <c r="I491" s="993"/>
      <c r="J491" s="993"/>
      <c r="K491" s="996"/>
      <c r="L491" s="996"/>
      <c r="M491" s="996"/>
      <c r="N491" s="994"/>
      <c r="O491" s="973">
        <v>0.93490804699999996</v>
      </c>
      <c r="P491" s="973"/>
    </row>
    <row r="492" spans="1:16" ht="18.95" customHeight="1">
      <c r="A492" s="1091"/>
      <c r="B492" s="1149"/>
      <c r="C492" s="1239"/>
      <c r="D492" s="1058"/>
      <c r="E492" s="993"/>
      <c r="F492" s="994"/>
      <c r="G492" s="993"/>
      <c r="H492" s="993"/>
      <c r="I492" s="993"/>
      <c r="J492" s="993"/>
      <c r="K492" s="996"/>
      <c r="L492" s="996"/>
      <c r="M492" s="996"/>
      <c r="N492" s="994"/>
      <c r="O492" s="973">
        <v>0.93490804699999996</v>
      </c>
      <c r="P492" s="973"/>
    </row>
    <row r="493" spans="1:16" ht="18.95" customHeight="1">
      <c r="A493" s="1091"/>
      <c r="B493" s="1149"/>
      <c r="C493" s="1239"/>
      <c r="D493" s="1058"/>
      <c r="E493" s="993"/>
      <c r="F493" s="994"/>
      <c r="G493" s="993"/>
      <c r="H493" s="993"/>
      <c r="I493" s="993"/>
      <c r="J493" s="993"/>
      <c r="K493" s="996"/>
      <c r="L493" s="996"/>
      <c r="M493" s="996"/>
      <c r="N493" s="994"/>
      <c r="O493" s="973">
        <v>0.93490804699999996</v>
      </c>
      <c r="P493" s="973"/>
    </row>
    <row r="494" spans="1:16" ht="18.95" customHeight="1">
      <c r="A494" s="1091"/>
      <c r="B494" s="1149"/>
      <c r="C494" s="1239"/>
      <c r="D494" s="1058"/>
      <c r="E494" s="993"/>
      <c r="F494" s="994"/>
      <c r="G494" s="993"/>
      <c r="H494" s="993"/>
      <c r="I494" s="993"/>
      <c r="J494" s="993"/>
      <c r="K494" s="996"/>
      <c r="L494" s="996"/>
      <c r="M494" s="996"/>
      <c r="N494" s="994"/>
      <c r="O494" s="973">
        <v>0.93490804699999996</v>
      </c>
      <c r="P494" s="973"/>
    </row>
    <row r="495" spans="1:16" ht="18.95" customHeight="1">
      <c r="A495" s="1091"/>
      <c r="B495" s="1149"/>
      <c r="C495" s="1239"/>
      <c r="D495" s="1058"/>
      <c r="E495" s="993"/>
      <c r="F495" s="994"/>
      <c r="G495" s="993"/>
      <c r="H495" s="993"/>
      <c r="I495" s="993"/>
      <c r="J495" s="993"/>
      <c r="K495" s="996"/>
      <c r="L495" s="996"/>
      <c r="M495" s="996"/>
      <c r="N495" s="994"/>
      <c r="O495" s="973">
        <v>0.93490804699999996</v>
      </c>
      <c r="P495" s="973"/>
    </row>
    <row r="496" spans="1:16" ht="18.95" customHeight="1">
      <c r="A496" s="1091"/>
      <c r="B496" s="1149"/>
      <c r="C496" s="1239"/>
      <c r="D496" s="1058"/>
      <c r="E496" s="993"/>
      <c r="F496" s="994"/>
      <c r="G496" s="993"/>
      <c r="H496" s="993"/>
      <c r="I496" s="993"/>
      <c r="J496" s="993"/>
      <c r="K496" s="996"/>
      <c r="L496" s="996"/>
      <c r="M496" s="996"/>
      <c r="N496" s="994"/>
      <c r="O496" s="973">
        <v>0.93490804699999996</v>
      </c>
      <c r="P496" s="973"/>
    </row>
    <row r="497" spans="1:18" ht="18.95" customHeight="1">
      <c r="A497" s="1091">
        <v>7</v>
      </c>
      <c r="B497" s="1149" t="s">
        <v>211</v>
      </c>
      <c r="C497" s="1239"/>
      <c r="D497" s="1058"/>
      <c r="E497" s="993"/>
      <c r="F497" s="994"/>
      <c r="G497" s="993"/>
      <c r="H497" s="993"/>
      <c r="I497" s="993"/>
      <c r="J497" s="993"/>
      <c r="K497" s="996"/>
      <c r="L497" s="996"/>
      <c r="M497" s="996"/>
      <c r="N497" s="994"/>
      <c r="O497" s="973">
        <v>0.93490804699999996</v>
      </c>
      <c r="P497" s="973"/>
    </row>
    <row r="498" spans="1:18" ht="18.95" customHeight="1">
      <c r="A498" s="1091"/>
      <c r="B498" s="1149"/>
      <c r="C498" s="1239"/>
      <c r="D498" s="1058"/>
      <c r="E498" s="993"/>
      <c r="F498" s="994"/>
      <c r="G498" s="993"/>
      <c r="H498" s="993"/>
      <c r="I498" s="993"/>
      <c r="J498" s="993"/>
      <c r="K498" s="996"/>
      <c r="L498" s="996"/>
      <c r="M498" s="996"/>
      <c r="N498" s="994"/>
      <c r="O498" s="973">
        <v>0.93490804699999996</v>
      </c>
      <c r="P498" s="973"/>
    </row>
    <row r="499" spans="1:18" ht="18.95" customHeight="1">
      <c r="A499" s="1091">
        <v>7.1</v>
      </c>
      <c r="B499" s="1149" t="s">
        <v>684</v>
      </c>
      <c r="C499" s="1239"/>
      <c r="D499" s="1058"/>
      <c r="E499" s="993"/>
      <c r="F499" s="994"/>
      <c r="G499" s="993"/>
      <c r="H499" s="993"/>
      <c r="I499" s="993"/>
      <c r="J499" s="993"/>
      <c r="K499" s="996"/>
      <c r="L499" s="996"/>
      <c r="M499" s="996"/>
      <c r="N499" s="994"/>
      <c r="O499" s="973">
        <v>0.93490804699999996</v>
      </c>
      <c r="P499" s="973"/>
    </row>
    <row r="500" spans="1:18" s="862" customFormat="1" ht="18.95" customHeight="1">
      <c r="A500" s="1091"/>
      <c r="B500" s="1149" t="s">
        <v>245</v>
      </c>
      <c r="C500" s="1239" t="s">
        <v>685</v>
      </c>
      <c r="D500" s="1058"/>
      <c r="E500" s="993">
        <v>114</v>
      </c>
      <c r="F500" s="994" t="s">
        <v>276</v>
      </c>
      <c r="G500" s="993">
        <v>846</v>
      </c>
      <c r="H500" s="993">
        <f t="shared" ref="H500:H557" si="96">G500*O500</f>
        <v>790.93220776199996</v>
      </c>
      <c r="I500" s="993">
        <f t="shared" ref="I500:I536" si="97">H500*E500</f>
        <v>90166.271684867999</v>
      </c>
      <c r="J500" s="993">
        <v>220</v>
      </c>
      <c r="K500" s="996">
        <f t="shared" ref="K500:K523" si="98">J500*O500</f>
        <v>205.67977034</v>
      </c>
      <c r="L500" s="996">
        <f>K500*E500</f>
        <v>23447.493818760002</v>
      </c>
      <c r="M500" s="996">
        <f>SUM(I500,L500)</f>
        <v>113613.765503628</v>
      </c>
      <c r="N500" s="994"/>
      <c r="O500" s="973">
        <v>0.93490804699999996</v>
      </c>
      <c r="P500" s="973"/>
      <c r="Q500" s="293" t="s">
        <v>231</v>
      </c>
      <c r="R500" s="293"/>
    </row>
    <row r="501" spans="1:18" s="862" customFormat="1" ht="18.95" customHeight="1">
      <c r="A501" s="1091"/>
      <c r="B501" s="1149" t="s">
        <v>245</v>
      </c>
      <c r="C501" s="1239" t="s">
        <v>686</v>
      </c>
      <c r="D501" s="1058"/>
      <c r="E501" s="993">
        <v>30</v>
      </c>
      <c r="F501" s="994" t="s">
        <v>218</v>
      </c>
      <c r="G501" s="993">
        <v>1780</v>
      </c>
      <c r="H501" s="993">
        <f t="shared" si="96"/>
        <v>1664.13632366</v>
      </c>
      <c r="I501" s="993">
        <f t="shared" si="97"/>
        <v>49924.089709799999</v>
      </c>
      <c r="J501" s="993">
        <v>207</v>
      </c>
      <c r="K501" s="996">
        <f t="shared" si="98"/>
        <v>193.52596572900001</v>
      </c>
      <c r="L501" s="996">
        <f t="shared" ref="L501:L523" si="99">K501*E501</f>
        <v>5805.7789718700005</v>
      </c>
      <c r="M501" s="996">
        <f>SUM(I501,L501)</f>
        <v>55729.868681669999</v>
      </c>
      <c r="N501" s="994"/>
      <c r="O501" s="973">
        <v>0.93490804699999996</v>
      </c>
      <c r="P501" s="973"/>
      <c r="Q501" s="293" t="s">
        <v>231</v>
      </c>
      <c r="R501" s="293"/>
    </row>
    <row r="502" spans="1:18" ht="18.95" customHeight="1">
      <c r="A502" s="1091"/>
      <c r="B502" s="1149" t="s">
        <v>245</v>
      </c>
      <c r="C502" s="1239" t="s">
        <v>687</v>
      </c>
      <c r="D502" s="1058"/>
      <c r="E502" s="993">
        <v>28</v>
      </c>
      <c r="F502" s="994" t="s">
        <v>276</v>
      </c>
      <c r="G502" s="993">
        <v>1200</v>
      </c>
      <c r="H502" s="993">
        <f t="shared" si="96"/>
        <v>1121.8896563999999</v>
      </c>
      <c r="I502" s="993">
        <f t="shared" si="97"/>
        <v>31412.910379199999</v>
      </c>
      <c r="J502" s="993">
        <v>0</v>
      </c>
      <c r="K502" s="996">
        <f t="shared" si="98"/>
        <v>0</v>
      </c>
      <c r="L502" s="996">
        <f t="shared" si="99"/>
        <v>0</v>
      </c>
      <c r="M502" s="996">
        <f>SUM(I502,L502)</f>
        <v>31412.910379199999</v>
      </c>
      <c r="N502" s="994"/>
      <c r="O502" s="973">
        <v>0.93490804699999996</v>
      </c>
      <c r="P502" s="973"/>
    </row>
    <row r="503" spans="1:18" ht="18.95" customHeight="1">
      <c r="A503" s="1091"/>
      <c r="B503" s="1149" t="s">
        <v>245</v>
      </c>
      <c r="C503" s="1239" t="s">
        <v>688</v>
      </c>
      <c r="D503" s="1058"/>
      <c r="E503" s="993">
        <v>44</v>
      </c>
      <c r="F503" s="994" t="s">
        <v>218</v>
      </c>
      <c r="G503" s="993">
        <v>40</v>
      </c>
      <c r="H503" s="993">
        <f t="shared" si="96"/>
        <v>37.396321880000002</v>
      </c>
      <c r="I503" s="993">
        <f t="shared" si="97"/>
        <v>1645.43816272</v>
      </c>
      <c r="J503" s="993">
        <v>60</v>
      </c>
      <c r="K503" s="996">
        <f t="shared" si="98"/>
        <v>56.094482819999996</v>
      </c>
      <c r="L503" s="996">
        <f t="shared" si="99"/>
        <v>2468.1572440800001</v>
      </c>
      <c r="M503" s="996">
        <f>SUM(I503,L503)</f>
        <v>4113.5954068000001</v>
      </c>
      <c r="N503" s="994"/>
      <c r="O503" s="973">
        <v>0.93490804699999996</v>
      </c>
      <c r="P503" s="973"/>
    </row>
    <row r="504" spans="1:18" ht="18.95" customHeight="1">
      <c r="A504" s="1091">
        <v>7.2</v>
      </c>
      <c r="B504" s="1149" t="s">
        <v>689</v>
      </c>
      <c r="C504" s="1239"/>
      <c r="D504" s="1058"/>
      <c r="E504" s="993"/>
      <c r="F504" s="994"/>
      <c r="G504" s="993"/>
      <c r="H504" s="993"/>
      <c r="I504" s="993"/>
      <c r="J504" s="993"/>
      <c r="K504" s="996"/>
      <c r="L504" s="996"/>
      <c r="M504" s="996"/>
      <c r="N504" s="994"/>
      <c r="O504" s="973">
        <v>0.93490804699999996</v>
      </c>
      <c r="P504" s="973"/>
    </row>
    <row r="505" spans="1:18" ht="18.95" customHeight="1">
      <c r="A505" s="1091"/>
      <c r="B505" s="1149" t="s">
        <v>245</v>
      </c>
      <c r="C505" s="1239" t="s">
        <v>690</v>
      </c>
      <c r="D505" s="1058"/>
      <c r="E505" s="993">
        <v>85.5</v>
      </c>
      <c r="F505" s="994" t="s">
        <v>276</v>
      </c>
      <c r="G505" s="993">
        <v>113</v>
      </c>
      <c r="H505" s="993">
        <f t="shared" si="96"/>
        <v>105.644609311</v>
      </c>
      <c r="I505" s="993">
        <f t="shared" si="97"/>
        <v>9032.6140960904995</v>
      </c>
      <c r="J505" s="993">
        <v>179</v>
      </c>
      <c r="K505" s="996">
        <f t="shared" si="98"/>
        <v>167.34854041299999</v>
      </c>
      <c r="L505" s="996">
        <f t="shared" si="99"/>
        <v>14308.3002053115</v>
      </c>
      <c r="M505" s="996">
        <f>SUM(I505,L505)</f>
        <v>23340.914301402001</v>
      </c>
      <c r="N505" s="994"/>
      <c r="O505" s="973">
        <v>0.93490804699999996</v>
      </c>
      <c r="P505" s="973"/>
    </row>
    <row r="506" spans="1:18" ht="18.95" customHeight="1">
      <c r="A506" s="1091"/>
      <c r="B506" s="1149" t="s">
        <v>245</v>
      </c>
      <c r="C506" s="1239" t="s">
        <v>691</v>
      </c>
      <c r="D506" s="1058"/>
      <c r="E506" s="993">
        <v>43.6</v>
      </c>
      <c r="F506" s="994" t="s">
        <v>218</v>
      </c>
      <c r="G506" s="993">
        <v>238</v>
      </c>
      <c r="H506" s="993">
        <f t="shared" si="96"/>
        <v>222.508115186</v>
      </c>
      <c r="I506" s="993">
        <f t="shared" si="97"/>
        <v>9701.3538221096005</v>
      </c>
      <c r="J506" s="993">
        <v>161</v>
      </c>
      <c r="K506" s="996">
        <f t="shared" si="98"/>
        <v>150.520195567</v>
      </c>
      <c r="L506" s="996">
        <f t="shared" si="99"/>
        <v>6562.6805267212003</v>
      </c>
      <c r="M506" s="996">
        <f>SUM(I506,L506)</f>
        <v>16264.034348830801</v>
      </c>
      <c r="N506" s="994"/>
      <c r="O506" s="973">
        <v>0.93490804699999996</v>
      </c>
      <c r="P506" s="973"/>
    </row>
    <row r="507" spans="1:18" ht="18.95" customHeight="1">
      <c r="A507" s="1091"/>
      <c r="B507" s="1149" t="s">
        <v>245</v>
      </c>
      <c r="C507" s="1239" t="s">
        <v>692</v>
      </c>
      <c r="D507" s="1058"/>
      <c r="E507" s="993">
        <v>19.599999999999998</v>
      </c>
      <c r="F507" s="994" t="s">
        <v>276</v>
      </c>
      <c r="G507" s="993">
        <v>60</v>
      </c>
      <c r="H507" s="993">
        <f t="shared" si="96"/>
        <v>56.094482819999996</v>
      </c>
      <c r="I507" s="993">
        <f t="shared" si="97"/>
        <v>1099.4518632719999</v>
      </c>
      <c r="J507" s="993">
        <v>45</v>
      </c>
      <c r="K507" s="996">
        <f t="shared" si="98"/>
        <v>42.070862114999997</v>
      </c>
      <c r="L507" s="996">
        <f t="shared" si="99"/>
        <v>824.58889745399983</v>
      </c>
      <c r="M507" s="996">
        <f>SUM(I507,L507)</f>
        <v>1924.0407607259997</v>
      </c>
      <c r="N507" s="994"/>
      <c r="O507" s="973">
        <v>0.93490804699999996</v>
      </c>
      <c r="P507" s="973"/>
    </row>
    <row r="508" spans="1:18" ht="18.95" customHeight="1">
      <c r="A508" s="1091"/>
      <c r="B508" s="1149" t="s">
        <v>245</v>
      </c>
      <c r="C508" s="1239" t="s">
        <v>693</v>
      </c>
      <c r="D508" s="1058"/>
      <c r="E508" s="993">
        <v>31.4</v>
      </c>
      <c r="F508" s="994" t="s">
        <v>218</v>
      </c>
      <c r="G508" s="993">
        <v>30</v>
      </c>
      <c r="H508" s="993">
        <f t="shared" si="96"/>
        <v>28.047241409999998</v>
      </c>
      <c r="I508" s="993">
        <f t="shared" si="97"/>
        <v>880.68338027399989</v>
      </c>
      <c r="J508" s="993">
        <v>28</v>
      </c>
      <c r="K508" s="996">
        <f t="shared" si="98"/>
        <v>26.177425315999997</v>
      </c>
      <c r="L508" s="996">
        <f t="shared" si="99"/>
        <v>821.97115492239982</v>
      </c>
      <c r="M508" s="996">
        <f>SUM(I508,L508)</f>
        <v>1702.6545351963996</v>
      </c>
      <c r="N508" s="994"/>
      <c r="O508" s="973">
        <v>0.93490804699999996</v>
      </c>
      <c r="P508" s="973"/>
    </row>
    <row r="509" spans="1:18" ht="18.95" customHeight="1">
      <c r="A509" s="1091">
        <v>7.3</v>
      </c>
      <c r="B509" s="1149" t="s">
        <v>694</v>
      </c>
      <c r="C509" s="1239"/>
      <c r="D509" s="1058"/>
      <c r="E509" s="993"/>
      <c r="F509" s="994"/>
      <c r="G509" s="993"/>
      <c r="H509" s="993"/>
      <c r="I509" s="993"/>
      <c r="J509" s="993"/>
      <c r="K509" s="996"/>
      <c r="L509" s="996"/>
      <c r="M509" s="996"/>
      <c r="N509" s="994"/>
      <c r="O509" s="973">
        <v>0.93490804699999996</v>
      </c>
      <c r="P509" s="973"/>
    </row>
    <row r="510" spans="1:18" ht="18.95" customHeight="1">
      <c r="A510" s="1091"/>
      <c r="B510" s="1149" t="s">
        <v>245</v>
      </c>
      <c r="C510" s="1239" t="s">
        <v>690</v>
      </c>
      <c r="D510" s="1058"/>
      <c r="E510" s="993">
        <v>85.5</v>
      </c>
      <c r="F510" s="994" t="s">
        <v>276</v>
      </c>
      <c r="G510" s="993">
        <v>113</v>
      </c>
      <c r="H510" s="993">
        <f t="shared" si="96"/>
        <v>105.644609311</v>
      </c>
      <c r="I510" s="993">
        <f t="shared" si="97"/>
        <v>9032.6140960904995</v>
      </c>
      <c r="J510" s="993">
        <v>179</v>
      </c>
      <c r="K510" s="996">
        <f t="shared" si="98"/>
        <v>167.34854041299999</v>
      </c>
      <c r="L510" s="996">
        <f t="shared" si="99"/>
        <v>14308.3002053115</v>
      </c>
      <c r="M510" s="996">
        <f>SUM(I510,L510)</f>
        <v>23340.914301402001</v>
      </c>
      <c r="N510" s="994"/>
      <c r="O510" s="973">
        <v>0.93490804699999996</v>
      </c>
      <c r="P510" s="973"/>
    </row>
    <row r="511" spans="1:18" ht="18.95" customHeight="1">
      <c r="A511" s="1091"/>
      <c r="B511" s="1149" t="s">
        <v>245</v>
      </c>
      <c r="C511" s="1239" t="s">
        <v>691</v>
      </c>
      <c r="D511" s="1058"/>
      <c r="E511" s="993">
        <v>43.6</v>
      </c>
      <c r="F511" s="994" t="s">
        <v>218</v>
      </c>
      <c r="G511" s="993">
        <v>238</v>
      </c>
      <c r="H511" s="993">
        <f t="shared" si="96"/>
        <v>222.508115186</v>
      </c>
      <c r="I511" s="993">
        <f t="shared" si="97"/>
        <v>9701.3538221096005</v>
      </c>
      <c r="J511" s="993">
        <v>161</v>
      </c>
      <c r="K511" s="996">
        <f t="shared" si="98"/>
        <v>150.520195567</v>
      </c>
      <c r="L511" s="996">
        <f t="shared" si="99"/>
        <v>6562.6805267212003</v>
      </c>
      <c r="M511" s="996">
        <f>SUM(I511,L511)</f>
        <v>16264.034348830801</v>
      </c>
      <c r="N511" s="994"/>
      <c r="O511" s="973">
        <v>0.93490804699999996</v>
      </c>
      <c r="P511" s="973"/>
    </row>
    <row r="512" spans="1:18" ht="18.95" customHeight="1">
      <c r="A512" s="1091"/>
      <c r="B512" s="1149" t="s">
        <v>245</v>
      </c>
      <c r="C512" s="1239" t="s">
        <v>692</v>
      </c>
      <c r="D512" s="1058"/>
      <c r="E512" s="993">
        <v>19.599999999999998</v>
      </c>
      <c r="F512" s="994" t="s">
        <v>276</v>
      </c>
      <c r="G512" s="993">
        <v>60</v>
      </c>
      <c r="H512" s="993">
        <f t="shared" si="96"/>
        <v>56.094482819999996</v>
      </c>
      <c r="I512" s="993">
        <f t="shared" si="97"/>
        <v>1099.4518632719999</v>
      </c>
      <c r="J512" s="993">
        <v>45</v>
      </c>
      <c r="K512" s="996">
        <f t="shared" si="98"/>
        <v>42.070862114999997</v>
      </c>
      <c r="L512" s="996">
        <f t="shared" si="99"/>
        <v>824.58889745399983</v>
      </c>
      <c r="M512" s="996">
        <f>SUM(I512,L512)</f>
        <v>1924.0407607259997</v>
      </c>
      <c r="N512" s="994"/>
      <c r="O512" s="973">
        <v>0.93490804699999996</v>
      </c>
      <c r="P512" s="973"/>
    </row>
    <row r="513" spans="1:18" ht="18.95" customHeight="1">
      <c r="A513" s="1091"/>
      <c r="B513" s="1149" t="s">
        <v>245</v>
      </c>
      <c r="C513" s="1239" t="s">
        <v>693</v>
      </c>
      <c r="D513" s="1058"/>
      <c r="E513" s="993">
        <v>31.4</v>
      </c>
      <c r="F513" s="994" t="s">
        <v>218</v>
      </c>
      <c r="G513" s="993">
        <v>30</v>
      </c>
      <c r="H513" s="993">
        <f t="shared" si="96"/>
        <v>28.047241409999998</v>
      </c>
      <c r="I513" s="993">
        <f t="shared" si="97"/>
        <v>880.68338027399989</v>
      </c>
      <c r="J513" s="993">
        <v>28</v>
      </c>
      <c r="K513" s="996">
        <f t="shared" si="98"/>
        <v>26.177425315999997</v>
      </c>
      <c r="L513" s="996">
        <f t="shared" si="99"/>
        <v>821.97115492239982</v>
      </c>
      <c r="M513" s="996">
        <f>SUM(I513,L513)</f>
        <v>1702.6545351963996</v>
      </c>
      <c r="N513" s="994"/>
      <c r="O513" s="973">
        <v>0.93490804699999996</v>
      </c>
      <c r="P513" s="973"/>
    </row>
    <row r="514" spans="1:18" ht="18.95" customHeight="1">
      <c r="A514" s="1091">
        <v>7.4</v>
      </c>
      <c r="B514" s="1149" t="s">
        <v>695</v>
      </c>
      <c r="C514" s="1239"/>
      <c r="D514" s="1058"/>
      <c r="E514" s="993"/>
      <c r="F514" s="994"/>
      <c r="G514" s="993"/>
      <c r="H514" s="993"/>
      <c r="I514" s="993"/>
      <c r="J514" s="993"/>
      <c r="K514" s="996"/>
      <c r="L514" s="996"/>
      <c r="M514" s="996"/>
      <c r="N514" s="994"/>
      <c r="O514" s="973">
        <v>0.93490804699999996</v>
      </c>
      <c r="P514" s="973"/>
    </row>
    <row r="515" spans="1:18" ht="18.95" customHeight="1">
      <c r="A515" s="1091"/>
      <c r="B515" s="1149" t="s">
        <v>245</v>
      </c>
      <c r="C515" s="1239" t="s">
        <v>690</v>
      </c>
      <c r="D515" s="1058"/>
      <c r="E515" s="993">
        <v>85.5</v>
      </c>
      <c r="F515" s="994" t="s">
        <v>276</v>
      </c>
      <c r="G515" s="993">
        <v>113</v>
      </c>
      <c r="H515" s="993">
        <f t="shared" si="96"/>
        <v>105.644609311</v>
      </c>
      <c r="I515" s="993">
        <f t="shared" si="97"/>
        <v>9032.6140960904995</v>
      </c>
      <c r="J515" s="993">
        <v>179</v>
      </c>
      <c r="K515" s="996">
        <f t="shared" si="98"/>
        <v>167.34854041299999</v>
      </c>
      <c r="L515" s="996">
        <f t="shared" si="99"/>
        <v>14308.3002053115</v>
      </c>
      <c r="M515" s="996">
        <f>SUM(I515,L515)</f>
        <v>23340.914301402001</v>
      </c>
      <c r="N515" s="994"/>
      <c r="O515" s="973">
        <v>0.93490804699999996</v>
      </c>
      <c r="P515" s="973"/>
    </row>
    <row r="516" spans="1:18" ht="18.95" customHeight="1">
      <c r="A516" s="1091"/>
      <c r="B516" s="1149" t="s">
        <v>245</v>
      </c>
      <c r="C516" s="1239" t="s">
        <v>691</v>
      </c>
      <c r="D516" s="1058"/>
      <c r="E516" s="993">
        <v>43.6</v>
      </c>
      <c r="F516" s="994" t="s">
        <v>218</v>
      </c>
      <c r="G516" s="993">
        <v>238</v>
      </c>
      <c r="H516" s="993">
        <f t="shared" si="96"/>
        <v>222.508115186</v>
      </c>
      <c r="I516" s="993">
        <f t="shared" si="97"/>
        <v>9701.3538221096005</v>
      </c>
      <c r="J516" s="993">
        <v>161</v>
      </c>
      <c r="K516" s="996">
        <f t="shared" si="98"/>
        <v>150.520195567</v>
      </c>
      <c r="L516" s="996">
        <f t="shared" si="99"/>
        <v>6562.6805267212003</v>
      </c>
      <c r="M516" s="996">
        <f>SUM(I516,L516)</f>
        <v>16264.034348830801</v>
      </c>
      <c r="N516" s="994"/>
      <c r="O516" s="973">
        <v>0.93490804699999996</v>
      </c>
      <c r="P516" s="973"/>
    </row>
    <row r="517" spans="1:18" ht="18.95" customHeight="1">
      <c r="A517" s="1091"/>
      <c r="B517" s="1149" t="s">
        <v>245</v>
      </c>
      <c r="C517" s="1239" t="s">
        <v>692</v>
      </c>
      <c r="D517" s="1058"/>
      <c r="E517" s="993">
        <v>19.599999999999998</v>
      </c>
      <c r="F517" s="994" t="s">
        <v>276</v>
      </c>
      <c r="G517" s="993">
        <v>60</v>
      </c>
      <c r="H517" s="993">
        <f t="shared" si="96"/>
        <v>56.094482819999996</v>
      </c>
      <c r="I517" s="993">
        <f t="shared" si="97"/>
        <v>1099.4518632719999</v>
      </c>
      <c r="J517" s="993">
        <v>45</v>
      </c>
      <c r="K517" s="996">
        <f t="shared" si="98"/>
        <v>42.070862114999997</v>
      </c>
      <c r="L517" s="996">
        <f t="shared" si="99"/>
        <v>824.58889745399983</v>
      </c>
      <c r="M517" s="996">
        <f>SUM(I517,L517)</f>
        <v>1924.0407607259997</v>
      </c>
      <c r="N517" s="994"/>
      <c r="O517" s="973">
        <v>0.93490804699999996</v>
      </c>
      <c r="P517" s="973"/>
    </row>
    <row r="518" spans="1:18" ht="18.95" customHeight="1">
      <c r="A518" s="1091"/>
      <c r="B518" s="1149" t="s">
        <v>245</v>
      </c>
      <c r="C518" s="1239" t="s">
        <v>693</v>
      </c>
      <c r="D518" s="1058"/>
      <c r="E518" s="993">
        <v>29.4</v>
      </c>
      <c r="F518" s="994" t="s">
        <v>218</v>
      </c>
      <c r="G518" s="993">
        <v>30</v>
      </c>
      <c r="H518" s="993">
        <f t="shared" si="96"/>
        <v>28.047241409999998</v>
      </c>
      <c r="I518" s="993">
        <f t="shared" si="97"/>
        <v>824.58889745399995</v>
      </c>
      <c r="J518" s="993">
        <v>28</v>
      </c>
      <c r="K518" s="996">
        <f t="shared" si="98"/>
        <v>26.177425315999997</v>
      </c>
      <c r="L518" s="996">
        <f t="shared" si="99"/>
        <v>769.61630429039985</v>
      </c>
      <c r="M518" s="996">
        <f>SUM(I518,L518)</f>
        <v>1594.2052017443998</v>
      </c>
      <c r="N518" s="994"/>
      <c r="O518" s="973">
        <v>0.93490804699999996</v>
      </c>
      <c r="P518" s="973"/>
    </row>
    <row r="519" spans="1:18" ht="18.95" customHeight="1">
      <c r="A519" s="1091">
        <v>7.5</v>
      </c>
      <c r="B519" s="1149" t="s">
        <v>696</v>
      </c>
      <c r="C519" s="1239"/>
      <c r="D519" s="1058"/>
      <c r="E519" s="993"/>
      <c r="F519" s="994"/>
      <c r="G519" s="993"/>
      <c r="H519" s="993"/>
      <c r="I519" s="993"/>
      <c r="J519" s="993"/>
      <c r="K519" s="996"/>
      <c r="L519" s="996"/>
      <c r="M519" s="996"/>
      <c r="N519" s="994"/>
      <c r="O519" s="973">
        <v>0.93490804699999996</v>
      </c>
      <c r="P519" s="973"/>
    </row>
    <row r="520" spans="1:18" s="862" customFormat="1" ht="18.95" customHeight="1">
      <c r="A520" s="1091"/>
      <c r="B520" s="1149" t="s">
        <v>245</v>
      </c>
      <c r="C520" s="1239" t="s">
        <v>685</v>
      </c>
      <c r="D520" s="1058"/>
      <c r="E520" s="993">
        <v>114</v>
      </c>
      <c r="F520" s="994" t="s">
        <v>276</v>
      </c>
      <c r="G520" s="993">
        <v>846</v>
      </c>
      <c r="H520" s="993">
        <f t="shared" si="96"/>
        <v>790.93220776199996</v>
      </c>
      <c r="I520" s="993">
        <f t="shared" si="97"/>
        <v>90166.271684867999</v>
      </c>
      <c r="J520" s="993">
        <v>220</v>
      </c>
      <c r="K520" s="996">
        <f t="shared" si="98"/>
        <v>205.67977034</v>
      </c>
      <c r="L520" s="996">
        <f t="shared" si="99"/>
        <v>23447.493818760002</v>
      </c>
      <c r="M520" s="996">
        <f>SUM(I520,L520)</f>
        <v>113613.765503628</v>
      </c>
      <c r="N520" s="994"/>
      <c r="O520" s="973">
        <v>0.93490804699999996</v>
      </c>
      <c r="P520" s="973"/>
      <c r="Q520" s="293" t="s">
        <v>231</v>
      </c>
      <c r="R520" s="293"/>
    </row>
    <row r="521" spans="1:18" s="862" customFormat="1" ht="18.95" customHeight="1">
      <c r="A521" s="1091"/>
      <c r="B521" s="1149" t="s">
        <v>245</v>
      </c>
      <c r="C521" s="1239" t="s">
        <v>686</v>
      </c>
      <c r="D521" s="1058"/>
      <c r="E521" s="993">
        <v>30</v>
      </c>
      <c r="F521" s="994" t="s">
        <v>218</v>
      </c>
      <c r="G521" s="993">
        <v>1780</v>
      </c>
      <c r="H521" s="993">
        <f t="shared" si="96"/>
        <v>1664.13632366</v>
      </c>
      <c r="I521" s="993">
        <f t="shared" si="97"/>
        <v>49924.089709799999</v>
      </c>
      <c r="J521" s="993">
        <v>207</v>
      </c>
      <c r="K521" s="996">
        <f t="shared" si="98"/>
        <v>193.52596572900001</v>
      </c>
      <c r="L521" s="996">
        <f t="shared" si="99"/>
        <v>5805.7789718700005</v>
      </c>
      <c r="M521" s="996">
        <f>SUM(I521,L521)</f>
        <v>55729.868681669999</v>
      </c>
      <c r="N521" s="994"/>
      <c r="O521" s="973">
        <v>0.93490804699999996</v>
      </c>
      <c r="P521" s="973"/>
      <c r="Q521" s="293" t="s">
        <v>231</v>
      </c>
      <c r="R521" s="293"/>
    </row>
    <row r="522" spans="1:18" ht="18.95" customHeight="1">
      <c r="A522" s="1091"/>
      <c r="B522" s="1149" t="s">
        <v>245</v>
      </c>
      <c r="C522" s="1239" t="s">
        <v>692</v>
      </c>
      <c r="D522" s="1058"/>
      <c r="E522" s="993">
        <v>30</v>
      </c>
      <c r="F522" s="994" t="s">
        <v>276</v>
      </c>
      <c r="G522" s="993">
        <v>60</v>
      </c>
      <c r="H522" s="993">
        <f t="shared" si="96"/>
        <v>56.094482819999996</v>
      </c>
      <c r="I522" s="993">
        <f t="shared" si="97"/>
        <v>1682.8344846</v>
      </c>
      <c r="J522" s="993">
        <v>45</v>
      </c>
      <c r="K522" s="996">
        <f t="shared" si="98"/>
        <v>42.070862114999997</v>
      </c>
      <c r="L522" s="996">
        <f t="shared" si="99"/>
        <v>1262.12586345</v>
      </c>
      <c r="M522" s="996">
        <f>SUM(I522,L522)</f>
        <v>2944.96034805</v>
      </c>
      <c r="N522" s="994"/>
      <c r="O522" s="973">
        <v>0.93490804699999996</v>
      </c>
      <c r="P522" s="973"/>
    </row>
    <row r="523" spans="1:18" ht="18.95" customHeight="1">
      <c r="A523" s="1091"/>
      <c r="B523" s="1149" t="s">
        <v>245</v>
      </c>
      <c r="C523" s="1239" t="s">
        <v>693</v>
      </c>
      <c r="D523" s="1058"/>
      <c r="E523" s="993">
        <v>42</v>
      </c>
      <c r="F523" s="994" t="s">
        <v>218</v>
      </c>
      <c r="G523" s="993">
        <v>30</v>
      </c>
      <c r="H523" s="993">
        <f t="shared" si="96"/>
        <v>28.047241409999998</v>
      </c>
      <c r="I523" s="993">
        <f t="shared" si="97"/>
        <v>1177.9841392199999</v>
      </c>
      <c r="J523" s="993">
        <v>28</v>
      </c>
      <c r="K523" s="996">
        <f t="shared" si="98"/>
        <v>26.177425315999997</v>
      </c>
      <c r="L523" s="996">
        <f t="shared" si="99"/>
        <v>1099.4518632719999</v>
      </c>
      <c r="M523" s="996">
        <f>SUM(I523,L523)</f>
        <v>2277.4360024919997</v>
      </c>
      <c r="N523" s="994"/>
      <c r="O523" s="973">
        <v>0.93490804699999996</v>
      </c>
      <c r="P523" s="973"/>
    </row>
    <row r="524" spans="1:18" ht="18.95" customHeight="1">
      <c r="A524" s="1091"/>
      <c r="B524" s="1149"/>
      <c r="C524" s="1239"/>
      <c r="D524" s="1058"/>
      <c r="E524" s="993"/>
      <c r="F524" s="994"/>
      <c r="G524" s="993"/>
      <c r="H524" s="993"/>
      <c r="I524" s="993"/>
      <c r="J524" s="993"/>
      <c r="K524" s="996"/>
      <c r="L524" s="996"/>
      <c r="M524" s="996"/>
      <c r="N524" s="994"/>
      <c r="O524" s="973">
        <v>0.93490804699999996</v>
      </c>
      <c r="P524" s="973"/>
    </row>
    <row r="525" spans="1:18" ht="18.95" customHeight="1">
      <c r="A525" s="1091">
        <v>7.6</v>
      </c>
      <c r="B525" s="1149" t="s">
        <v>697</v>
      </c>
      <c r="C525" s="1239"/>
      <c r="D525" s="1058"/>
      <c r="E525" s="993"/>
      <c r="F525" s="994"/>
      <c r="G525" s="993"/>
      <c r="H525" s="993"/>
      <c r="I525" s="993"/>
      <c r="J525" s="993"/>
      <c r="K525" s="996"/>
      <c r="L525" s="996"/>
      <c r="M525" s="996"/>
      <c r="N525" s="994"/>
      <c r="O525" s="973">
        <v>0.93490804699999996</v>
      </c>
      <c r="P525" s="973"/>
    </row>
    <row r="526" spans="1:18" ht="18.95" customHeight="1">
      <c r="A526" s="1091"/>
      <c r="B526" s="1149" t="s">
        <v>245</v>
      </c>
      <c r="C526" s="1239" t="s">
        <v>698</v>
      </c>
      <c r="D526" s="1058"/>
      <c r="E526" s="993" t="s">
        <v>699</v>
      </c>
      <c r="F526" s="994"/>
      <c r="G526" s="993"/>
      <c r="H526" s="993"/>
      <c r="I526" s="993"/>
      <c r="J526" s="993"/>
      <c r="K526" s="996"/>
      <c r="L526" s="996"/>
      <c r="M526" s="996"/>
      <c r="N526" s="994" t="s">
        <v>700</v>
      </c>
      <c r="O526" s="973">
        <v>0.93490804699999996</v>
      </c>
      <c r="P526" s="973"/>
    </row>
    <row r="527" spans="1:18" ht="18.95" customHeight="1">
      <c r="A527" s="1091"/>
      <c r="B527" s="1149" t="s">
        <v>245</v>
      </c>
      <c r="C527" s="1239" t="s">
        <v>701</v>
      </c>
      <c r="D527" s="1058"/>
      <c r="E527" s="993" t="s">
        <v>699</v>
      </c>
      <c r="F527" s="994"/>
      <c r="G527" s="993"/>
      <c r="H527" s="993"/>
      <c r="I527" s="993"/>
      <c r="J527" s="993"/>
      <c r="K527" s="996"/>
      <c r="L527" s="996"/>
      <c r="M527" s="996"/>
      <c r="N527" s="994" t="s">
        <v>700</v>
      </c>
      <c r="O527" s="973">
        <v>0.93490804699999996</v>
      </c>
      <c r="P527" s="973"/>
    </row>
    <row r="528" spans="1:18" ht="18.95" customHeight="1">
      <c r="A528" s="1091"/>
      <c r="B528" s="1149" t="s">
        <v>245</v>
      </c>
      <c r="C528" s="1239" t="s">
        <v>702</v>
      </c>
      <c r="D528" s="1058"/>
      <c r="E528" s="993" t="s">
        <v>699</v>
      </c>
      <c r="F528" s="994"/>
      <c r="G528" s="993"/>
      <c r="H528" s="993"/>
      <c r="I528" s="993"/>
      <c r="J528" s="993"/>
      <c r="K528" s="996"/>
      <c r="L528" s="996"/>
      <c r="M528" s="996"/>
      <c r="N528" s="994" t="s">
        <v>700</v>
      </c>
      <c r="O528" s="973">
        <v>0.93490804699999996</v>
      </c>
      <c r="P528" s="973"/>
    </row>
    <row r="529" spans="1:16" ht="18.95" customHeight="1">
      <c r="A529" s="1091"/>
      <c r="B529" s="1149" t="s">
        <v>245</v>
      </c>
      <c r="C529" s="1239" t="s">
        <v>703</v>
      </c>
      <c r="D529" s="1058"/>
      <c r="E529" s="993">
        <v>120</v>
      </c>
      <c r="F529" s="994" t="s">
        <v>348</v>
      </c>
      <c r="G529" s="993">
        <v>26</v>
      </c>
      <c r="H529" s="993">
        <f t="shared" si="96"/>
        <v>24.307609222</v>
      </c>
      <c r="I529" s="993">
        <f t="shared" si="97"/>
        <v>2916.91310664</v>
      </c>
      <c r="J529" s="993">
        <v>14</v>
      </c>
      <c r="K529" s="996">
        <f t="shared" ref="K529:K547" si="100">J529*O529</f>
        <v>13.088712657999999</v>
      </c>
      <c r="L529" s="996">
        <f t="shared" ref="L529:L547" si="101">K529*E529</f>
        <v>1570.6455189599999</v>
      </c>
      <c r="M529" s="996">
        <f>I529+L529</f>
        <v>4487.5586255999997</v>
      </c>
      <c r="N529" s="994"/>
      <c r="O529" s="973">
        <v>0.93490804699999996</v>
      </c>
      <c r="P529" s="973"/>
    </row>
    <row r="530" spans="1:16" ht="18.95" customHeight="1">
      <c r="A530" s="1091"/>
      <c r="B530" s="1149" t="s">
        <v>245</v>
      </c>
      <c r="C530" s="1239" t="s">
        <v>704</v>
      </c>
      <c r="D530" s="1058"/>
      <c r="E530" s="993">
        <v>13.2554</v>
      </c>
      <c r="F530" s="994" t="s">
        <v>276</v>
      </c>
      <c r="G530" s="993">
        <v>7275</v>
      </c>
      <c r="H530" s="993">
        <f t="shared" si="96"/>
        <v>6801.4560419250001</v>
      </c>
      <c r="I530" s="993">
        <f t="shared" si="97"/>
        <v>90156.020418132641</v>
      </c>
      <c r="J530" s="993">
        <v>2465</v>
      </c>
      <c r="K530" s="996">
        <f t="shared" si="100"/>
        <v>2304.548335855</v>
      </c>
      <c r="L530" s="996">
        <f t="shared" si="101"/>
        <v>30547.710011092367</v>
      </c>
      <c r="M530" s="996">
        <f>SUM(I530,L530)</f>
        <v>120703.730429225</v>
      </c>
      <c r="N530" s="994"/>
      <c r="O530" s="973">
        <v>0.93490804699999996</v>
      </c>
      <c r="P530" s="973"/>
    </row>
    <row r="531" spans="1:16" ht="18.95" customHeight="1">
      <c r="A531" s="1091"/>
      <c r="B531" s="1149"/>
      <c r="C531" s="1239" t="s">
        <v>705</v>
      </c>
      <c r="D531" s="1058"/>
      <c r="E531" s="993"/>
      <c r="F531" s="994"/>
      <c r="G531" s="993"/>
      <c r="H531" s="993"/>
      <c r="I531" s="993"/>
      <c r="J531" s="993"/>
      <c r="K531" s="996"/>
      <c r="L531" s="996"/>
      <c r="M531" s="996"/>
      <c r="N531" s="994"/>
      <c r="O531" s="973">
        <v>0.93490804699999996</v>
      </c>
      <c r="P531" s="973"/>
    </row>
    <row r="532" spans="1:16" ht="18.95" customHeight="1">
      <c r="A532" s="1091"/>
      <c r="B532" s="1149" t="s">
        <v>245</v>
      </c>
      <c r="C532" s="1239" t="s">
        <v>706</v>
      </c>
      <c r="D532" s="1058"/>
      <c r="E532" s="993">
        <v>20</v>
      </c>
      <c r="F532" s="994" t="s">
        <v>218</v>
      </c>
      <c r="G532" s="993">
        <v>520</v>
      </c>
      <c r="H532" s="993">
        <f t="shared" si="96"/>
        <v>486.15218443999998</v>
      </c>
      <c r="I532" s="993">
        <f t="shared" si="97"/>
        <v>9723.0436888000004</v>
      </c>
      <c r="J532" s="993">
        <v>156</v>
      </c>
      <c r="K532" s="996">
        <f t="shared" si="100"/>
        <v>145.84565533200001</v>
      </c>
      <c r="L532" s="996">
        <f t="shared" si="101"/>
        <v>2916.91310664</v>
      </c>
      <c r="M532" s="996">
        <f>SUM(I532,L532)</f>
        <v>12639.956795440001</v>
      </c>
      <c r="N532" s="994"/>
      <c r="O532" s="973">
        <v>0.93490804699999996</v>
      </c>
      <c r="P532" s="973"/>
    </row>
    <row r="533" spans="1:16" ht="18.95" customHeight="1">
      <c r="A533" s="1091"/>
      <c r="B533" s="1149" t="s">
        <v>245</v>
      </c>
      <c r="C533" s="1239" t="s">
        <v>707</v>
      </c>
      <c r="D533" s="1058"/>
      <c r="E533" s="993">
        <v>104.09099999999999</v>
      </c>
      <c r="F533" s="994" t="s">
        <v>218</v>
      </c>
      <c r="G533" s="993">
        <v>1650</v>
      </c>
      <c r="H533" s="993">
        <f t="shared" si="96"/>
        <v>1542.5982775499999</v>
      </c>
      <c r="I533" s="993">
        <f t="shared" si="97"/>
        <v>160570.59730845704</v>
      </c>
      <c r="J533" s="993">
        <v>125</v>
      </c>
      <c r="K533" s="996">
        <f t="shared" si="100"/>
        <v>116.863505875</v>
      </c>
      <c r="L533" s="996">
        <f t="shared" si="101"/>
        <v>12164.439190034624</v>
      </c>
      <c r="M533" s="996">
        <f>SUM(I533,L533)</f>
        <v>172735.03649849165</v>
      </c>
      <c r="N533" s="994"/>
      <c r="O533" s="973">
        <v>0.93490804699999996</v>
      </c>
      <c r="P533" s="973"/>
    </row>
    <row r="534" spans="1:16" ht="18.95" customHeight="1">
      <c r="A534" s="1091"/>
      <c r="B534" s="1149" t="s">
        <v>245</v>
      </c>
      <c r="C534" s="1239" t="s">
        <v>708</v>
      </c>
      <c r="D534" s="1058"/>
      <c r="E534" s="993">
        <v>190</v>
      </c>
      <c r="F534" s="994" t="s">
        <v>218</v>
      </c>
      <c r="G534" s="993">
        <v>120</v>
      </c>
      <c r="H534" s="993">
        <f t="shared" si="96"/>
        <v>112.18896563999999</v>
      </c>
      <c r="I534" s="993">
        <f t="shared" si="97"/>
        <v>21315.903471599999</v>
      </c>
      <c r="J534" s="993">
        <v>80</v>
      </c>
      <c r="K534" s="996">
        <f t="shared" si="100"/>
        <v>74.792643760000004</v>
      </c>
      <c r="L534" s="996">
        <f t="shared" si="101"/>
        <v>14210.602314400001</v>
      </c>
      <c r="M534" s="996">
        <f>SUM(I534,L534)</f>
        <v>35526.505786000002</v>
      </c>
      <c r="N534" s="994"/>
      <c r="O534" s="973">
        <v>0.93490804699999996</v>
      </c>
      <c r="P534" s="973"/>
    </row>
    <row r="535" spans="1:16" ht="18.95" customHeight="1">
      <c r="A535" s="1091">
        <v>7.7</v>
      </c>
      <c r="B535" s="1149" t="s">
        <v>709</v>
      </c>
      <c r="C535" s="1239"/>
      <c r="D535" s="1058"/>
      <c r="E535" s="993"/>
      <c r="F535" s="994"/>
      <c r="G535" s="993"/>
      <c r="H535" s="993"/>
      <c r="I535" s="993"/>
      <c r="J535" s="993"/>
      <c r="K535" s="996"/>
      <c r="L535" s="996"/>
      <c r="M535" s="996"/>
      <c r="N535" s="994"/>
      <c r="O535" s="973">
        <v>0.93490804699999996</v>
      </c>
      <c r="P535" s="973"/>
    </row>
    <row r="536" spans="1:16" ht="18.95" customHeight="1">
      <c r="A536" s="1091"/>
      <c r="B536" s="1149" t="s">
        <v>245</v>
      </c>
      <c r="C536" s="1239" t="s">
        <v>710</v>
      </c>
      <c r="D536" s="1058"/>
      <c r="E536" s="993">
        <v>1</v>
      </c>
      <c r="F536" s="994" t="s">
        <v>402</v>
      </c>
      <c r="G536" s="993">
        <v>18000</v>
      </c>
      <c r="H536" s="993">
        <f t="shared" si="96"/>
        <v>16828.344846</v>
      </c>
      <c r="I536" s="993">
        <f t="shared" si="97"/>
        <v>16828.344846</v>
      </c>
      <c r="J536" s="993">
        <v>0</v>
      </c>
      <c r="K536" s="996">
        <f t="shared" si="100"/>
        <v>0</v>
      </c>
      <c r="L536" s="996">
        <f t="shared" si="101"/>
        <v>0</v>
      </c>
      <c r="M536" s="996">
        <f>SUM(I536,L536)</f>
        <v>16828.344846</v>
      </c>
      <c r="N536" s="994"/>
      <c r="O536" s="973">
        <v>0.93490804699999996</v>
      </c>
      <c r="P536" s="973"/>
    </row>
    <row r="537" spans="1:16" ht="18.95" customHeight="1">
      <c r="A537" s="1091"/>
      <c r="B537" s="1149" t="s">
        <v>245</v>
      </c>
      <c r="C537" s="1239" t="s">
        <v>711</v>
      </c>
      <c r="D537" s="1058"/>
      <c r="E537" s="993">
        <v>1</v>
      </c>
      <c r="F537" s="994" t="s">
        <v>402</v>
      </c>
      <c r="G537" s="993">
        <v>25000</v>
      </c>
      <c r="H537" s="993">
        <f t="shared" si="96"/>
        <v>23372.701174999998</v>
      </c>
      <c r="I537" s="993">
        <f>H537*E537</f>
        <v>23372.701174999998</v>
      </c>
      <c r="J537" s="993">
        <v>0</v>
      </c>
      <c r="K537" s="996">
        <f t="shared" si="100"/>
        <v>0</v>
      </c>
      <c r="L537" s="996">
        <f t="shared" si="101"/>
        <v>0</v>
      </c>
      <c r="M537" s="996">
        <f>SUM(I537,L537)</f>
        <v>23372.701174999998</v>
      </c>
      <c r="N537" s="994"/>
      <c r="O537" s="973">
        <v>0.93490804699999996</v>
      </c>
      <c r="P537" s="973"/>
    </row>
    <row r="538" spans="1:16" ht="18.95" customHeight="1">
      <c r="A538" s="1091">
        <v>7.8</v>
      </c>
      <c r="B538" s="1149" t="s">
        <v>712</v>
      </c>
      <c r="C538" s="1239"/>
      <c r="D538" s="1058"/>
      <c r="E538" s="993"/>
      <c r="F538" s="994"/>
      <c r="G538" s="993"/>
      <c r="H538" s="993"/>
      <c r="I538" s="993"/>
      <c r="J538" s="993"/>
      <c r="K538" s="996"/>
      <c r="L538" s="996"/>
      <c r="M538" s="996"/>
      <c r="N538" s="994"/>
      <c r="O538" s="973">
        <v>0.93490804699999996</v>
      </c>
      <c r="P538" s="973"/>
    </row>
    <row r="539" spans="1:16" ht="18.95" customHeight="1">
      <c r="A539" s="1091"/>
      <c r="B539" s="1149" t="s">
        <v>245</v>
      </c>
      <c r="C539" s="1239" t="s">
        <v>713</v>
      </c>
      <c r="D539" s="1058"/>
      <c r="E539" s="993" t="s">
        <v>714</v>
      </c>
      <c r="F539" s="994"/>
      <c r="G539" s="993"/>
      <c r="H539" s="993"/>
      <c r="I539" s="993"/>
      <c r="J539" s="993"/>
      <c r="K539" s="996"/>
      <c r="L539" s="996"/>
      <c r="M539" s="996"/>
      <c r="N539" s="994" t="s">
        <v>715</v>
      </c>
      <c r="O539" s="973">
        <v>0.93490804699999996</v>
      </c>
      <c r="P539" s="973"/>
    </row>
    <row r="540" spans="1:16" ht="18.95" customHeight="1">
      <c r="A540" s="1091"/>
      <c r="B540" s="1149" t="s">
        <v>245</v>
      </c>
      <c r="C540" s="1239" t="s">
        <v>716</v>
      </c>
      <c r="D540" s="1058"/>
      <c r="E540" s="993">
        <v>275</v>
      </c>
      <c r="F540" s="994" t="s">
        <v>218</v>
      </c>
      <c r="G540" s="993">
        <v>6500</v>
      </c>
      <c r="H540" s="993">
        <f t="shared" si="96"/>
        <v>6076.9023054999998</v>
      </c>
      <c r="I540" s="993">
        <f>H540*E540</f>
        <v>1671148.1340124998</v>
      </c>
      <c r="J540" s="993">
        <v>2400</v>
      </c>
      <c r="K540" s="996">
        <f t="shared" si="100"/>
        <v>2243.7793127999998</v>
      </c>
      <c r="L540" s="996">
        <f t="shared" si="101"/>
        <v>617039.31101999991</v>
      </c>
      <c r="M540" s="996">
        <f>SUM(I540,L540)</f>
        <v>2288187.4450324997</v>
      </c>
      <c r="N540" s="994"/>
      <c r="O540" s="973">
        <v>0.93490804699999996</v>
      </c>
      <c r="P540" s="973"/>
    </row>
    <row r="541" spans="1:16" ht="18.95" customHeight="1">
      <c r="A541" s="1091"/>
      <c r="B541" s="1149"/>
      <c r="C541" s="1239" t="s">
        <v>717</v>
      </c>
      <c r="D541" s="1058"/>
      <c r="E541" s="993"/>
      <c r="F541" s="994"/>
      <c r="G541" s="993"/>
      <c r="H541" s="993"/>
      <c r="I541" s="993"/>
      <c r="J541" s="993"/>
      <c r="K541" s="996"/>
      <c r="L541" s="996"/>
      <c r="M541" s="996"/>
      <c r="N541" s="994"/>
      <c r="O541" s="973">
        <v>0.93490804699999996</v>
      </c>
      <c r="P541" s="973"/>
    </row>
    <row r="542" spans="1:16" ht="18.95" customHeight="1">
      <c r="A542" s="1091"/>
      <c r="B542" s="1149" t="s">
        <v>245</v>
      </c>
      <c r="C542" s="1239" t="s">
        <v>718</v>
      </c>
      <c r="D542" s="1058"/>
      <c r="E542" s="993">
        <v>24.15</v>
      </c>
      <c r="F542" s="994" t="s">
        <v>218</v>
      </c>
      <c r="G542" s="993">
        <v>6700</v>
      </c>
      <c r="H542" s="993">
        <f t="shared" si="96"/>
        <v>6263.8839148999996</v>
      </c>
      <c r="I542" s="993">
        <f t="shared" ref="I542:I547" si="102">H542*E542</f>
        <v>151272.79654483497</v>
      </c>
      <c r="J542" s="993">
        <v>2400</v>
      </c>
      <c r="K542" s="996">
        <f t="shared" si="100"/>
        <v>2243.7793127999998</v>
      </c>
      <c r="L542" s="996">
        <f t="shared" si="101"/>
        <v>54187.27040411999</v>
      </c>
      <c r="M542" s="996">
        <f>SUM(I542,L542)</f>
        <v>205460.06694895495</v>
      </c>
      <c r="N542" s="994"/>
      <c r="O542" s="973">
        <v>0.93490804699999996</v>
      </c>
      <c r="P542" s="973"/>
    </row>
    <row r="543" spans="1:16" ht="18.95" customHeight="1">
      <c r="A543" s="1091"/>
      <c r="B543" s="1149"/>
      <c r="C543" s="1239" t="s">
        <v>719</v>
      </c>
      <c r="D543" s="1058"/>
      <c r="E543" s="993"/>
      <c r="F543" s="994"/>
      <c r="G543" s="993"/>
      <c r="H543" s="993"/>
      <c r="I543" s="993"/>
      <c r="J543" s="993"/>
      <c r="K543" s="996"/>
      <c r="L543" s="996"/>
      <c r="M543" s="996"/>
      <c r="N543" s="994"/>
      <c r="O543" s="973">
        <v>0.93490804699999996</v>
      </c>
      <c r="P543" s="973"/>
    </row>
    <row r="544" spans="1:16" ht="18.95" customHeight="1">
      <c r="A544" s="1091"/>
      <c r="B544" s="1149" t="s">
        <v>245</v>
      </c>
      <c r="C544" s="1239" t="s">
        <v>720</v>
      </c>
      <c r="D544" s="1058"/>
      <c r="E544" s="993">
        <v>3.2</v>
      </c>
      <c r="F544" s="994" t="s">
        <v>276</v>
      </c>
      <c r="G544" s="993">
        <v>1500</v>
      </c>
      <c r="H544" s="993">
        <f t="shared" si="96"/>
        <v>1402.3620704999998</v>
      </c>
      <c r="I544" s="993">
        <f t="shared" si="102"/>
        <v>4487.5586255999997</v>
      </c>
      <c r="J544" s="993">
        <v>200</v>
      </c>
      <c r="K544" s="996">
        <f t="shared" si="100"/>
        <v>186.9816094</v>
      </c>
      <c r="L544" s="996">
        <f t="shared" si="101"/>
        <v>598.34115008000003</v>
      </c>
      <c r="M544" s="996">
        <f>SUM(I544,L544)</f>
        <v>5085.8997756799999</v>
      </c>
      <c r="N544" s="994"/>
      <c r="O544" s="973">
        <v>0.93490804699999996</v>
      </c>
      <c r="P544" s="973"/>
    </row>
    <row r="545" spans="1:16" ht="18.95" customHeight="1">
      <c r="A545" s="1091"/>
      <c r="B545" s="1149" t="s">
        <v>245</v>
      </c>
      <c r="C545" s="1239" t="s">
        <v>721</v>
      </c>
      <c r="D545" s="1058"/>
      <c r="E545" s="993">
        <v>76.584600000000009</v>
      </c>
      <c r="F545" s="994" t="s">
        <v>348</v>
      </c>
      <c r="G545" s="993">
        <v>25</v>
      </c>
      <c r="H545" s="993">
        <f t="shared" si="96"/>
        <v>23.372701175</v>
      </c>
      <c r="I545" s="993">
        <f t="shared" si="102"/>
        <v>1789.9889704069051</v>
      </c>
      <c r="J545" s="993">
        <v>14</v>
      </c>
      <c r="K545" s="996">
        <f t="shared" si="100"/>
        <v>13.088712657999999</v>
      </c>
      <c r="L545" s="996">
        <f t="shared" si="101"/>
        <v>1002.3938234278668</v>
      </c>
      <c r="M545" s="996">
        <f>SUM(I545,L545)</f>
        <v>2792.3827938347717</v>
      </c>
      <c r="N545" s="994"/>
      <c r="O545" s="973">
        <v>0.93490804699999996</v>
      </c>
      <c r="P545" s="973"/>
    </row>
    <row r="546" spans="1:16" ht="18.95" customHeight="1">
      <c r="A546" s="1091"/>
      <c r="B546" s="1149" t="s">
        <v>245</v>
      </c>
      <c r="C546" s="1239" t="s">
        <v>722</v>
      </c>
      <c r="D546" s="1058"/>
      <c r="E546" s="993">
        <v>95.199999999999989</v>
      </c>
      <c r="F546" s="994" t="s">
        <v>218</v>
      </c>
      <c r="G546" s="993">
        <v>1100</v>
      </c>
      <c r="H546" s="993">
        <f t="shared" si="96"/>
        <v>1028.3988517</v>
      </c>
      <c r="I546" s="993">
        <f t="shared" si="102"/>
        <v>97903.570681839992</v>
      </c>
      <c r="J546" s="993">
        <v>200</v>
      </c>
      <c r="K546" s="996">
        <f t="shared" si="100"/>
        <v>186.9816094</v>
      </c>
      <c r="L546" s="996">
        <f t="shared" si="101"/>
        <v>17800.649214879999</v>
      </c>
      <c r="M546" s="996">
        <f>SUM(I546,L546)</f>
        <v>115704.21989671999</v>
      </c>
      <c r="N546" s="994"/>
      <c r="O546" s="973">
        <v>0.93490804699999996</v>
      </c>
      <c r="P546" s="973"/>
    </row>
    <row r="547" spans="1:16" ht="18.95" customHeight="1">
      <c r="A547" s="1091"/>
      <c r="B547" s="1149" t="s">
        <v>245</v>
      </c>
      <c r="C547" s="1239" t="s">
        <v>708</v>
      </c>
      <c r="D547" s="1058"/>
      <c r="E547" s="993">
        <v>120.66</v>
      </c>
      <c r="F547" s="994" t="s">
        <v>218</v>
      </c>
      <c r="G547" s="993">
        <v>120</v>
      </c>
      <c r="H547" s="993">
        <f t="shared" si="96"/>
        <v>112.18896563999999</v>
      </c>
      <c r="I547" s="993">
        <f t="shared" si="102"/>
        <v>13536.720594122398</v>
      </c>
      <c r="J547" s="993">
        <v>80</v>
      </c>
      <c r="K547" s="996">
        <f t="shared" si="100"/>
        <v>74.792643760000004</v>
      </c>
      <c r="L547" s="996">
        <f t="shared" si="101"/>
        <v>9024.4803960816007</v>
      </c>
      <c r="M547" s="996">
        <f>SUM(I547,L547)</f>
        <v>22561.200990204001</v>
      </c>
      <c r="N547" s="994"/>
      <c r="O547" s="973">
        <v>0.93490804699999996</v>
      </c>
      <c r="P547" s="973"/>
    </row>
    <row r="548" spans="1:16" ht="18.95" customHeight="1">
      <c r="A548" s="1091"/>
      <c r="B548" s="1149"/>
      <c r="C548" s="1239"/>
      <c r="D548" s="1058"/>
      <c r="E548" s="993"/>
      <c r="F548" s="994"/>
      <c r="G548" s="993"/>
      <c r="H548" s="993"/>
      <c r="I548" s="993"/>
      <c r="J548" s="993"/>
      <c r="K548" s="996"/>
      <c r="L548" s="996"/>
      <c r="M548" s="996"/>
      <c r="N548" s="994"/>
      <c r="O548" s="973">
        <v>0.93490804699999996</v>
      </c>
      <c r="P548" s="973"/>
    </row>
    <row r="549" spans="1:16" ht="18.95" customHeight="1">
      <c r="A549" s="1091"/>
      <c r="B549" s="1149"/>
      <c r="C549" s="1239"/>
      <c r="D549" s="1058"/>
      <c r="E549" s="993"/>
      <c r="F549" s="994"/>
      <c r="G549" s="993"/>
      <c r="H549" s="993"/>
      <c r="I549" s="993"/>
      <c r="J549" s="993"/>
      <c r="K549" s="996"/>
      <c r="L549" s="996"/>
      <c r="M549" s="996">
        <f>SUM(M500:M548)</f>
        <v>3535107.7026058016</v>
      </c>
      <c r="N549" s="994"/>
      <c r="O549" s="973">
        <v>0.93490804699999996</v>
      </c>
      <c r="P549" s="973"/>
    </row>
    <row r="550" spans="1:16" ht="18.95" customHeight="1">
      <c r="A550" s="1091"/>
      <c r="B550" s="1149"/>
      <c r="C550" s="1239"/>
      <c r="D550" s="1058"/>
      <c r="E550" s="993"/>
      <c r="F550" s="994"/>
      <c r="G550" s="993"/>
      <c r="H550" s="993"/>
      <c r="I550" s="993"/>
      <c r="J550" s="993"/>
      <c r="K550" s="996"/>
      <c r="L550" s="996"/>
      <c r="M550" s="996"/>
      <c r="N550" s="994"/>
      <c r="O550" s="973">
        <v>0.93490804699999996</v>
      </c>
      <c r="P550" s="973"/>
    </row>
    <row r="551" spans="1:16" ht="18.95" customHeight="1">
      <c r="A551" s="1091"/>
      <c r="B551" s="1149"/>
      <c r="C551" s="1239"/>
      <c r="D551" s="1058"/>
      <c r="E551" s="993"/>
      <c r="F551" s="994"/>
      <c r="G551" s="993"/>
      <c r="H551" s="993"/>
      <c r="I551" s="993"/>
      <c r="J551" s="993"/>
      <c r="K551" s="996"/>
      <c r="L551" s="996"/>
      <c r="M551" s="996"/>
      <c r="N551" s="994"/>
      <c r="O551" s="973">
        <v>0.93490804699999996</v>
      </c>
      <c r="P551" s="973"/>
    </row>
    <row r="552" spans="1:16" ht="18.95" customHeight="1">
      <c r="A552" s="1091"/>
      <c r="B552" s="1149"/>
      <c r="C552" s="1239"/>
      <c r="D552" s="1058"/>
      <c r="E552" s="993"/>
      <c r="F552" s="994"/>
      <c r="G552" s="993"/>
      <c r="H552" s="993"/>
      <c r="I552" s="993"/>
      <c r="J552" s="993"/>
      <c r="K552" s="996"/>
      <c r="L552" s="996"/>
      <c r="M552" s="996"/>
      <c r="N552" s="994"/>
      <c r="O552" s="973">
        <v>0.93490804699999996</v>
      </c>
      <c r="P552" s="973"/>
    </row>
    <row r="553" spans="1:16" ht="18.95" customHeight="1">
      <c r="A553" s="1091">
        <v>8</v>
      </c>
      <c r="B553" s="1149" t="s">
        <v>212</v>
      </c>
      <c r="C553" s="1239"/>
      <c r="D553" s="1058"/>
      <c r="E553" s="993"/>
      <c r="F553" s="994"/>
      <c r="G553" s="993"/>
      <c r="H553" s="993"/>
      <c r="I553" s="993"/>
      <c r="J553" s="993"/>
      <c r="K553" s="996"/>
      <c r="L553" s="996"/>
      <c r="M553" s="996"/>
      <c r="N553" s="994"/>
      <c r="O553" s="973">
        <v>0.93490804699999996</v>
      </c>
      <c r="P553" s="973"/>
    </row>
    <row r="554" spans="1:16" ht="18.95" customHeight="1">
      <c r="A554" s="1091"/>
      <c r="B554" s="1149"/>
      <c r="C554" s="1239"/>
      <c r="D554" s="1058"/>
      <c r="E554" s="993"/>
      <c r="F554" s="994"/>
      <c r="G554" s="993"/>
      <c r="H554" s="993"/>
      <c r="I554" s="993"/>
      <c r="J554" s="993"/>
      <c r="K554" s="996"/>
      <c r="L554" s="996"/>
      <c r="M554" s="996"/>
      <c r="N554" s="994"/>
      <c r="O554" s="973">
        <v>0.93490804699999996</v>
      </c>
      <c r="P554" s="973"/>
    </row>
    <row r="555" spans="1:16" ht="18.95" customHeight="1">
      <c r="A555" s="1091">
        <v>8.1</v>
      </c>
      <c r="B555" s="1149" t="s">
        <v>723</v>
      </c>
      <c r="C555" s="1239"/>
      <c r="D555" s="1058"/>
      <c r="E555" s="993"/>
      <c r="F555" s="994"/>
      <c r="G555" s="993"/>
      <c r="H555" s="993"/>
      <c r="I555" s="993"/>
      <c r="J555" s="993"/>
      <c r="K555" s="996"/>
      <c r="L555" s="996"/>
      <c r="M555" s="996"/>
      <c r="N555" s="994"/>
      <c r="O555" s="973">
        <v>0.93490804699999996</v>
      </c>
      <c r="P555" s="973"/>
    </row>
    <row r="556" spans="1:16" ht="18.95" customHeight="1">
      <c r="A556" s="1091"/>
      <c r="B556" s="1149" t="s">
        <v>245</v>
      </c>
      <c r="C556" s="1239" t="s">
        <v>724</v>
      </c>
      <c r="D556" s="1058"/>
      <c r="E556" s="993">
        <v>775.8</v>
      </c>
      <c r="F556" s="994" t="s">
        <v>218</v>
      </c>
      <c r="G556" s="993">
        <v>450</v>
      </c>
      <c r="H556" s="993">
        <f t="shared" si="96"/>
        <v>420.70862115</v>
      </c>
      <c r="I556" s="993">
        <f>H556*E556</f>
        <v>326385.74828816997</v>
      </c>
      <c r="J556" s="993">
        <v>100</v>
      </c>
      <c r="K556" s="996">
        <f t="shared" ref="K556:K578" si="103">J556*O556</f>
        <v>93.490804699999998</v>
      </c>
      <c r="L556" s="996">
        <f>K556*E556</f>
        <v>72530.166286259991</v>
      </c>
      <c r="M556" s="996">
        <f>SUM(I556,L556)</f>
        <v>398915.91457442997</v>
      </c>
      <c r="N556" s="994"/>
      <c r="O556" s="973">
        <v>0.93490804699999996</v>
      </c>
      <c r="P556" s="973"/>
    </row>
    <row r="557" spans="1:16" ht="18.95" customHeight="1">
      <c r="A557" s="1091"/>
      <c r="B557" s="1149" t="s">
        <v>245</v>
      </c>
      <c r="C557" s="1239" t="s">
        <v>725</v>
      </c>
      <c r="D557" s="1058"/>
      <c r="E557" s="993">
        <v>86.376000000000005</v>
      </c>
      <c r="F557" s="994" t="s">
        <v>218</v>
      </c>
      <c r="G557" s="993">
        <v>1150</v>
      </c>
      <c r="H557" s="993">
        <f t="shared" si="96"/>
        <v>1075.14425405</v>
      </c>
      <c r="I557" s="993">
        <f t="shared" ref="I557:I562" si="104">H557*E557</f>
        <v>92866.660087822806</v>
      </c>
      <c r="J557" s="993">
        <v>100</v>
      </c>
      <c r="K557" s="996">
        <f t="shared" si="103"/>
        <v>93.490804699999998</v>
      </c>
      <c r="L557" s="996">
        <f t="shared" ref="L557:L562" si="105">K557*E557</f>
        <v>8075.3617467672002</v>
      </c>
      <c r="M557" s="996">
        <f>SUM(I557,L557)</f>
        <v>100942.02183459001</v>
      </c>
      <c r="N557" s="994"/>
      <c r="O557" s="973">
        <v>0.93490804699999996</v>
      </c>
      <c r="P557" s="973"/>
    </row>
    <row r="558" spans="1:16" ht="18.95" customHeight="1">
      <c r="A558" s="1091"/>
      <c r="B558" s="1149"/>
      <c r="C558" s="1239" t="s">
        <v>726</v>
      </c>
      <c r="D558" s="1058"/>
      <c r="E558" s="993"/>
      <c r="F558" s="994"/>
      <c r="G558" s="993"/>
      <c r="H558" s="993"/>
      <c r="I558" s="993"/>
      <c r="J558" s="993"/>
      <c r="K558" s="996"/>
      <c r="L558" s="996"/>
      <c r="M558" s="996"/>
      <c r="N558" s="994"/>
      <c r="O558" s="973">
        <v>0.93490804699999996</v>
      </c>
      <c r="P558" s="973"/>
    </row>
    <row r="559" spans="1:16" ht="18.95" customHeight="1">
      <c r="A559" s="1091"/>
      <c r="B559" s="1149" t="s">
        <v>245</v>
      </c>
      <c r="C559" s="1239" t="s">
        <v>727</v>
      </c>
      <c r="D559" s="1058"/>
      <c r="E559" s="993">
        <v>216</v>
      </c>
      <c r="F559" s="994" t="s">
        <v>218</v>
      </c>
      <c r="G559" s="993">
        <v>6830</v>
      </c>
      <c r="H559" s="993">
        <f t="shared" ref="H559:H620" si="106">G559*O559</f>
        <v>6385.4219610099999</v>
      </c>
      <c r="I559" s="993">
        <f t="shared" si="104"/>
        <v>1379251.1435781601</v>
      </c>
      <c r="J559" s="993">
        <v>2400</v>
      </c>
      <c r="K559" s="996">
        <f t="shared" si="103"/>
        <v>2243.7793127999998</v>
      </c>
      <c r="L559" s="996">
        <f t="shared" si="105"/>
        <v>484656.33156479994</v>
      </c>
      <c r="M559" s="996">
        <f>SUM(I559,L559)</f>
        <v>1863907.47514296</v>
      </c>
      <c r="N559" s="994"/>
      <c r="O559" s="973">
        <v>0.93490804699999996</v>
      </c>
      <c r="P559" s="973"/>
    </row>
    <row r="560" spans="1:16" ht="18.95" customHeight="1">
      <c r="A560" s="1091"/>
      <c r="B560" s="1149" t="s">
        <v>245</v>
      </c>
      <c r="C560" s="1239" t="s">
        <v>728</v>
      </c>
      <c r="D560" s="1058"/>
      <c r="E560" s="993">
        <v>67</v>
      </c>
      <c r="F560" s="994" t="s">
        <v>276</v>
      </c>
      <c r="G560" s="993">
        <v>250</v>
      </c>
      <c r="H560" s="993">
        <f t="shared" si="106"/>
        <v>233.72701175</v>
      </c>
      <c r="I560" s="993">
        <f t="shared" si="104"/>
        <v>15659.70978725</v>
      </c>
      <c r="J560" s="993">
        <v>50</v>
      </c>
      <c r="K560" s="996">
        <f t="shared" si="103"/>
        <v>46.745402349999999</v>
      </c>
      <c r="L560" s="996">
        <f t="shared" si="105"/>
        <v>3131.9419574499998</v>
      </c>
      <c r="M560" s="996">
        <f>SUM(I560,L560)</f>
        <v>18791.651744700001</v>
      </c>
      <c r="N560" s="994"/>
      <c r="O560" s="973">
        <v>0.93490804699999996</v>
      </c>
      <c r="P560" s="973"/>
    </row>
    <row r="561" spans="1:16" ht="18.95" customHeight="1">
      <c r="A561" s="1091"/>
      <c r="B561" s="1149" t="s">
        <v>245</v>
      </c>
      <c r="C561" s="1239" t="s">
        <v>729</v>
      </c>
      <c r="D561" s="1058"/>
      <c r="E561" s="993">
        <v>67</v>
      </c>
      <c r="F561" s="994" t="s">
        <v>276</v>
      </c>
      <c r="G561" s="993">
        <v>250</v>
      </c>
      <c r="H561" s="993">
        <f t="shared" si="106"/>
        <v>233.72701175</v>
      </c>
      <c r="I561" s="993">
        <f t="shared" si="104"/>
        <v>15659.70978725</v>
      </c>
      <c r="J561" s="993">
        <v>50</v>
      </c>
      <c r="K561" s="996">
        <f t="shared" si="103"/>
        <v>46.745402349999999</v>
      </c>
      <c r="L561" s="996">
        <f t="shared" si="105"/>
        <v>3131.9419574499998</v>
      </c>
      <c r="M561" s="996">
        <f>SUM(I561,L561)</f>
        <v>18791.651744700001</v>
      </c>
      <c r="N561" s="994"/>
      <c r="O561" s="973">
        <v>0.93490804699999996</v>
      </c>
      <c r="P561" s="973"/>
    </row>
    <row r="562" spans="1:16" ht="18.95" customHeight="1">
      <c r="A562" s="1091"/>
      <c r="B562" s="1149" t="s">
        <v>245</v>
      </c>
      <c r="C562" s="1239" t="s">
        <v>730</v>
      </c>
      <c r="D562" s="1058"/>
      <c r="E562" s="993">
        <v>20.8</v>
      </c>
      <c r="F562" s="994" t="s">
        <v>276</v>
      </c>
      <c r="G562" s="993">
        <v>250</v>
      </c>
      <c r="H562" s="993">
        <f t="shared" si="106"/>
        <v>233.72701175</v>
      </c>
      <c r="I562" s="993">
        <f t="shared" si="104"/>
        <v>4861.5218444000002</v>
      </c>
      <c r="J562" s="993">
        <v>50</v>
      </c>
      <c r="K562" s="996">
        <f t="shared" si="103"/>
        <v>46.745402349999999</v>
      </c>
      <c r="L562" s="996">
        <f t="shared" si="105"/>
        <v>972.30436887999997</v>
      </c>
      <c r="M562" s="996">
        <f>SUM(I562,L562)</f>
        <v>5833.82621328</v>
      </c>
      <c r="N562" s="994"/>
      <c r="O562" s="973">
        <v>0.93490804699999996</v>
      </c>
      <c r="P562" s="973"/>
    </row>
    <row r="563" spans="1:16" ht="18.95" customHeight="1">
      <c r="A563" s="1091"/>
      <c r="B563" s="1149" t="s">
        <v>245</v>
      </c>
      <c r="C563" s="1239" t="s">
        <v>731</v>
      </c>
      <c r="D563" s="1058"/>
      <c r="E563" s="993" t="s">
        <v>732</v>
      </c>
      <c r="F563" s="994"/>
      <c r="G563" s="993"/>
      <c r="H563" s="993"/>
      <c r="I563" s="993"/>
      <c r="J563" s="993"/>
      <c r="K563" s="996"/>
      <c r="L563" s="996"/>
      <c r="M563" s="996"/>
      <c r="N563" s="994" t="s">
        <v>733</v>
      </c>
      <c r="O563" s="973">
        <v>0.93490804699999996</v>
      </c>
      <c r="P563" s="973"/>
    </row>
    <row r="564" spans="1:16" ht="18.95" customHeight="1">
      <c r="A564" s="1091"/>
      <c r="B564" s="1149" t="s">
        <v>245</v>
      </c>
      <c r="C564" s="1239" t="s">
        <v>734</v>
      </c>
      <c r="D564" s="1058"/>
      <c r="E564" s="993" t="s">
        <v>732</v>
      </c>
      <c r="F564" s="994"/>
      <c r="G564" s="993"/>
      <c r="H564" s="993"/>
      <c r="I564" s="993"/>
      <c r="J564" s="993"/>
      <c r="K564" s="996"/>
      <c r="L564" s="996"/>
      <c r="M564" s="996"/>
      <c r="N564" s="994" t="s">
        <v>733</v>
      </c>
      <c r="O564" s="973">
        <v>0.93490804699999996</v>
      </c>
      <c r="P564" s="973"/>
    </row>
    <row r="565" spans="1:16" ht="18.95" customHeight="1">
      <c r="A565" s="1091"/>
      <c r="B565" s="1149" t="s">
        <v>245</v>
      </c>
      <c r="C565" s="1239" t="s">
        <v>735</v>
      </c>
      <c r="D565" s="1058"/>
      <c r="E565" s="993" t="s">
        <v>736</v>
      </c>
      <c r="F565" s="994"/>
      <c r="G565" s="993"/>
      <c r="H565" s="993"/>
      <c r="I565" s="993"/>
      <c r="J565" s="993"/>
      <c r="K565" s="996"/>
      <c r="L565" s="996"/>
      <c r="M565" s="996"/>
      <c r="N565" s="994"/>
      <c r="O565" s="973">
        <v>0.93490804699999996</v>
      </c>
      <c r="P565" s="973"/>
    </row>
    <row r="566" spans="1:16" ht="18.95" customHeight="1">
      <c r="A566" s="1091"/>
      <c r="B566" s="1149" t="s">
        <v>245</v>
      </c>
      <c r="C566" s="1239" t="s">
        <v>737</v>
      </c>
      <c r="D566" s="1058"/>
      <c r="E566" s="993" t="s">
        <v>738</v>
      </c>
      <c r="F566" s="994"/>
      <c r="G566" s="993"/>
      <c r="H566" s="993"/>
      <c r="I566" s="993"/>
      <c r="J566" s="993"/>
      <c r="K566" s="996"/>
      <c r="L566" s="996"/>
      <c r="M566" s="996"/>
      <c r="N566" s="994"/>
      <c r="O566" s="973">
        <v>0.93490804699999996</v>
      </c>
      <c r="P566" s="973"/>
    </row>
    <row r="567" spans="1:16" ht="18.95" customHeight="1">
      <c r="A567" s="1091"/>
      <c r="B567" s="1149" t="s">
        <v>245</v>
      </c>
      <c r="C567" s="1239" t="s">
        <v>739</v>
      </c>
      <c r="D567" s="1058"/>
      <c r="E567" s="993" t="s">
        <v>732</v>
      </c>
      <c r="F567" s="994"/>
      <c r="G567" s="993"/>
      <c r="H567" s="993"/>
      <c r="I567" s="993"/>
      <c r="J567" s="993"/>
      <c r="K567" s="996"/>
      <c r="L567" s="996"/>
      <c r="M567" s="996"/>
      <c r="N567" s="994"/>
      <c r="O567" s="973">
        <v>0.93490804699999996</v>
      </c>
      <c r="P567" s="973"/>
    </row>
    <row r="568" spans="1:16" ht="18.95" customHeight="1">
      <c r="A568" s="1091"/>
      <c r="B568" s="1149" t="s">
        <v>245</v>
      </c>
      <c r="C568" s="1239" t="s">
        <v>739</v>
      </c>
      <c r="D568" s="1058"/>
      <c r="E568" s="993">
        <v>140.4</v>
      </c>
      <c r="F568" s="994" t="s">
        <v>276</v>
      </c>
      <c r="G568" s="993">
        <v>330</v>
      </c>
      <c r="H568" s="993">
        <f t="shared" si="106"/>
        <v>308.51965551000001</v>
      </c>
      <c r="I568" s="993">
        <f t="shared" ref="I568" si="107">H568*E568</f>
        <v>43316.159633604002</v>
      </c>
      <c r="J568" s="993">
        <v>25</v>
      </c>
      <c r="K568" s="996">
        <f t="shared" si="103"/>
        <v>23.372701175</v>
      </c>
      <c r="L568" s="996">
        <f t="shared" ref="L568" si="108">K568*E568</f>
        <v>3281.5272449700001</v>
      </c>
      <c r="M568" s="996">
        <f>SUM(I568,L568)</f>
        <v>46597.686878574001</v>
      </c>
      <c r="N568" s="994"/>
      <c r="O568" s="973">
        <v>0.93490804699999996</v>
      </c>
      <c r="P568" s="973"/>
    </row>
    <row r="569" spans="1:16" ht="18.95" customHeight="1">
      <c r="A569" s="1091">
        <v>8.1999999999999993</v>
      </c>
      <c r="B569" s="1149" t="s">
        <v>740</v>
      </c>
      <c r="C569" s="1239"/>
      <c r="D569" s="1058"/>
      <c r="E569" s="993"/>
      <c r="F569" s="994"/>
      <c r="G569" s="993"/>
      <c r="H569" s="993"/>
      <c r="I569" s="993"/>
      <c r="J569" s="993"/>
      <c r="K569" s="996"/>
      <c r="L569" s="996"/>
      <c r="M569" s="996"/>
      <c r="N569" s="994"/>
      <c r="O569" s="973">
        <v>0.93490804699999996</v>
      </c>
      <c r="P569" s="973"/>
    </row>
    <row r="570" spans="1:16" ht="18.95" customHeight="1">
      <c r="A570" s="1091"/>
      <c r="B570" s="1149" t="s">
        <v>245</v>
      </c>
      <c r="C570" s="1239" t="s">
        <v>741</v>
      </c>
      <c r="D570" s="1058"/>
      <c r="E570" s="993" t="s">
        <v>732</v>
      </c>
      <c r="F570" s="994"/>
      <c r="G570" s="993"/>
      <c r="H570" s="993"/>
      <c r="I570" s="993"/>
      <c r="J570" s="993"/>
      <c r="K570" s="996"/>
      <c r="L570" s="996"/>
      <c r="M570" s="996"/>
      <c r="N570" s="994" t="s">
        <v>733</v>
      </c>
      <c r="O570" s="973">
        <v>0.93490804699999996</v>
      </c>
      <c r="P570" s="973"/>
    </row>
    <row r="571" spans="1:16" ht="18.95" customHeight="1">
      <c r="A571" s="1091"/>
      <c r="B571" s="1149" t="s">
        <v>245</v>
      </c>
      <c r="C571" s="1239" t="s">
        <v>742</v>
      </c>
      <c r="D571" s="1058"/>
      <c r="E571" s="993" t="s">
        <v>732</v>
      </c>
      <c r="F571" s="994"/>
      <c r="G571" s="993"/>
      <c r="H571" s="993"/>
      <c r="I571" s="993"/>
      <c r="J571" s="993"/>
      <c r="K571" s="996"/>
      <c r="L571" s="996"/>
      <c r="M571" s="996"/>
      <c r="N571" s="994" t="s">
        <v>733</v>
      </c>
      <c r="O571" s="973">
        <v>0.93490804699999996</v>
      </c>
      <c r="P571" s="973"/>
    </row>
    <row r="572" spans="1:16" ht="18.95" customHeight="1">
      <c r="A572" s="1091"/>
      <c r="B572" s="1149" t="s">
        <v>245</v>
      </c>
      <c r="C572" s="1239" t="s">
        <v>743</v>
      </c>
      <c r="D572" s="1058"/>
      <c r="E572" s="993" t="s">
        <v>732</v>
      </c>
      <c r="F572" s="994"/>
      <c r="G572" s="993"/>
      <c r="H572" s="993"/>
      <c r="I572" s="993"/>
      <c r="J572" s="993"/>
      <c r="K572" s="996"/>
      <c r="L572" s="996"/>
      <c r="M572" s="996"/>
      <c r="N572" s="994" t="s">
        <v>733</v>
      </c>
      <c r="O572" s="973">
        <v>0.93490804699999996</v>
      </c>
      <c r="P572" s="973"/>
    </row>
    <row r="573" spans="1:16" ht="18.95" customHeight="1">
      <c r="A573" s="1091"/>
      <c r="B573" s="1149" t="s">
        <v>245</v>
      </c>
      <c r="C573" s="1239" t="s">
        <v>744</v>
      </c>
      <c r="D573" s="1058"/>
      <c r="E573" s="993" t="s">
        <v>732</v>
      </c>
      <c r="F573" s="994"/>
      <c r="G573" s="993"/>
      <c r="H573" s="993"/>
      <c r="I573" s="993"/>
      <c r="J573" s="993"/>
      <c r="K573" s="996"/>
      <c r="L573" s="996"/>
      <c r="M573" s="996"/>
      <c r="N573" s="994" t="s">
        <v>733</v>
      </c>
      <c r="O573" s="973">
        <v>0.93490804699999996</v>
      </c>
      <c r="P573" s="973"/>
    </row>
    <row r="574" spans="1:16" ht="18.95" customHeight="1">
      <c r="A574" s="1091"/>
      <c r="B574" s="1149" t="s">
        <v>245</v>
      </c>
      <c r="C574" s="1239" t="s">
        <v>745</v>
      </c>
      <c r="D574" s="1058"/>
      <c r="E574" s="993" t="s">
        <v>732</v>
      </c>
      <c r="F574" s="994"/>
      <c r="G574" s="993"/>
      <c r="H574" s="993"/>
      <c r="I574" s="993"/>
      <c r="J574" s="993"/>
      <c r="K574" s="996"/>
      <c r="L574" s="996"/>
      <c r="M574" s="996"/>
      <c r="N574" s="994" t="s">
        <v>733</v>
      </c>
      <c r="O574" s="973">
        <v>0.93490804699999996</v>
      </c>
      <c r="P574" s="973"/>
    </row>
    <row r="575" spans="1:16" ht="18.95" customHeight="1">
      <c r="A575" s="1091"/>
      <c r="B575" s="1149" t="s">
        <v>245</v>
      </c>
      <c r="C575" s="1239" t="s">
        <v>746</v>
      </c>
      <c r="D575" s="1058"/>
      <c r="E575" s="993">
        <v>160</v>
      </c>
      <c r="F575" s="994" t="s">
        <v>218</v>
      </c>
      <c r="G575" s="993">
        <v>900</v>
      </c>
      <c r="H575" s="993">
        <f t="shared" si="106"/>
        <v>841.4172423</v>
      </c>
      <c r="I575" s="993">
        <f t="shared" ref="I575:I578" si="109">H575*E575</f>
        <v>134626.758768</v>
      </c>
      <c r="J575" s="993">
        <v>0</v>
      </c>
      <c r="K575" s="996">
        <f t="shared" si="103"/>
        <v>0</v>
      </c>
      <c r="L575" s="996">
        <f>J575*E575</f>
        <v>0</v>
      </c>
      <c r="M575" s="996">
        <f>SUM(I575,L575)</f>
        <v>134626.758768</v>
      </c>
      <c r="N575" s="994"/>
      <c r="O575" s="973">
        <v>0.93490804699999996</v>
      </c>
      <c r="P575" s="973"/>
    </row>
    <row r="576" spans="1:16" ht="18.95" customHeight="1">
      <c r="A576" s="1091"/>
      <c r="B576" s="1149" t="s">
        <v>245</v>
      </c>
      <c r="C576" s="1239" t="s">
        <v>747</v>
      </c>
      <c r="D576" s="1058"/>
      <c r="E576" s="993">
        <v>160</v>
      </c>
      <c r="F576" s="994" t="s">
        <v>218</v>
      </c>
      <c r="G576" s="993">
        <v>160</v>
      </c>
      <c r="H576" s="993">
        <f t="shared" si="106"/>
        <v>149.58528752000001</v>
      </c>
      <c r="I576" s="993">
        <f t="shared" si="109"/>
        <v>23933.646003200003</v>
      </c>
      <c r="J576" s="993">
        <v>20</v>
      </c>
      <c r="K576" s="996">
        <f t="shared" si="103"/>
        <v>18.698160940000001</v>
      </c>
      <c r="L576" s="996">
        <f t="shared" ref="L576:L578" si="110">K576*E576</f>
        <v>2991.7057504000004</v>
      </c>
      <c r="M576" s="996">
        <f>SUM(I576,L576)</f>
        <v>26925.351753600004</v>
      </c>
      <c r="N576" s="994"/>
      <c r="O576" s="973">
        <v>0.93490804699999996</v>
      </c>
      <c r="P576" s="973"/>
    </row>
    <row r="577" spans="1:16" ht="18.95" customHeight="1">
      <c r="A577" s="1091"/>
      <c r="B577" s="1149" t="s">
        <v>245</v>
      </c>
      <c r="C577" s="1239" t="s">
        <v>748</v>
      </c>
      <c r="D577" s="1058"/>
      <c r="E577" s="993">
        <v>160</v>
      </c>
      <c r="F577" s="994" t="s">
        <v>218</v>
      </c>
      <c r="G577" s="993">
        <v>161</v>
      </c>
      <c r="H577" s="993">
        <f t="shared" si="106"/>
        <v>150.520195567</v>
      </c>
      <c r="I577" s="993">
        <f t="shared" si="109"/>
        <v>24083.231290719999</v>
      </c>
      <c r="J577" s="993">
        <v>48.3</v>
      </c>
      <c r="K577" s="996">
        <f t="shared" si="103"/>
        <v>45.156058670099995</v>
      </c>
      <c r="L577" s="996">
        <f t="shared" si="110"/>
        <v>7224.9693872159987</v>
      </c>
      <c r="M577" s="996">
        <f>SUM(I577,L577)</f>
        <v>31308.200677935998</v>
      </c>
      <c r="N577" s="994"/>
      <c r="O577" s="973">
        <v>0.93490804699999996</v>
      </c>
      <c r="P577" s="973"/>
    </row>
    <row r="578" spans="1:16" ht="18.95" customHeight="1">
      <c r="A578" s="1091"/>
      <c r="B578" s="1149" t="s">
        <v>245</v>
      </c>
      <c r="C578" s="1239" t="s">
        <v>749</v>
      </c>
      <c r="D578" s="1058"/>
      <c r="E578" s="993">
        <v>115.6</v>
      </c>
      <c r="F578" s="994" t="s">
        <v>218</v>
      </c>
      <c r="G578" s="993">
        <v>160</v>
      </c>
      <c r="H578" s="993">
        <f t="shared" si="106"/>
        <v>149.58528752000001</v>
      </c>
      <c r="I578" s="993">
        <f t="shared" si="109"/>
        <v>17292.059237312002</v>
      </c>
      <c r="J578" s="993">
        <v>50</v>
      </c>
      <c r="K578" s="996">
        <f t="shared" si="103"/>
        <v>46.745402349999999</v>
      </c>
      <c r="L578" s="996">
        <f t="shared" si="110"/>
        <v>5403.7685116599996</v>
      </c>
      <c r="M578" s="996">
        <f>SUM(I578,L578)</f>
        <v>22695.827748972002</v>
      </c>
      <c r="N578" s="994"/>
      <c r="O578" s="973">
        <v>0.93490804699999996</v>
      </c>
      <c r="P578" s="973"/>
    </row>
    <row r="579" spans="1:16" ht="18.95" customHeight="1">
      <c r="A579" s="1091"/>
      <c r="B579" s="1149" t="s">
        <v>245</v>
      </c>
      <c r="C579" s="1239" t="s">
        <v>750</v>
      </c>
      <c r="D579" s="1058"/>
      <c r="E579" s="993" t="s">
        <v>732</v>
      </c>
      <c r="F579" s="994"/>
      <c r="G579" s="993"/>
      <c r="H579" s="993"/>
      <c r="I579" s="993"/>
      <c r="J579" s="993"/>
      <c r="K579" s="996"/>
      <c r="L579" s="996"/>
      <c r="M579" s="996"/>
      <c r="N579" s="994" t="s">
        <v>733</v>
      </c>
      <c r="O579" s="973">
        <v>0.93490804699999996</v>
      </c>
      <c r="P579" s="973"/>
    </row>
    <row r="580" spans="1:16" ht="18.95" customHeight="1">
      <c r="A580" s="1091"/>
      <c r="B580" s="1149"/>
      <c r="C580" s="1239"/>
      <c r="D580" s="1058"/>
      <c r="E580" s="993"/>
      <c r="F580" s="994"/>
      <c r="G580" s="993"/>
      <c r="H580" s="993"/>
      <c r="I580" s="993"/>
      <c r="J580" s="993"/>
      <c r="K580" s="996"/>
      <c r="L580" s="996"/>
      <c r="M580" s="996"/>
      <c r="N580" s="994"/>
      <c r="O580" s="973">
        <v>0.93490804699999996</v>
      </c>
      <c r="P580" s="973"/>
    </row>
    <row r="581" spans="1:16" ht="18.95" customHeight="1">
      <c r="A581" s="1091"/>
      <c r="B581" s="1149"/>
      <c r="C581" s="1239"/>
      <c r="D581" s="1058"/>
      <c r="E581" s="993"/>
      <c r="F581" s="994"/>
      <c r="G581" s="993"/>
      <c r="H581" s="993"/>
      <c r="I581" s="993"/>
      <c r="J581" s="993"/>
      <c r="K581" s="996"/>
      <c r="L581" s="996"/>
      <c r="M581" s="996"/>
      <c r="N581" s="994"/>
      <c r="O581" s="973">
        <v>0.93490804699999996</v>
      </c>
      <c r="P581" s="973"/>
    </row>
    <row r="582" spans="1:16" ht="18.95" customHeight="1">
      <c r="A582" s="1091"/>
      <c r="B582" s="1149" t="s">
        <v>245</v>
      </c>
      <c r="C582" s="1239" t="s">
        <v>751</v>
      </c>
      <c r="D582" s="1058"/>
      <c r="E582" s="993" t="s">
        <v>732</v>
      </c>
      <c r="F582" s="994"/>
      <c r="G582" s="993"/>
      <c r="H582" s="993"/>
      <c r="I582" s="993"/>
      <c r="J582" s="993"/>
      <c r="K582" s="996"/>
      <c r="L582" s="996"/>
      <c r="M582" s="996"/>
      <c r="N582" s="994" t="s">
        <v>733</v>
      </c>
      <c r="O582" s="973">
        <v>0.93490804699999996</v>
      </c>
      <c r="P582" s="973"/>
    </row>
    <row r="583" spans="1:16" ht="18.95" customHeight="1">
      <c r="A583" s="1091"/>
      <c r="B583" s="1149" t="s">
        <v>245</v>
      </c>
      <c r="C583" s="1239" t="s">
        <v>752</v>
      </c>
      <c r="D583" s="1058"/>
      <c r="E583" s="993" t="s">
        <v>732</v>
      </c>
      <c r="F583" s="994"/>
      <c r="G583" s="993"/>
      <c r="H583" s="993"/>
      <c r="I583" s="993"/>
      <c r="J583" s="993"/>
      <c r="K583" s="996"/>
      <c r="L583" s="996"/>
      <c r="M583" s="996"/>
      <c r="N583" s="994" t="s">
        <v>733</v>
      </c>
      <c r="O583" s="973">
        <v>0.93490804699999996</v>
      </c>
      <c r="P583" s="973"/>
    </row>
    <row r="584" spans="1:16" ht="18.95" customHeight="1">
      <c r="A584" s="1091">
        <v>8.3000000000000007</v>
      </c>
      <c r="B584" s="1149" t="s">
        <v>753</v>
      </c>
      <c r="C584" s="1239"/>
      <c r="D584" s="1058"/>
      <c r="E584" s="993"/>
      <c r="F584" s="994"/>
      <c r="G584" s="993"/>
      <c r="H584" s="993"/>
      <c r="I584" s="993"/>
      <c r="J584" s="993"/>
      <c r="K584" s="996"/>
      <c r="L584" s="996"/>
      <c r="M584" s="996"/>
      <c r="N584" s="994"/>
      <c r="O584" s="973">
        <v>0.93490804699999996</v>
      </c>
      <c r="P584" s="973"/>
    </row>
    <row r="585" spans="1:16" ht="18.95" customHeight="1">
      <c r="A585" s="1091"/>
      <c r="B585" s="1149" t="s">
        <v>245</v>
      </c>
      <c r="C585" s="1239" t="s">
        <v>754</v>
      </c>
      <c r="D585" s="1058"/>
      <c r="E585" s="993">
        <v>668.43</v>
      </c>
      <c r="F585" s="994" t="s">
        <v>755</v>
      </c>
      <c r="G585" s="993">
        <v>25.8</v>
      </c>
      <c r="H585" s="993">
        <f t="shared" si="106"/>
        <v>24.1206276126</v>
      </c>
      <c r="I585" s="993">
        <f t="shared" ref="I585:I622" si="111">H585*E585</f>
        <v>16122.951115090216</v>
      </c>
      <c r="J585" s="993">
        <v>10</v>
      </c>
      <c r="K585" s="996">
        <f t="shared" ref="K585:K607" si="112">J585*O585</f>
        <v>9.3490804700000005</v>
      </c>
      <c r="L585" s="996">
        <f t="shared" ref="L585:L587" si="113">K585*E585</f>
        <v>6249.2058585620998</v>
      </c>
      <c r="M585" s="996">
        <f>SUM(I585,L585)</f>
        <v>22372.156973652316</v>
      </c>
      <c r="N585" s="994"/>
      <c r="O585" s="973">
        <v>0.93490804699999996</v>
      </c>
      <c r="P585" s="973"/>
    </row>
    <row r="586" spans="1:16" ht="18.95" customHeight="1">
      <c r="A586" s="1091"/>
      <c r="B586" s="1149" t="s">
        <v>245</v>
      </c>
      <c r="C586" s="1239" t="s">
        <v>756</v>
      </c>
      <c r="D586" s="1058"/>
      <c r="E586" s="993">
        <v>251.1</v>
      </c>
      <c r="F586" s="994" t="s">
        <v>755</v>
      </c>
      <c r="G586" s="993">
        <v>27.249402390438245</v>
      </c>
      <c r="H586" s="993">
        <f t="shared" si="106"/>
        <v>25.475685570761751</v>
      </c>
      <c r="I586" s="993">
        <f t="shared" si="111"/>
        <v>6396.9446468182759</v>
      </c>
      <c r="J586" s="993">
        <v>10</v>
      </c>
      <c r="K586" s="996">
        <f t="shared" si="112"/>
        <v>9.3490804700000005</v>
      </c>
      <c r="L586" s="996">
        <f t="shared" si="113"/>
        <v>2347.5541060169999</v>
      </c>
      <c r="M586" s="996">
        <f>SUM(I586,L586)</f>
        <v>8744.4987528352758</v>
      </c>
      <c r="N586" s="994"/>
      <c r="O586" s="973">
        <v>0.93490804699999996</v>
      </c>
      <c r="P586" s="973"/>
    </row>
    <row r="587" spans="1:16" ht="18.95" customHeight="1">
      <c r="A587" s="1091"/>
      <c r="B587" s="1149" t="s">
        <v>245</v>
      </c>
      <c r="C587" s="1239" t="s">
        <v>757</v>
      </c>
      <c r="D587" s="1058"/>
      <c r="E587" s="993">
        <v>55.8</v>
      </c>
      <c r="F587" s="994" t="s">
        <v>218</v>
      </c>
      <c r="G587" s="993">
        <v>7250</v>
      </c>
      <c r="H587" s="993">
        <f t="shared" si="106"/>
        <v>6778.0833407499995</v>
      </c>
      <c r="I587" s="993">
        <f t="shared" si="111"/>
        <v>378217.05041384994</v>
      </c>
      <c r="J587" s="993">
        <v>2455</v>
      </c>
      <c r="K587" s="996">
        <f t="shared" si="112"/>
        <v>2295.199255385</v>
      </c>
      <c r="L587" s="996">
        <f t="shared" si="113"/>
        <v>128072.11845048299</v>
      </c>
      <c r="M587" s="996">
        <f>SUM(I587,L587)</f>
        <v>506289.16886433295</v>
      </c>
      <c r="N587" s="994"/>
      <c r="O587" s="973">
        <v>0.93490804699999996</v>
      </c>
      <c r="P587" s="973"/>
    </row>
    <row r="588" spans="1:16" ht="18.95" customHeight="1">
      <c r="A588" s="1091"/>
      <c r="B588" s="1149"/>
      <c r="C588" s="1239" t="s">
        <v>758</v>
      </c>
      <c r="D588" s="1058"/>
      <c r="E588" s="993"/>
      <c r="F588" s="994"/>
      <c r="G588" s="993"/>
      <c r="H588" s="993"/>
      <c r="I588" s="993"/>
      <c r="J588" s="993"/>
      <c r="K588" s="996"/>
      <c r="L588" s="996"/>
      <c r="M588" s="996"/>
      <c r="N588" s="994"/>
      <c r="O588" s="973">
        <v>0.93490804699999996</v>
      </c>
      <c r="P588" s="973"/>
    </row>
    <row r="589" spans="1:16" ht="18.95" customHeight="1">
      <c r="A589" s="1091"/>
      <c r="B589" s="1149" t="s">
        <v>245</v>
      </c>
      <c r="C589" s="1239" t="s">
        <v>759</v>
      </c>
      <c r="D589" s="1058"/>
      <c r="E589" s="993">
        <v>246.4</v>
      </c>
      <c r="F589" s="994" t="s">
        <v>755</v>
      </c>
      <c r="G589" s="993">
        <v>25.5</v>
      </c>
      <c r="H589" s="993">
        <f t="shared" si="106"/>
        <v>23.8401551985</v>
      </c>
      <c r="I589" s="993">
        <f t="shared" si="111"/>
        <v>5874.2142409103999</v>
      </c>
      <c r="J589" s="993">
        <v>10</v>
      </c>
      <c r="K589" s="996">
        <f t="shared" si="112"/>
        <v>9.3490804700000005</v>
      </c>
      <c r="L589" s="996">
        <f t="shared" ref="L589:L591" si="114">K589*E589</f>
        <v>2303.6134278080003</v>
      </c>
      <c r="M589" s="996">
        <f>SUM(I589,L589)</f>
        <v>8177.8276687184007</v>
      </c>
      <c r="N589" s="994"/>
      <c r="O589" s="973">
        <v>0.93490804699999996</v>
      </c>
      <c r="P589" s="973"/>
    </row>
    <row r="590" spans="1:16" ht="18.95" customHeight="1">
      <c r="A590" s="1091"/>
      <c r="B590" s="1149" t="s">
        <v>245</v>
      </c>
      <c r="C590" s="1239" t="s">
        <v>760</v>
      </c>
      <c r="D590" s="1058"/>
      <c r="E590" s="993">
        <v>124.8</v>
      </c>
      <c r="F590" s="994" t="s">
        <v>755</v>
      </c>
      <c r="G590" s="993">
        <v>25.5</v>
      </c>
      <c r="H590" s="993">
        <f t="shared" si="106"/>
        <v>23.8401551985</v>
      </c>
      <c r="I590" s="993">
        <f t="shared" si="111"/>
        <v>2975.2513687728001</v>
      </c>
      <c r="J590" s="993">
        <v>10</v>
      </c>
      <c r="K590" s="996">
        <f t="shared" si="112"/>
        <v>9.3490804700000005</v>
      </c>
      <c r="L590" s="996">
        <f t="shared" si="114"/>
        <v>1166.7652426560001</v>
      </c>
      <c r="M590" s="996">
        <f>SUM(I590,L590)</f>
        <v>4142.0166114288004</v>
      </c>
      <c r="N590" s="994"/>
      <c r="O590" s="973">
        <v>0.93490804699999996</v>
      </c>
      <c r="P590" s="973"/>
    </row>
    <row r="591" spans="1:16" ht="18.95" customHeight="1">
      <c r="A591" s="1091"/>
      <c r="B591" s="1149" t="s">
        <v>245</v>
      </c>
      <c r="C591" s="1239" t="s">
        <v>752</v>
      </c>
      <c r="D591" s="1058"/>
      <c r="E591" s="993">
        <v>44.379999999999995</v>
      </c>
      <c r="F591" s="994" t="s">
        <v>218</v>
      </c>
      <c r="G591" s="993">
        <v>120</v>
      </c>
      <c r="H591" s="993">
        <f t="shared" si="106"/>
        <v>112.18896563999999</v>
      </c>
      <c r="I591" s="993">
        <f t="shared" si="111"/>
        <v>4978.9462951031992</v>
      </c>
      <c r="J591" s="993">
        <v>80</v>
      </c>
      <c r="K591" s="996">
        <f t="shared" si="112"/>
        <v>74.792643760000004</v>
      </c>
      <c r="L591" s="996">
        <f t="shared" si="114"/>
        <v>3319.2975300687999</v>
      </c>
      <c r="M591" s="996">
        <f>SUM(I591,L591)</f>
        <v>8298.2438251719996</v>
      </c>
      <c r="N591" s="994"/>
      <c r="O591" s="973">
        <v>0.93490804699999996</v>
      </c>
      <c r="P591" s="973"/>
    </row>
    <row r="592" spans="1:16" ht="18.95" customHeight="1">
      <c r="A592" s="1091">
        <v>8.4</v>
      </c>
      <c r="B592" s="1149" t="s">
        <v>761</v>
      </c>
      <c r="C592" s="1239"/>
      <c r="D592" s="1058"/>
      <c r="E592" s="993"/>
      <c r="F592" s="994"/>
      <c r="G592" s="993"/>
      <c r="H592" s="993"/>
      <c r="I592" s="993"/>
      <c r="J592" s="993"/>
      <c r="K592" s="996"/>
      <c r="L592" s="996"/>
      <c r="M592" s="996"/>
      <c r="N592" s="994"/>
      <c r="O592" s="973">
        <v>0.93490804699999996</v>
      </c>
      <c r="P592" s="973"/>
    </row>
    <row r="593" spans="1:16" ht="18.95" customHeight="1">
      <c r="A593" s="1091"/>
      <c r="B593" s="1149" t="s">
        <v>245</v>
      </c>
      <c r="C593" s="1239" t="s">
        <v>754</v>
      </c>
      <c r="D593" s="1058"/>
      <c r="E593" s="993">
        <v>668.43</v>
      </c>
      <c r="F593" s="994" t="s">
        <v>755</v>
      </c>
      <c r="G593" s="993">
        <v>25.8</v>
      </c>
      <c r="H593" s="993">
        <f t="shared" si="106"/>
        <v>24.1206276126</v>
      </c>
      <c r="I593" s="993">
        <f t="shared" si="111"/>
        <v>16122.951115090216</v>
      </c>
      <c r="J593" s="993">
        <v>10</v>
      </c>
      <c r="K593" s="996">
        <f t="shared" si="112"/>
        <v>9.3490804700000005</v>
      </c>
      <c r="L593" s="996">
        <f t="shared" ref="L593:L595" si="115">K593*E593</f>
        <v>6249.2058585620998</v>
      </c>
      <c r="M593" s="996">
        <f>SUM(I593,L593)</f>
        <v>22372.156973652316</v>
      </c>
      <c r="N593" s="994"/>
      <c r="O593" s="973">
        <v>0.93490804699999996</v>
      </c>
      <c r="P593" s="973"/>
    </row>
    <row r="594" spans="1:16" ht="18.95" customHeight="1">
      <c r="A594" s="1091"/>
      <c r="B594" s="1149" t="s">
        <v>245</v>
      </c>
      <c r="C594" s="1239" t="s">
        <v>756</v>
      </c>
      <c r="D594" s="1058"/>
      <c r="E594" s="993">
        <v>251.1</v>
      </c>
      <c r="F594" s="994" t="s">
        <v>755</v>
      </c>
      <c r="G594" s="993">
        <v>27.249402390438245</v>
      </c>
      <c r="H594" s="993">
        <f t="shared" si="106"/>
        <v>25.475685570761751</v>
      </c>
      <c r="I594" s="993">
        <f t="shared" si="111"/>
        <v>6396.9446468182759</v>
      </c>
      <c r="J594" s="993">
        <v>10</v>
      </c>
      <c r="K594" s="996">
        <f t="shared" si="112"/>
        <v>9.3490804700000005</v>
      </c>
      <c r="L594" s="996">
        <f t="shared" si="115"/>
        <v>2347.5541060169999</v>
      </c>
      <c r="M594" s="996">
        <f>SUM(I594,L594)</f>
        <v>8744.4987528352758</v>
      </c>
      <c r="N594" s="994"/>
      <c r="O594" s="973">
        <v>0.93490804699999996</v>
      </c>
      <c r="P594" s="973"/>
    </row>
    <row r="595" spans="1:16" ht="18.95" customHeight="1">
      <c r="A595" s="1091"/>
      <c r="B595" s="1149" t="s">
        <v>245</v>
      </c>
      <c r="C595" s="1239" t="s">
        <v>757</v>
      </c>
      <c r="D595" s="1058"/>
      <c r="E595" s="993">
        <v>55.8</v>
      </c>
      <c r="F595" s="994" t="s">
        <v>218</v>
      </c>
      <c r="G595" s="993">
        <v>7250</v>
      </c>
      <c r="H595" s="993">
        <f t="shared" si="106"/>
        <v>6778.0833407499995</v>
      </c>
      <c r="I595" s="993">
        <f t="shared" si="111"/>
        <v>378217.05041384994</v>
      </c>
      <c r="J595" s="993">
        <v>2455</v>
      </c>
      <c r="K595" s="996">
        <f t="shared" si="112"/>
        <v>2295.199255385</v>
      </c>
      <c r="L595" s="996">
        <f t="shared" si="115"/>
        <v>128072.11845048299</v>
      </c>
      <c r="M595" s="996">
        <f>SUM(I595,L595)</f>
        <v>506289.16886433295</v>
      </c>
      <c r="N595" s="994"/>
      <c r="O595" s="973">
        <v>0.93490804699999996</v>
      </c>
      <c r="P595" s="973"/>
    </row>
    <row r="596" spans="1:16" ht="18.95" customHeight="1">
      <c r="A596" s="1091"/>
      <c r="B596" s="1149"/>
      <c r="C596" s="1239" t="s">
        <v>758</v>
      </c>
      <c r="D596" s="1058"/>
      <c r="E596" s="993"/>
      <c r="F596" s="994"/>
      <c r="G596" s="993"/>
      <c r="H596" s="993"/>
      <c r="I596" s="993"/>
      <c r="J596" s="993"/>
      <c r="K596" s="996"/>
      <c r="L596" s="996"/>
      <c r="M596" s="996"/>
      <c r="N596" s="994"/>
      <c r="O596" s="973">
        <v>0.93490804699999996</v>
      </c>
      <c r="P596" s="973"/>
    </row>
    <row r="597" spans="1:16" ht="18.95" customHeight="1">
      <c r="A597" s="1091"/>
      <c r="B597" s="1149" t="s">
        <v>245</v>
      </c>
      <c r="C597" s="1239" t="s">
        <v>759</v>
      </c>
      <c r="D597" s="1058"/>
      <c r="E597" s="993">
        <v>292.60000000000002</v>
      </c>
      <c r="F597" s="994" t="s">
        <v>755</v>
      </c>
      <c r="G597" s="993">
        <v>25.5</v>
      </c>
      <c r="H597" s="993">
        <f t="shared" si="106"/>
        <v>23.8401551985</v>
      </c>
      <c r="I597" s="993">
        <f t="shared" si="111"/>
        <v>6975.6294110811004</v>
      </c>
      <c r="J597" s="993">
        <v>10</v>
      </c>
      <c r="K597" s="996">
        <f t="shared" si="112"/>
        <v>9.3490804700000005</v>
      </c>
      <c r="L597" s="996">
        <f t="shared" ref="L597:L599" si="116">K597*E597</f>
        <v>2735.5409455220006</v>
      </c>
      <c r="M597" s="996">
        <f>SUM(I597,L597)</f>
        <v>9711.170356603101</v>
      </c>
      <c r="N597" s="994"/>
      <c r="O597" s="973">
        <v>0.93490804699999996</v>
      </c>
      <c r="P597" s="973"/>
    </row>
    <row r="598" spans="1:16" ht="18.95" customHeight="1">
      <c r="A598" s="1091"/>
      <c r="B598" s="1149" t="s">
        <v>245</v>
      </c>
      <c r="C598" s="1239" t="s">
        <v>760</v>
      </c>
      <c r="D598" s="1058"/>
      <c r="E598" s="993">
        <v>101.39999999999999</v>
      </c>
      <c r="F598" s="994" t="s">
        <v>755</v>
      </c>
      <c r="G598" s="993">
        <v>25.5</v>
      </c>
      <c r="H598" s="993">
        <f t="shared" si="106"/>
        <v>23.8401551985</v>
      </c>
      <c r="I598" s="993">
        <f t="shared" si="111"/>
        <v>2417.3917371278999</v>
      </c>
      <c r="J598" s="993">
        <v>10</v>
      </c>
      <c r="K598" s="996">
        <f t="shared" si="112"/>
        <v>9.3490804700000005</v>
      </c>
      <c r="L598" s="996">
        <f t="shared" si="116"/>
        <v>947.99675965799997</v>
      </c>
      <c r="M598" s="996">
        <f>SUM(I598,L598)</f>
        <v>3365.3884967858999</v>
      </c>
      <c r="N598" s="994"/>
      <c r="O598" s="973">
        <v>0.93490804699999996</v>
      </c>
      <c r="P598" s="973"/>
    </row>
    <row r="599" spans="1:16" ht="18.95" customHeight="1">
      <c r="A599" s="1091"/>
      <c r="B599" s="1149" t="s">
        <v>245</v>
      </c>
      <c r="C599" s="1239" t="s">
        <v>752</v>
      </c>
      <c r="D599" s="1058"/>
      <c r="E599" s="993">
        <v>45.82</v>
      </c>
      <c r="F599" s="994" t="s">
        <v>218</v>
      </c>
      <c r="G599" s="993">
        <v>120</v>
      </c>
      <c r="H599" s="993">
        <f t="shared" si="106"/>
        <v>112.18896563999999</v>
      </c>
      <c r="I599" s="993">
        <f t="shared" si="111"/>
        <v>5140.4984056247995</v>
      </c>
      <c r="J599" s="993">
        <v>80</v>
      </c>
      <c r="K599" s="996">
        <f t="shared" si="112"/>
        <v>74.792643760000004</v>
      </c>
      <c r="L599" s="996">
        <f t="shared" si="116"/>
        <v>3426.9989370832004</v>
      </c>
      <c r="M599" s="996">
        <f>SUM(I599,L599)</f>
        <v>8567.4973427080004</v>
      </c>
      <c r="N599" s="994"/>
      <c r="O599" s="973">
        <v>0.93490804699999996</v>
      </c>
      <c r="P599" s="973"/>
    </row>
    <row r="600" spans="1:16" ht="18.95" customHeight="1">
      <c r="A600" s="1091">
        <v>8.5</v>
      </c>
      <c r="B600" s="1149" t="s">
        <v>762</v>
      </c>
      <c r="C600" s="1239"/>
      <c r="D600" s="1058"/>
      <c r="E600" s="993"/>
      <c r="F600" s="994"/>
      <c r="G600" s="993"/>
      <c r="H600" s="993"/>
      <c r="I600" s="993"/>
      <c r="J600" s="993"/>
      <c r="K600" s="996"/>
      <c r="L600" s="996"/>
      <c r="M600" s="996"/>
      <c r="N600" s="994"/>
      <c r="O600" s="973">
        <v>0.93490804699999996</v>
      </c>
      <c r="P600" s="973"/>
    </row>
    <row r="601" spans="1:16" ht="18.95" customHeight="1">
      <c r="A601" s="1091"/>
      <c r="B601" s="1149" t="s">
        <v>245</v>
      </c>
      <c r="C601" s="1239" t="s">
        <v>754</v>
      </c>
      <c r="D601" s="1058"/>
      <c r="E601" s="993">
        <v>668.43</v>
      </c>
      <c r="F601" s="994" t="s">
        <v>755</v>
      </c>
      <c r="G601" s="993">
        <v>25.8</v>
      </c>
      <c r="H601" s="993">
        <f t="shared" si="106"/>
        <v>24.1206276126</v>
      </c>
      <c r="I601" s="993">
        <f t="shared" si="111"/>
        <v>16122.951115090216</v>
      </c>
      <c r="J601" s="993">
        <v>10</v>
      </c>
      <c r="K601" s="996">
        <f t="shared" si="112"/>
        <v>9.3490804700000005</v>
      </c>
      <c r="L601" s="996">
        <f t="shared" ref="L601:L603" si="117">K601*E601</f>
        <v>6249.2058585620998</v>
      </c>
      <c r="M601" s="996">
        <f>SUM(I601,L601)</f>
        <v>22372.156973652316</v>
      </c>
      <c r="N601" s="994"/>
      <c r="O601" s="973">
        <v>0.93490804699999996</v>
      </c>
      <c r="P601" s="973"/>
    </row>
    <row r="602" spans="1:16" ht="18.95" customHeight="1">
      <c r="A602" s="1091"/>
      <c r="B602" s="1149" t="s">
        <v>245</v>
      </c>
      <c r="C602" s="1239" t="s">
        <v>756</v>
      </c>
      <c r="D602" s="1058"/>
      <c r="E602" s="993">
        <v>251.1</v>
      </c>
      <c r="F602" s="994" t="s">
        <v>755</v>
      </c>
      <c r="G602" s="993">
        <v>27.249402390438245</v>
      </c>
      <c r="H602" s="993">
        <f t="shared" si="106"/>
        <v>25.475685570761751</v>
      </c>
      <c r="I602" s="993">
        <f t="shared" si="111"/>
        <v>6396.9446468182759</v>
      </c>
      <c r="J602" s="993">
        <v>10</v>
      </c>
      <c r="K602" s="996">
        <f t="shared" si="112"/>
        <v>9.3490804700000005</v>
      </c>
      <c r="L602" s="996">
        <f t="shared" si="117"/>
        <v>2347.5541060169999</v>
      </c>
      <c r="M602" s="996">
        <f>SUM(I602,L602)</f>
        <v>8744.4987528352758</v>
      </c>
      <c r="N602" s="994"/>
      <c r="O602" s="973">
        <v>0.93490804699999996</v>
      </c>
      <c r="P602" s="973"/>
    </row>
    <row r="603" spans="1:16" ht="18.95" customHeight="1">
      <c r="A603" s="1091"/>
      <c r="B603" s="1149" t="s">
        <v>245</v>
      </c>
      <c r="C603" s="1239" t="s">
        <v>757</v>
      </c>
      <c r="D603" s="1058"/>
      <c r="E603" s="993">
        <v>55.8</v>
      </c>
      <c r="F603" s="994" t="s">
        <v>218</v>
      </c>
      <c r="G603" s="993">
        <v>7250</v>
      </c>
      <c r="H603" s="993">
        <f t="shared" si="106"/>
        <v>6778.0833407499995</v>
      </c>
      <c r="I603" s="993">
        <f t="shared" si="111"/>
        <v>378217.05041384994</v>
      </c>
      <c r="J603" s="993">
        <v>2455</v>
      </c>
      <c r="K603" s="996">
        <f t="shared" si="112"/>
        <v>2295.199255385</v>
      </c>
      <c r="L603" s="996">
        <f t="shared" si="117"/>
        <v>128072.11845048299</v>
      </c>
      <c r="M603" s="996">
        <f>SUM(I603,L603)</f>
        <v>506289.16886433295</v>
      </c>
      <c r="N603" s="994"/>
      <c r="O603" s="973">
        <v>0.93490804699999996</v>
      </c>
      <c r="P603" s="973"/>
    </row>
    <row r="604" spans="1:16" ht="18.95" customHeight="1">
      <c r="A604" s="1091"/>
      <c r="B604" s="1149"/>
      <c r="C604" s="1239" t="s">
        <v>758</v>
      </c>
      <c r="D604" s="1058"/>
      <c r="E604" s="993"/>
      <c r="F604" s="994"/>
      <c r="G604" s="993"/>
      <c r="H604" s="993"/>
      <c r="I604" s="993"/>
      <c r="J604" s="993"/>
      <c r="K604" s="996"/>
      <c r="L604" s="996"/>
      <c r="M604" s="996"/>
      <c r="N604" s="994"/>
      <c r="O604" s="973">
        <v>0.93490804699999996</v>
      </c>
      <c r="P604" s="973"/>
    </row>
    <row r="605" spans="1:16" ht="18.95" customHeight="1">
      <c r="A605" s="1091"/>
      <c r="B605" s="1149" t="s">
        <v>245</v>
      </c>
      <c r="C605" s="1239" t="s">
        <v>759</v>
      </c>
      <c r="D605" s="1058"/>
      <c r="E605" s="993">
        <v>261.8</v>
      </c>
      <c r="F605" s="994" t="s">
        <v>755</v>
      </c>
      <c r="G605" s="993">
        <v>25.5</v>
      </c>
      <c r="H605" s="993">
        <f t="shared" si="106"/>
        <v>23.8401551985</v>
      </c>
      <c r="I605" s="993">
        <f t="shared" si="111"/>
        <v>6241.3526309672998</v>
      </c>
      <c r="J605" s="993">
        <v>10</v>
      </c>
      <c r="K605" s="996">
        <f t="shared" si="112"/>
        <v>9.3490804700000005</v>
      </c>
      <c r="L605" s="996">
        <f t="shared" ref="L605:L607" si="118">K605*E605</f>
        <v>2447.5892670460003</v>
      </c>
      <c r="M605" s="996">
        <f>SUM(I605,L605)</f>
        <v>8688.9418980132996</v>
      </c>
      <c r="N605" s="994"/>
      <c r="O605" s="973">
        <v>0.93490804699999996</v>
      </c>
      <c r="P605" s="973"/>
    </row>
    <row r="606" spans="1:16" ht="18.95" customHeight="1">
      <c r="A606" s="1091"/>
      <c r="B606" s="1149" t="s">
        <v>245</v>
      </c>
      <c r="C606" s="1239" t="s">
        <v>760</v>
      </c>
      <c r="D606" s="1058"/>
      <c r="E606" s="993">
        <v>117</v>
      </c>
      <c r="F606" s="994" t="s">
        <v>755</v>
      </c>
      <c r="G606" s="993">
        <v>25.5</v>
      </c>
      <c r="H606" s="993">
        <f t="shared" si="106"/>
        <v>23.8401551985</v>
      </c>
      <c r="I606" s="993">
        <f t="shared" si="111"/>
        <v>2789.2981582245002</v>
      </c>
      <c r="J606" s="993">
        <v>10</v>
      </c>
      <c r="K606" s="996">
        <f t="shared" si="112"/>
        <v>9.3490804700000005</v>
      </c>
      <c r="L606" s="996">
        <f t="shared" si="118"/>
        <v>1093.84241499</v>
      </c>
      <c r="M606" s="996">
        <f>SUM(I606,L606)</f>
        <v>3883.1405732145004</v>
      </c>
      <c r="N606" s="994"/>
      <c r="O606" s="973">
        <v>0.93490804699999996</v>
      </c>
      <c r="P606" s="973"/>
    </row>
    <row r="607" spans="1:16" ht="18.95" customHeight="1">
      <c r="A607" s="1091"/>
      <c r="B607" s="1149" t="s">
        <v>245</v>
      </c>
      <c r="C607" s="1239" t="s">
        <v>752</v>
      </c>
      <c r="D607" s="1058"/>
      <c r="E607" s="993">
        <v>44.86</v>
      </c>
      <c r="F607" s="994" t="s">
        <v>218</v>
      </c>
      <c r="G607" s="993">
        <v>120</v>
      </c>
      <c r="H607" s="993">
        <f t="shared" si="106"/>
        <v>112.18896563999999</v>
      </c>
      <c r="I607" s="993">
        <f t="shared" si="111"/>
        <v>5032.7969986103999</v>
      </c>
      <c r="J607" s="993">
        <v>80</v>
      </c>
      <c r="K607" s="996">
        <f t="shared" si="112"/>
        <v>74.792643760000004</v>
      </c>
      <c r="L607" s="996">
        <f t="shared" si="118"/>
        <v>3355.1979990735999</v>
      </c>
      <c r="M607" s="996">
        <f>SUM(I607,L607)</f>
        <v>8387.9949976839998</v>
      </c>
      <c r="N607" s="994"/>
      <c r="O607" s="973">
        <v>0.93490804699999996</v>
      </c>
      <c r="P607" s="973"/>
    </row>
    <row r="608" spans="1:16" ht="18.95" customHeight="1">
      <c r="A608" s="1091"/>
      <c r="B608" s="1149"/>
      <c r="C608" s="1239"/>
      <c r="D608" s="1058"/>
      <c r="E608" s="993"/>
      <c r="F608" s="994"/>
      <c r="G608" s="993"/>
      <c r="H608" s="993"/>
      <c r="I608" s="993"/>
      <c r="J608" s="993"/>
      <c r="K608" s="996"/>
      <c r="L608" s="996"/>
      <c r="M608" s="996"/>
      <c r="N608" s="994"/>
      <c r="O608" s="973">
        <v>0.93490804699999996</v>
      </c>
      <c r="P608" s="973"/>
    </row>
    <row r="609" spans="1:16" ht="18.95" customHeight="1">
      <c r="A609" s="1091"/>
      <c r="B609" s="1149"/>
      <c r="C609" s="1239"/>
      <c r="D609" s="1058"/>
      <c r="E609" s="993"/>
      <c r="F609" s="994"/>
      <c r="G609" s="993"/>
      <c r="H609" s="993"/>
      <c r="I609" s="993"/>
      <c r="J609" s="993"/>
      <c r="K609" s="996"/>
      <c r="L609" s="996"/>
      <c r="M609" s="996"/>
      <c r="N609" s="994"/>
      <c r="O609" s="973">
        <v>0.93490804699999996</v>
      </c>
      <c r="P609" s="973"/>
    </row>
    <row r="610" spans="1:16" ht="18.95" customHeight="1">
      <c r="A610" s="1091">
        <v>8.6</v>
      </c>
      <c r="B610" s="1149" t="s">
        <v>763</v>
      </c>
      <c r="C610" s="1239"/>
      <c r="D610" s="1058"/>
      <c r="E610" s="993"/>
      <c r="F610" s="994"/>
      <c r="G610" s="993"/>
      <c r="H610" s="993"/>
      <c r="I610" s="993"/>
      <c r="J610" s="993"/>
      <c r="K610" s="996"/>
      <c r="L610" s="996"/>
      <c r="M610" s="996"/>
      <c r="N610" s="994"/>
      <c r="O610" s="973">
        <v>0.93490804699999996</v>
      </c>
      <c r="P610" s="973"/>
    </row>
    <row r="611" spans="1:16" ht="18.95" customHeight="1">
      <c r="A611" s="1091"/>
      <c r="B611" s="1149" t="s">
        <v>245</v>
      </c>
      <c r="C611" s="1239" t="s">
        <v>756</v>
      </c>
      <c r="D611" s="1058"/>
      <c r="E611" s="993">
        <v>772.19999999999993</v>
      </c>
      <c r="F611" s="994" t="s">
        <v>755</v>
      </c>
      <c r="G611" s="993">
        <v>27.249402390438245</v>
      </c>
      <c r="H611" s="993">
        <f t="shared" si="106"/>
        <v>25.475685570761751</v>
      </c>
      <c r="I611" s="993">
        <f t="shared" si="111"/>
        <v>19672.324397742221</v>
      </c>
      <c r="J611" s="993">
        <v>10</v>
      </c>
      <c r="K611" s="996">
        <f t="shared" ref="K611:K629" si="119">J611*O611</f>
        <v>9.3490804700000005</v>
      </c>
      <c r="L611" s="996">
        <f t="shared" ref="L611:L624" si="120">K611*E611</f>
        <v>7219.3599389339997</v>
      </c>
      <c r="M611" s="996">
        <f t="shared" ref="M611:M616" si="121">SUM(I611,L611)</f>
        <v>26891.684336676219</v>
      </c>
      <c r="N611" s="994"/>
      <c r="O611" s="973">
        <v>0.93490804699999996</v>
      </c>
      <c r="P611" s="973"/>
    </row>
    <row r="612" spans="1:16" ht="18.95" customHeight="1">
      <c r="A612" s="1091"/>
      <c r="B612" s="1149" t="s">
        <v>245</v>
      </c>
      <c r="C612" s="1239" t="s">
        <v>764</v>
      </c>
      <c r="D612" s="1058"/>
      <c r="E612" s="993">
        <v>2879.7999999999997</v>
      </c>
      <c r="F612" s="994" t="s">
        <v>755</v>
      </c>
      <c r="G612" s="993">
        <v>27.250188679245284</v>
      </c>
      <c r="H612" s="993">
        <f t="shared" si="106"/>
        <v>25.476420678494716</v>
      </c>
      <c r="I612" s="993">
        <f t="shared" si="111"/>
        <v>73366.996269929077</v>
      </c>
      <c r="J612" s="993">
        <v>10</v>
      </c>
      <c r="K612" s="996">
        <f t="shared" si="119"/>
        <v>9.3490804700000005</v>
      </c>
      <c r="L612" s="996">
        <f t="shared" si="120"/>
        <v>26923.481937506</v>
      </c>
      <c r="M612" s="996">
        <f t="shared" si="121"/>
        <v>100290.47820743508</v>
      </c>
      <c r="N612" s="994"/>
      <c r="O612" s="973">
        <v>0.93490804699999996</v>
      </c>
      <c r="P612" s="973"/>
    </row>
    <row r="613" spans="1:16" ht="18.95" customHeight="1">
      <c r="A613" s="1091"/>
      <c r="B613" s="1149" t="s">
        <v>245</v>
      </c>
      <c r="C613" s="1239" t="s">
        <v>765</v>
      </c>
      <c r="D613" s="1058"/>
      <c r="E613" s="993">
        <v>120</v>
      </c>
      <c r="F613" s="994" t="s">
        <v>755</v>
      </c>
      <c r="G613" s="993">
        <v>27.674404761904761</v>
      </c>
      <c r="H613" s="993">
        <f t="shared" si="106"/>
        <v>25.873023707839877</v>
      </c>
      <c r="I613" s="993">
        <f t="shared" si="111"/>
        <v>3104.7628449407853</v>
      </c>
      <c r="J613" s="993">
        <v>10</v>
      </c>
      <c r="K613" s="996">
        <f t="shared" si="119"/>
        <v>9.3490804700000005</v>
      </c>
      <c r="L613" s="996">
        <f t="shared" si="120"/>
        <v>1121.8896564000001</v>
      </c>
      <c r="M613" s="996">
        <f t="shared" si="121"/>
        <v>4226.6525013407854</v>
      </c>
      <c r="N613" s="994"/>
      <c r="O613" s="973">
        <v>0.93490804699999996</v>
      </c>
      <c r="P613" s="973"/>
    </row>
    <row r="614" spans="1:16" ht="18.95" customHeight="1">
      <c r="A614" s="1091"/>
      <c r="B614" s="1149" t="s">
        <v>245</v>
      </c>
      <c r="C614" s="1239" t="s">
        <v>766</v>
      </c>
      <c r="D614" s="1058"/>
      <c r="E614" s="993">
        <v>153.07499999999999</v>
      </c>
      <c r="F614" s="994" t="s">
        <v>755</v>
      </c>
      <c r="G614" s="993">
        <v>25.5</v>
      </c>
      <c r="H614" s="993">
        <f t="shared" si="106"/>
        <v>23.8401551985</v>
      </c>
      <c r="I614" s="993">
        <f t="shared" si="111"/>
        <v>3649.3317570103873</v>
      </c>
      <c r="J614" s="993">
        <v>10</v>
      </c>
      <c r="K614" s="996">
        <f t="shared" si="119"/>
        <v>9.3490804700000005</v>
      </c>
      <c r="L614" s="996">
        <f t="shared" si="120"/>
        <v>1431.1104929452499</v>
      </c>
      <c r="M614" s="996">
        <f t="shared" si="121"/>
        <v>5080.4422499556367</v>
      </c>
      <c r="N614" s="994"/>
      <c r="O614" s="973">
        <v>0.93490804699999996</v>
      </c>
      <c r="P614" s="973"/>
    </row>
    <row r="615" spans="1:16" ht="18.95" customHeight="1">
      <c r="A615" s="1091"/>
      <c r="B615" s="1149" t="s">
        <v>245</v>
      </c>
      <c r="C615" s="1239" t="s">
        <v>767</v>
      </c>
      <c r="D615" s="1058"/>
      <c r="E615" s="993">
        <v>160.1</v>
      </c>
      <c r="F615" s="994" t="s">
        <v>218</v>
      </c>
      <c r="G615" s="993">
        <v>65</v>
      </c>
      <c r="H615" s="993">
        <f t="shared" si="106"/>
        <v>60.769023054999998</v>
      </c>
      <c r="I615" s="993">
        <f t="shared" si="111"/>
        <v>9729.1205911054985</v>
      </c>
      <c r="J615" s="993">
        <v>60</v>
      </c>
      <c r="K615" s="996">
        <f t="shared" si="119"/>
        <v>56.094482819999996</v>
      </c>
      <c r="L615" s="996">
        <f t="shared" si="120"/>
        <v>8980.7266994819984</v>
      </c>
      <c r="M615" s="996">
        <f t="shared" si="121"/>
        <v>18709.847290587495</v>
      </c>
      <c r="N615" s="994"/>
      <c r="O615" s="973">
        <v>0.93490804699999996</v>
      </c>
      <c r="P615" s="973"/>
    </row>
    <row r="616" spans="1:16" ht="18.95" customHeight="1">
      <c r="A616" s="1091"/>
      <c r="B616" s="1149" t="s">
        <v>245</v>
      </c>
      <c r="C616" s="1239" t="s">
        <v>768</v>
      </c>
      <c r="D616" s="1058"/>
      <c r="E616" s="993">
        <v>169.85</v>
      </c>
      <c r="F616" s="994" t="s">
        <v>218</v>
      </c>
      <c r="G616" s="993">
        <v>120</v>
      </c>
      <c r="H616" s="993">
        <f t="shared" si="106"/>
        <v>112.18896563999999</v>
      </c>
      <c r="I616" s="993">
        <f t="shared" si="111"/>
        <v>19055.295813953999</v>
      </c>
      <c r="J616" s="993">
        <v>80</v>
      </c>
      <c r="K616" s="996">
        <f t="shared" si="119"/>
        <v>74.792643760000004</v>
      </c>
      <c r="L616" s="996">
        <f t="shared" si="120"/>
        <v>12703.530542636001</v>
      </c>
      <c r="M616" s="996">
        <f t="shared" si="121"/>
        <v>31758.826356589998</v>
      </c>
      <c r="N616" s="994"/>
      <c r="O616" s="973">
        <v>0.93490804699999996</v>
      </c>
      <c r="P616" s="973"/>
    </row>
    <row r="617" spans="1:16" ht="18.95" customHeight="1">
      <c r="A617" s="1091">
        <v>8.6</v>
      </c>
      <c r="B617" s="1149" t="s">
        <v>769</v>
      </c>
      <c r="C617" s="1239"/>
      <c r="D617" s="1058"/>
      <c r="E617" s="993"/>
      <c r="F617" s="994"/>
      <c r="G617" s="993"/>
      <c r="H617" s="993"/>
      <c r="I617" s="993"/>
      <c r="J617" s="993"/>
      <c r="K617" s="996"/>
      <c r="L617" s="996"/>
      <c r="M617" s="996"/>
      <c r="N617" s="994"/>
      <c r="O617" s="973">
        <v>0.93490804699999996</v>
      </c>
      <c r="P617" s="973"/>
    </row>
    <row r="618" spans="1:16" ht="18.95" customHeight="1">
      <c r="A618" s="1091"/>
      <c r="B618" s="1149" t="s">
        <v>245</v>
      </c>
      <c r="C618" s="1239" t="s">
        <v>770</v>
      </c>
      <c r="D618" s="1058"/>
      <c r="E618" s="993">
        <v>775.8</v>
      </c>
      <c r="F618" s="994" t="s">
        <v>218</v>
      </c>
      <c r="G618" s="993">
        <v>112</v>
      </c>
      <c r="H618" s="993">
        <f t="shared" si="106"/>
        <v>104.70970126399999</v>
      </c>
      <c r="I618" s="993">
        <f t="shared" si="111"/>
        <v>81233.786240611182</v>
      </c>
      <c r="J618" s="993">
        <v>20</v>
      </c>
      <c r="K618" s="996">
        <f t="shared" si="119"/>
        <v>18.698160940000001</v>
      </c>
      <c r="L618" s="996">
        <f t="shared" si="120"/>
        <v>14506.033257252</v>
      </c>
      <c r="M618" s="996">
        <f>SUM(I618,L618)</f>
        <v>95739.81949786318</v>
      </c>
      <c r="N618" s="994"/>
      <c r="O618" s="973">
        <v>0.93490804699999996</v>
      </c>
      <c r="P618" s="973"/>
    </row>
    <row r="619" spans="1:16" ht="18.95" customHeight="1">
      <c r="A619" s="1091"/>
      <c r="B619" s="1149"/>
      <c r="C619" s="1239" t="s">
        <v>771</v>
      </c>
      <c r="D619" s="1058"/>
      <c r="E619" s="993"/>
      <c r="F619" s="994"/>
      <c r="G619" s="993"/>
      <c r="H619" s="993"/>
      <c r="I619" s="993"/>
      <c r="J619" s="993"/>
      <c r="K619" s="996"/>
      <c r="L619" s="996"/>
      <c r="M619" s="996"/>
      <c r="N619" s="994"/>
      <c r="O619" s="973">
        <v>0.93490804699999996</v>
      </c>
      <c r="P619" s="973"/>
    </row>
    <row r="620" spans="1:16" ht="18.95" customHeight="1">
      <c r="A620" s="1091"/>
      <c r="B620" s="1149" t="s">
        <v>245</v>
      </c>
      <c r="C620" s="1239" t="s">
        <v>772</v>
      </c>
      <c r="D620" s="1058"/>
      <c r="E620" s="993">
        <v>775.8</v>
      </c>
      <c r="F620" s="994" t="s">
        <v>218</v>
      </c>
      <c r="G620" s="993">
        <v>50</v>
      </c>
      <c r="H620" s="993">
        <f t="shared" si="106"/>
        <v>46.745402349999999</v>
      </c>
      <c r="I620" s="993">
        <f t="shared" si="111"/>
        <v>36265.083143129996</v>
      </c>
      <c r="J620" s="993">
        <v>20</v>
      </c>
      <c r="K620" s="996">
        <f t="shared" si="119"/>
        <v>18.698160940000001</v>
      </c>
      <c r="L620" s="996">
        <f t="shared" si="120"/>
        <v>14506.033257252</v>
      </c>
      <c r="M620" s="996">
        <f>SUM(I620,L620)</f>
        <v>50771.116400381994</v>
      </c>
      <c r="N620" s="994"/>
      <c r="O620" s="973">
        <v>0.93490804699999996</v>
      </c>
      <c r="P620" s="973"/>
    </row>
    <row r="621" spans="1:16" ht="18.95" customHeight="1">
      <c r="A621" s="1091"/>
      <c r="B621" s="1149" t="s">
        <v>245</v>
      </c>
      <c r="C621" s="1239" t="s">
        <v>773</v>
      </c>
      <c r="D621" s="1058"/>
      <c r="E621" s="993" t="s">
        <v>774</v>
      </c>
      <c r="F621" s="994"/>
      <c r="G621" s="993"/>
      <c r="H621" s="993"/>
      <c r="I621" s="993"/>
      <c r="J621" s="993"/>
      <c r="K621" s="996"/>
      <c r="L621" s="996"/>
      <c r="M621" s="996"/>
      <c r="N621" s="994"/>
      <c r="O621" s="973">
        <v>0.93490804699999996</v>
      </c>
      <c r="P621" s="973"/>
    </row>
    <row r="622" spans="1:16" ht="18.95" customHeight="1">
      <c r="A622" s="1091"/>
      <c r="B622" s="1149" t="s">
        <v>245</v>
      </c>
      <c r="C622" s="1239" t="s">
        <v>775</v>
      </c>
      <c r="D622" s="1058"/>
      <c r="E622" s="993">
        <v>350</v>
      </c>
      <c r="F622" s="994" t="s">
        <v>218</v>
      </c>
      <c r="G622" s="993">
        <v>280</v>
      </c>
      <c r="H622" s="993">
        <f t="shared" ref="H622:H630" si="122">G622*O622</f>
        <v>261.77425316</v>
      </c>
      <c r="I622" s="993">
        <f t="shared" si="111"/>
        <v>91620.988605999999</v>
      </c>
      <c r="J622" s="993">
        <v>25</v>
      </c>
      <c r="K622" s="996">
        <f t="shared" si="119"/>
        <v>23.372701175</v>
      </c>
      <c r="L622" s="996">
        <f t="shared" si="120"/>
        <v>8180.4454112499998</v>
      </c>
      <c r="M622" s="996">
        <f>SUM(I622,L622)</f>
        <v>99801.434017249994</v>
      </c>
      <c r="N622" s="994"/>
      <c r="O622" s="973">
        <v>0.93490804699999996</v>
      </c>
      <c r="P622" s="973"/>
    </row>
    <row r="623" spans="1:16" ht="18.95" customHeight="1">
      <c r="A623" s="1091">
        <v>8.6999999999999993</v>
      </c>
      <c r="B623" s="1149" t="s">
        <v>776</v>
      </c>
      <c r="C623" s="1239"/>
      <c r="D623" s="1058"/>
      <c r="E623" s="993"/>
      <c r="F623" s="994"/>
      <c r="G623" s="993"/>
      <c r="H623" s="993"/>
      <c r="I623" s="993"/>
      <c r="J623" s="993"/>
      <c r="K623" s="996"/>
      <c r="L623" s="996"/>
      <c r="M623" s="996"/>
      <c r="N623" s="994"/>
      <c r="O623" s="973">
        <v>0.93490804699999996</v>
      </c>
      <c r="P623" s="973"/>
    </row>
    <row r="624" spans="1:16" ht="18.95" customHeight="1">
      <c r="A624" s="1091"/>
      <c r="B624" s="1149" t="s">
        <v>245</v>
      </c>
      <c r="C624" s="1239" t="s">
        <v>777</v>
      </c>
      <c r="D624" s="1058"/>
      <c r="E624" s="993">
        <v>265</v>
      </c>
      <c r="F624" s="994" t="s">
        <v>218</v>
      </c>
      <c r="G624" s="993">
        <v>900</v>
      </c>
      <c r="H624" s="993">
        <f t="shared" si="122"/>
        <v>841.4172423</v>
      </c>
      <c r="I624" s="993">
        <f>H624*E624</f>
        <v>222975.56920950001</v>
      </c>
      <c r="J624" s="993">
        <v>100</v>
      </c>
      <c r="K624" s="996">
        <f t="shared" si="119"/>
        <v>93.490804699999998</v>
      </c>
      <c r="L624" s="996">
        <f t="shared" si="120"/>
        <v>24775.063245499998</v>
      </c>
      <c r="M624" s="996">
        <f>SUM(I624,L624)</f>
        <v>247750.63245500001</v>
      </c>
      <c r="N624" s="994"/>
      <c r="O624" s="973">
        <v>0.93490804699999996</v>
      </c>
      <c r="P624" s="973"/>
    </row>
    <row r="625" spans="1:16" ht="18.95" customHeight="1">
      <c r="A625" s="1091"/>
      <c r="B625" s="1149"/>
      <c r="C625" s="1239" t="s">
        <v>778</v>
      </c>
      <c r="D625" s="1058"/>
      <c r="E625" s="993"/>
      <c r="F625" s="994"/>
      <c r="G625" s="993"/>
      <c r="H625" s="993"/>
      <c r="I625" s="993"/>
      <c r="J625" s="993"/>
      <c r="K625" s="996"/>
      <c r="L625" s="996"/>
      <c r="M625" s="996"/>
      <c r="N625" s="994"/>
      <c r="O625" s="973">
        <v>0.93490804699999996</v>
      </c>
      <c r="P625" s="973"/>
    </row>
    <row r="626" spans="1:16" ht="18.95" customHeight="1">
      <c r="A626" s="1091"/>
      <c r="B626" s="1149" t="s">
        <v>245</v>
      </c>
      <c r="C626" s="1239" t="s">
        <v>779</v>
      </c>
      <c r="D626" s="1058"/>
      <c r="E626" s="993">
        <v>770</v>
      </c>
      <c r="F626" s="994" t="s">
        <v>218</v>
      </c>
      <c r="G626" s="993">
        <v>300</v>
      </c>
      <c r="H626" s="993">
        <f t="shared" si="122"/>
        <v>280.47241409999998</v>
      </c>
      <c r="I626" s="993">
        <f>H626*E626</f>
        <v>215963.75885699998</v>
      </c>
      <c r="J626" s="993">
        <v>0</v>
      </c>
      <c r="K626" s="996">
        <f t="shared" si="119"/>
        <v>0</v>
      </c>
      <c r="L626" s="996">
        <f>J626*E626</f>
        <v>0</v>
      </c>
      <c r="M626" s="996">
        <f>SUM(I626,L626)</f>
        <v>215963.75885699998</v>
      </c>
      <c r="N626" s="994"/>
      <c r="O626" s="973">
        <v>0.93490804699999996</v>
      </c>
      <c r="P626" s="973"/>
    </row>
    <row r="627" spans="1:16" ht="18.95" customHeight="1">
      <c r="A627" s="1091"/>
      <c r="B627" s="1149"/>
      <c r="C627" s="1239" t="s">
        <v>780</v>
      </c>
      <c r="D627" s="1058"/>
      <c r="E627" s="993"/>
      <c r="F627" s="994"/>
      <c r="G627" s="993"/>
      <c r="H627" s="993"/>
      <c r="I627" s="993"/>
      <c r="J627" s="993"/>
      <c r="K627" s="996"/>
      <c r="L627" s="996"/>
      <c r="M627" s="996"/>
      <c r="N627" s="994"/>
      <c r="O627" s="973">
        <v>0.93490804699999996</v>
      </c>
      <c r="P627" s="973"/>
    </row>
    <row r="628" spans="1:16" ht="18.95" customHeight="1">
      <c r="A628" s="1091"/>
      <c r="B628" s="1149"/>
      <c r="C628" s="1239" t="s">
        <v>781</v>
      </c>
      <c r="D628" s="1058"/>
      <c r="E628" s="993"/>
      <c r="F628" s="994"/>
      <c r="G628" s="993"/>
      <c r="H628" s="993"/>
      <c r="I628" s="993"/>
      <c r="J628" s="993"/>
      <c r="K628" s="996"/>
      <c r="L628" s="996"/>
      <c r="M628" s="996"/>
      <c r="N628" s="994"/>
      <c r="O628" s="973">
        <v>0.93490804699999996</v>
      </c>
      <c r="P628" s="973"/>
    </row>
    <row r="629" spans="1:16" ht="18.95" customHeight="1">
      <c r="A629" s="1091"/>
      <c r="B629" s="1149" t="s">
        <v>245</v>
      </c>
      <c r="C629" s="1239" t="s">
        <v>782</v>
      </c>
      <c r="D629" s="1058"/>
      <c r="E629" s="993">
        <v>40</v>
      </c>
      <c r="F629" s="994" t="s">
        <v>218</v>
      </c>
      <c r="G629" s="993">
        <v>120</v>
      </c>
      <c r="H629" s="993">
        <f t="shared" si="122"/>
        <v>112.18896563999999</v>
      </c>
      <c r="I629" s="993">
        <f>H629*E629</f>
        <v>4487.5586255999997</v>
      </c>
      <c r="J629" s="993">
        <v>87</v>
      </c>
      <c r="K629" s="996">
        <f t="shared" si="119"/>
        <v>81.337000089</v>
      </c>
      <c r="L629" s="996">
        <f t="shared" ref="L629" si="123">K629*E629</f>
        <v>3253.4800035600001</v>
      </c>
      <c r="M629" s="996">
        <f>SUM(I629,L629)</f>
        <v>7741.0386291599998</v>
      </c>
      <c r="N629" s="994"/>
      <c r="O629" s="973">
        <v>0.93490804699999996</v>
      </c>
      <c r="P629" s="973"/>
    </row>
    <row r="630" spans="1:16" ht="18.95" customHeight="1">
      <c r="A630" s="1091"/>
      <c r="B630" s="1149" t="s">
        <v>245</v>
      </c>
      <c r="C630" s="1239" t="s">
        <v>783</v>
      </c>
      <c r="D630" s="1058"/>
      <c r="E630" s="993">
        <v>1</v>
      </c>
      <c r="F630" s="994" t="s">
        <v>351</v>
      </c>
      <c r="G630" s="993">
        <v>3000</v>
      </c>
      <c r="H630" s="993">
        <f t="shared" si="122"/>
        <v>2804.7241409999997</v>
      </c>
      <c r="I630" s="993">
        <f>H630*E630</f>
        <v>2804.7241409999997</v>
      </c>
      <c r="J630" s="993">
        <v>0</v>
      </c>
      <c r="K630" s="996"/>
      <c r="L630" s="996">
        <f>J630*E630</f>
        <v>0</v>
      </c>
      <c r="M630" s="996">
        <f>SUM(I630,L630)</f>
        <v>2804.7241409999997</v>
      </c>
      <c r="N630" s="994"/>
      <c r="O630" s="973">
        <v>0.93490804699999996</v>
      </c>
      <c r="P630" s="973"/>
    </row>
    <row r="631" spans="1:16" ht="18.95" customHeight="1">
      <c r="A631" s="1091"/>
      <c r="B631" s="1149"/>
      <c r="C631" s="1239"/>
      <c r="D631" s="1058"/>
      <c r="E631" s="993"/>
      <c r="F631" s="994"/>
      <c r="G631" s="993"/>
      <c r="H631" s="993"/>
      <c r="I631" s="993"/>
      <c r="J631" s="993"/>
      <c r="K631" s="996"/>
      <c r="L631" s="996"/>
      <c r="M631" s="996"/>
      <c r="N631" s="994"/>
      <c r="O631" s="973"/>
      <c r="P631" s="973"/>
    </row>
    <row r="632" spans="1:16" ht="18.95" customHeight="1">
      <c r="A632" s="1018"/>
      <c r="B632" s="1290"/>
      <c r="C632" s="1291"/>
      <c r="D632" s="1292"/>
      <c r="E632" s="993"/>
      <c r="F632" s="994"/>
      <c r="G632" s="996"/>
      <c r="H632" s="996"/>
      <c r="I632" s="996"/>
      <c r="J632" s="996"/>
      <c r="K632" s="996"/>
      <c r="L632" s="996"/>
      <c r="M632" s="1116">
        <f>SUM(M556:M631)</f>
        <v>5252306.5175647726</v>
      </c>
      <c r="N632" s="994"/>
      <c r="O632" s="973"/>
      <c r="P632" s="973"/>
    </row>
    <row r="633" spans="1:16" ht="18.95" customHeight="1">
      <c r="A633" s="1018"/>
      <c r="B633" s="1149"/>
      <c r="C633" s="1239"/>
      <c r="D633" s="1058"/>
      <c r="E633" s="993"/>
      <c r="F633" s="994"/>
      <c r="G633" s="996"/>
      <c r="H633" s="996"/>
      <c r="I633" s="996"/>
      <c r="J633" s="996"/>
      <c r="K633" s="996"/>
      <c r="L633" s="996"/>
      <c r="M633" s="996"/>
      <c r="N633" s="994"/>
      <c r="O633" s="973"/>
      <c r="P633" s="973"/>
    </row>
    <row r="634" spans="1:16" ht="18.95" customHeight="1">
      <c r="A634" s="1018"/>
      <c r="B634" s="1149"/>
      <c r="C634" s="1239"/>
      <c r="D634" s="1058"/>
      <c r="E634" s="993"/>
      <c r="F634" s="994"/>
      <c r="G634" s="996"/>
      <c r="H634" s="996"/>
      <c r="I634" s="996"/>
      <c r="J634" s="996"/>
      <c r="K634" s="996"/>
      <c r="L634" s="996"/>
      <c r="M634" s="996"/>
      <c r="N634" s="994"/>
      <c r="O634" s="973"/>
      <c r="P634" s="973"/>
    </row>
    <row r="635" spans="1:16" ht="18.95" customHeight="1">
      <c r="A635" s="1018"/>
      <c r="B635" s="1063"/>
      <c r="C635" s="1239"/>
      <c r="D635" s="1058"/>
      <c r="E635" s="993"/>
      <c r="F635" s="994"/>
      <c r="G635" s="996"/>
      <c r="H635" s="996"/>
      <c r="I635" s="996"/>
      <c r="J635" s="996"/>
      <c r="K635" s="996"/>
      <c r="L635" s="996"/>
      <c r="M635" s="996"/>
      <c r="N635" s="994"/>
      <c r="O635" s="973"/>
      <c r="P635" s="973"/>
    </row>
    <row r="636" spans="1:16" ht="18.95" customHeight="1">
      <c r="A636" s="1018"/>
      <c r="B636" s="1149"/>
      <c r="C636" s="1239"/>
      <c r="D636" s="1058"/>
      <c r="E636" s="993"/>
      <c r="F636" s="994"/>
      <c r="G636" s="996"/>
      <c r="H636" s="996"/>
      <c r="I636" s="996"/>
      <c r="J636" s="996"/>
      <c r="K636" s="996"/>
      <c r="L636" s="996"/>
      <c r="M636" s="996"/>
      <c r="N636" s="994"/>
      <c r="O636" s="973"/>
      <c r="P636" s="973"/>
    </row>
    <row r="637" spans="1:16" ht="18.95" customHeight="1">
      <c r="A637" s="1018"/>
      <c r="B637" s="1149"/>
      <c r="C637" s="1239"/>
      <c r="D637" s="1061"/>
      <c r="E637" s="993"/>
      <c r="F637" s="994"/>
      <c r="G637" s="996"/>
      <c r="H637" s="996"/>
      <c r="I637" s="996"/>
      <c r="J637" s="996"/>
      <c r="K637" s="996"/>
      <c r="L637" s="996"/>
      <c r="M637" s="996"/>
      <c r="N637" s="994"/>
      <c r="O637" s="973"/>
      <c r="P637" s="973"/>
    </row>
    <row r="638" spans="1:16" ht="18.95" customHeight="1">
      <c r="A638" s="1018"/>
      <c r="B638" s="1149"/>
      <c r="C638" s="1239"/>
      <c r="D638" s="1061"/>
      <c r="E638" s="993"/>
      <c r="F638" s="994"/>
      <c r="G638" s="996"/>
      <c r="H638" s="996"/>
      <c r="I638" s="996"/>
      <c r="J638" s="996"/>
      <c r="K638" s="996"/>
      <c r="L638" s="996"/>
      <c r="M638" s="996"/>
      <c r="N638" s="994"/>
      <c r="O638" s="973"/>
      <c r="P638" s="973"/>
    </row>
    <row r="639" spans="1:16" ht="18.95" customHeight="1">
      <c r="A639" s="1018"/>
      <c r="B639" s="1150"/>
      <c r="C639" s="1239"/>
      <c r="D639" s="1061"/>
      <c r="E639" s="993"/>
      <c r="F639" s="994"/>
      <c r="G639" s="996"/>
      <c r="H639" s="996"/>
      <c r="I639" s="993"/>
      <c r="J639" s="996"/>
      <c r="K639" s="996"/>
      <c r="L639" s="995"/>
      <c r="M639" s="996"/>
      <c r="N639" s="994"/>
      <c r="O639" s="973"/>
      <c r="P639" s="973"/>
    </row>
    <row r="640" spans="1:16" ht="18.95" customHeight="1">
      <c r="A640" s="1152"/>
      <c r="B640" s="1150"/>
      <c r="C640" s="1239"/>
      <c r="D640" s="1061"/>
      <c r="E640" s="993"/>
      <c r="F640" s="994"/>
      <c r="G640" s="996"/>
      <c r="H640" s="996"/>
      <c r="I640" s="996"/>
      <c r="J640" s="996"/>
      <c r="K640" s="996"/>
      <c r="L640" s="996"/>
      <c r="M640" s="996"/>
      <c r="N640" s="994"/>
      <c r="O640" s="973"/>
      <c r="P640" s="973"/>
    </row>
    <row r="641" spans="1:16" ht="18.95" customHeight="1">
      <c r="A641" s="1152"/>
      <c r="B641" s="1150"/>
      <c r="C641" s="1239"/>
      <c r="D641" s="1061"/>
      <c r="E641" s="993"/>
      <c r="F641" s="994"/>
      <c r="G641" s="996"/>
      <c r="H641" s="996"/>
      <c r="I641" s="996"/>
      <c r="J641" s="996"/>
      <c r="K641" s="996"/>
      <c r="L641" s="996"/>
      <c r="M641" s="1116"/>
      <c r="N641" s="994"/>
      <c r="O641" s="973"/>
      <c r="P641" s="973"/>
    </row>
    <row r="642" spans="1:16" ht="18.95" customHeight="1">
      <c r="A642" s="1102"/>
      <c r="B642" s="1150"/>
      <c r="C642" s="1225"/>
      <c r="D642" s="1061"/>
      <c r="E642" s="996"/>
      <c r="F642" s="994"/>
      <c r="G642" s="996"/>
      <c r="H642" s="996"/>
      <c r="I642" s="996"/>
      <c r="J642" s="996"/>
      <c r="K642" s="996"/>
      <c r="L642" s="996"/>
      <c r="M642" s="996"/>
      <c r="N642" s="994"/>
      <c r="O642" s="973"/>
      <c r="P642" s="973"/>
    </row>
    <row r="643" spans="1:16" ht="18.95" customHeight="1">
      <c r="A643" s="1102"/>
      <c r="B643" s="1153"/>
      <c r="C643" s="1249"/>
      <c r="D643" s="1061"/>
      <c r="E643" s="996"/>
      <c r="F643" s="994"/>
      <c r="G643" s="996"/>
      <c r="H643" s="996"/>
      <c r="I643" s="996"/>
      <c r="J643" s="996"/>
      <c r="K643" s="996"/>
      <c r="L643" s="996"/>
      <c r="M643" s="996"/>
      <c r="N643" s="994"/>
      <c r="O643" s="973"/>
      <c r="P643" s="973"/>
    </row>
    <row r="644" spans="1:16" ht="18.95" customHeight="1">
      <c r="A644" s="1102"/>
      <c r="B644" s="1153"/>
      <c r="C644" s="1249"/>
      <c r="D644" s="1146"/>
      <c r="E644" s="996"/>
      <c r="F644" s="994"/>
      <c r="G644" s="996"/>
      <c r="H644" s="996"/>
      <c r="I644" s="996"/>
      <c r="J644" s="996"/>
      <c r="K644" s="996"/>
      <c r="L644" s="996"/>
      <c r="M644" s="996"/>
      <c r="N644" s="994"/>
      <c r="O644" s="973"/>
      <c r="P644" s="973"/>
    </row>
    <row r="645" spans="1:16" ht="18.95" customHeight="1">
      <c r="A645" s="1102"/>
      <c r="B645" s="1281"/>
      <c r="C645" s="1282"/>
      <c r="D645" s="1283"/>
      <c r="E645" s="996"/>
      <c r="F645" s="994"/>
      <c r="G645" s="996"/>
      <c r="H645" s="996"/>
      <c r="I645" s="996"/>
      <c r="J645" s="996"/>
      <c r="K645" s="996"/>
      <c r="L645" s="996"/>
      <c r="M645" s="996"/>
      <c r="N645" s="994"/>
      <c r="O645" s="973"/>
      <c r="P645" s="973"/>
    </row>
    <row r="646" spans="1:16" ht="18.95" customHeight="1">
      <c r="A646" s="1102"/>
      <c r="B646" s="1147"/>
      <c r="C646" s="1239"/>
      <c r="D646" s="1059"/>
      <c r="E646" s="996"/>
      <c r="F646" s="994"/>
      <c r="G646" s="996"/>
      <c r="H646" s="996"/>
      <c r="I646" s="996"/>
      <c r="J646" s="996"/>
      <c r="K646" s="996"/>
      <c r="L646" s="996"/>
      <c r="M646" s="996"/>
      <c r="N646" s="994"/>
      <c r="O646" s="973"/>
      <c r="P646" s="973"/>
    </row>
    <row r="647" spans="1:16" ht="18.95" customHeight="1">
      <c r="A647" s="1135"/>
      <c r="B647" s="1147"/>
      <c r="C647" s="1239"/>
      <c r="D647" s="1059"/>
      <c r="E647" s="996"/>
      <c r="F647" s="994"/>
      <c r="G647" s="996"/>
      <c r="H647" s="996"/>
      <c r="I647" s="996"/>
      <c r="J647" s="996"/>
      <c r="K647" s="996"/>
      <c r="L647" s="996"/>
      <c r="M647" s="996"/>
      <c r="N647" s="994"/>
      <c r="O647" s="973"/>
      <c r="P647" s="973"/>
    </row>
    <row r="648" spans="1:16" ht="18.95" customHeight="1">
      <c r="A648" s="1130"/>
      <c r="B648" s="1099"/>
      <c r="C648" s="1242"/>
      <c r="D648" s="1065"/>
      <c r="E648" s="1028"/>
      <c r="F648" s="1010"/>
      <c r="G648" s="1028"/>
      <c r="H648" s="1028"/>
      <c r="I648" s="1028"/>
      <c r="J648" s="1028"/>
      <c r="K648" s="1028"/>
      <c r="L648" s="1028"/>
      <c r="M648" s="1028"/>
      <c r="N648" s="1010"/>
      <c r="O648" s="973"/>
      <c r="P648" s="973"/>
    </row>
    <row r="649" spans="1:16" ht="18.95" customHeight="1">
      <c r="A649" s="1074"/>
      <c r="B649" s="1075"/>
      <c r="C649" s="1228"/>
      <c r="D649" s="1118"/>
      <c r="E649" s="986"/>
      <c r="F649" s="987"/>
      <c r="G649" s="986"/>
      <c r="H649" s="986"/>
      <c r="I649" s="986"/>
      <c r="J649" s="986"/>
      <c r="K649" s="986"/>
      <c r="L649" s="988"/>
      <c r="M649" s="989"/>
      <c r="N649" s="987"/>
      <c r="O649" s="973"/>
      <c r="P649" s="973"/>
    </row>
    <row r="650" spans="1:16" ht="18.95" customHeight="1">
      <c r="A650" s="1018"/>
      <c r="B650" s="1063"/>
      <c r="C650" s="1229"/>
      <c r="D650" s="1154"/>
      <c r="E650" s="993"/>
      <c r="F650" s="994"/>
      <c r="G650" s="996"/>
      <c r="H650" s="996"/>
      <c r="I650" s="996"/>
      <c r="J650" s="996"/>
      <c r="K650" s="996"/>
      <c r="L650" s="996"/>
      <c r="M650" s="996"/>
      <c r="N650" s="1015"/>
      <c r="O650" s="973"/>
      <c r="P650" s="973"/>
    </row>
    <row r="651" spans="1:16" ht="18.95" customHeight="1">
      <c r="A651" s="1018"/>
      <c r="B651" s="1063"/>
      <c r="C651" s="1229"/>
      <c r="D651" s="1154"/>
      <c r="E651" s="993"/>
      <c r="F651" s="994"/>
      <c r="G651" s="996"/>
      <c r="H651" s="996"/>
      <c r="I651" s="996"/>
      <c r="J651" s="996"/>
      <c r="K651" s="996"/>
      <c r="L651" s="996"/>
      <c r="M651" s="996"/>
      <c r="N651" s="996"/>
    </row>
    <row r="652" spans="1:16" ht="18.95" customHeight="1">
      <c r="A652" s="1018"/>
      <c r="B652" s="1063"/>
      <c r="C652" s="1239"/>
      <c r="D652" s="1154"/>
      <c r="E652" s="993"/>
      <c r="F652" s="994"/>
      <c r="G652" s="996"/>
      <c r="H652" s="996"/>
      <c r="I652" s="996"/>
      <c r="J652" s="996"/>
      <c r="K652" s="996"/>
      <c r="L652" s="996"/>
      <c r="M652" s="996"/>
      <c r="N652" s="996"/>
    </row>
    <row r="653" spans="1:16" ht="18.95" customHeight="1">
      <c r="A653" s="1018"/>
      <c r="B653" s="1063"/>
      <c r="C653" s="1239"/>
      <c r="D653" s="1154"/>
      <c r="E653" s="993"/>
      <c r="F653" s="994"/>
      <c r="G653" s="996"/>
      <c r="H653" s="996"/>
      <c r="I653" s="996"/>
      <c r="J653" s="996"/>
      <c r="K653" s="996"/>
      <c r="L653" s="996"/>
      <c r="M653" s="996"/>
      <c r="N653" s="996"/>
    </row>
    <row r="654" spans="1:16" ht="18.95" customHeight="1">
      <c r="A654" s="1018"/>
      <c r="B654" s="1063"/>
      <c r="C654" s="1239"/>
      <c r="D654" s="1059"/>
      <c r="E654" s="993"/>
      <c r="F654" s="994"/>
      <c r="G654" s="996"/>
      <c r="H654" s="996"/>
      <c r="I654" s="996"/>
      <c r="J654" s="996"/>
      <c r="K654" s="996"/>
      <c r="L654" s="996"/>
      <c r="M654" s="996"/>
      <c r="N654" s="996"/>
    </row>
    <row r="655" spans="1:16" ht="18.95" customHeight="1">
      <c r="A655" s="1018"/>
      <c r="B655" s="1063"/>
      <c r="C655" s="1239"/>
      <c r="D655" s="1059"/>
      <c r="E655" s="993"/>
      <c r="F655" s="994"/>
      <c r="G655" s="996"/>
      <c r="H655" s="996"/>
      <c r="I655" s="996"/>
      <c r="J655" s="996"/>
      <c r="K655" s="996"/>
      <c r="L655" s="996"/>
      <c r="M655" s="996"/>
      <c r="N655" s="996"/>
    </row>
    <row r="656" spans="1:16" ht="18.95" customHeight="1">
      <c r="A656" s="1018"/>
      <c r="B656" s="1063"/>
      <c r="C656" s="1239"/>
      <c r="D656" s="1059"/>
      <c r="E656" s="993"/>
      <c r="F656" s="994"/>
      <c r="G656" s="996"/>
      <c r="H656" s="996"/>
      <c r="I656" s="996"/>
      <c r="J656" s="996"/>
      <c r="K656" s="996"/>
      <c r="L656" s="996"/>
      <c r="M656" s="996"/>
      <c r="N656" s="996"/>
    </row>
    <row r="657" spans="1:16" ht="18.95" customHeight="1">
      <c r="A657" s="1018"/>
      <c r="B657" s="1063"/>
      <c r="C657" s="1239"/>
      <c r="D657" s="1059"/>
      <c r="E657" s="993"/>
      <c r="F657" s="994"/>
      <c r="G657" s="996"/>
      <c r="H657" s="996"/>
      <c r="I657" s="996"/>
      <c r="J657" s="996"/>
      <c r="K657" s="996"/>
      <c r="L657" s="996"/>
      <c r="M657" s="996"/>
      <c r="N657" s="996"/>
    </row>
    <row r="658" spans="1:16" ht="18.95" customHeight="1">
      <c r="A658" s="1151"/>
      <c r="B658" s="1155"/>
      <c r="C658" s="1226"/>
      <c r="D658" s="1061"/>
      <c r="E658" s="993"/>
      <c r="F658" s="1148"/>
      <c r="G658" s="993"/>
      <c r="H658" s="993"/>
      <c r="I658" s="996"/>
      <c r="J658" s="1038"/>
      <c r="K658" s="1038"/>
      <c r="L658" s="1097"/>
      <c r="M658" s="993"/>
      <c r="N658" s="994"/>
      <c r="O658" s="973"/>
      <c r="P658" s="973"/>
    </row>
    <row r="659" spans="1:16" ht="18.95" customHeight="1">
      <c r="A659" s="1102"/>
      <c r="B659" s="1156"/>
      <c r="C659" s="1250"/>
      <c r="D659" s="1061"/>
      <c r="E659" s="996"/>
      <c r="F659" s="994"/>
      <c r="G659" s="996"/>
      <c r="H659" s="996"/>
      <c r="I659" s="993"/>
      <c r="J659" s="996"/>
      <c r="K659" s="996"/>
      <c r="L659" s="995"/>
      <c r="M659" s="996"/>
      <c r="N659" s="994"/>
      <c r="O659" s="973"/>
      <c r="P659" s="973"/>
    </row>
    <row r="660" spans="1:16" ht="18.95" customHeight="1">
      <c r="A660" s="1102"/>
      <c r="B660" s="1287"/>
      <c r="C660" s="1288"/>
      <c r="D660" s="1289"/>
      <c r="E660" s="996"/>
      <c r="F660" s="994"/>
      <c r="G660" s="996"/>
      <c r="H660" s="996"/>
      <c r="I660" s="996"/>
      <c r="J660" s="996"/>
      <c r="K660" s="996"/>
      <c r="L660" s="996"/>
      <c r="M660" s="1116"/>
      <c r="N660" s="994"/>
      <c r="O660" s="973"/>
      <c r="P660" s="973"/>
    </row>
    <row r="661" spans="1:16" ht="18.95" customHeight="1">
      <c r="A661" s="1018"/>
      <c r="B661" s="1063"/>
      <c r="C661" s="1239"/>
      <c r="D661" s="1059"/>
      <c r="E661" s="993"/>
      <c r="F661" s="994"/>
      <c r="G661" s="996"/>
      <c r="H661" s="996"/>
      <c r="I661" s="996"/>
      <c r="J661" s="996"/>
      <c r="K661" s="996"/>
      <c r="L661" s="996"/>
      <c r="M661" s="996"/>
      <c r="N661" s="994"/>
      <c r="O661" s="973"/>
      <c r="P661" s="973"/>
    </row>
    <row r="662" spans="1:16" ht="18.95" customHeight="1">
      <c r="A662" s="1018"/>
      <c r="B662" s="1063"/>
      <c r="C662" s="1225"/>
      <c r="D662" s="1060"/>
      <c r="E662" s="993"/>
      <c r="F662" s="994"/>
      <c r="G662" s="996"/>
      <c r="H662" s="996"/>
      <c r="I662" s="996"/>
      <c r="J662" s="996"/>
      <c r="K662" s="996"/>
      <c r="L662" s="996"/>
      <c r="M662" s="996"/>
      <c r="N662" s="994"/>
      <c r="O662" s="973"/>
      <c r="P662" s="973"/>
    </row>
    <row r="663" spans="1:16" ht="18.95" customHeight="1">
      <c r="A663" s="1018"/>
      <c r="B663" s="1063"/>
      <c r="C663" s="1239"/>
      <c r="D663" s="1060"/>
      <c r="E663" s="993"/>
      <c r="F663" s="994"/>
      <c r="G663" s="996"/>
      <c r="H663" s="996"/>
      <c r="I663" s="996"/>
      <c r="J663" s="996"/>
      <c r="K663" s="996"/>
      <c r="L663" s="996"/>
      <c r="M663" s="996"/>
      <c r="N663" s="994"/>
      <c r="O663" s="973"/>
      <c r="P663" s="973"/>
    </row>
    <row r="664" spans="1:16" ht="18.95" customHeight="1">
      <c r="A664" s="1018"/>
      <c r="B664" s="1063"/>
      <c r="C664" s="1239"/>
      <c r="D664" s="1060"/>
      <c r="E664" s="993"/>
      <c r="F664" s="994"/>
      <c r="G664" s="996"/>
      <c r="H664" s="996"/>
      <c r="I664" s="996"/>
      <c r="J664" s="996"/>
      <c r="K664" s="996"/>
      <c r="L664" s="996"/>
      <c r="M664" s="996"/>
      <c r="N664" s="994"/>
      <c r="O664" s="973"/>
      <c r="P664" s="973"/>
    </row>
    <row r="665" spans="1:16" ht="18.95" customHeight="1">
      <c r="A665" s="1018"/>
      <c r="B665" s="1063"/>
      <c r="C665" s="1239"/>
      <c r="D665" s="1060"/>
      <c r="E665" s="993"/>
      <c r="F665" s="994"/>
      <c r="G665" s="996"/>
      <c r="H665" s="996"/>
      <c r="I665" s="996"/>
      <c r="J665" s="996"/>
      <c r="K665" s="996"/>
      <c r="L665" s="996"/>
      <c r="M665" s="996"/>
      <c r="N665" s="994"/>
      <c r="O665" s="973"/>
      <c r="P665" s="973"/>
    </row>
    <row r="666" spans="1:16" ht="18.95" customHeight="1">
      <c r="A666" s="1018"/>
      <c r="B666" s="1063"/>
      <c r="C666" s="1239"/>
      <c r="D666" s="1060"/>
      <c r="E666" s="993"/>
      <c r="F666" s="994"/>
      <c r="G666" s="996"/>
      <c r="H666" s="996"/>
      <c r="I666" s="996"/>
      <c r="J666" s="996"/>
      <c r="K666" s="996"/>
      <c r="L666" s="996"/>
      <c r="M666" s="996"/>
      <c r="N666" s="994"/>
      <c r="O666" s="973"/>
      <c r="P666" s="973"/>
    </row>
    <row r="667" spans="1:16" ht="18.95" customHeight="1">
      <c r="A667" s="1018"/>
      <c r="B667" s="1063"/>
      <c r="C667" s="1225"/>
      <c r="D667" s="1061"/>
      <c r="E667" s="993"/>
      <c r="F667" s="994"/>
      <c r="G667" s="996"/>
      <c r="H667" s="996"/>
      <c r="I667" s="993"/>
      <c r="J667" s="996"/>
      <c r="K667" s="996"/>
      <c r="L667" s="995"/>
      <c r="M667" s="996"/>
      <c r="N667" s="994"/>
      <c r="O667" s="973"/>
      <c r="P667" s="973"/>
    </row>
    <row r="668" spans="1:16" ht="18.95" customHeight="1">
      <c r="A668" s="1152"/>
      <c r="B668" s="1157"/>
      <c r="C668" s="1251"/>
      <c r="D668" s="1058"/>
      <c r="E668" s="993"/>
      <c r="F668" s="994"/>
      <c r="G668" s="996"/>
      <c r="H668" s="996"/>
      <c r="I668" s="996"/>
      <c r="J668" s="996"/>
      <c r="K668" s="996"/>
      <c r="L668" s="996"/>
      <c r="M668" s="996"/>
      <c r="N668" s="994"/>
      <c r="O668" s="973"/>
      <c r="P668" s="973"/>
    </row>
    <row r="669" spans="1:16" ht="18.95" customHeight="1">
      <c r="A669" s="1152"/>
      <c r="B669" s="1284"/>
      <c r="C669" s="1285"/>
      <c r="D669" s="1286"/>
      <c r="E669" s="993"/>
      <c r="F669" s="994"/>
      <c r="G669" s="996"/>
      <c r="H669" s="996"/>
      <c r="I669" s="996"/>
      <c r="J669" s="996"/>
      <c r="K669" s="996"/>
      <c r="L669" s="996"/>
      <c r="M669" s="1116"/>
      <c r="N669" s="994"/>
      <c r="O669" s="973"/>
      <c r="P669" s="973"/>
    </row>
    <row r="670" spans="1:16" ht="18.95" customHeight="1">
      <c r="A670" s="1102"/>
      <c r="B670" s="1088"/>
      <c r="C670" s="1249"/>
      <c r="D670" s="1061"/>
      <c r="E670" s="996"/>
      <c r="F670" s="994"/>
      <c r="G670" s="996"/>
      <c r="H670" s="996"/>
      <c r="I670" s="996"/>
      <c r="J670" s="996"/>
      <c r="K670" s="996"/>
      <c r="L670" s="996"/>
      <c r="M670" s="996"/>
      <c r="N670" s="994"/>
      <c r="O670" s="973"/>
      <c r="P670" s="973"/>
    </row>
    <row r="671" spans="1:16" ht="18.95" customHeight="1">
      <c r="A671" s="1102"/>
      <c r="B671" s="1153"/>
      <c r="C671" s="1249"/>
      <c r="D671" s="1061"/>
      <c r="E671" s="996"/>
      <c r="F671" s="994"/>
      <c r="G671" s="996"/>
      <c r="H671" s="996"/>
      <c r="I671" s="996"/>
      <c r="J671" s="996"/>
      <c r="K671" s="996"/>
      <c r="L671" s="996"/>
      <c r="M671" s="996"/>
      <c r="N671" s="994"/>
      <c r="O671" s="973"/>
      <c r="P671" s="973"/>
    </row>
    <row r="672" spans="1:16" ht="18.95" customHeight="1">
      <c r="A672" s="1102"/>
      <c r="B672" s="1153"/>
      <c r="C672" s="1249"/>
      <c r="D672" s="1146"/>
      <c r="E672" s="996"/>
      <c r="F672" s="994"/>
      <c r="G672" s="996"/>
      <c r="H672" s="996"/>
      <c r="I672" s="996"/>
      <c r="J672" s="996"/>
      <c r="K672" s="996"/>
      <c r="L672" s="996"/>
      <c r="M672" s="996"/>
      <c r="N672" s="994"/>
      <c r="O672" s="973"/>
      <c r="P672" s="973"/>
    </row>
    <row r="673" spans="1:16" ht="18.95" customHeight="1">
      <c r="A673" s="1102"/>
      <c r="B673" s="1153"/>
      <c r="C673" s="1249"/>
      <c r="D673" s="1146"/>
      <c r="E673" s="996"/>
      <c r="F673" s="994"/>
      <c r="G673" s="996"/>
      <c r="H673" s="996"/>
      <c r="I673" s="996"/>
      <c r="J673" s="996"/>
      <c r="K673" s="996"/>
      <c r="L673" s="996"/>
      <c r="M673" s="996"/>
      <c r="N673" s="994"/>
      <c r="O673" s="973"/>
      <c r="P673" s="973"/>
    </row>
    <row r="674" spans="1:16" ht="18.95" customHeight="1">
      <c r="A674" s="1102"/>
      <c r="B674" s="1147"/>
      <c r="C674" s="1239"/>
      <c r="D674" s="1059"/>
      <c r="E674" s="996"/>
      <c r="F674" s="994"/>
      <c r="G674" s="996"/>
      <c r="H674" s="996"/>
      <c r="I674" s="996"/>
      <c r="J674" s="996"/>
      <c r="K674" s="996"/>
      <c r="L674" s="996"/>
      <c r="M674" s="996"/>
      <c r="N674" s="994"/>
      <c r="O674" s="973"/>
      <c r="P674" s="973"/>
    </row>
    <row r="675" spans="1:16" ht="18.95" customHeight="1">
      <c r="A675" s="1135"/>
      <c r="B675" s="1147"/>
      <c r="C675" s="1239"/>
      <c r="D675" s="1059"/>
      <c r="E675" s="996"/>
      <c r="F675" s="994"/>
      <c r="G675" s="996"/>
      <c r="H675" s="996"/>
      <c r="I675" s="996"/>
      <c r="J675" s="996"/>
      <c r="K675" s="996"/>
      <c r="L675" s="996"/>
      <c r="M675" s="996"/>
      <c r="N675" s="994"/>
      <c r="O675" s="973"/>
      <c r="P675" s="973"/>
    </row>
    <row r="676" spans="1:16" ht="18.95" customHeight="1">
      <c r="A676" s="1130"/>
      <c r="B676" s="1099"/>
      <c r="C676" s="1242"/>
      <c r="D676" s="1065"/>
      <c r="E676" s="1028"/>
      <c r="F676" s="1010"/>
      <c r="G676" s="1028"/>
      <c r="H676" s="1028"/>
      <c r="I676" s="1028"/>
      <c r="J676" s="1028"/>
      <c r="K676" s="1028"/>
      <c r="L676" s="1028"/>
      <c r="M676" s="1028"/>
      <c r="N676" s="1010"/>
      <c r="O676" s="973"/>
      <c r="P676" s="973"/>
    </row>
  </sheetData>
  <mergeCells count="12">
    <mergeCell ref="B13:D13"/>
    <mergeCell ref="E298:F298"/>
    <mergeCell ref="B72:D72"/>
    <mergeCell ref="B139:D139"/>
    <mergeCell ref="B187:D187"/>
    <mergeCell ref="E292:F292"/>
    <mergeCell ref="B351:D351"/>
    <mergeCell ref="B669:D669"/>
    <mergeCell ref="B645:D645"/>
    <mergeCell ref="B660:D660"/>
    <mergeCell ref="B632:D632"/>
    <mergeCell ref="B438:D438"/>
  </mergeCells>
  <phoneticPr fontId="10" type="noConversion"/>
  <printOptions horizontalCentered="1"/>
  <pageMargins left="0.39370078740157483" right="0.39370078740157483" top="1.1811023622047245" bottom="0" header="0.78740157480314965" footer="0"/>
  <pageSetup paperSize="9" scale="75" orientation="landscape" useFirstPageNumber="1" r:id="rId1"/>
  <headerFooter alignWithMargins="0">
    <oddHeader xml:space="preserve">&amp;C&amp;"Cordia New,Regular"&amp;14แบบแสดงรายการ ปริมาณงาน และราคา&amp;R&amp;"Cordia New,Regular"&amp;14แบบปร.4(ก) แผ่นที่ &amp;P/103   </oddHeader>
  </headerFooter>
  <rowBreaks count="22" manualBreakCount="22">
    <brk id="25" max="11" man="1"/>
    <brk id="51" max="11" man="1"/>
    <brk id="79" max="11" man="1"/>
    <brk id="104" max="11" man="1"/>
    <brk id="133" max="11" man="1"/>
    <brk id="160" max="11" man="1"/>
    <brk id="187" max="11" man="1"/>
    <brk id="215" max="11" man="1"/>
    <brk id="243" max="11" man="1"/>
    <brk id="271" max="11" man="1"/>
    <brk id="299" max="11" man="1"/>
    <brk id="328" max="11" man="1"/>
    <brk id="355" max="11" man="1"/>
    <brk id="383" max="11" man="1"/>
    <brk id="411" max="11" man="1"/>
    <brk id="439" max="11" man="1"/>
    <brk id="467" max="11" man="1"/>
    <brk id="496" max="11" man="1"/>
    <brk id="524" max="11" man="1"/>
    <brk id="552" max="11" man="1"/>
    <brk id="580" max="11" man="1"/>
    <brk id="608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Q416"/>
  <sheetViews>
    <sheetView view="pageBreakPreview" zoomScaleNormal="100" zoomScaleSheetLayoutView="100" workbookViewId="0">
      <pane ySplit="1" topLeftCell="A22" activePane="bottomLeft" state="frozen"/>
      <selection pane="bottomLeft" activeCell="M4" sqref="M4"/>
    </sheetView>
  </sheetViews>
  <sheetFormatPr defaultColWidth="10.42578125" defaultRowHeight="18.95" customHeight="1"/>
  <cols>
    <col min="1" max="1" width="6.7109375" style="250" customWidth="1"/>
    <col min="2" max="2" width="11.85546875" style="407" customWidth="1"/>
    <col min="3" max="3" width="18.42578125" style="407" customWidth="1"/>
    <col min="4" max="4" width="17.140625" style="250" customWidth="1"/>
    <col min="5" max="5" width="11.42578125" style="408" customWidth="1"/>
    <col min="6" max="6" width="9.5703125" style="250" customWidth="1"/>
    <col min="7" max="7" width="15.7109375" style="408" hidden="1" customWidth="1"/>
    <col min="8" max="9" width="15.7109375" style="408" customWidth="1"/>
    <col min="10" max="10" width="15.7109375" style="250" hidden="1" customWidth="1"/>
    <col min="11" max="13" width="15.7109375" style="250" customWidth="1"/>
    <col min="14" max="14" width="16.28515625" style="250" customWidth="1"/>
    <col min="15" max="15" width="15.140625" style="293" customWidth="1"/>
    <col min="16" max="16" width="14.28515625" style="293" customWidth="1"/>
    <col min="17" max="17" width="11.5703125" style="250" bestFit="1" customWidth="1"/>
    <col min="18" max="16384" width="10.42578125" style="250"/>
  </cols>
  <sheetData>
    <row r="1" spans="1:17" ht="33.75" customHeight="1">
      <c r="A1" s="1253"/>
      <c r="B1" s="306"/>
      <c r="C1" s="306" t="s">
        <v>33</v>
      </c>
      <c r="D1" s="1254"/>
      <c r="E1" s="1255" t="s">
        <v>35</v>
      </c>
      <c r="F1" s="1253" t="s">
        <v>34</v>
      </c>
      <c r="G1" s="1256"/>
      <c r="H1" s="1256"/>
      <c r="I1" s="1255" t="s">
        <v>36</v>
      </c>
      <c r="J1" s="1256"/>
      <c r="K1" s="1256"/>
      <c r="L1" s="1253" t="s">
        <v>37</v>
      </c>
      <c r="M1" s="1253" t="s">
        <v>38</v>
      </c>
      <c r="N1" s="1253"/>
      <c r="O1" s="978"/>
    </row>
    <row r="2" spans="1:17" ht="18.95" customHeight="1">
      <c r="A2" s="312"/>
      <c r="B2" s="831" t="s">
        <v>784</v>
      </c>
      <c r="C2" s="831"/>
      <c r="D2" s="847"/>
      <c r="E2" s="263"/>
      <c r="F2" s="264"/>
      <c r="G2" s="263"/>
      <c r="H2" s="263"/>
      <c r="I2" s="263"/>
      <c r="J2" s="265"/>
      <c r="K2" s="265"/>
      <c r="L2" s="266"/>
      <c r="M2" s="264"/>
      <c r="N2" s="264"/>
      <c r="O2" s="973"/>
    </row>
    <row r="3" spans="1:17" ht="18.95" customHeight="1">
      <c r="A3" s="314"/>
      <c r="B3" s="409" t="s">
        <v>22</v>
      </c>
      <c r="C3" s="832"/>
      <c r="D3" s="328"/>
      <c r="E3" s="267"/>
      <c r="F3" s="268"/>
      <c r="G3" s="267"/>
      <c r="H3" s="267"/>
      <c r="I3" s="267"/>
      <c r="J3" s="269"/>
      <c r="K3" s="269"/>
      <c r="L3" s="269"/>
      <c r="M3" s="270"/>
      <c r="N3" s="268"/>
      <c r="O3" s="973"/>
    </row>
    <row r="4" spans="1:17" ht="18.95" customHeight="1">
      <c r="A4" s="314">
        <v>1</v>
      </c>
      <c r="B4" s="841" t="s">
        <v>785</v>
      </c>
      <c r="C4" s="832"/>
      <c r="D4" s="328"/>
      <c r="E4" s="267"/>
      <c r="F4" s="268"/>
      <c r="G4" s="267"/>
      <c r="H4" s="267"/>
      <c r="I4" s="267"/>
      <c r="J4" s="269"/>
      <c r="K4" s="269"/>
      <c r="L4" s="269"/>
      <c r="M4" s="270">
        <f>M70</f>
        <v>250027.13354944499</v>
      </c>
      <c r="N4" s="268"/>
      <c r="O4" s="973">
        <f>P4*0.934908047</f>
        <v>250027.13354944499</v>
      </c>
      <c r="P4" s="293">
        <v>267435</v>
      </c>
      <c r="Q4" s="252">
        <f>M4-O4</f>
        <v>0</v>
      </c>
    </row>
    <row r="5" spans="1:17" ht="18.95" customHeight="1">
      <c r="A5" s="314">
        <v>2</v>
      </c>
      <c r="B5" s="410" t="s">
        <v>786</v>
      </c>
      <c r="C5" s="832"/>
      <c r="D5" s="328"/>
      <c r="E5" s="267"/>
      <c r="F5" s="268"/>
      <c r="G5" s="267"/>
      <c r="H5" s="267"/>
      <c r="I5" s="267"/>
      <c r="J5" s="269"/>
      <c r="K5" s="269"/>
      <c r="L5" s="269"/>
      <c r="M5" s="270">
        <f>M91</f>
        <v>519799.52505152998</v>
      </c>
      <c r="N5" s="268"/>
      <c r="O5" s="973">
        <f t="shared" ref="O5:O33" si="0">P5*0.934908047</f>
        <v>519799.52505152998</v>
      </c>
      <c r="P5" s="293">
        <v>555990</v>
      </c>
      <c r="Q5" s="252">
        <f t="shared" ref="Q5:Q35" si="1">M5-O5</f>
        <v>0</v>
      </c>
    </row>
    <row r="6" spans="1:17" ht="18.95" customHeight="1">
      <c r="A6" s="314">
        <v>3</v>
      </c>
      <c r="B6" s="410" t="s">
        <v>787</v>
      </c>
      <c r="C6" s="832"/>
      <c r="D6" s="328"/>
      <c r="E6" s="267"/>
      <c r="F6" s="268"/>
      <c r="G6" s="267"/>
      <c r="H6" s="267"/>
      <c r="I6" s="267"/>
      <c r="J6" s="269"/>
      <c r="K6" s="269"/>
      <c r="L6" s="269"/>
      <c r="M6" s="270">
        <f>M96</f>
        <v>117728.295818475</v>
      </c>
      <c r="N6" s="268"/>
      <c r="O6" s="973">
        <f t="shared" si="0"/>
        <v>117728.295818475</v>
      </c>
      <c r="P6" s="293">
        <v>125925</v>
      </c>
      <c r="Q6" s="252">
        <f t="shared" si="1"/>
        <v>0</v>
      </c>
    </row>
    <row r="7" spans="1:17" ht="18.95" customHeight="1">
      <c r="A7" s="314">
        <v>4</v>
      </c>
      <c r="B7" s="410" t="s">
        <v>788</v>
      </c>
      <c r="C7" s="832"/>
      <c r="D7" s="328"/>
      <c r="E7" s="267"/>
      <c r="F7" s="268"/>
      <c r="G7" s="267"/>
      <c r="H7" s="267"/>
      <c r="I7" s="267"/>
      <c r="J7" s="269"/>
      <c r="K7" s="269"/>
      <c r="L7" s="269"/>
      <c r="M7" s="270">
        <f>M102</f>
        <v>63872.917771039996</v>
      </c>
      <c r="N7" s="268"/>
      <c r="O7" s="973">
        <f t="shared" si="0"/>
        <v>63872.917771039996</v>
      </c>
      <c r="P7" s="293">
        <v>68320</v>
      </c>
      <c r="Q7" s="252">
        <f t="shared" si="1"/>
        <v>0</v>
      </c>
    </row>
    <row r="8" spans="1:17" ht="18.95" customHeight="1">
      <c r="A8" s="314">
        <v>5</v>
      </c>
      <c r="B8" s="410" t="s">
        <v>789</v>
      </c>
      <c r="C8" s="832"/>
      <c r="D8" s="328"/>
      <c r="E8" s="267"/>
      <c r="F8" s="268"/>
      <c r="G8" s="269"/>
      <c r="H8" s="269"/>
      <c r="I8" s="269"/>
      <c r="J8" s="269"/>
      <c r="K8" s="269"/>
      <c r="L8" s="270"/>
      <c r="M8" s="270">
        <f>M110</f>
        <v>66004.508118199999</v>
      </c>
      <c r="N8" s="268"/>
      <c r="O8" s="973">
        <f t="shared" si="0"/>
        <v>66004.508118199999</v>
      </c>
      <c r="P8" s="293">
        <v>70600</v>
      </c>
      <c r="Q8" s="252">
        <f t="shared" si="1"/>
        <v>0</v>
      </c>
    </row>
    <row r="9" spans="1:17" ht="18.95" customHeight="1">
      <c r="A9" s="314">
        <v>6</v>
      </c>
      <c r="B9" s="410" t="s">
        <v>790</v>
      </c>
      <c r="C9" s="329"/>
      <c r="D9" s="328"/>
      <c r="E9" s="267"/>
      <c r="F9" s="268"/>
      <c r="G9" s="267"/>
      <c r="H9" s="267"/>
      <c r="I9" s="267"/>
      <c r="J9" s="269"/>
      <c r="K9" s="269"/>
      <c r="L9" s="269"/>
      <c r="M9" s="270">
        <f>M122</f>
        <v>168732.20432255999</v>
      </c>
      <c r="N9" s="268"/>
      <c r="O9" s="973">
        <f t="shared" si="0"/>
        <v>168732.20432255999</v>
      </c>
      <c r="P9" s="293">
        <v>180480</v>
      </c>
      <c r="Q9" s="252">
        <f t="shared" si="1"/>
        <v>0</v>
      </c>
    </row>
    <row r="10" spans="1:17" ht="18.95" customHeight="1">
      <c r="A10" s="314">
        <v>7</v>
      </c>
      <c r="B10" s="331" t="s">
        <v>791</v>
      </c>
      <c r="C10" s="330"/>
      <c r="D10" s="328"/>
      <c r="E10" s="267"/>
      <c r="F10" s="268"/>
      <c r="G10" s="269"/>
      <c r="H10" s="269"/>
      <c r="I10" s="269"/>
      <c r="J10" s="269"/>
      <c r="K10" s="269"/>
      <c r="L10" s="270"/>
      <c r="M10" s="270">
        <f>M128</f>
        <v>56398.327935274996</v>
      </c>
      <c r="N10" s="268"/>
      <c r="O10" s="973">
        <f t="shared" si="0"/>
        <v>56398.327935274996</v>
      </c>
      <c r="P10" s="293">
        <v>60325</v>
      </c>
      <c r="Q10" s="252">
        <f t="shared" si="1"/>
        <v>0</v>
      </c>
    </row>
    <row r="11" spans="1:17" ht="18.95" customHeight="1">
      <c r="A11" s="314">
        <v>8</v>
      </c>
      <c r="B11" s="841" t="s">
        <v>792</v>
      </c>
      <c r="C11" s="832"/>
      <c r="D11" s="328"/>
      <c r="E11" s="267"/>
      <c r="F11" s="268"/>
      <c r="G11" s="269"/>
      <c r="H11" s="269"/>
      <c r="I11" s="269"/>
      <c r="J11" s="269"/>
      <c r="K11" s="269"/>
      <c r="L11" s="270"/>
      <c r="M11" s="270">
        <f>M134</f>
        <v>87939.788170937492</v>
      </c>
      <c r="N11" s="268"/>
      <c r="O11" s="973">
        <f t="shared" si="0"/>
        <v>87939.788170937492</v>
      </c>
      <c r="P11" s="293">
        <v>94062.5</v>
      </c>
      <c r="Q11" s="252">
        <f t="shared" si="1"/>
        <v>0</v>
      </c>
    </row>
    <row r="12" spans="1:17" ht="18.95" customHeight="1">
      <c r="A12" s="314">
        <v>9</v>
      </c>
      <c r="B12" s="411" t="s">
        <v>793</v>
      </c>
      <c r="C12" s="833"/>
      <c r="D12" s="848"/>
      <c r="E12" s="267"/>
      <c r="F12" s="268"/>
      <c r="G12" s="269"/>
      <c r="H12" s="269"/>
      <c r="I12" s="269"/>
      <c r="J12" s="269"/>
      <c r="K12" s="269"/>
      <c r="L12" s="270"/>
      <c r="M12" s="270">
        <f>M139</f>
        <v>112188.96563999998</v>
      </c>
      <c r="N12" s="268"/>
      <c r="O12" s="973">
        <f t="shared" si="0"/>
        <v>112188.96563999999</v>
      </c>
      <c r="P12" s="293">
        <v>120000</v>
      </c>
      <c r="Q12" s="252">
        <f t="shared" si="1"/>
        <v>0</v>
      </c>
    </row>
    <row r="13" spans="1:17" ht="18.95" customHeight="1">
      <c r="A13" s="314">
        <v>10</v>
      </c>
      <c r="B13" s="411" t="s">
        <v>794</v>
      </c>
      <c r="C13" s="832"/>
      <c r="D13" s="485"/>
      <c r="E13" s="270"/>
      <c r="F13" s="268"/>
      <c r="G13" s="270"/>
      <c r="H13" s="270"/>
      <c r="I13" s="270"/>
      <c r="J13" s="270"/>
      <c r="K13" s="270"/>
      <c r="L13" s="270"/>
      <c r="M13" s="268">
        <f>M146</f>
        <v>98913.271372599993</v>
      </c>
      <c r="N13" s="268"/>
      <c r="O13" s="973">
        <f t="shared" si="0"/>
        <v>98913.271372599993</v>
      </c>
      <c r="P13" s="293">
        <v>105800</v>
      </c>
      <c r="Q13" s="252">
        <f t="shared" si="1"/>
        <v>0</v>
      </c>
    </row>
    <row r="14" spans="1:17" ht="18.95" customHeight="1">
      <c r="A14" s="314">
        <v>11</v>
      </c>
      <c r="B14" s="411" t="s">
        <v>795</v>
      </c>
      <c r="C14" s="485"/>
      <c r="D14" s="485"/>
      <c r="E14" s="267"/>
      <c r="F14" s="268"/>
      <c r="G14" s="269"/>
      <c r="H14" s="269"/>
      <c r="I14" s="269"/>
      <c r="J14" s="269"/>
      <c r="K14" s="269"/>
      <c r="L14" s="270"/>
      <c r="M14" s="268">
        <f>M158</f>
        <v>341045.10646513</v>
      </c>
      <c r="N14" s="268"/>
      <c r="O14" s="973">
        <f t="shared" si="0"/>
        <v>341045.10646513</v>
      </c>
      <c r="P14" s="293">
        <v>364790</v>
      </c>
      <c r="Q14" s="252">
        <f t="shared" si="1"/>
        <v>0</v>
      </c>
    </row>
    <row r="15" spans="1:17" ht="18.95" customHeight="1">
      <c r="A15" s="314">
        <v>12</v>
      </c>
      <c r="B15" s="331" t="s">
        <v>796</v>
      </c>
      <c r="C15" s="329"/>
      <c r="D15" s="328"/>
      <c r="E15" s="267"/>
      <c r="F15" s="268"/>
      <c r="G15" s="267"/>
      <c r="H15" s="267"/>
      <c r="I15" s="267"/>
      <c r="J15" s="267"/>
      <c r="K15" s="267"/>
      <c r="L15" s="269"/>
      <c r="M15" s="267">
        <f>M163</f>
        <v>50134.444020374998</v>
      </c>
      <c r="N15" s="268"/>
      <c r="O15" s="973">
        <f t="shared" si="0"/>
        <v>50134.444020374998</v>
      </c>
      <c r="P15" s="293">
        <v>53625</v>
      </c>
      <c r="Q15" s="252">
        <f t="shared" si="1"/>
        <v>0</v>
      </c>
    </row>
    <row r="16" spans="1:17" ht="18.95" customHeight="1">
      <c r="A16" s="314">
        <v>13</v>
      </c>
      <c r="B16" s="331" t="s">
        <v>797</v>
      </c>
      <c r="C16" s="329"/>
      <c r="D16" s="328"/>
      <c r="E16" s="267"/>
      <c r="F16" s="268"/>
      <c r="G16" s="267"/>
      <c r="H16" s="267"/>
      <c r="I16" s="267"/>
      <c r="J16" s="267"/>
      <c r="K16" s="267"/>
      <c r="L16" s="269"/>
      <c r="M16" s="267">
        <f>M173</f>
        <v>93598.319125405003</v>
      </c>
      <c r="N16" s="268"/>
      <c r="O16" s="973">
        <f t="shared" si="0"/>
        <v>93598.319125405003</v>
      </c>
      <c r="P16" s="293">
        <v>100115</v>
      </c>
      <c r="Q16" s="252">
        <f t="shared" si="1"/>
        <v>0</v>
      </c>
    </row>
    <row r="17" spans="1:17" ht="18.95" customHeight="1">
      <c r="A17" s="314">
        <v>14</v>
      </c>
      <c r="B17" s="411" t="s">
        <v>798</v>
      </c>
      <c r="C17" s="832"/>
      <c r="D17" s="328"/>
      <c r="E17" s="267"/>
      <c r="F17" s="268"/>
      <c r="G17" s="267"/>
      <c r="H17" s="267"/>
      <c r="I17" s="267"/>
      <c r="J17" s="267"/>
      <c r="K17" s="267"/>
      <c r="L17" s="269"/>
      <c r="M17" s="267">
        <f>M183</f>
        <v>53490.763909105</v>
      </c>
      <c r="N17" s="268"/>
      <c r="O17" s="973">
        <f t="shared" si="0"/>
        <v>53490.763909105</v>
      </c>
      <c r="P17" s="293">
        <v>57215</v>
      </c>
      <c r="Q17" s="252">
        <f t="shared" si="1"/>
        <v>0</v>
      </c>
    </row>
    <row r="18" spans="1:17" ht="18.95" customHeight="1">
      <c r="A18" s="314">
        <v>15</v>
      </c>
      <c r="B18" s="331" t="s">
        <v>799</v>
      </c>
      <c r="C18" s="329"/>
      <c r="D18" s="328"/>
      <c r="E18" s="267"/>
      <c r="F18" s="268"/>
      <c r="G18" s="267"/>
      <c r="H18" s="267"/>
      <c r="I18" s="267"/>
      <c r="J18" s="267"/>
      <c r="K18" s="267"/>
      <c r="L18" s="269"/>
      <c r="M18" s="267">
        <f>M189</f>
        <v>87939.788170937492</v>
      </c>
      <c r="N18" s="268"/>
      <c r="O18" s="973">
        <f t="shared" si="0"/>
        <v>87939.788170937492</v>
      </c>
      <c r="P18" s="293">
        <v>94062.5</v>
      </c>
      <c r="Q18" s="252">
        <f t="shared" si="1"/>
        <v>0</v>
      </c>
    </row>
    <row r="19" spans="1:17" ht="18.95" customHeight="1">
      <c r="A19" s="314">
        <v>16</v>
      </c>
      <c r="B19" s="331" t="s">
        <v>800</v>
      </c>
      <c r="C19" s="329"/>
      <c r="D19" s="328"/>
      <c r="E19" s="267"/>
      <c r="F19" s="268"/>
      <c r="G19" s="267"/>
      <c r="H19" s="267"/>
      <c r="I19" s="267"/>
      <c r="J19" s="267"/>
      <c r="K19" s="267"/>
      <c r="L19" s="269"/>
      <c r="M19" s="267">
        <f>M194</f>
        <v>153324.91970799997</v>
      </c>
      <c r="N19" s="268"/>
      <c r="O19" s="973">
        <f t="shared" si="0"/>
        <v>153324.919708</v>
      </c>
      <c r="P19" s="293">
        <v>164000</v>
      </c>
      <c r="Q19" s="252">
        <f t="shared" si="1"/>
        <v>0</v>
      </c>
    </row>
    <row r="20" spans="1:17" ht="18.95" customHeight="1">
      <c r="A20" s="314">
        <v>17</v>
      </c>
      <c r="B20" s="331" t="s">
        <v>801</v>
      </c>
      <c r="C20" s="329"/>
      <c r="D20" s="328"/>
      <c r="E20" s="267"/>
      <c r="F20" s="268"/>
      <c r="G20" s="267"/>
      <c r="H20" s="267"/>
      <c r="I20" s="267"/>
      <c r="J20" s="267"/>
      <c r="K20" s="267"/>
      <c r="L20" s="269"/>
      <c r="M20" s="267">
        <f>M200</f>
        <v>93023.350676499991</v>
      </c>
      <c r="N20" s="268"/>
      <c r="O20" s="973">
        <f t="shared" si="0"/>
        <v>93023.350676499991</v>
      </c>
      <c r="P20" s="293">
        <v>99500</v>
      </c>
      <c r="Q20" s="252">
        <f t="shared" si="1"/>
        <v>0</v>
      </c>
    </row>
    <row r="21" spans="1:17" ht="18.95" customHeight="1">
      <c r="A21" s="314">
        <v>18</v>
      </c>
      <c r="B21" s="331" t="s">
        <v>802</v>
      </c>
      <c r="C21" s="329"/>
      <c r="D21" s="328"/>
      <c r="E21" s="267"/>
      <c r="F21" s="268"/>
      <c r="G21" s="267"/>
      <c r="H21" s="267"/>
      <c r="I21" s="267"/>
      <c r="J21" s="267"/>
      <c r="K21" s="267"/>
      <c r="L21" s="269"/>
      <c r="M21" s="267">
        <f>M204</f>
        <v>7946.7183994999996</v>
      </c>
      <c r="N21" s="268"/>
      <c r="O21" s="973">
        <f t="shared" si="0"/>
        <v>7946.7183994999996</v>
      </c>
      <c r="P21" s="293">
        <v>8500</v>
      </c>
      <c r="Q21" s="252">
        <f t="shared" si="1"/>
        <v>0</v>
      </c>
    </row>
    <row r="22" spans="1:17" ht="18.95" customHeight="1">
      <c r="A22" s="314">
        <v>19</v>
      </c>
      <c r="B22" s="331" t="s">
        <v>803</v>
      </c>
      <c r="C22" s="329"/>
      <c r="D22" s="328"/>
      <c r="E22" s="267"/>
      <c r="F22" s="268"/>
      <c r="G22" s="267"/>
      <c r="H22" s="267"/>
      <c r="I22" s="267"/>
      <c r="J22" s="267"/>
      <c r="K22" s="267"/>
      <c r="L22" s="269"/>
      <c r="M22" s="267">
        <f>M213</f>
        <v>182236.95106147503</v>
      </c>
      <c r="N22" s="268"/>
      <c r="O22" s="973">
        <f t="shared" si="0"/>
        <v>182236.951061475</v>
      </c>
      <c r="P22" s="293">
        <v>194925</v>
      </c>
      <c r="Q22" s="252">
        <f t="shared" si="1"/>
        <v>0</v>
      </c>
    </row>
    <row r="23" spans="1:17" ht="18.95" customHeight="1">
      <c r="A23" s="314">
        <v>20</v>
      </c>
      <c r="B23" s="331" t="s">
        <v>804</v>
      </c>
      <c r="C23" s="329"/>
      <c r="D23" s="328"/>
      <c r="E23" s="267"/>
      <c r="F23" s="268"/>
      <c r="G23" s="267"/>
      <c r="H23" s="267"/>
      <c r="I23" s="267"/>
      <c r="J23" s="267"/>
      <c r="K23" s="267"/>
      <c r="L23" s="269"/>
      <c r="M23" s="267">
        <f>M219</f>
        <v>109384.241499</v>
      </c>
      <c r="N23" s="268"/>
      <c r="O23" s="973">
        <f t="shared" si="0"/>
        <v>109384.241499</v>
      </c>
      <c r="P23" s="293">
        <v>117000</v>
      </c>
      <c r="Q23" s="252">
        <f t="shared" si="1"/>
        <v>0</v>
      </c>
    </row>
    <row r="24" spans="1:17" ht="18.95" customHeight="1">
      <c r="A24" s="314">
        <v>21</v>
      </c>
      <c r="B24" s="331" t="s">
        <v>805</v>
      </c>
      <c r="C24" s="329"/>
      <c r="D24" s="328"/>
      <c r="E24" s="267"/>
      <c r="F24" s="268"/>
      <c r="G24" s="267"/>
      <c r="H24" s="267"/>
      <c r="I24" s="267"/>
      <c r="J24" s="267"/>
      <c r="K24" s="267"/>
      <c r="L24" s="269"/>
      <c r="M24" s="267">
        <f>M226</f>
        <v>162253.29155684999</v>
      </c>
      <c r="N24" s="268"/>
      <c r="O24" s="973">
        <f t="shared" si="0"/>
        <v>162253.29155684999</v>
      </c>
      <c r="P24" s="293">
        <v>173550</v>
      </c>
      <c r="Q24" s="252">
        <f t="shared" si="1"/>
        <v>0</v>
      </c>
    </row>
    <row r="25" spans="1:17" ht="18.95" customHeight="1">
      <c r="A25" s="224"/>
      <c r="B25" s="122"/>
      <c r="C25" s="329"/>
      <c r="D25" s="328"/>
      <c r="E25" s="267"/>
      <c r="F25" s="268"/>
      <c r="G25" s="267"/>
      <c r="H25" s="267"/>
      <c r="I25" s="267"/>
      <c r="J25" s="267"/>
      <c r="K25" s="267"/>
      <c r="L25" s="269"/>
      <c r="M25" s="267"/>
      <c r="N25" s="268"/>
      <c r="O25" s="973">
        <f t="shared" si="0"/>
        <v>0</v>
      </c>
      <c r="Q25" s="252">
        <f t="shared" si="1"/>
        <v>0</v>
      </c>
    </row>
    <row r="26" spans="1:17" ht="18.95" customHeight="1">
      <c r="A26" s="224"/>
      <c r="B26" s="122"/>
      <c r="C26" s="329"/>
      <c r="D26" s="330"/>
      <c r="E26" s="267"/>
      <c r="F26" s="268"/>
      <c r="G26" s="267"/>
      <c r="H26" s="267"/>
      <c r="I26" s="267"/>
      <c r="J26" s="267"/>
      <c r="K26" s="267"/>
      <c r="L26" s="269"/>
      <c r="M26" s="267"/>
      <c r="N26" s="268"/>
      <c r="O26" s="973">
        <f t="shared" si="0"/>
        <v>0</v>
      </c>
      <c r="Q26" s="252">
        <f t="shared" si="1"/>
        <v>0</v>
      </c>
    </row>
    <row r="27" spans="1:17" ht="18.95" customHeight="1">
      <c r="A27" s="224">
        <v>22</v>
      </c>
      <c r="B27" s="331" t="s">
        <v>806</v>
      </c>
      <c r="C27" s="115"/>
      <c r="D27" s="332"/>
      <c r="E27" s="267"/>
      <c r="F27" s="268"/>
      <c r="G27" s="267"/>
      <c r="H27" s="267"/>
      <c r="I27" s="267"/>
      <c r="J27" s="267"/>
      <c r="K27" s="267"/>
      <c r="L27" s="269"/>
      <c r="M27" s="267">
        <f>M232</f>
        <v>55393.301784750001</v>
      </c>
      <c r="N27" s="268"/>
      <c r="O27" s="973">
        <f t="shared" si="0"/>
        <v>55393.301784750001</v>
      </c>
      <c r="P27" s="293">
        <v>59250</v>
      </c>
      <c r="Q27" s="252">
        <f t="shared" si="1"/>
        <v>0</v>
      </c>
    </row>
    <row r="28" spans="1:17" ht="18.95" customHeight="1">
      <c r="A28" s="224">
        <v>23</v>
      </c>
      <c r="B28" s="331" t="s">
        <v>807</v>
      </c>
      <c r="C28" s="329"/>
      <c r="D28" s="330"/>
      <c r="E28" s="267"/>
      <c r="F28" s="268"/>
      <c r="G28" s="267"/>
      <c r="H28" s="267"/>
      <c r="I28" s="267"/>
      <c r="J28" s="267"/>
      <c r="K28" s="267"/>
      <c r="L28" s="269"/>
      <c r="M28" s="267">
        <f>M241</f>
        <v>691084.02834239998</v>
      </c>
      <c r="N28" s="268"/>
      <c r="O28" s="973">
        <f t="shared" si="0"/>
        <v>691084.02834239998</v>
      </c>
      <c r="P28" s="293">
        <v>739200</v>
      </c>
      <c r="Q28" s="252">
        <f t="shared" si="1"/>
        <v>0</v>
      </c>
    </row>
    <row r="29" spans="1:17" ht="18.95" customHeight="1">
      <c r="A29" s="224">
        <v>24</v>
      </c>
      <c r="B29" s="331" t="s">
        <v>808</v>
      </c>
      <c r="C29" s="329"/>
      <c r="D29" s="330"/>
      <c r="E29" s="267"/>
      <c r="F29" s="268"/>
      <c r="G29" s="267"/>
      <c r="H29" s="267"/>
      <c r="I29" s="267"/>
      <c r="J29" s="267"/>
      <c r="K29" s="267"/>
      <c r="L29" s="269"/>
      <c r="M29" s="267">
        <f>M248</f>
        <v>414094.14671747497</v>
      </c>
      <c r="N29" s="268"/>
      <c r="O29" s="973">
        <f t="shared" si="0"/>
        <v>414094.14671747497</v>
      </c>
      <c r="P29" s="293">
        <v>442925</v>
      </c>
      <c r="Q29" s="252">
        <f t="shared" si="1"/>
        <v>0</v>
      </c>
    </row>
    <row r="30" spans="1:17" ht="18.95" customHeight="1">
      <c r="A30" s="224">
        <v>25</v>
      </c>
      <c r="B30" s="331" t="s">
        <v>809</v>
      </c>
      <c r="C30" s="329"/>
      <c r="D30" s="330"/>
      <c r="E30" s="267"/>
      <c r="F30" s="268"/>
      <c r="G30" s="267"/>
      <c r="H30" s="267"/>
      <c r="I30" s="267"/>
      <c r="J30" s="267"/>
      <c r="K30" s="267"/>
      <c r="L30" s="269"/>
      <c r="M30" s="267">
        <f>M254</f>
        <v>39125.901766949995</v>
      </c>
      <c r="N30" s="268"/>
      <c r="O30" s="973">
        <f t="shared" si="0"/>
        <v>39125.901766949995</v>
      </c>
      <c r="P30" s="293">
        <v>41850</v>
      </c>
      <c r="Q30" s="252">
        <f t="shared" si="1"/>
        <v>0</v>
      </c>
    </row>
    <row r="31" spans="1:17" ht="18.95" customHeight="1">
      <c r="A31" s="224">
        <v>26</v>
      </c>
      <c r="B31" s="331" t="s">
        <v>810</v>
      </c>
      <c r="C31" s="329"/>
      <c r="D31" s="330"/>
      <c r="E31" s="267"/>
      <c r="F31" s="268"/>
      <c r="G31" s="267"/>
      <c r="H31" s="267"/>
      <c r="I31" s="267"/>
      <c r="J31" s="267"/>
      <c r="K31" s="267"/>
      <c r="L31" s="269"/>
      <c r="M31" s="267">
        <f>M263</f>
        <v>185906.46514595003</v>
      </c>
      <c r="N31" s="268"/>
      <c r="O31" s="973">
        <f t="shared" si="0"/>
        <v>185906.46514595</v>
      </c>
      <c r="P31" s="293">
        <v>198850</v>
      </c>
      <c r="Q31" s="252">
        <f t="shared" si="1"/>
        <v>0</v>
      </c>
    </row>
    <row r="32" spans="1:17" ht="18.95" customHeight="1">
      <c r="A32" s="224">
        <v>27</v>
      </c>
      <c r="B32" s="331" t="s">
        <v>811</v>
      </c>
      <c r="C32" s="329"/>
      <c r="D32" s="330"/>
      <c r="E32" s="267"/>
      <c r="F32" s="268"/>
      <c r="G32" s="267"/>
      <c r="H32" s="267"/>
      <c r="I32" s="267"/>
      <c r="J32" s="267"/>
      <c r="K32" s="267"/>
      <c r="L32" s="269"/>
      <c r="M32" s="267">
        <f>M270</f>
        <v>85637.577105199991</v>
      </c>
      <c r="N32" s="268"/>
      <c r="O32" s="973">
        <f t="shared" si="0"/>
        <v>85637.577105199991</v>
      </c>
      <c r="P32" s="293">
        <v>91600</v>
      </c>
      <c r="Q32" s="252">
        <f t="shared" si="1"/>
        <v>0</v>
      </c>
    </row>
    <row r="33" spans="1:17" ht="18.95" customHeight="1">
      <c r="A33" s="224">
        <v>28</v>
      </c>
      <c r="B33" s="331" t="s">
        <v>812</v>
      </c>
      <c r="C33" s="329"/>
      <c r="D33" s="330"/>
      <c r="E33" s="267"/>
      <c r="F33" s="268"/>
      <c r="G33" s="267"/>
      <c r="H33" s="267"/>
      <c r="I33" s="267"/>
      <c r="J33" s="267"/>
      <c r="K33" s="267"/>
      <c r="L33" s="269"/>
      <c r="M33" s="267">
        <f>M284</f>
        <v>884119.16734672501</v>
      </c>
      <c r="N33" s="268"/>
      <c r="O33" s="973">
        <f t="shared" si="0"/>
        <v>884119.16734672501</v>
      </c>
      <c r="P33" s="293">
        <v>945675</v>
      </c>
      <c r="Q33" s="252">
        <f t="shared" si="1"/>
        <v>0</v>
      </c>
    </row>
    <row r="34" spans="1:17" ht="18.95" customHeight="1">
      <c r="A34" s="224"/>
      <c r="B34" s="122"/>
      <c r="C34" s="329"/>
      <c r="D34" s="330"/>
      <c r="E34" s="267"/>
      <c r="F34" s="268"/>
      <c r="G34" s="267"/>
      <c r="H34" s="267"/>
      <c r="I34" s="267"/>
      <c r="J34" s="267"/>
      <c r="K34" s="267"/>
      <c r="L34" s="269"/>
      <c r="M34" s="267"/>
      <c r="N34" s="268"/>
      <c r="O34" s="973">
        <f t="shared" ref="O34" si="2">P34*0.934899332</f>
        <v>0</v>
      </c>
      <c r="Q34" s="252">
        <f t="shared" si="1"/>
        <v>0</v>
      </c>
    </row>
    <row r="35" spans="1:17" ht="18.95" customHeight="1">
      <c r="A35" s="224"/>
      <c r="B35" s="1301" t="s">
        <v>813</v>
      </c>
      <c r="C35" s="1302"/>
      <c r="D35" s="1303"/>
      <c r="E35" s="267"/>
      <c r="F35" s="268"/>
      <c r="G35" s="267"/>
      <c r="H35" s="267"/>
      <c r="I35" s="267"/>
      <c r="J35" s="267"/>
      <c r="K35" s="267"/>
      <c r="L35" s="269"/>
      <c r="M35" s="271">
        <f>SUM(M4:M34)</f>
        <v>5231343.420551789</v>
      </c>
      <c r="N35" s="268"/>
      <c r="O35" s="973">
        <f>SUM(O4:O34)</f>
        <v>5231343.420551789</v>
      </c>
      <c r="P35" s="293">
        <f>SUM(P4:P34)</f>
        <v>5595570</v>
      </c>
      <c r="Q35" s="252">
        <f t="shared" si="1"/>
        <v>0</v>
      </c>
    </row>
    <row r="36" spans="1:17" ht="18.95" customHeight="1">
      <c r="A36" s="224"/>
      <c r="B36" s="122"/>
      <c r="C36" s="329"/>
      <c r="D36" s="330"/>
      <c r="E36" s="267"/>
      <c r="F36" s="268"/>
      <c r="G36" s="267"/>
      <c r="H36" s="267"/>
      <c r="I36" s="267"/>
      <c r="J36" s="267"/>
      <c r="K36" s="267"/>
      <c r="L36" s="269"/>
      <c r="M36" s="267"/>
      <c r="N36" s="268"/>
      <c r="O36" s="973"/>
    </row>
    <row r="37" spans="1:17" ht="18.95" customHeight="1">
      <c r="A37" s="224"/>
      <c r="B37" s="122"/>
      <c r="C37" s="329"/>
      <c r="D37" s="330"/>
      <c r="E37" s="267"/>
      <c r="F37" s="268"/>
      <c r="G37" s="267"/>
      <c r="H37" s="267"/>
      <c r="I37" s="267"/>
      <c r="J37" s="267"/>
      <c r="K37" s="267"/>
      <c r="L37" s="269"/>
      <c r="M37" s="267"/>
      <c r="N37" s="268"/>
      <c r="O37" s="973"/>
    </row>
    <row r="38" spans="1:17" ht="18.95" customHeight="1">
      <c r="A38" s="224"/>
      <c r="B38" s="122"/>
      <c r="C38" s="329"/>
      <c r="D38" s="330"/>
      <c r="E38" s="267"/>
      <c r="F38" s="268"/>
      <c r="G38" s="267"/>
      <c r="H38" s="267"/>
      <c r="I38" s="267"/>
      <c r="J38" s="267"/>
      <c r="K38" s="267"/>
      <c r="L38" s="269"/>
      <c r="M38" s="267"/>
      <c r="N38" s="268"/>
      <c r="O38" s="973"/>
    </row>
    <row r="39" spans="1:17" ht="18.95" customHeight="1">
      <c r="A39" s="224"/>
      <c r="B39" s="122"/>
      <c r="C39" s="329"/>
      <c r="D39" s="330"/>
      <c r="E39" s="267"/>
      <c r="F39" s="268"/>
      <c r="G39" s="267"/>
      <c r="H39" s="267"/>
      <c r="I39" s="267"/>
      <c r="J39" s="267"/>
      <c r="K39" s="267"/>
      <c r="L39" s="269"/>
      <c r="M39" s="267"/>
      <c r="N39" s="268"/>
      <c r="O39" s="973"/>
    </row>
    <row r="40" spans="1:17" ht="18.95" customHeight="1">
      <c r="A40" s="224"/>
      <c r="B40" s="122"/>
      <c r="C40" s="329"/>
      <c r="D40" s="330"/>
      <c r="E40" s="267"/>
      <c r="F40" s="268"/>
      <c r="G40" s="267"/>
      <c r="H40" s="267"/>
      <c r="I40" s="267"/>
      <c r="J40" s="267"/>
      <c r="K40" s="267"/>
      <c r="L40" s="269"/>
      <c r="M40" s="267"/>
      <c r="N40" s="268"/>
      <c r="O40" s="973"/>
    </row>
    <row r="41" spans="1:17" ht="18.95" customHeight="1">
      <c r="A41" s="224"/>
      <c r="B41" s="122"/>
      <c r="C41" s="329"/>
      <c r="D41" s="330"/>
      <c r="E41" s="267"/>
      <c r="F41" s="268"/>
      <c r="G41" s="267"/>
      <c r="H41" s="267"/>
      <c r="I41" s="267"/>
      <c r="J41" s="267"/>
      <c r="K41" s="267"/>
      <c r="L41" s="269"/>
      <c r="M41" s="267"/>
      <c r="N41" s="268"/>
      <c r="O41" s="973"/>
    </row>
    <row r="42" spans="1:17" ht="18.95" customHeight="1">
      <c r="A42" s="224"/>
      <c r="B42" s="122"/>
      <c r="C42" s="329"/>
      <c r="D42" s="330"/>
      <c r="E42" s="267"/>
      <c r="F42" s="268"/>
      <c r="G42" s="267"/>
      <c r="H42" s="267"/>
      <c r="I42" s="267"/>
      <c r="J42" s="267"/>
      <c r="K42" s="267"/>
      <c r="L42" s="269"/>
      <c r="M42" s="267"/>
      <c r="N42" s="268"/>
      <c r="O42" s="973"/>
    </row>
    <row r="43" spans="1:17" ht="18.95" customHeight="1">
      <c r="A43" s="224"/>
      <c r="B43" s="122"/>
      <c r="C43" s="329"/>
      <c r="D43" s="330"/>
      <c r="E43" s="267"/>
      <c r="F43" s="268"/>
      <c r="G43" s="267"/>
      <c r="H43" s="267"/>
      <c r="I43" s="267"/>
      <c r="J43" s="267"/>
      <c r="K43" s="267"/>
      <c r="L43" s="269"/>
      <c r="M43" s="267"/>
      <c r="N43" s="268"/>
      <c r="O43" s="973"/>
    </row>
    <row r="44" spans="1:17" ht="18.95" customHeight="1">
      <c r="A44" s="224"/>
      <c r="B44" s="122"/>
      <c r="C44" s="329"/>
      <c r="D44" s="330"/>
      <c r="E44" s="267"/>
      <c r="F44" s="268"/>
      <c r="G44" s="267"/>
      <c r="H44" s="267"/>
      <c r="I44" s="267"/>
      <c r="J44" s="267"/>
      <c r="K44" s="267"/>
      <c r="L44" s="269"/>
      <c r="M44" s="267"/>
      <c r="N44" s="268"/>
      <c r="O44" s="973"/>
    </row>
    <row r="45" spans="1:17" ht="18.95" customHeight="1">
      <c r="A45" s="224"/>
      <c r="B45" s="122"/>
      <c r="C45" s="329"/>
      <c r="D45" s="330"/>
      <c r="E45" s="267"/>
      <c r="F45" s="268"/>
      <c r="G45" s="267"/>
      <c r="H45" s="267"/>
      <c r="I45" s="267"/>
      <c r="J45" s="267"/>
      <c r="K45" s="267"/>
      <c r="L45" s="269"/>
      <c r="M45" s="267"/>
      <c r="N45" s="268"/>
      <c r="O45" s="973"/>
    </row>
    <row r="46" spans="1:17" ht="18.95" customHeight="1">
      <c r="A46" s="224"/>
      <c r="B46" s="122"/>
      <c r="C46" s="329"/>
      <c r="D46" s="330"/>
      <c r="E46" s="267"/>
      <c r="F46" s="268"/>
      <c r="G46" s="267"/>
      <c r="H46" s="267"/>
      <c r="I46" s="267"/>
      <c r="J46" s="267"/>
      <c r="K46" s="267"/>
      <c r="L46" s="269"/>
      <c r="M46" s="267"/>
      <c r="N46" s="268"/>
      <c r="O46" s="973"/>
    </row>
    <row r="47" spans="1:17" ht="18.95" customHeight="1">
      <c r="A47" s="224"/>
      <c r="B47" s="122"/>
      <c r="C47" s="329"/>
      <c r="D47" s="330"/>
      <c r="E47" s="267"/>
      <c r="F47" s="268"/>
      <c r="G47" s="267"/>
      <c r="H47" s="267"/>
      <c r="I47" s="267"/>
      <c r="J47" s="267"/>
      <c r="K47" s="267"/>
      <c r="L47" s="269"/>
      <c r="M47" s="267"/>
      <c r="N47" s="268"/>
      <c r="O47" s="973"/>
    </row>
    <row r="48" spans="1:17" ht="18.95" customHeight="1">
      <c r="A48" s="224"/>
      <c r="B48" s="122"/>
      <c r="C48" s="329"/>
      <c r="D48" s="330"/>
      <c r="E48" s="267"/>
      <c r="F48" s="268"/>
      <c r="G48" s="267"/>
      <c r="H48" s="267"/>
      <c r="I48" s="267"/>
      <c r="J48" s="267"/>
      <c r="K48" s="267"/>
      <c r="L48" s="269"/>
      <c r="M48" s="267"/>
      <c r="N48" s="268"/>
      <c r="O48" s="973"/>
    </row>
    <row r="49" spans="1:15" ht="18.95" customHeight="1">
      <c r="A49" s="224"/>
      <c r="B49" s="122"/>
      <c r="C49" s="329"/>
      <c r="D49" s="330"/>
      <c r="E49" s="267"/>
      <c r="F49" s="268"/>
      <c r="G49" s="267"/>
      <c r="H49" s="267"/>
      <c r="I49" s="267"/>
      <c r="J49" s="267"/>
      <c r="K49" s="267"/>
      <c r="L49" s="269"/>
      <c r="M49" s="267"/>
      <c r="N49" s="268"/>
      <c r="O49" s="973"/>
    </row>
    <row r="50" spans="1:15" ht="18.95" customHeight="1">
      <c r="A50" s="224"/>
      <c r="B50" s="122"/>
      <c r="C50" s="329"/>
      <c r="D50" s="330"/>
      <c r="E50" s="267"/>
      <c r="F50" s="268"/>
      <c r="G50" s="267"/>
      <c r="H50" s="267"/>
      <c r="I50" s="267"/>
      <c r="J50" s="267"/>
      <c r="K50" s="267"/>
      <c r="L50" s="269"/>
      <c r="M50" s="267"/>
      <c r="N50" s="268"/>
      <c r="O50" s="973"/>
    </row>
    <row r="51" spans="1:15" ht="18.95" customHeight="1">
      <c r="A51" s="224"/>
      <c r="B51" s="122"/>
      <c r="C51" s="329"/>
      <c r="D51" s="330"/>
      <c r="E51" s="267"/>
      <c r="F51" s="268"/>
      <c r="G51" s="267"/>
      <c r="H51" s="267"/>
      <c r="I51" s="267"/>
      <c r="J51" s="267"/>
      <c r="K51" s="267"/>
      <c r="L51" s="269"/>
      <c r="M51" s="267"/>
      <c r="N51" s="268"/>
      <c r="O51" s="973"/>
    </row>
    <row r="52" spans="1:15" ht="18.95" customHeight="1">
      <c r="A52" s="224"/>
      <c r="B52" s="122"/>
      <c r="C52" s="329"/>
      <c r="D52" s="330"/>
      <c r="E52" s="267"/>
      <c r="F52" s="268"/>
      <c r="G52" s="267"/>
      <c r="H52" s="267"/>
      <c r="I52" s="267"/>
      <c r="J52" s="267"/>
      <c r="K52" s="267"/>
      <c r="L52" s="269"/>
      <c r="M52" s="267"/>
      <c r="N52" s="268"/>
      <c r="O52" s="973"/>
    </row>
    <row r="53" spans="1:15" ht="18.95" customHeight="1">
      <c r="A53" s="224"/>
      <c r="B53" s="122"/>
      <c r="C53" s="329"/>
      <c r="D53" s="330"/>
      <c r="E53" s="267"/>
      <c r="F53" s="268"/>
      <c r="G53" s="267"/>
      <c r="H53" s="267"/>
      <c r="I53" s="267"/>
      <c r="J53" s="267"/>
      <c r="K53" s="267"/>
      <c r="L53" s="269"/>
      <c r="M53" s="267"/>
      <c r="N53" s="268"/>
      <c r="O53" s="973"/>
    </row>
    <row r="54" spans="1:15" ht="18.95" customHeight="1">
      <c r="A54" s="1175">
        <v>1</v>
      </c>
      <c r="B54" s="1176" t="s">
        <v>814</v>
      </c>
      <c r="C54" s="1177"/>
      <c r="D54" s="1178"/>
      <c r="E54" s="1179"/>
      <c r="F54" s="1180"/>
      <c r="G54" s="1179"/>
      <c r="H54" s="1179"/>
      <c r="I54" s="1179"/>
      <c r="J54" s="1180"/>
      <c r="K54" s="1180"/>
      <c r="L54" s="1179"/>
      <c r="M54" s="1180"/>
      <c r="N54" s="1181"/>
      <c r="O54" s="974"/>
    </row>
    <row r="55" spans="1:15" ht="18.95" customHeight="1">
      <c r="A55" s="336"/>
      <c r="B55" s="409"/>
      <c r="C55" s="834"/>
      <c r="D55" s="849"/>
      <c r="E55" s="271"/>
      <c r="F55" s="281"/>
      <c r="G55" s="271"/>
      <c r="H55" s="271"/>
      <c r="I55" s="271"/>
      <c r="J55" s="339"/>
      <c r="K55" s="339"/>
      <c r="L55" s="271"/>
      <c r="M55" s="281"/>
      <c r="N55" s="268"/>
      <c r="O55" s="973"/>
    </row>
    <row r="56" spans="1:15" ht="18.95" customHeight="1">
      <c r="A56" s="340">
        <v>1.1000000000000001</v>
      </c>
      <c r="B56" s="842" t="s">
        <v>206</v>
      </c>
      <c r="C56" s="834"/>
      <c r="D56" s="849"/>
      <c r="E56" s="271"/>
      <c r="F56" s="281"/>
      <c r="G56" s="271"/>
      <c r="H56" s="271"/>
      <c r="I56" s="271"/>
      <c r="J56" s="339"/>
      <c r="K56" s="339"/>
      <c r="L56" s="271"/>
      <c r="M56" s="281"/>
      <c r="N56" s="268"/>
      <c r="O56" s="973"/>
    </row>
    <row r="57" spans="1:15" ht="18.95" customHeight="1">
      <c r="A57" s="340"/>
      <c r="B57" s="342" t="s">
        <v>304</v>
      </c>
      <c r="C57" s="814" t="s">
        <v>815</v>
      </c>
      <c r="D57" s="850"/>
      <c r="E57" s="267" t="s">
        <v>816</v>
      </c>
      <c r="F57" s="281"/>
      <c r="G57" s="271"/>
      <c r="H57" s="271"/>
      <c r="I57" s="271"/>
      <c r="J57" s="339"/>
      <c r="K57" s="339"/>
      <c r="L57" s="271"/>
      <c r="M57" s="292"/>
      <c r="N57" s="292"/>
      <c r="O57" s="975"/>
    </row>
    <row r="58" spans="1:15" ht="18.95" customHeight="1">
      <c r="A58" s="340"/>
      <c r="B58" s="843" t="s">
        <v>245</v>
      </c>
      <c r="C58" s="814" t="s">
        <v>817</v>
      </c>
      <c r="D58" s="850"/>
      <c r="E58" s="267" t="s">
        <v>816</v>
      </c>
      <c r="F58" s="268"/>
      <c r="G58" s="271"/>
      <c r="H58" s="271"/>
      <c r="I58" s="271"/>
      <c r="J58" s="339"/>
      <c r="K58" s="339"/>
      <c r="L58" s="271"/>
      <c r="M58" s="292"/>
      <c r="N58" s="292"/>
      <c r="O58" s="975"/>
    </row>
    <row r="59" spans="1:15" ht="18.95" customHeight="1">
      <c r="A59" s="340"/>
      <c r="B59" s="843" t="s">
        <v>245</v>
      </c>
      <c r="C59" s="814" t="s">
        <v>818</v>
      </c>
      <c r="D59" s="850"/>
      <c r="E59" s="270" t="s">
        <v>699</v>
      </c>
      <c r="F59" s="281"/>
      <c r="G59" s="271"/>
      <c r="H59" s="271"/>
      <c r="I59" s="271"/>
      <c r="J59" s="339"/>
      <c r="K59" s="339"/>
      <c r="L59" s="271"/>
      <c r="M59" s="292"/>
      <c r="N59" s="292"/>
      <c r="O59" s="975"/>
    </row>
    <row r="60" spans="1:15" ht="18.95" customHeight="1">
      <c r="A60" s="340"/>
      <c r="B60" s="843" t="s">
        <v>245</v>
      </c>
      <c r="C60" s="242" t="s">
        <v>819</v>
      </c>
      <c r="D60" s="353"/>
      <c r="E60" s="267">
        <v>11</v>
      </c>
      <c r="F60" s="268" t="s">
        <v>218</v>
      </c>
      <c r="G60" s="267">
        <v>950</v>
      </c>
      <c r="H60" s="267">
        <f>G60*O60</f>
        <v>888.16264464999995</v>
      </c>
      <c r="I60" s="267">
        <f>E60*H60</f>
        <v>9769.7890911499999</v>
      </c>
      <c r="J60" s="269">
        <v>285</v>
      </c>
      <c r="K60" s="269">
        <f>J60*O60</f>
        <v>266.448793395</v>
      </c>
      <c r="L60" s="269">
        <f>E60*K60</f>
        <v>2930.9367273449998</v>
      </c>
      <c r="M60" s="270">
        <f>SUM(I60+L60)</f>
        <v>12700.725818495001</v>
      </c>
      <c r="N60" s="268"/>
      <c r="O60" s="1163">
        <v>0.93490804699999996</v>
      </c>
    </row>
    <row r="61" spans="1:15" ht="18.95" customHeight="1">
      <c r="A61" s="340"/>
      <c r="B61" s="411"/>
      <c r="C61" s="532" t="s">
        <v>820</v>
      </c>
      <c r="D61" s="485"/>
      <c r="E61" s="267"/>
      <c r="F61" s="268"/>
      <c r="G61" s="267"/>
      <c r="H61" s="267"/>
      <c r="I61" s="267"/>
      <c r="J61" s="269"/>
      <c r="K61" s="269"/>
      <c r="L61" s="269"/>
      <c r="M61" s="270"/>
      <c r="N61" s="268"/>
      <c r="O61" s="1163">
        <v>0.93490804699999996</v>
      </c>
    </row>
    <row r="62" spans="1:15" ht="18.95" customHeight="1">
      <c r="A62" s="340"/>
      <c r="B62" s="843" t="s">
        <v>245</v>
      </c>
      <c r="C62" s="242" t="s">
        <v>819</v>
      </c>
      <c r="D62" s="353"/>
      <c r="E62" s="267">
        <v>3</v>
      </c>
      <c r="F62" s="268" t="s">
        <v>218</v>
      </c>
      <c r="G62" s="267">
        <v>950</v>
      </c>
      <c r="H62" s="267">
        <f>G62*O62</f>
        <v>888.16264464999995</v>
      </c>
      <c r="I62" s="267">
        <f>E62*H62</f>
        <v>2664.4879339499998</v>
      </c>
      <c r="J62" s="269">
        <v>285</v>
      </c>
      <c r="K62" s="269">
        <f>J62*O62</f>
        <v>266.448793395</v>
      </c>
      <c r="L62" s="269">
        <f>E62*K62</f>
        <v>799.34638018500004</v>
      </c>
      <c r="M62" s="270">
        <f>SUM(I62+L62)</f>
        <v>3463.8343141349997</v>
      </c>
      <c r="N62" s="268"/>
      <c r="O62" s="1163">
        <v>0.93490804699999996</v>
      </c>
    </row>
    <row r="63" spans="1:15" ht="18.95" customHeight="1">
      <c r="A63" s="340"/>
      <c r="B63" s="842"/>
      <c r="C63" s="532" t="s">
        <v>821</v>
      </c>
      <c r="D63" s="485"/>
      <c r="E63" s="267" t="s">
        <v>611</v>
      </c>
      <c r="F63" s="268"/>
      <c r="G63" s="267"/>
      <c r="H63" s="267"/>
      <c r="I63" s="267"/>
      <c r="J63" s="269"/>
      <c r="K63" s="269"/>
      <c r="L63" s="269"/>
      <c r="M63" s="270"/>
      <c r="N63" s="268"/>
      <c r="O63" s="1163">
        <v>0.93490804699999996</v>
      </c>
    </row>
    <row r="64" spans="1:15" ht="18.95" customHeight="1">
      <c r="A64" s="340"/>
      <c r="B64" s="843" t="s">
        <v>245</v>
      </c>
      <c r="C64" s="832" t="s">
        <v>822</v>
      </c>
      <c r="D64" s="485"/>
      <c r="E64" s="267">
        <v>9</v>
      </c>
      <c r="F64" s="268" t="s">
        <v>218</v>
      </c>
      <c r="G64" s="267">
        <v>850</v>
      </c>
      <c r="H64" s="267">
        <f>G64*O64</f>
        <v>794.67183994999994</v>
      </c>
      <c r="I64" s="267">
        <f>E64*H64</f>
        <v>7152.0465595499991</v>
      </c>
      <c r="J64" s="269">
        <v>255</v>
      </c>
      <c r="K64" s="269">
        <f>J64*O64</f>
        <v>238.401551985</v>
      </c>
      <c r="L64" s="269">
        <f>E64*K64</f>
        <v>2145.6139678650002</v>
      </c>
      <c r="M64" s="270">
        <f>SUM(I64+L64)</f>
        <v>9297.6605274149988</v>
      </c>
      <c r="N64" s="268"/>
      <c r="O64" s="1163">
        <v>0.93490804699999996</v>
      </c>
    </row>
    <row r="65" spans="1:17" ht="18.95" customHeight="1">
      <c r="A65" s="340"/>
      <c r="B65" s="345"/>
      <c r="C65" s="832" t="s">
        <v>823</v>
      </c>
      <c r="D65" s="485"/>
      <c r="E65" s="267"/>
      <c r="F65" s="268"/>
      <c r="G65" s="267"/>
      <c r="H65" s="267"/>
      <c r="I65" s="267"/>
      <c r="J65" s="269"/>
      <c r="K65" s="269"/>
      <c r="L65" s="269"/>
      <c r="M65" s="270"/>
      <c r="N65" s="268"/>
      <c r="O65" s="1163">
        <v>0.93490804699999996</v>
      </c>
    </row>
    <row r="66" spans="1:17" ht="18.95" customHeight="1">
      <c r="A66" s="340">
        <v>1.2</v>
      </c>
      <c r="B66" s="411" t="s">
        <v>824</v>
      </c>
      <c r="C66" s="832"/>
      <c r="D66" s="485"/>
      <c r="E66" s="267"/>
      <c r="F66" s="268"/>
      <c r="G66" s="267"/>
      <c r="H66" s="267"/>
      <c r="I66" s="267"/>
      <c r="J66" s="269"/>
      <c r="K66" s="269"/>
      <c r="L66" s="269"/>
      <c r="M66" s="270"/>
      <c r="N66" s="268"/>
      <c r="O66" s="1163">
        <v>0.93490804699999996</v>
      </c>
    </row>
    <row r="67" spans="1:17" ht="18.95" customHeight="1">
      <c r="A67" s="340"/>
      <c r="B67" s="345" t="s">
        <v>825</v>
      </c>
      <c r="C67" s="832" t="s">
        <v>826</v>
      </c>
      <c r="D67" s="485"/>
      <c r="E67" s="267">
        <v>1</v>
      </c>
      <c r="F67" s="268" t="s">
        <v>402</v>
      </c>
      <c r="G67" s="267">
        <v>73500</v>
      </c>
      <c r="H67" s="267">
        <f>G67*O67</f>
        <v>68715.741454499992</v>
      </c>
      <c r="I67" s="267">
        <f>E67*H67</f>
        <v>68715.741454499992</v>
      </c>
      <c r="J67" s="269">
        <v>0</v>
      </c>
      <c r="K67" s="269"/>
      <c r="L67" s="269">
        <v>0</v>
      </c>
      <c r="M67" s="270">
        <f>SUM(I67)</f>
        <v>68715.741454499992</v>
      </c>
      <c r="N67" s="268"/>
      <c r="O67" s="1163">
        <v>0.93490804699999996</v>
      </c>
    </row>
    <row r="68" spans="1:17" ht="18.95" customHeight="1">
      <c r="A68" s="340"/>
      <c r="B68" s="345" t="s">
        <v>827</v>
      </c>
      <c r="C68" s="832" t="s">
        <v>828</v>
      </c>
      <c r="D68" s="485"/>
      <c r="E68" s="267">
        <v>1</v>
      </c>
      <c r="F68" s="268" t="s">
        <v>402</v>
      </c>
      <c r="G68" s="267">
        <v>12000</v>
      </c>
      <c r="H68" s="267">
        <f t="shared" ref="H68:H69" si="3">G68*O68</f>
        <v>11218.896563999999</v>
      </c>
      <c r="I68" s="267">
        <f t="shared" ref="I68:I69" si="4">E68*H68</f>
        <v>11218.896563999999</v>
      </c>
      <c r="J68" s="269">
        <v>0</v>
      </c>
      <c r="K68" s="269"/>
      <c r="L68" s="269">
        <v>0</v>
      </c>
      <c r="M68" s="270">
        <f>SUM(I68)</f>
        <v>11218.896563999999</v>
      </c>
      <c r="N68" s="268"/>
      <c r="O68" s="1163">
        <v>0.93490804699999996</v>
      </c>
    </row>
    <row r="69" spans="1:17" ht="18.95" customHeight="1">
      <c r="A69" s="346"/>
      <c r="B69" s="345" t="s">
        <v>829</v>
      </c>
      <c r="C69" s="832" t="s">
        <v>830</v>
      </c>
      <c r="D69" s="485"/>
      <c r="E69" s="267">
        <v>1</v>
      </c>
      <c r="F69" s="268" t="s">
        <v>402</v>
      </c>
      <c r="G69" s="267">
        <v>154700</v>
      </c>
      <c r="H69" s="267">
        <f t="shared" si="3"/>
        <v>144630.2748709</v>
      </c>
      <c r="I69" s="267">
        <f t="shared" si="4"/>
        <v>144630.2748709</v>
      </c>
      <c r="J69" s="269">
        <v>0</v>
      </c>
      <c r="K69" s="269"/>
      <c r="L69" s="269">
        <v>0</v>
      </c>
      <c r="M69" s="270">
        <f>SUM(I69)</f>
        <v>144630.2748709</v>
      </c>
      <c r="N69" s="268"/>
      <c r="O69" s="1163">
        <v>0.93490804699999996</v>
      </c>
    </row>
    <row r="70" spans="1:17" ht="18.95" customHeight="1">
      <c r="A70" s="346"/>
      <c r="B70" s="350" t="s">
        <v>831</v>
      </c>
      <c r="C70" s="351"/>
      <c r="D70" s="352"/>
      <c r="E70" s="267"/>
      <c r="F70" s="268"/>
      <c r="G70" s="267"/>
      <c r="H70" s="267"/>
      <c r="I70" s="267"/>
      <c r="J70" s="269"/>
      <c r="K70" s="269"/>
      <c r="L70" s="269"/>
      <c r="M70" s="288">
        <f>SUM(M60:M69)</f>
        <v>250027.13354944499</v>
      </c>
      <c r="N70" s="268"/>
      <c r="O70" s="1163">
        <v>0.93490804699999996</v>
      </c>
    </row>
    <row r="71" spans="1:17" ht="18.95" customHeight="1">
      <c r="A71" s="346"/>
      <c r="B71" s="411"/>
      <c r="C71" s="832"/>
      <c r="D71" s="485"/>
      <c r="E71" s="267"/>
      <c r="F71" s="268"/>
      <c r="G71" s="267"/>
      <c r="H71" s="267"/>
      <c r="I71" s="267"/>
      <c r="J71" s="269"/>
      <c r="K71" s="269"/>
      <c r="L71" s="269"/>
      <c r="M71" s="270"/>
      <c r="N71" s="268"/>
      <c r="O71" s="1163">
        <v>0.93490804699999996</v>
      </c>
    </row>
    <row r="72" spans="1:17" ht="18.95" customHeight="1">
      <c r="A72" s="1175">
        <v>2</v>
      </c>
      <c r="B72" s="1182" t="s">
        <v>786</v>
      </c>
      <c r="C72" s="1183"/>
      <c r="D72" s="1184"/>
      <c r="E72" s="1185"/>
      <c r="F72" s="1181"/>
      <c r="G72" s="1185"/>
      <c r="H72" s="1185"/>
      <c r="I72" s="1185"/>
      <c r="J72" s="1181"/>
      <c r="K72" s="1181"/>
      <c r="L72" s="1181"/>
      <c r="M72" s="1185"/>
      <c r="N72" s="1181"/>
      <c r="O72" s="1163">
        <v>0.93490804699999996</v>
      </c>
    </row>
    <row r="73" spans="1:17" ht="18.95" customHeight="1">
      <c r="A73" s="340">
        <v>2.1</v>
      </c>
      <c r="B73" s="842" t="s">
        <v>206</v>
      </c>
      <c r="C73" s="832"/>
      <c r="D73" s="485"/>
      <c r="E73" s="267"/>
      <c r="F73" s="268"/>
      <c r="G73" s="267"/>
      <c r="H73" s="267"/>
      <c r="I73" s="267"/>
      <c r="J73" s="269"/>
      <c r="K73" s="269"/>
      <c r="L73" s="269"/>
      <c r="M73" s="270"/>
      <c r="N73" s="268"/>
      <c r="O73" s="1163">
        <v>0.93490804699999996</v>
      </c>
    </row>
    <row r="74" spans="1:17" ht="18.95" customHeight="1">
      <c r="A74" s="340"/>
      <c r="B74" s="412" t="s">
        <v>316</v>
      </c>
      <c r="C74" s="416" t="s">
        <v>832</v>
      </c>
      <c r="D74" s="332"/>
      <c r="E74" s="267">
        <v>64</v>
      </c>
      <c r="F74" s="268" t="s">
        <v>218</v>
      </c>
      <c r="G74" s="270">
        <v>1650</v>
      </c>
      <c r="H74" s="267">
        <f>G74*O74</f>
        <v>1542.5982775499999</v>
      </c>
      <c r="I74" s="267">
        <f>E74*H74</f>
        <v>98726.289763199995</v>
      </c>
      <c r="J74" s="284">
        <v>495</v>
      </c>
      <c r="K74" s="269">
        <f>J74*O74</f>
        <v>462.77948326500001</v>
      </c>
      <c r="L74" s="269">
        <f>E74*K74</f>
        <v>29617.886928960001</v>
      </c>
      <c r="M74" s="270">
        <f>SUM(L74+I74)</f>
        <v>128344.17669215999</v>
      </c>
      <c r="N74" s="268"/>
      <c r="O74" s="1163">
        <v>0.93490804699999996</v>
      </c>
    </row>
    <row r="75" spans="1:17" ht="18.95" customHeight="1">
      <c r="A75" s="340"/>
      <c r="B75" s="412" t="s">
        <v>318</v>
      </c>
      <c r="C75" s="416" t="s">
        <v>319</v>
      </c>
      <c r="D75" s="328"/>
      <c r="E75" s="267">
        <v>25</v>
      </c>
      <c r="F75" s="268" t="s">
        <v>218</v>
      </c>
      <c r="G75" s="267">
        <v>850</v>
      </c>
      <c r="H75" s="267">
        <f t="shared" ref="H75" si="5">G75*O75</f>
        <v>794.67183994999994</v>
      </c>
      <c r="I75" s="267">
        <f t="shared" ref="I75" si="6">E75*H75</f>
        <v>19866.79599875</v>
      </c>
      <c r="J75" s="269">
        <v>255</v>
      </c>
      <c r="K75" s="269">
        <f t="shared" ref="K75:K77" si="7">J75*O75</f>
        <v>238.401551985</v>
      </c>
      <c r="L75" s="269">
        <f t="shared" ref="L75:L77" si="8">E75*K75</f>
        <v>5960.0387996250001</v>
      </c>
      <c r="M75" s="270">
        <f>SUM(L75+I75)</f>
        <v>25826.834798374999</v>
      </c>
      <c r="N75" s="268"/>
      <c r="O75" s="1163">
        <v>0.93490804699999996</v>
      </c>
    </row>
    <row r="76" spans="1:17" ht="18.95" customHeight="1">
      <c r="A76" s="340"/>
      <c r="B76" s="412" t="s">
        <v>329</v>
      </c>
      <c r="C76" s="532" t="s">
        <v>317</v>
      </c>
      <c r="D76" s="485"/>
      <c r="E76" s="270">
        <v>15</v>
      </c>
      <c r="F76" s="268" t="s">
        <v>218</v>
      </c>
      <c r="G76" s="270">
        <v>1650</v>
      </c>
      <c r="H76" s="267">
        <f>G76*O76</f>
        <v>1542.5982775499999</v>
      </c>
      <c r="I76" s="267">
        <f>E76*H76</f>
        <v>23138.974163249997</v>
      </c>
      <c r="J76" s="284">
        <v>495</v>
      </c>
      <c r="K76" s="269">
        <f>J76*O76</f>
        <v>462.77948326500001</v>
      </c>
      <c r="L76" s="269">
        <f>E76*K76</f>
        <v>6941.6922489750004</v>
      </c>
      <c r="M76" s="544">
        <f>SUM(L76+I76)</f>
        <v>30080.666412224997</v>
      </c>
      <c r="N76" s="268"/>
      <c r="O76" s="1163">
        <v>0.93490804699999996</v>
      </c>
      <c r="P76" s="293" t="s">
        <v>833</v>
      </c>
      <c r="Q76" s="252">
        <v>809325</v>
      </c>
    </row>
    <row r="77" spans="1:17" ht="18.95" customHeight="1">
      <c r="A77" s="340"/>
      <c r="C77" s="842" t="s">
        <v>834</v>
      </c>
      <c r="D77" s="851"/>
      <c r="E77" s="267">
        <v>1</v>
      </c>
      <c r="F77" s="269" t="s">
        <v>402</v>
      </c>
      <c r="G77" s="267">
        <v>200000</v>
      </c>
      <c r="H77" s="267">
        <f>G77*O77</f>
        <v>186981.60939999999</v>
      </c>
      <c r="I77" s="267">
        <f>E77*H77</f>
        <v>186981.60939999999</v>
      </c>
      <c r="J77" s="269">
        <v>0</v>
      </c>
      <c r="K77" s="269">
        <f t="shared" si="7"/>
        <v>0</v>
      </c>
      <c r="L77" s="269">
        <f t="shared" si="8"/>
        <v>0</v>
      </c>
      <c r="M77" s="267">
        <f>SUM(I77)</f>
        <v>186981.60939999999</v>
      </c>
      <c r="N77" s="268"/>
      <c r="O77" s="1163">
        <v>0.93490804699999996</v>
      </c>
      <c r="P77" s="268">
        <f>E76*J76</f>
        <v>7425</v>
      </c>
    </row>
    <row r="78" spans="1:17" ht="18.95" customHeight="1">
      <c r="A78" s="340"/>
      <c r="B78" s="842" t="s">
        <v>835</v>
      </c>
      <c r="C78" s="835"/>
      <c r="D78" s="835"/>
      <c r="E78" s="267"/>
      <c r="F78" s="268"/>
      <c r="G78" s="267"/>
      <c r="H78" s="267"/>
      <c r="I78" s="267"/>
      <c r="J78" s="269"/>
      <c r="K78" s="269"/>
      <c r="L78" s="269"/>
      <c r="M78" s="270"/>
      <c r="N78" s="268"/>
      <c r="O78" s="1163">
        <v>0.93490804699999996</v>
      </c>
    </row>
    <row r="79" spans="1:17" ht="18.95" customHeight="1">
      <c r="A79" s="340"/>
      <c r="B79" s="412" t="s">
        <v>316</v>
      </c>
      <c r="C79" s="416" t="s">
        <v>832</v>
      </c>
      <c r="D79" s="332"/>
      <c r="E79" s="267">
        <v>58</v>
      </c>
      <c r="F79" s="268" t="s">
        <v>218</v>
      </c>
      <c r="G79" s="270">
        <v>1650</v>
      </c>
      <c r="H79" s="267">
        <f>G79*O79</f>
        <v>1542.5982775499999</v>
      </c>
      <c r="I79" s="267">
        <f>E79*H79</f>
        <v>89470.7000979</v>
      </c>
      <c r="J79" s="284">
        <v>495</v>
      </c>
      <c r="K79" s="269">
        <f>J79*O79</f>
        <v>462.77948326500001</v>
      </c>
      <c r="L79" s="269">
        <f>E79*K79</f>
        <v>26841.210029370002</v>
      </c>
      <c r="M79" s="270">
        <f>SUM(L79+I79)</f>
        <v>116311.91012727001</v>
      </c>
      <c r="N79" s="268"/>
      <c r="O79" s="1163">
        <v>0.93490804699999996</v>
      </c>
    </row>
    <row r="80" spans="1:17" ht="18.95" customHeight="1">
      <c r="A80" s="340"/>
      <c r="B80" s="412"/>
      <c r="C80" s="416"/>
      <c r="D80" s="115"/>
      <c r="E80" s="267"/>
      <c r="F80" s="268"/>
      <c r="G80" s="270"/>
      <c r="H80" s="270"/>
      <c r="I80" s="270"/>
      <c r="J80" s="284"/>
      <c r="K80" s="284"/>
      <c r="L80" s="269"/>
      <c r="M80" s="270"/>
      <c r="N80" s="268"/>
      <c r="O80" s="1163">
        <v>0.93490804699999996</v>
      </c>
    </row>
    <row r="81" spans="1:15" ht="18.95" customHeight="1">
      <c r="A81" s="340">
        <v>2.2000000000000002</v>
      </c>
      <c r="B81" s="842" t="s">
        <v>207</v>
      </c>
      <c r="C81" s="835"/>
      <c r="D81" s="485"/>
      <c r="E81" s="267"/>
      <c r="F81" s="268"/>
      <c r="G81" s="267"/>
      <c r="H81" s="267"/>
      <c r="I81" s="267"/>
      <c r="J81" s="269"/>
      <c r="K81" s="269"/>
      <c r="L81" s="269"/>
      <c r="M81" s="270"/>
      <c r="N81" s="268"/>
      <c r="O81" s="1163">
        <v>0.93490804699999996</v>
      </c>
    </row>
    <row r="82" spans="1:15" ht="18.95" customHeight="1">
      <c r="A82" s="340"/>
      <c r="B82" s="357" t="s">
        <v>364</v>
      </c>
      <c r="C82" s="814" t="s">
        <v>365</v>
      </c>
      <c r="D82" s="485"/>
      <c r="E82" s="267" t="s">
        <v>836</v>
      </c>
      <c r="F82" s="268"/>
      <c r="G82" s="276"/>
      <c r="H82" s="291"/>
      <c r="I82" s="270"/>
      <c r="J82" s="276"/>
      <c r="K82" s="291"/>
      <c r="L82" s="270"/>
      <c r="M82" s="270"/>
      <c r="N82" s="268"/>
      <c r="O82" s="1163">
        <v>0.93490804699999996</v>
      </c>
    </row>
    <row r="83" spans="1:15" ht="18.95" customHeight="1">
      <c r="A83" s="340"/>
      <c r="B83" s="357" t="s">
        <v>380</v>
      </c>
      <c r="C83" s="836" t="s">
        <v>837</v>
      </c>
      <c r="D83" s="851"/>
      <c r="E83" s="267">
        <v>30</v>
      </c>
      <c r="F83" s="268" t="s">
        <v>218</v>
      </c>
      <c r="G83" s="267">
        <v>850</v>
      </c>
      <c r="H83" s="267">
        <f>G83*O83</f>
        <v>794.67183994999994</v>
      </c>
      <c r="I83" s="267">
        <f>E83*H83</f>
        <v>23840.155198499997</v>
      </c>
      <c r="J83" s="269">
        <v>300</v>
      </c>
      <c r="K83" s="269">
        <f>J83*O83</f>
        <v>280.47241409999998</v>
      </c>
      <c r="L83" s="269">
        <f>E83*K83</f>
        <v>8414.172423</v>
      </c>
      <c r="M83" s="270">
        <f>SUM(L83+I83)</f>
        <v>32254.327621499997</v>
      </c>
      <c r="N83" s="268"/>
      <c r="O83" s="1163">
        <v>0.93490804699999996</v>
      </c>
    </row>
    <row r="84" spans="1:15" ht="18.95" customHeight="1">
      <c r="A84" s="340"/>
      <c r="B84" s="357"/>
      <c r="C84" s="836"/>
      <c r="D84" s="835"/>
      <c r="E84" s="267"/>
      <c r="F84" s="268"/>
      <c r="G84" s="267"/>
      <c r="H84" s="267"/>
      <c r="I84" s="267"/>
      <c r="J84" s="269"/>
      <c r="K84" s="269"/>
      <c r="L84" s="269"/>
      <c r="M84" s="270"/>
      <c r="N84" s="268"/>
      <c r="O84" s="1163">
        <v>0.93490804699999996</v>
      </c>
    </row>
    <row r="85" spans="1:15" ht="18.95" customHeight="1">
      <c r="A85" s="340"/>
      <c r="B85" s="357"/>
      <c r="C85" s="836"/>
      <c r="D85" s="835"/>
      <c r="E85" s="267"/>
      <c r="F85" s="268"/>
      <c r="G85" s="267"/>
      <c r="H85" s="267"/>
      <c r="I85" s="267"/>
      <c r="J85" s="269"/>
      <c r="K85" s="269"/>
      <c r="L85" s="269"/>
      <c r="M85" s="270"/>
      <c r="N85" s="268"/>
      <c r="O85" s="1163">
        <v>0.93490804699999996</v>
      </c>
    </row>
    <row r="86" spans="1:15" ht="18.95" customHeight="1">
      <c r="A86" s="340">
        <v>2.2999999999999998</v>
      </c>
      <c r="B86" s="411" t="s">
        <v>838</v>
      </c>
      <c r="C86" s="835"/>
      <c r="D86" s="485"/>
      <c r="E86" s="267"/>
      <c r="F86" s="268"/>
      <c r="G86" s="267"/>
      <c r="H86" s="267"/>
      <c r="I86" s="267"/>
      <c r="J86" s="269"/>
      <c r="K86" s="269"/>
      <c r="L86" s="269"/>
      <c r="M86" s="270"/>
      <c r="N86" s="268"/>
      <c r="O86" s="1163">
        <v>0.93490804699999996</v>
      </c>
    </row>
    <row r="87" spans="1:15" ht="18.95" customHeight="1">
      <c r="A87" s="346"/>
      <c r="B87" s="355" t="s">
        <v>245</v>
      </c>
      <c r="C87" s="835" t="s">
        <v>839</v>
      </c>
      <c r="D87" s="851"/>
      <c r="E87" s="267" t="s">
        <v>840</v>
      </c>
      <c r="F87" s="268"/>
      <c r="G87" s="267"/>
      <c r="H87" s="267"/>
      <c r="I87" s="267"/>
      <c r="J87" s="269"/>
      <c r="K87" s="269"/>
      <c r="L87" s="269"/>
      <c r="M87" s="270"/>
      <c r="N87" s="268"/>
      <c r="O87" s="1163">
        <v>0.93490804699999996</v>
      </c>
    </row>
    <row r="88" spans="1:15" ht="18.95" customHeight="1">
      <c r="A88" s="346"/>
      <c r="B88" s="355" t="s">
        <v>245</v>
      </c>
      <c r="C88" s="832" t="s">
        <v>841</v>
      </c>
      <c r="D88" s="115"/>
      <c r="E88" s="267" t="s">
        <v>840</v>
      </c>
      <c r="F88" s="268"/>
      <c r="G88" s="267"/>
      <c r="H88" s="267"/>
      <c r="I88" s="267"/>
      <c r="J88" s="269"/>
      <c r="K88" s="269"/>
      <c r="L88" s="269"/>
      <c r="M88" s="270"/>
      <c r="N88" s="268"/>
      <c r="O88" s="1163">
        <v>0.93490804699999996</v>
      </c>
    </row>
    <row r="89" spans="1:15" ht="18.95" customHeight="1">
      <c r="A89" s="346"/>
      <c r="B89" s="355" t="s">
        <v>245</v>
      </c>
      <c r="C89" s="832" t="s">
        <v>842</v>
      </c>
      <c r="D89" s="115"/>
      <c r="E89" s="267" t="s">
        <v>840</v>
      </c>
      <c r="F89" s="268"/>
      <c r="G89" s="267"/>
      <c r="H89" s="267"/>
      <c r="I89" s="267"/>
      <c r="J89" s="269"/>
      <c r="K89" s="269"/>
      <c r="L89" s="269"/>
      <c r="M89" s="270"/>
      <c r="N89" s="268"/>
      <c r="O89" s="1163">
        <v>0.93490804699999996</v>
      </c>
    </row>
    <row r="90" spans="1:15" ht="18.95" customHeight="1">
      <c r="A90" s="346"/>
      <c r="B90" s="355" t="s">
        <v>245</v>
      </c>
      <c r="C90" s="416" t="s">
        <v>734</v>
      </c>
      <c r="D90" s="115"/>
      <c r="E90" s="267" t="s">
        <v>840</v>
      </c>
      <c r="F90" s="268"/>
      <c r="G90" s="267"/>
      <c r="H90" s="267"/>
      <c r="I90" s="267"/>
      <c r="J90" s="269"/>
      <c r="K90" s="269"/>
      <c r="L90" s="269"/>
      <c r="M90" s="270"/>
      <c r="N90" s="268"/>
      <c r="O90" s="1163">
        <v>0.93490804699999996</v>
      </c>
    </row>
    <row r="91" spans="1:15" ht="18.95" customHeight="1">
      <c r="A91" s="346"/>
      <c r="B91" s="1301" t="s">
        <v>843</v>
      </c>
      <c r="C91" s="1302"/>
      <c r="D91" s="1303"/>
      <c r="E91" s="267"/>
      <c r="F91" s="268"/>
      <c r="G91" s="267"/>
      <c r="H91" s="267"/>
      <c r="I91" s="267"/>
      <c r="J91" s="269"/>
      <c r="K91" s="269"/>
      <c r="L91" s="269"/>
      <c r="M91" s="288">
        <f>SUM(M73:M90)</f>
        <v>519799.52505152998</v>
      </c>
      <c r="N91" s="268"/>
      <c r="O91" s="1163">
        <v>0.93490804699999996</v>
      </c>
    </row>
    <row r="92" spans="1:15" ht="18.95" customHeight="1">
      <c r="A92" s="346"/>
      <c r="B92" s="844"/>
      <c r="C92" s="833"/>
      <c r="D92" s="848"/>
      <c r="E92" s="267"/>
      <c r="F92" s="268"/>
      <c r="G92" s="267"/>
      <c r="H92" s="267"/>
      <c r="I92" s="267"/>
      <c r="J92" s="269"/>
      <c r="K92" s="269"/>
      <c r="L92" s="269"/>
      <c r="M92" s="270"/>
      <c r="N92" s="268"/>
      <c r="O92" s="1163">
        <v>0.93490804699999996</v>
      </c>
    </row>
    <row r="93" spans="1:15" ht="18.95" customHeight="1">
      <c r="A93" s="1175">
        <v>3</v>
      </c>
      <c r="B93" s="1176" t="s">
        <v>844</v>
      </c>
      <c r="C93" s="1177"/>
      <c r="D93" s="1178"/>
      <c r="E93" s="1179"/>
      <c r="F93" s="1181"/>
      <c r="G93" s="1185"/>
      <c r="H93" s="1185"/>
      <c r="I93" s="1185"/>
      <c r="J93" s="1181"/>
      <c r="K93" s="1181"/>
      <c r="L93" s="1179"/>
      <c r="M93" s="1181"/>
      <c r="N93" s="1181"/>
      <c r="O93" s="1163">
        <v>0.93490804699999996</v>
      </c>
    </row>
    <row r="94" spans="1:15" ht="18.95" customHeight="1">
      <c r="A94" s="340">
        <v>3.1</v>
      </c>
      <c r="B94" s="411" t="s">
        <v>824</v>
      </c>
      <c r="C94" s="834"/>
      <c r="D94" s="849"/>
      <c r="E94" s="271"/>
      <c r="F94" s="268"/>
      <c r="G94" s="267"/>
      <c r="H94" s="267"/>
      <c r="I94" s="267"/>
      <c r="J94" s="269"/>
      <c r="K94" s="269"/>
      <c r="L94" s="269"/>
      <c r="M94" s="270"/>
      <c r="N94" s="268"/>
      <c r="O94" s="1163">
        <v>0.93490804699999996</v>
      </c>
    </row>
    <row r="95" spans="1:15" ht="18.95" customHeight="1">
      <c r="A95" s="340"/>
      <c r="B95" s="345" t="s">
        <v>845</v>
      </c>
      <c r="C95" s="835" t="s">
        <v>846</v>
      </c>
      <c r="D95" s="852"/>
      <c r="E95" s="267">
        <v>3.65</v>
      </c>
      <c r="F95" s="268" t="s">
        <v>276</v>
      </c>
      <c r="G95" s="267">
        <v>34500</v>
      </c>
      <c r="H95" s="267">
        <f>G95*O95</f>
        <v>32254.327621500001</v>
      </c>
      <c r="I95" s="267">
        <f>E95*H95</f>
        <v>117728.295818475</v>
      </c>
      <c r="J95" s="269">
        <v>0</v>
      </c>
      <c r="K95" s="269"/>
      <c r="L95" s="269">
        <v>0</v>
      </c>
      <c r="M95" s="270">
        <f>SUM(I95)</f>
        <v>117728.295818475</v>
      </c>
      <c r="N95" s="270"/>
      <c r="O95" s="1163">
        <v>0.93490804699999996</v>
      </c>
    </row>
    <row r="96" spans="1:15" ht="18.95" customHeight="1">
      <c r="A96" s="340"/>
      <c r="B96" s="1301" t="s">
        <v>847</v>
      </c>
      <c r="C96" s="1302"/>
      <c r="D96" s="1303"/>
      <c r="E96" s="267"/>
      <c r="F96" s="268"/>
      <c r="G96" s="267"/>
      <c r="H96" s="267"/>
      <c r="I96" s="267"/>
      <c r="J96" s="269"/>
      <c r="K96" s="269"/>
      <c r="L96" s="269"/>
      <c r="M96" s="288">
        <f>SUM(M95)</f>
        <v>117728.295818475</v>
      </c>
      <c r="N96" s="270"/>
      <c r="O96" s="1163">
        <v>0.93490804699999996</v>
      </c>
    </row>
    <row r="97" spans="1:15" ht="18.95" customHeight="1">
      <c r="A97" s="340"/>
      <c r="B97" s="842"/>
      <c r="C97" s="832"/>
      <c r="D97" s="485"/>
      <c r="E97" s="267" t="s">
        <v>611</v>
      </c>
      <c r="F97" s="268"/>
      <c r="G97" s="267"/>
      <c r="H97" s="267"/>
      <c r="I97" s="267"/>
      <c r="J97" s="269"/>
      <c r="K97" s="269"/>
      <c r="L97" s="269"/>
      <c r="M97" s="270"/>
      <c r="N97" s="270"/>
      <c r="O97" s="1163">
        <v>0.93490804699999996</v>
      </c>
    </row>
    <row r="98" spans="1:15" ht="18.95" customHeight="1">
      <c r="A98" s="1175">
        <v>4</v>
      </c>
      <c r="B98" s="1176" t="s">
        <v>848</v>
      </c>
      <c r="C98" s="1177"/>
      <c r="D98" s="1178"/>
      <c r="E98" s="1185"/>
      <c r="F98" s="1181"/>
      <c r="G98" s="1185"/>
      <c r="H98" s="1185"/>
      <c r="I98" s="1185"/>
      <c r="J98" s="1181"/>
      <c r="K98" s="1181"/>
      <c r="L98" s="1181"/>
      <c r="M98" s="1185"/>
      <c r="N98" s="1185"/>
      <c r="O98" s="1163">
        <v>0.93490804699999996</v>
      </c>
    </row>
    <row r="99" spans="1:15" ht="18.95" customHeight="1">
      <c r="A99" s="340">
        <v>4.0999999999999996</v>
      </c>
      <c r="B99" s="411" t="s">
        <v>824</v>
      </c>
      <c r="C99" s="834"/>
      <c r="D99" s="849"/>
      <c r="E99" s="271"/>
      <c r="F99" s="268"/>
      <c r="G99" s="267"/>
      <c r="H99" s="267"/>
      <c r="I99" s="267"/>
      <c r="J99" s="269"/>
      <c r="K99" s="269"/>
      <c r="L99" s="269"/>
      <c r="M99" s="270"/>
      <c r="N99" s="268"/>
      <c r="O99" s="1163">
        <v>0.93490804699999996</v>
      </c>
    </row>
    <row r="100" spans="1:15" ht="18.95" customHeight="1">
      <c r="A100" s="336"/>
      <c r="B100" s="345" t="s">
        <v>849</v>
      </c>
      <c r="C100" s="835" t="s">
        <v>850</v>
      </c>
      <c r="D100" s="852" t="s">
        <v>851</v>
      </c>
      <c r="E100" s="267">
        <v>3.1</v>
      </c>
      <c r="F100" s="268" t="s">
        <v>276</v>
      </c>
      <c r="G100" s="267">
        <v>17000</v>
      </c>
      <c r="H100" s="267">
        <f>G100*O100</f>
        <v>15893.436798999999</v>
      </c>
      <c r="I100" s="267">
        <f>E100*H100</f>
        <v>49269.654076899998</v>
      </c>
      <c r="J100" s="269">
        <v>0</v>
      </c>
      <c r="K100" s="269"/>
      <c r="L100" s="269">
        <v>0</v>
      </c>
      <c r="M100" s="270">
        <f>SUM(I100)</f>
        <v>49269.654076899998</v>
      </c>
      <c r="N100" s="270"/>
      <c r="O100" s="1163">
        <v>0.93490804699999996</v>
      </c>
    </row>
    <row r="101" spans="1:15" ht="18.95" customHeight="1">
      <c r="A101" s="336"/>
      <c r="B101" s="345"/>
      <c r="C101" s="835" t="s">
        <v>850</v>
      </c>
      <c r="D101" s="852" t="s">
        <v>852</v>
      </c>
      <c r="E101" s="267">
        <v>1.5620000000000001</v>
      </c>
      <c r="F101" s="268" t="s">
        <v>276</v>
      </c>
      <c r="G101" s="267">
        <v>10000</v>
      </c>
      <c r="H101" s="267">
        <f>G101*O101</f>
        <v>9349.080469999999</v>
      </c>
      <c r="I101" s="267">
        <f>E101*H101</f>
        <v>14603.26369414</v>
      </c>
      <c r="J101" s="269">
        <v>0</v>
      </c>
      <c r="K101" s="269"/>
      <c r="L101" s="269">
        <v>0</v>
      </c>
      <c r="M101" s="270">
        <f>SUM(I101)</f>
        <v>14603.26369414</v>
      </c>
      <c r="N101" s="270"/>
      <c r="O101" s="1163">
        <v>0.93490804699999996</v>
      </c>
    </row>
    <row r="102" spans="1:15" ht="18.95" customHeight="1">
      <c r="A102" s="340"/>
      <c r="B102" s="1301" t="s">
        <v>853</v>
      </c>
      <c r="C102" s="1302"/>
      <c r="D102" s="1303"/>
      <c r="E102" s="267"/>
      <c r="F102" s="268"/>
      <c r="G102" s="267"/>
      <c r="H102" s="267"/>
      <c r="I102" s="267"/>
      <c r="J102" s="269"/>
      <c r="K102" s="269"/>
      <c r="L102" s="269"/>
      <c r="M102" s="288">
        <f>SUM(M100:M101)</f>
        <v>63872.917771039996</v>
      </c>
      <c r="N102" s="270"/>
      <c r="O102" s="1163">
        <v>0.93490804699999996</v>
      </c>
    </row>
    <row r="103" spans="1:15" ht="18.95" customHeight="1">
      <c r="A103" s="340"/>
      <c r="B103" s="411"/>
      <c r="C103" s="532"/>
      <c r="D103" s="485"/>
      <c r="E103" s="270"/>
      <c r="F103" s="268"/>
      <c r="G103" s="269"/>
      <c r="H103" s="269"/>
      <c r="I103" s="269"/>
      <c r="J103" s="270"/>
      <c r="K103" s="270"/>
      <c r="L103" s="269"/>
      <c r="M103" s="270"/>
      <c r="N103" s="270"/>
      <c r="O103" s="1163">
        <v>0.93490804699999996</v>
      </c>
    </row>
    <row r="104" spans="1:15" ht="18.95" customHeight="1">
      <c r="A104" s="1175">
        <v>5</v>
      </c>
      <c r="B104" s="1176" t="s">
        <v>854</v>
      </c>
      <c r="C104" s="1177"/>
      <c r="D104" s="1178"/>
      <c r="E104" s="1185"/>
      <c r="F104" s="1181"/>
      <c r="G104" s="1185"/>
      <c r="H104" s="1185"/>
      <c r="I104" s="1185"/>
      <c r="J104" s="1181"/>
      <c r="K104" s="1181"/>
      <c r="L104" s="1185"/>
      <c r="M104" s="1180"/>
      <c r="N104" s="1181"/>
      <c r="O104" s="1163">
        <v>0.93490804699999996</v>
      </c>
    </row>
    <row r="105" spans="1:15" ht="18.95" customHeight="1">
      <c r="A105" s="340">
        <v>5.0999999999999996</v>
      </c>
      <c r="B105" s="411" t="s">
        <v>824</v>
      </c>
      <c r="C105" s="834"/>
      <c r="D105" s="849"/>
      <c r="E105" s="267"/>
      <c r="F105" s="268"/>
      <c r="G105" s="270"/>
      <c r="H105" s="270"/>
      <c r="I105" s="270"/>
      <c r="J105" s="269"/>
      <c r="K105" s="269"/>
      <c r="L105" s="270"/>
      <c r="M105" s="281"/>
      <c r="N105" s="268"/>
      <c r="O105" s="1163">
        <v>0.93490804699999996</v>
      </c>
    </row>
    <row r="106" spans="1:15" ht="18.95" customHeight="1">
      <c r="A106" s="336"/>
      <c r="B106" s="345" t="s">
        <v>855</v>
      </c>
      <c r="C106" s="835" t="s">
        <v>856</v>
      </c>
      <c r="D106" s="852" t="s">
        <v>857</v>
      </c>
      <c r="E106" s="267">
        <v>2.2000000000000002</v>
      </c>
      <c r="F106" s="268" t="s">
        <v>276</v>
      </c>
      <c r="G106" s="267">
        <v>18000</v>
      </c>
      <c r="H106" s="267">
        <f>G106*O106</f>
        <v>16828.344846</v>
      </c>
      <c r="I106" s="267">
        <f>E106*H106</f>
        <v>37022.3586612</v>
      </c>
      <c r="J106" s="269">
        <v>0</v>
      </c>
      <c r="K106" s="269"/>
      <c r="L106" s="269">
        <v>0</v>
      </c>
      <c r="M106" s="270">
        <f>SUM(I106)</f>
        <v>37022.3586612</v>
      </c>
      <c r="N106" s="268"/>
      <c r="O106" s="1163">
        <v>0.93490804699999996</v>
      </c>
    </row>
    <row r="107" spans="1:15" ht="18.95" customHeight="1">
      <c r="A107" s="336"/>
      <c r="B107" s="345"/>
      <c r="C107" s="835" t="s">
        <v>858</v>
      </c>
      <c r="D107" s="852" t="s">
        <v>859</v>
      </c>
      <c r="E107" s="267">
        <v>2.2000000000000002</v>
      </c>
      <c r="F107" s="268" t="s">
        <v>276</v>
      </c>
      <c r="G107" s="267">
        <v>10000</v>
      </c>
      <c r="H107" s="267">
        <f t="shared" ref="H107:H109" si="9">G107*O107</f>
        <v>9349.080469999999</v>
      </c>
      <c r="I107" s="267">
        <f>E107*H107</f>
        <v>20567.977034</v>
      </c>
      <c r="J107" s="269">
        <v>0</v>
      </c>
      <c r="K107" s="269"/>
      <c r="L107" s="269">
        <v>0</v>
      </c>
      <c r="M107" s="270">
        <f>SUM(I107)</f>
        <v>20567.977034</v>
      </c>
      <c r="N107" s="268"/>
      <c r="O107" s="1163">
        <v>0.93490804699999996</v>
      </c>
    </row>
    <row r="108" spans="1:15" ht="18.95" customHeight="1">
      <c r="A108" s="340"/>
      <c r="B108" s="355" t="s">
        <v>245</v>
      </c>
      <c r="C108" s="835" t="s">
        <v>860</v>
      </c>
      <c r="D108" s="848"/>
      <c r="E108" s="267">
        <v>1</v>
      </c>
      <c r="F108" s="268" t="s">
        <v>402</v>
      </c>
      <c r="G108" s="269">
        <v>6500</v>
      </c>
      <c r="H108" s="267">
        <f t="shared" si="9"/>
        <v>6076.9023054999998</v>
      </c>
      <c r="I108" s="267">
        <f>E108*H108</f>
        <v>6076.9023054999998</v>
      </c>
      <c r="J108" s="269"/>
      <c r="K108" s="269"/>
      <c r="L108" s="269">
        <v>0</v>
      </c>
      <c r="M108" s="270">
        <f>SUM(I108)</f>
        <v>6076.9023054999998</v>
      </c>
      <c r="N108" s="268"/>
      <c r="O108" s="1163">
        <v>0.93490804699999996</v>
      </c>
    </row>
    <row r="109" spans="1:15" ht="18.95" customHeight="1">
      <c r="A109" s="340"/>
      <c r="B109" s="355" t="s">
        <v>245</v>
      </c>
      <c r="C109" s="532" t="s">
        <v>861</v>
      </c>
      <c r="D109" s="485"/>
      <c r="E109" s="270">
        <v>1</v>
      </c>
      <c r="F109" s="268" t="s">
        <v>402</v>
      </c>
      <c r="G109" s="269">
        <v>2500</v>
      </c>
      <c r="H109" s="267">
        <f t="shared" si="9"/>
        <v>2337.2701174999997</v>
      </c>
      <c r="I109" s="267">
        <f>E109*H109</f>
        <v>2337.2701174999997</v>
      </c>
      <c r="J109" s="269">
        <v>0</v>
      </c>
      <c r="K109" s="269"/>
      <c r="L109" s="269">
        <v>0</v>
      </c>
      <c r="M109" s="270">
        <f>SUM(I109)</f>
        <v>2337.2701174999997</v>
      </c>
      <c r="N109" s="268"/>
      <c r="O109" s="1163">
        <v>0.93490804699999996</v>
      </c>
    </row>
    <row r="110" spans="1:15" ht="18.95" customHeight="1">
      <c r="A110" s="340"/>
      <c r="B110" s="1301" t="s">
        <v>862</v>
      </c>
      <c r="C110" s="1302"/>
      <c r="D110" s="1303"/>
      <c r="E110" s="267"/>
      <c r="F110" s="268"/>
      <c r="G110" s="270"/>
      <c r="H110" s="270"/>
      <c r="I110" s="270"/>
      <c r="J110" s="269"/>
      <c r="K110" s="269"/>
      <c r="L110" s="270"/>
      <c r="M110" s="281">
        <f>SUM(M106:M109)</f>
        <v>66004.508118199999</v>
      </c>
      <c r="N110" s="268"/>
      <c r="O110" s="1163">
        <v>0.93490804699999996</v>
      </c>
    </row>
    <row r="111" spans="1:15" ht="18.95" customHeight="1">
      <c r="A111" s="229"/>
      <c r="B111" s="843"/>
      <c r="C111" s="832"/>
      <c r="D111" s="485"/>
      <c r="E111" s="267"/>
      <c r="F111" s="268"/>
      <c r="G111" s="269"/>
      <c r="H111" s="269"/>
      <c r="I111" s="269"/>
      <c r="J111" s="270"/>
      <c r="K111" s="270"/>
      <c r="L111" s="269"/>
      <c r="M111" s="270"/>
      <c r="N111" s="268"/>
      <c r="O111" s="1163">
        <v>0.93490804699999996</v>
      </c>
    </row>
    <row r="112" spans="1:15" ht="18.95" customHeight="1">
      <c r="A112" s="1175">
        <v>6</v>
      </c>
      <c r="B112" s="1176" t="s">
        <v>863</v>
      </c>
      <c r="C112" s="1177"/>
      <c r="D112" s="1178"/>
      <c r="E112" s="1185"/>
      <c r="F112" s="1181"/>
      <c r="G112" s="1181"/>
      <c r="H112" s="1181"/>
      <c r="I112" s="1181"/>
      <c r="J112" s="1185"/>
      <c r="K112" s="1185"/>
      <c r="L112" s="1181"/>
      <c r="M112" s="1185"/>
      <c r="N112" s="1181"/>
      <c r="O112" s="1163">
        <v>0.93490804699999996</v>
      </c>
    </row>
    <row r="113" spans="1:15" ht="18.95" customHeight="1">
      <c r="A113" s="340">
        <v>6.1</v>
      </c>
      <c r="B113" s="842" t="s">
        <v>206</v>
      </c>
      <c r="C113" s="834"/>
      <c r="D113" s="849"/>
      <c r="E113" s="267"/>
      <c r="F113" s="268"/>
      <c r="G113" s="269"/>
      <c r="H113" s="269"/>
      <c r="I113" s="269"/>
      <c r="J113" s="270"/>
      <c r="K113" s="270"/>
      <c r="L113" s="269"/>
      <c r="M113" s="270"/>
      <c r="N113" s="268"/>
      <c r="O113" s="1163">
        <v>0.93490804699999996</v>
      </c>
    </row>
    <row r="114" spans="1:15" ht="18.95" customHeight="1">
      <c r="A114" s="340"/>
      <c r="B114" s="357" t="s">
        <v>327</v>
      </c>
      <c r="C114" s="532" t="s">
        <v>328</v>
      </c>
      <c r="D114" s="332"/>
      <c r="E114" s="267">
        <v>6</v>
      </c>
      <c r="F114" s="268" t="s">
        <v>218</v>
      </c>
      <c r="G114" s="267">
        <v>850</v>
      </c>
      <c r="H114" s="267">
        <f>G114*O114</f>
        <v>794.67183994999994</v>
      </c>
      <c r="I114" s="267">
        <f>E114*H114</f>
        <v>4768.0310396999994</v>
      </c>
      <c r="J114" s="269">
        <v>255</v>
      </c>
      <c r="K114" s="269">
        <f>J114*O114</f>
        <v>238.401551985</v>
      </c>
      <c r="L114" s="269">
        <f>E114*K114</f>
        <v>1430.40931191</v>
      </c>
      <c r="M114" s="270">
        <f>SUM(L114+I114)</f>
        <v>6198.4403516099992</v>
      </c>
      <c r="N114" s="268"/>
      <c r="O114" s="1163">
        <v>0.93490804699999996</v>
      </c>
    </row>
    <row r="115" spans="1:15" ht="18.95" customHeight="1">
      <c r="A115" s="340"/>
      <c r="B115" s="842" t="s">
        <v>332</v>
      </c>
      <c r="C115" s="532" t="s">
        <v>333</v>
      </c>
      <c r="D115" s="532"/>
      <c r="E115" s="270"/>
      <c r="F115" s="268"/>
      <c r="G115" s="269"/>
      <c r="H115" s="269"/>
      <c r="I115" s="267"/>
      <c r="J115" s="270"/>
      <c r="K115" s="270"/>
      <c r="L115" s="269"/>
      <c r="M115" s="270"/>
      <c r="N115" s="268"/>
      <c r="O115" s="1163">
        <v>0.93490804699999996</v>
      </c>
    </row>
    <row r="116" spans="1:15" ht="18.95" customHeight="1">
      <c r="A116" s="340"/>
      <c r="B116" s="843" t="s">
        <v>245</v>
      </c>
      <c r="C116" s="532" t="s">
        <v>864</v>
      </c>
      <c r="D116" s="532"/>
      <c r="E116" s="270">
        <v>25</v>
      </c>
      <c r="F116" s="268" t="s">
        <v>218</v>
      </c>
      <c r="G116" s="269">
        <v>1350</v>
      </c>
      <c r="H116" s="267">
        <f>G116*O116</f>
        <v>1262.12586345</v>
      </c>
      <c r="I116" s="267">
        <f>E116*H116</f>
        <v>31553.146586250001</v>
      </c>
      <c r="J116" s="270">
        <v>450</v>
      </c>
      <c r="K116" s="269">
        <f>J116*O116</f>
        <v>420.70862115</v>
      </c>
      <c r="L116" s="269">
        <f>E116*K116</f>
        <v>10517.715528749999</v>
      </c>
      <c r="M116" s="270">
        <f>SUM(L116+I116)</f>
        <v>42070.862114999996</v>
      </c>
      <c r="N116" s="268"/>
      <c r="O116" s="1163">
        <v>0.93490804699999996</v>
      </c>
    </row>
    <row r="117" spans="1:15" ht="18.95" customHeight="1">
      <c r="A117" s="229"/>
      <c r="B117" s="843" t="s">
        <v>245</v>
      </c>
      <c r="C117" s="532" t="s">
        <v>865</v>
      </c>
      <c r="D117" s="485"/>
      <c r="E117" s="267">
        <v>10</v>
      </c>
      <c r="F117" s="268" t="s">
        <v>218</v>
      </c>
      <c r="G117" s="267">
        <v>850</v>
      </c>
      <c r="H117" s="267">
        <f t="shared" ref="H117:H121" si="10">G117*O117</f>
        <v>794.67183994999994</v>
      </c>
      <c r="I117" s="267">
        <f>E117*H117</f>
        <v>7946.7183994999996</v>
      </c>
      <c r="J117" s="269">
        <v>255</v>
      </c>
      <c r="K117" s="269">
        <f t="shared" ref="K117:K118" si="11">J117*O117</f>
        <v>238.401551985</v>
      </c>
      <c r="L117" s="269">
        <f t="shared" ref="L117:L118" si="12">E117*K117</f>
        <v>2384.0155198500001</v>
      </c>
      <c r="M117" s="270">
        <f>SUM(L117+I117)</f>
        <v>10330.733919349999</v>
      </c>
      <c r="N117" s="268"/>
      <c r="O117" s="1163">
        <v>0.93490804699999996</v>
      </c>
    </row>
    <row r="118" spans="1:15" ht="18.95" customHeight="1">
      <c r="A118" s="336"/>
      <c r="B118" s="843" t="s">
        <v>245</v>
      </c>
      <c r="C118" s="832" t="s">
        <v>866</v>
      </c>
      <c r="D118" s="849"/>
      <c r="E118" s="270">
        <v>10</v>
      </c>
      <c r="F118" s="268" t="s">
        <v>276</v>
      </c>
      <c r="G118" s="270">
        <v>500</v>
      </c>
      <c r="H118" s="267">
        <f t="shared" si="10"/>
        <v>467.45402350000001</v>
      </c>
      <c r="I118" s="267">
        <f>E118*H118</f>
        <v>4674.5402350000004</v>
      </c>
      <c r="J118" s="270">
        <v>100</v>
      </c>
      <c r="K118" s="269">
        <f t="shared" si="11"/>
        <v>93.490804699999998</v>
      </c>
      <c r="L118" s="269">
        <f t="shared" si="12"/>
        <v>934.90804700000001</v>
      </c>
      <c r="M118" s="270">
        <f>SUM(L118+I118)</f>
        <v>5609.4482820000003</v>
      </c>
      <c r="N118" s="268"/>
      <c r="O118" s="1163">
        <v>0.93490804699999996</v>
      </c>
    </row>
    <row r="119" spans="1:15" ht="18.95" customHeight="1">
      <c r="A119" s="340"/>
      <c r="B119" s="842" t="s">
        <v>337</v>
      </c>
      <c r="C119" s="832" t="s">
        <v>867</v>
      </c>
      <c r="D119" s="485"/>
      <c r="E119" s="267">
        <v>8</v>
      </c>
      <c r="F119" s="268" t="s">
        <v>218</v>
      </c>
      <c r="G119" s="267">
        <v>1000</v>
      </c>
      <c r="H119" s="267">
        <f t="shared" si="10"/>
        <v>934.90804700000001</v>
      </c>
      <c r="I119" s="267">
        <f>E119*H119</f>
        <v>7479.2643760000001</v>
      </c>
      <c r="J119" s="269">
        <v>300</v>
      </c>
      <c r="K119" s="269">
        <f>J119*O119</f>
        <v>280.47241409999998</v>
      </c>
      <c r="L119" s="269">
        <f>E119*K119</f>
        <v>2243.7793127999998</v>
      </c>
      <c r="M119" s="270">
        <f>SUM(L119+I119)</f>
        <v>9723.0436888000004</v>
      </c>
      <c r="N119" s="268"/>
      <c r="O119" s="1163">
        <v>0.93490804699999996</v>
      </c>
    </row>
    <row r="120" spans="1:15" ht="18.95" customHeight="1">
      <c r="A120" s="340">
        <v>6.2</v>
      </c>
      <c r="B120" s="411" t="s">
        <v>824</v>
      </c>
      <c r="C120" s="834"/>
      <c r="D120" s="849"/>
      <c r="E120" s="270"/>
      <c r="F120" s="268"/>
      <c r="G120" s="270"/>
      <c r="H120" s="270"/>
      <c r="I120" s="267"/>
      <c r="J120" s="270"/>
      <c r="K120" s="270"/>
      <c r="L120" s="270"/>
      <c r="M120" s="268"/>
      <c r="N120" s="268"/>
      <c r="O120" s="1163">
        <v>0.93490804699999996</v>
      </c>
    </row>
    <row r="121" spans="1:15" ht="18.95" customHeight="1">
      <c r="A121" s="340"/>
      <c r="B121" s="345" t="s">
        <v>868</v>
      </c>
      <c r="C121" s="835" t="s">
        <v>869</v>
      </c>
      <c r="D121" s="852" t="s">
        <v>870</v>
      </c>
      <c r="E121" s="270">
        <v>15.6</v>
      </c>
      <c r="F121" s="268" t="s">
        <v>276</v>
      </c>
      <c r="G121" s="270">
        <v>6500</v>
      </c>
      <c r="H121" s="267">
        <f t="shared" si="10"/>
        <v>6076.9023054999998</v>
      </c>
      <c r="I121" s="267">
        <f>E121*H121</f>
        <v>94799.675965799994</v>
      </c>
      <c r="J121" s="269">
        <v>0</v>
      </c>
      <c r="K121" s="269"/>
      <c r="L121" s="269">
        <v>0</v>
      </c>
      <c r="M121" s="270">
        <f>SUM(I121)</f>
        <v>94799.675965799994</v>
      </c>
      <c r="N121" s="268"/>
      <c r="O121" s="1163">
        <v>0.93490804699999996</v>
      </c>
    </row>
    <row r="122" spans="1:15" ht="18.95" customHeight="1">
      <c r="A122" s="340"/>
      <c r="B122" s="1301" t="s">
        <v>871</v>
      </c>
      <c r="C122" s="1302"/>
      <c r="D122" s="1303"/>
      <c r="E122" s="267"/>
      <c r="F122" s="268"/>
      <c r="G122" s="267"/>
      <c r="H122" s="267"/>
      <c r="I122" s="267"/>
      <c r="J122" s="267"/>
      <c r="K122" s="267"/>
      <c r="L122" s="269"/>
      <c r="M122" s="271">
        <f>SUM(M113:M121)</f>
        <v>168732.20432255999</v>
      </c>
      <c r="N122" s="268"/>
      <c r="O122" s="1163">
        <v>0.93490804699999996</v>
      </c>
    </row>
    <row r="123" spans="1:15" ht="18.95" customHeight="1">
      <c r="A123" s="340"/>
      <c r="B123" s="413"/>
      <c r="C123" s="585"/>
      <c r="D123" s="585"/>
      <c r="E123" s="267"/>
      <c r="F123" s="268"/>
      <c r="G123" s="267"/>
      <c r="H123" s="267"/>
      <c r="I123" s="267"/>
      <c r="J123" s="267"/>
      <c r="K123" s="267"/>
      <c r="L123" s="269"/>
      <c r="M123" s="271"/>
      <c r="N123" s="268"/>
      <c r="O123" s="1163">
        <v>0.93490804699999996</v>
      </c>
    </row>
    <row r="124" spans="1:15" ht="18.95" customHeight="1">
      <c r="A124" s="1175">
        <v>7</v>
      </c>
      <c r="B124" s="1176" t="s">
        <v>872</v>
      </c>
      <c r="C124" s="1177"/>
      <c r="D124" s="1178"/>
      <c r="E124" s="1179"/>
      <c r="F124" s="1180"/>
      <c r="G124" s="1179"/>
      <c r="H124" s="1179"/>
      <c r="I124" s="1179"/>
      <c r="J124" s="1180"/>
      <c r="K124" s="1180"/>
      <c r="L124" s="1179"/>
      <c r="M124" s="1180"/>
      <c r="N124" s="1181"/>
      <c r="O124" s="1163">
        <v>0.93490804699999996</v>
      </c>
    </row>
    <row r="125" spans="1:15" ht="18.95" customHeight="1">
      <c r="A125" s="340">
        <v>7.1</v>
      </c>
      <c r="B125" s="411" t="s">
        <v>824</v>
      </c>
      <c r="C125" s="834"/>
      <c r="D125" s="849"/>
      <c r="E125" s="267"/>
      <c r="F125" s="268"/>
      <c r="G125" s="270"/>
      <c r="H125" s="270"/>
      <c r="I125" s="270"/>
      <c r="J125" s="269"/>
      <c r="K125" s="269"/>
      <c r="L125" s="270"/>
      <c r="M125" s="281"/>
      <c r="N125" s="268"/>
      <c r="O125" s="1163">
        <v>0.93490804699999996</v>
      </c>
    </row>
    <row r="126" spans="1:15" ht="18.95" customHeight="1">
      <c r="A126" s="336"/>
      <c r="B126" s="345" t="s">
        <v>873</v>
      </c>
      <c r="C126" s="835" t="s">
        <v>874</v>
      </c>
      <c r="D126" s="852" t="s">
        <v>875</v>
      </c>
      <c r="E126" s="270">
        <v>1.7250000000000001</v>
      </c>
      <c r="F126" s="268" t="s">
        <v>276</v>
      </c>
      <c r="G126" s="270">
        <v>17000</v>
      </c>
      <c r="H126" s="267">
        <f t="shared" ref="H126:H127" si="13">G126*O126</f>
        <v>15893.436798999999</v>
      </c>
      <c r="I126" s="267">
        <f>E126*H126</f>
        <v>27416.178478275</v>
      </c>
      <c r="J126" s="269">
        <v>0</v>
      </c>
      <c r="K126" s="269"/>
      <c r="L126" s="269">
        <v>0</v>
      </c>
      <c r="M126" s="270">
        <f>SUM(I126)</f>
        <v>27416.178478275</v>
      </c>
      <c r="N126" s="268"/>
      <c r="O126" s="1163">
        <v>0.93490804699999996</v>
      </c>
    </row>
    <row r="127" spans="1:15" ht="18.95" customHeight="1">
      <c r="A127" s="336"/>
      <c r="B127" s="345"/>
      <c r="C127" s="835" t="s">
        <v>876</v>
      </c>
      <c r="D127" s="852" t="s">
        <v>877</v>
      </c>
      <c r="E127" s="270">
        <v>3.1</v>
      </c>
      <c r="F127" s="268" t="s">
        <v>276</v>
      </c>
      <c r="G127" s="270">
        <v>10000</v>
      </c>
      <c r="H127" s="267">
        <f t="shared" si="13"/>
        <v>9349.080469999999</v>
      </c>
      <c r="I127" s="267">
        <f>E127*H127</f>
        <v>28982.149456999996</v>
      </c>
      <c r="J127" s="269">
        <v>0</v>
      </c>
      <c r="K127" s="269"/>
      <c r="L127" s="269">
        <v>0</v>
      </c>
      <c r="M127" s="270">
        <f>SUM(I127)</f>
        <v>28982.149456999996</v>
      </c>
      <c r="N127" s="268"/>
      <c r="O127" s="1163">
        <v>0.93490804699999996</v>
      </c>
    </row>
    <row r="128" spans="1:15" ht="18.95" customHeight="1">
      <c r="A128" s="340"/>
      <c r="B128" s="1301" t="s">
        <v>878</v>
      </c>
      <c r="C128" s="1302"/>
      <c r="D128" s="1303"/>
      <c r="E128" s="267"/>
      <c r="F128" s="268"/>
      <c r="G128" s="267"/>
      <c r="H128" s="267"/>
      <c r="I128" s="267"/>
      <c r="J128" s="269"/>
      <c r="K128" s="269"/>
      <c r="L128" s="269"/>
      <c r="M128" s="288">
        <f>SUM(M126:M127)</f>
        <v>56398.327935274996</v>
      </c>
      <c r="N128" s="270"/>
      <c r="O128" s="1163">
        <v>0.93490804699999996</v>
      </c>
    </row>
    <row r="129" spans="1:15" ht="18.95" customHeight="1">
      <c r="A129" s="336"/>
      <c r="B129" s="842"/>
      <c r="C129" s="834"/>
      <c r="D129" s="849"/>
      <c r="E129" s="267"/>
      <c r="F129" s="268"/>
      <c r="G129" s="267"/>
      <c r="H129" s="267"/>
      <c r="I129" s="267"/>
      <c r="J129" s="269"/>
      <c r="K129" s="269"/>
      <c r="L129" s="269"/>
      <c r="M129" s="270"/>
      <c r="N129" s="270"/>
      <c r="O129" s="1163">
        <v>0.93490804699999996</v>
      </c>
    </row>
    <row r="130" spans="1:15" ht="18.95" customHeight="1">
      <c r="A130" s="1175">
        <v>8</v>
      </c>
      <c r="B130" s="1176" t="s">
        <v>879</v>
      </c>
      <c r="C130" s="1177"/>
      <c r="D130" s="1178"/>
      <c r="E130" s="1185"/>
      <c r="F130" s="1181"/>
      <c r="G130" s="1185"/>
      <c r="H130" s="1185"/>
      <c r="I130" s="1185"/>
      <c r="J130" s="1181"/>
      <c r="K130" s="1181"/>
      <c r="L130" s="1181"/>
      <c r="M130" s="1185"/>
      <c r="N130" s="1185"/>
      <c r="O130" s="1163">
        <v>0.93490804699999996</v>
      </c>
    </row>
    <row r="131" spans="1:15" ht="18.95" customHeight="1">
      <c r="A131" s="340">
        <v>8.1</v>
      </c>
      <c r="B131" s="411" t="s">
        <v>824</v>
      </c>
      <c r="C131" s="834"/>
      <c r="D131" s="849"/>
      <c r="E131" s="267"/>
      <c r="F131" s="268"/>
      <c r="G131" s="270"/>
      <c r="H131" s="270"/>
      <c r="I131" s="270"/>
      <c r="J131" s="269"/>
      <c r="K131" s="269"/>
      <c r="L131" s="270"/>
      <c r="M131" s="281"/>
      <c r="N131" s="268"/>
      <c r="O131" s="1163">
        <v>0.93490804699999996</v>
      </c>
    </row>
    <row r="132" spans="1:15" ht="18.95" customHeight="1">
      <c r="A132" s="229"/>
      <c r="B132" s="345" t="s">
        <v>880</v>
      </c>
      <c r="C132" s="835" t="s">
        <v>881</v>
      </c>
      <c r="D132" s="852" t="s">
        <v>882</v>
      </c>
      <c r="E132" s="267">
        <v>5.375</v>
      </c>
      <c r="F132" s="268" t="s">
        <v>276</v>
      </c>
      <c r="G132" s="269">
        <v>10000</v>
      </c>
      <c r="H132" s="267">
        <f t="shared" ref="H132:H133" si="14">G132*O132</f>
        <v>9349.080469999999</v>
      </c>
      <c r="I132" s="267">
        <f>E132*H132</f>
        <v>50251.307526249991</v>
      </c>
      <c r="J132" s="269">
        <v>0</v>
      </c>
      <c r="K132" s="269"/>
      <c r="L132" s="269">
        <v>0</v>
      </c>
      <c r="M132" s="270">
        <f>SUM(I132)</f>
        <v>50251.307526249991</v>
      </c>
      <c r="N132" s="268"/>
      <c r="O132" s="1163">
        <v>0.93490804699999996</v>
      </c>
    </row>
    <row r="133" spans="1:15" ht="18.95" customHeight="1">
      <c r="A133" s="229"/>
      <c r="B133" s="345"/>
      <c r="C133" s="835" t="s">
        <v>883</v>
      </c>
      <c r="D133" s="852" t="s">
        <v>884</v>
      </c>
      <c r="E133" s="267">
        <v>5.375</v>
      </c>
      <c r="F133" s="268" t="s">
        <v>276</v>
      </c>
      <c r="G133" s="269">
        <v>7500</v>
      </c>
      <c r="H133" s="267">
        <f t="shared" si="14"/>
        <v>7011.8103524999997</v>
      </c>
      <c r="I133" s="267">
        <f>E133*H133</f>
        <v>37688.480644687501</v>
      </c>
      <c r="J133" s="269">
        <v>0</v>
      </c>
      <c r="K133" s="269"/>
      <c r="L133" s="269">
        <v>0</v>
      </c>
      <c r="M133" s="270">
        <f>SUM(I133)</f>
        <v>37688.480644687501</v>
      </c>
      <c r="N133" s="268"/>
      <c r="O133" s="1163">
        <v>0.93490804699999996</v>
      </c>
    </row>
    <row r="134" spans="1:15" ht="18.95" customHeight="1">
      <c r="A134" s="336"/>
      <c r="B134" s="1301" t="s">
        <v>885</v>
      </c>
      <c r="C134" s="1302"/>
      <c r="D134" s="1303"/>
      <c r="E134" s="267"/>
      <c r="F134" s="268"/>
      <c r="G134" s="269"/>
      <c r="H134" s="269"/>
      <c r="I134" s="269"/>
      <c r="J134" s="269"/>
      <c r="K134" s="269"/>
      <c r="L134" s="269"/>
      <c r="M134" s="288">
        <f>SUM(M132:M133)</f>
        <v>87939.788170937492</v>
      </c>
      <c r="N134" s="268"/>
      <c r="O134" s="1163">
        <v>0.93490804699999996</v>
      </c>
    </row>
    <row r="135" spans="1:15" ht="18.95" customHeight="1">
      <c r="A135" s="340"/>
      <c r="B135" s="411"/>
      <c r="C135" s="834"/>
      <c r="D135" s="849"/>
      <c r="E135" s="267"/>
      <c r="F135" s="268"/>
      <c r="G135" s="269"/>
      <c r="H135" s="269"/>
      <c r="I135" s="269"/>
      <c r="J135" s="269"/>
      <c r="K135" s="269"/>
      <c r="L135" s="269"/>
      <c r="M135" s="270"/>
      <c r="N135" s="268"/>
      <c r="O135" s="1163">
        <v>0.93490804699999996</v>
      </c>
    </row>
    <row r="136" spans="1:15" ht="18.95" customHeight="1">
      <c r="A136" s="1175">
        <v>9</v>
      </c>
      <c r="B136" s="1176" t="s">
        <v>886</v>
      </c>
      <c r="C136" s="1177"/>
      <c r="D136" s="1178"/>
      <c r="E136" s="1185"/>
      <c r="F136" s="1181"/>
      <c r="G136" s="1185"/>
      <c r="H136" s="1185"/>
      <c r="I136" s="1185"/>
      <c r="J136" s="1181"/>
      <c r="K136" s="1181"/>
      <c r="L136" s="1185"/>
      <c r="M136" s="1181"/>
      <c r="N136" s="1181"/>
      <c r="O136" s="1163">
        <v>0.93490804699999996</v>
      </c>
    </row>
    <row r="137" spans="1:15" ht="18.95" customHeight="1">
      <c r="A137" s="340">
        <v>9.1</v>
      </c>
      <c r="B137" s="411" t="s">
        <v>824</v>
      </c>
      <c r="C137" s="834"/>
      <c r="D137" s="849"/>
      <c r="E137" s="267"/>
      <c r="F137" s="268"/>
      <c r="G137" s="269"/>
      <c r="H137" s="269"/>
      <c r="I137" s="269"/>
      <c r="J137" s="270"/>
      <c r="K137" s="270"/>
      <c r="L137" s="269"/>
      <c r="M137" s="270"/>
      <c r="N137" s="268"/>
      <c r="O137" s="1163">
        <v>0.93490804699999996</v>
      </c>
    </row>
    <row r="138" spans="1:15" ht="18.95" customHeight="1">
      <c r="A138" s="346"/>
      <c r="B138" s="345" t="s">
        <v>887</v>
      </c>
      <c r="C138" s="835" t="s">
        <v>888</v>
      </c>
      <c r="D138" s="852" t="s">
        <v>889</v>
      </c>
      <c r="E138" s="267">
        <v>6</v>
      </c>
      <c r="F138" s="268" t="s">
        <v>276</v>
      </c>
      <c r="G138" s="267">
        <v>20000</v>
      </c>
      <c r="H138" s="267">
        <f t="shared" ref="H138" si="15">G138*O138</f>
        <v>18698.160939999998</v>
      </c>
      <c r="I138" s="267">
        <f>E138*H138</f>
        <v>112188.96563999998</v>
      </c>
      <c r="J138" s="269">
        <v>0</v>
      </c>
      <c r="K138" s="269"/>
      <c r="L138" s="269">
        <v>0</v>
      </c>
      <c r="M138" s="270">
        <f>SUM(I138)</f>
        <v>112188.96563999998</v>
      </c>
      <c r="N138" s="268"/>
      <c r="O138" s="1163">
        <v>0.93490804699999996</v>
      </c>
    </row>
    <row r="139" spans="1:15" ht="18.95" customHeight="1">
      <c r="A139" s="346"/>
      <c r="B139" s="1301" t="s">
        <v>890</v>
      </c>
      <c r="C139" s="1302"/>
      <c r="D139" s="1303"/>
      <c r="E139" s="267"/>
      <c r="F139" s="268"/>
      <c r="G139" s="267"/>
      <c r="H139" s="267"/>
      <c r="I139" s="267" t="s">
        <v>611</v>
      </c>
      <c r="J139" s="269"/>
      <c r="K139" s="269"/>
      <c r="L139" s="269"/>
      <c r="M139" s="288">
        <f>SUM(M138)</f>
        <v>112188.96563999998</v>
      </c>
      <c r="N139" s="268"/>
      <c r="O139" s="1163">
        <v>0.93490804699999996</v>
      </c>
    </row>
    <row r="140" spans="1:15" ht="18.95" customHeight="1">
      <c r="A140" s="346"/>
      <c r="B140" s="411"/>
      <c r="C140" s="832"/>
      <c r="D140" s="837"/>
      <c r="E140" s="267"/>
      <c r="F140" s="268"/>
      <c r="G140" s="267"/>
      <c r="H140" s="267"/>
      <c r="I140" s="267"/>
      <c r="J140" s="269"/>
      <c r="K140" s="269"/>
      <c r="L140" s="269"/>
      <c r="M140" s="270"/>
      <c r="N140" s="268"/>
      <c r="O140" s="1163">
        <v>0.93490804699999996</v>
      </c>
    </row>
    <row r="141" spans="1:15" ht="18.95" customHeight="1">
      <c r="A141" s="346"/>
      <c r="B141" s="411"/>
      <c r="C141" s="832"/>
      <c r="D141" s="837"/>
      <c r="E141" s="267"/>
      <c r="F141" s="268"/>
      <c r="G141" s="267"/>
      <c r="H141" s="267"/>
      <c r="I141" s="267"/>
      <c r="J141" s="269"/>
      <c r="K141" s="269"/>
      <c r="L141" s="269"/>
      <c r="M141" s="270"/>
      <c r="N141" s="268"/>
      <c r="O141" s="1163">
        <v>0.93490804699999996</v>
      </c>
    </row>
    <row r="142" spans="1:15" ht="18.95" customHeight="1">
      <c r="A142" s="1175">
        <v>10</v>
      </c>
      <c r="B142" s="1176" t="s">
        <v>891</v>
      </c>
      <c r="C142" s="1177"/>
      <c r="D142" s="1178"/>
      <c r="E142" s="1185"/>
      <c r="F142" s="1181"/>
      <c r="G142" s="1185"/>
      <c r="H142" s="1185"/>
      <c r="I142" s="1185"/>
      <c r="J142" s="1181"/>
      <c r="K142" s="1181"/>
      <c r="L142" s="1181"/>
      <c r="M142" s="1185"/>
      <c r="N142" s="1181"/>
      <c r="O142" s="1163">
        <v>0.93490804699999996</v>
      </c>
    </row>
    <row r="143" spans="1:15" ht="18.95" customHeight="1">
      <c r="A143" s="340">
        <v>10.1</v>
      </c>
      <c r="B143" s="411" t="s">
        <v>824</v>
      </c>
      <c r="C143" s="834"/>
      <c r="D143" s="849"/>
      <c r="E143" s="267"/>
      <c r="F143" s="268"/>
      <c r="G143" s="267"/>
      <c r="H143" s="267"/>
      <c r="I143" s="267"/>
      <c r="J143" s="269"/>
      <c r="K143" s="269"/>
      <c r="L143" s="269"/>
      <c r="M143" s="270"/>
      <c r="N143" s="268"/>
      <c r="O143" s="1163">
        <v>0.93490804699999996</v>
      </c>
    </row>
    <row r="144" spans="1:15" ht="18.95" customHeight="1">
      <c r="A144" s="346"/>
      <c r="B144" s="345" t="s">
        <v>892</v>
      </c>
      <c r="C144" s="835" t="s">
        <v>893</v>
      </c>
      <c r="D144" s="852" t="s">
        <v>894</v>
      </c>
      <c r="E144" s="270">
        <v>3.4400000000000004</v>
      </c>
      <c r="F144" s="268" t="s">
        <v>276</v>
      </c>
      <c r="G144" s="270">
        <v>20000</v>
      </c>
      <c r="H144" s="267">
        <f t="shared" ref="H144:H145" si="16">G144*O144</f>
        <v>18698.160939999998</v>
      </c>
      <c r="I144" s="267">
        <f>E144*H144</f>
        <v>64321.673633600003</v>
      </c>
      <c r="J144" s="269">
        <v>0</v>
      </c>
      <c r="K144" s="269"/>
      <c r="L144" s="269">
        <v>0</v>
      </c>
      <c r="M144" s="270">
        <f>SUM(I144)</f>
        <v>64321.673633600003</v>
      </c>
      <c r="N144" s="268"/>
      <c r="O144" s="1163">
        <v>0.93490804699999996</v>
      </c>
    </row>
    <row r="145" spans="1:15" ht="18.95" customHeight="1">
      <c r="A145" s="346"/>
      <c r="B145" s="345"/>
      <c r="C145" s="835" t="s">
        <v>895</v>
      </c>
      <c r="D145" s="852" t="s">
        <v>896</v>
      </c>
      <c r="E145" s="270">
        <v>3.7</v>
      </c>
      <c r="F145" s="268" t="s">
        <v>276</v>
      </c>
      <c r="G145" s="270">
        <v>10000</v>
      </c>
      <c r="H145" s="267">
        <f t="shared" si="16"/>
        <v>9349.080469999999</v>
      </c>
      <c r="I145" s="267">
        <f>E145*H145</f>
        <v>34591.597738999997</v>
      </c>
      <c r="J145" s="269">
        <v>0</v>
      </c>
      <c r="K145" s="269"/>
      <c r="L145" s="269">
        <v>0</v>
      </c>
      <c r="M145" s="270">
        <f>SUM(I145)</f>
        <v>34591.597738999997</v>
      </c>
      <c r="N145" s="268"/>
      <c r="O145" s="1163">
        <v>0.93490804699999996</v>
      </c>
    </row>
    <row r="146" spans="1:15" ht="18.95" customHeight="1">
      <c r="A146" s="346"/>
      <c r="B146" s="1301" t="s">
        <v>897</v>
      </c>
      <c r="C146" s="1302"/>
      <c r="D146" s="1303"/>
      <c r="E146" s="267"/>
      <c r="F146" s="268"/>
      <c r="G146" s="267"/>
      <c r="H146" s="267"/>
      <c r="I146" s="267"/>
      <c r="J146" s="269"/>
      <c r="K146" s="269"/>
      <c r="L146" s="269"/>
      <c r="M146" s="288">
        <f>SUM(M144:M145)</f>
        <v>98913.271372599993</v>
      </c>
      <c r="N146" s="268"/>
      <c r="O146" s="1163">
        <v>0.93490804699999996</v>
      </c>
    </row>
    <row r="147" spans="1:15" ht="18.95" customHeight="1">
      <c r="A147" s="346"/>
      <c r="B147" s="411"/>
      <c r="C147" s="832"/>
      <c r="D147" s="853"/>
      <c r="E147" s="267"/>
      <c r="F147" s="268"/>
      <c r="G147" s="267"/>
      <c r="H147" s="267"/>
      <c r="I147" s="267"/>
      <c r="J147" s="269"/>
      <c r="K147" s="269"/>
      <c r="L147" s="269"/>
      <c r="M147" s="270"/>
      <c r="N147" s="268"/>
      <c r="O147" s="1163">
        <v>0.93490804699999996</v>
      </c>
    </row>
    <row r="148" spans="1:15" ht="18.95" customHeight="1">
      <c r="A148" s="1175">
        <v>11</v>
      </c>
      <c r="B148" s="1176" t="s">
        <v>898</v>
      </c>
      <c r="C148" s="1177"/>
      <c r="D148" s="1178"/>
      <c r="E148" s="1185"/>
      <c r="F148" s="1181"/>
      <c r="G148" s="1185"/>
      <c r="H148" s="1185"/>
      <c r="I148" s="1185"/>
      <c r="J148" s="1181"/>
      <c r="K148" s="1181"/>
      <c r="L148" s="1181"/>
      <c r="M148" s="1185"/>
      <c r="N148" s="1181"/>
      <c r="O148" s="1163">
        <v>0.93490804699999996</v>
      </c>
    </row>
    <row r="149" spans="1:15" ht="18.95" customHeight="1">
      <c r="A149" s="340">
        <v>11.1</v>
      </c>
      <c r="B149" s="842" t="s">
        <v>206</v>
      </c>
      <c r="C149" s="834"/>
      <c r="D149" s="849"/>
      <c r="E149" s="267"/>
      <c r="F149" s="268"/>
      <c r="G149" s="267"/>
      <c r="H149" s="267"/>
      <c r="I149" s="267"/>
      <c r="J149" s="269"/>
      <c r="K149" s="269"/>
      <c r="L149" s="269"/>
      <c r="M149" s="270"/>
      <c r="N149" s="268"/>
      <c r="O149" s="1163">
        <v>0.93490804699999996</v>
      </c>
    </row>
    <row r="150" spans="1:15" ht="18.95" customHeight="1">
      <c r="A150" s="340"/>
      <c r="B150" s="357" t="s">
        <v>327</v>
      </c>
      <c r="C150" s="532" t="s">
        <v>328</v>
      </c>
      <c r="D150" s="332"/>
      <c r="E150" s="267">
        <v>28</v>
      </c>
      <c r="F150" s="268" t="s">
        <v>218</v>
      </c>
      <c r="G150" s="267">
        <v>850</v>
      </c>
      <c r="H150" s="267">
        <f t="shared" ref="H150:H154" si="17">G150*O150</f>
        <v>794.67183994999994</v>
      </c>
      <c r="I150" s="267">
        <f>E150*H150</f>
        <v>22250.8115186</v>
      </c>
      <c r="J150" s="269">
        <v>255</v>
      </c>
      <c r="K150" s="269">
        <f>J150*O150</f>
        <v>238.401551985</v>
      </c>
      <c r="L150" s="269">
        <f>E150*K150</f>
        <v>6675.24345558</v>
      </c>
      <c r="M150" s="270">
        <f>SUM(L150+I150)</f>
        <v>28926.054974179999</v>
      </c>
      <c r="N150" s="268"/>
      <c r="O150" s="1163">
        <v>0.93490804699999996</v>
      </c>
    </row>
    <row r="151" spans="1:15" ht="18.95" customHeight="1">
      <c r="A151" s="340"/>
      <c r="B151" s="842" t="s">
        <v>332</v>
      </c>
      <c r="C151" s="835" t="s">
        <v>333</v>
      </c>
      <c r="D151" s="852"/>
      <c r="E151" s="267"/>
      <c r="F151" s="268"/>
      <c r="G151" s="269"/>
      <c r="H151" s="269"/>
      <c r="I151" s="267" t="s">
        <v>611</v>
      </c>
      <c r="J151" s="270"/>
      <c r="K151" s="270"/>
      <c r="L151" s="269"/>
      <c r="M151" s="270"/>
      <c r="N151" s="268"/>
      <c r="O151" s="1163">
        <v>0.93490804699999996</v>
      </c>
    </row>
    <row r="152" spans="1:15" ht="18.95" customHeight="1">
      <c r="A152" s="340"/>
      <c r="B152" s="843" t="s">
        <v>245</v>
      </c>
      <c r="C152" s="532" t="s">
        <v>864</v>
      </c>
      <c r="D152" s="532"/>
      <c r="E152" s="270">
        <v>20</v>
      </c>
      <c r="F152" s="268" t="s">
        <v>218</v>
      </c>
      <c r="G152" s="269">
        <v>1350</v>
      </c>
      <c r="H152" s="267">
        <f t="shared" si="17"/>
        <v>1262.12586345</v>
      </c>
      <c r="I152" s="267">
        <f t="shared" ref="I152:I157" si="18">E152*H152</f>
        <v>25242.517269</v>
      </c>
      <c r="J152" s="270">
        <v>450</v>
      </c>
      <c r="K152" s="269">
        <f>J152*O152</f>
        <v>420.70862115</v>
      </c>
      <c r="L152" s="269">
        <f>E152*K152</f>
        <v>8414.172423</v>
      </c>
      <c r="M152" s="270">
        <f>SUM(L152+I152)</f>
        <v>33656.689692</v>
      </c>
      <c r="N152" s="268"/>
      <c r="O152" s="1163">
        <v>0.93490804699999996</v>
      </c>
    </row>
    <row r="153" spans="1:15" ht="18.95" customHeight="1">
      <c r="A153" s="229"/>
      <c r="B153" s="843" t="s">
        <v>245</v>
      </c>
      <c r="C153" s="532" t="s">
        <v>865</v>
      </c>
      <c r="D153" s="485"/>
      <c r="E153" s="267">
        <v>10</v>
      </c>
      <c r="F153" s="268" t="s">
        <v>218</v>
      </c>
      <c r="G153" s="267">
        <v>850</v>
      </c>
      <c r="H153" s="267">
        <f t="shared" si="17"/>
        <v>794.67183994999994</v>
      </c>
      <c r="I153" s="267">
        <f t="shared" si="18"/>
        <v>7946.7183994999996</v>
      </c>
      <c r="J153" s="269">
        <v>255</v>
      </c>
      <c r="K153" s="269">
        <f t="shared" ref="K153:K154" si="19">J153*O153</f>
        <v>238.401551985</v>
      </c>
      <c r="L153" s="269">
        <f t="shared" ref="L153:L154" si="20">E153*K153</f>
        <v>2384.0155198500001</v>
      </c>
      <c r="M153" s="270">
        <f>SUM(L153+I153)</f>
        <v>10330.733919349999</v>
      </c>
      <c r="N153" s="268"/>
      <c r="O153" s="1163">
        <v>0.93490804699999996</v>
      </c>
    </row>
    <row r="154" spans="1:15" ht="18.95" customHeight="1">
      <c r="A154" s="336"/>
      <c r="B154" s="843" t="s">
        <v>245</v>
      </c>
      <c r="C154" s="832" t="s">
        <v>866</v>
      </c>
      <c r="D154" s="849"/>
      <c r="E154" s="270">
        <v>10</v>
      </c>
      <c r="F154" s="268" t="s">
        <v>276</v>
      </c>
      <c r="G154" s="270">
        <v>500</v>
      </c>
      <c r="H154" s="267">
        <f t="shared" si="17"/>
        <v>467.45402350000001</v>
      </c>
      <c r="I154" s="267">
        <f t="shared" si="18"/>
        <v>4674.5402350000004</v>
      </c>
      <c r="J154" s="270">
        <v>100</v>
      </c>
      <c r="K154" s="269">
        <f t="shared" si="19"/>
        <v>93.490804699999998</v>
      </c>
      <c r="L154" s="269">
        <f t="shared" si="20"/>
        <v>934.90804700000001</v>
      </c>
      <c r="M154" s="270">
        <f>SUM(L154+I154)</f>
        <v>5609.4482820000003</v>
      </c>
      <c r="N154" s="268"/>
      <c r="O154" s="1163">
        <v>0.93490804699999996</v>
      </c>
    </row>
    <row r="155" spans="1:15" ht="18.95" customHeight="1">
      <c r="A155" s="340"/>
      <c r="B155" s="411"/>
      <c r="C155" s="834"/>
      <c r="D155" s="849"/>
      <c r="E155" s="267"/>
      <c r="F155" s="268"/>
      <c r="G155" s="270"/>
      <c r="H155" s="270"/>
      <c r="I155" s="267" t="s">
        <v>611</v>
      </c>
      <c r="J155" s="270"/>
      <c r="K155" s="270"/>
      <c r="L155" s="269"/>
      <c r="M155" s="270"/>
      <c r="N155" s="268"/>
      <c r="O155" s="1163">
        <v>0.93490804699999996</v>
      </c>
    </row>
    <row r="156" spans="1:15" ht="18.95" customHeight="1">
      <c r="A156" s="340">
        <v>11.2</v>
      </c>
      <c r="B156" s="411" t="s">
        <v>824</v>
      </c>
      <c r="C156" s="834"/>
      <c r="D156" s="849"/>
      <c r="E156" s="271"/>
      <c r="F156" s="281"/>
      <c r="G156" s="271"/>
      <c r="H156" s="271"/>
      <c r="I156" s="267">
        <f t="shared" si="18"/>
        <v>0</v>
      </c>
      <c r="J156" s="339"/>
      <c r="K156" s="339"/>
      <c r="L156" s="271"/>
      <c r="M156" s="281"/>
      <c r="N156" s="268"/>
      <c r="O156" s="1163">
        <v>0.93490804699999996</v>
      </c>
    </row>
    <row r="157" spans="1:15" ht="18.95" customHeight="1">
      <c r="A157" s="340"/>
      <c r="B157" s="345" t="s">
        <v>899</v>
      </c>
      <c r="C157" s="832" t="s">
        <v>869</v>
      </c>
      <c r="D157" s="852" t="s">
        <v>900</v>
      </c>
      <c r="E157" s="270">
        <v>15.6</v>
      </c>
      <c r="F157" s="268" t="s">
        <v>276</v>
      </c>
      <c r="G157" s="270">
        <v>18000</v>
      </c>
      <c r="H157" s="267">
        <f t="shared" ref="H157" si="21">G157*O157</f>
        <v>16828.344846</v>
      </c>
      <c r="I157" s="267">
        <f t="shared" si="18"/>
        <v>262522.17959760001</v>
      </c>
      <c r="J157" s="269">
        <v>0</v>
      </c>
      <c r="K157" s="269"/>
      <c r="L157" s="269">
        <v>0</v>
      </c>
      <c r="M157" s="270">
        <f>SUM(I157)</f>
        <v>262522.17959760001</v>
      </c>
      <c r="N157" s="268"/>
      <c r="O157" s="1163">
        <v>0.93490804699999996</v>
      </c>
    </row>
    <row r="158" spans="1:15" ht="18.95" customHeight="1">
      <c r="A158" s="340"/>
      <c r="B158" s="1301" t="s">
        <v>901</v>
      </c>
      <c r="C158" s="1302"/>
      <c r="D158" s="1303"/>
      <c r="E158" s="267"/>
      <c r="F158" s="268"/>
      <c r="G158" s="267"/>
      <c r="H158" s="267"/>
      <c r="I158" s="267"/>
      <c r="J158" s="269"/>
      <c r="K158" s="269"/>
      <c r="L158" s="269"/>
      <c r="M158" s="288">
        <f>SUM(M149:M157)</f>
        <v>341045.10646513</v>
      </c>
      <c r="N158" s="268"/>
      <c r="O158" s="1163">
        <v>0.93490804699999996</v>
      </c>
    </row>
    <row r="159" spans="1:15" ht="18.95" customHeight="1">
      <c r="A159" s="198"/>
      <c r="B159" s="411"/>
      <c r="C159" s="1312"/>
      <c r="D159" s="1313"/>
      <c r="E159" s="267"/>
      <c r="F159" s="268"/>
      <c r="G159" s="267"/>
      <c r="H159" s="267"/>
      <c r="I159" s="267"/>
      <c r="J159" s="269"/>
      <c r="K159" s="269"/>
      <c r="L159" s="269"/>
      <c r="M159" s="270"/>
      <c r="N159" s="270"/>
      <c r="O159" s="1163">
        <v>0.93490804699999996</v>
      </c>
    </row>
    <row r="160" spans="1:15" ht="18.95" customHeight="1">
      <c r="A160" s="1175">
        <v>12</v>
      </c>
      <c r="B160" s="1176" t="s">
        <v>902</v>
      </c>
      <c r="C160" s="1177"/>
      <c r="D160" s="1178"/>
      <c r="E160" s="1185"/>
      <c r="F160" s="1181"/>
      <c r="G160" s="1185"/>
      <c r="H160" s="1185"/>
      <c r="I160" s="1185"/>
      <c r="J160" s="1181"/>
      <c r="K160" s="1181"/>
      <c r="L160" s="1181"/>
      <c r="M160" s="1185"/>
      <c r="N160" s="1185"/>
      <c r="O160" s="1163">
        <v>0.93490804699999996</v>
      </c>
    </row>
    <row r="161" spans="1:15" ht="18.95" customHeight="1">
      <c r="A161" s="340">
        <v>11.1</v>
      </c>
      <c r="B161" s="842" t="s">
        <v>206</v>
      </c>
      <c r="C161" s="834"/>
      <c r="D161" s="849"/>
      <c r="E161" s="267"/>
      <c r="F161" s="268"/>
      <c r="G161" s="267"/>
      <c r="H161" s="267"/>
      <c r="I161" s="267"/>
      <c r="J161" s="269"/>
      <c r="K161" s="269"/>
      <c r="L161" s="269"/>
      <c r="M161" s="270"/>
      <c r="N161" s="270"/>
      <c r="O161" s="1163">
        <v>0.93490804699999996</v>
      </c>
    </row>
    <row r="162" spans="1:15" ht="18.95" customHeight="1">
      <c r="A162" s="340"/>
      <c r="B162" s="357" t="s">
        <v>329</v>
      </c>
      <c r="C162" s="532" t="s">
        <v>832</v>
      </c>
      <c r="D162" s="485"/>
      <c r="E162" s="267">
        <v>25</v>
      </c>
      <c r="F162" s="268" t="s">
        <v>218</v>
      </c>
      <c r="G162" s="267">
        <v>1650</v>
      </c>
      <c r="H162" s="267">
        <f t="shared" ref="H162" si="22">G162*O162</f>
        <v>1542.5982775499999</v>
      </c>
      <c r="I162" s="267">
        <f t="shared" ref="I162" si="23">E162*H162</f>
        <v>38564.956938750001</v>
      </c>
      <c r="J162" s="269">
        <v>495</v>
      </c>
      <c r="K162" s="269">
        <f>J162*O162</f>
        <v>462.77948326500001</v>
      </c>
      <c r="L162" s="269">
        <f>E162*K162</f>
        <v>11569.487081625</v>
      </c>
      <c r="M162" s="270">
        <f>SUM(L162+I162)</f>
        <v>50134.444020374998</v>
      </c>
      <c r="N162" s="270"/>
      <c r="O162" s="1163">
        <v>0.93490804699999996</v>
      </c>
    </row>
    <row r="163" spans="1:15" ht="18.95" customHeight="1">
      <c r="A163" s="198"/>
      <c r="B163" s="1301" t="s">
        <v>903</v>
      </c>
      <c r="C163" s="1302"/>
      <c r="D163" s="1303"/>
      <c r="E163" s="267"/>
      <c r="F163" s="268"/>
      <c r="G163" s="267"/>
      <c r="H163" s="267"/>
      <c r="I163" s="267"/>
      <c r="J163" s="269"/>
      <c r="K163" s="269"/>
      <c r="L163" s="269"/>
      <c r="M163" s="288">
        <f>SUM(M161:M162)</f>
        <v>50134.444020374998</v>
      </c>
      <c r="N163" s="270"/>
      <c r="O163" s="1163">
        <v>0.93490804699999996</v>
      </c>
    </row>
    <row r="164" spans="1:15" ht="18.95" customHeight="1">
      <c r="A164" s="198"/>
      <c r="B164" s="411"/>
      <c r="C164" s="1312"/>
      <c r="D164" s="1313"/>
      <c r="E164" s="267"/>
      <c r="F164" s="268"/>
      <c r="G164" s="267"/>
      <c r="H164" s="267"/>
      <c r="I164" s="267"/>
      <c r="J164" s="269"/>
      <c r="K164" s="269"/>
      <c r="L164" s="269"/>
      <c r="M164" s="270"/>
      <c r="N164" s="270"/>
      <c r="O164" s="1163">
        <v>0.93490804699999996</v>
      </c>
    </row>
    <row r="165" spans="1:15" ht="18.95" customHeight="1">
      <c r="A165" s="1175">
        <v>13</v>
      </c>
      <c r="B165" s="1176" t="s">
        <v>904</v>
      </c>
      <c r="C165" s="1177"/>
      <c r="D165" s="1178"/>
      <c r="E165" s="1185"/>
      <c r="F165" s="1181"/>
      <c r="G165" s="1185"/>
      <c r="H165" s="1185"/>
      <c r="I165" s="1185"/>
      <c r="J165" s="1181"/>
      <c r="K165" s="1181"/>
      <c r="L165" s="1181"/>
      <c r="M165" s="1185"/>
      <c r="N165" s="1185"/>
      <c r="O165" s="1163">
        <v>0.93490804699999996</v>
      </c>
    </row>
    <row r="166" spans="1:15" ht="18.95" customHeight="1">
      <c r="A166" s="198">
        <v>13.1</v>
      </c>
      <c r="B166" s="842" t="s">
        <v>206</v>
      </c>
      <c r="C166" s="1310"/>
      <c r="D166" s="1311"/>
      <c r="E166" s="267"/>
      <c r="F166" s="268"/>
      <c r="G166" s="267"/>
      <c r="H166" s="267"/>
      <c r="I166" s="267"/>
      <c r="J166" s="269"/>
      <c r="K166" s="269"/>
      <c r="L166" s="269"/>
      <c r="M166" s="270"/>
      <c r="N166" s="270"/>
      <c r="O166" s="1163">
        <v>0.93490804699999996</v>
      </c>
    </row>
    <row r="167" spans="1:15" ht="18.95" customHeight="1">
      <c r="A167" s="198"/>
      <c r="B167" s="842" t="s">
        <v>332</v>
      </c>
      <c r="C167" s="1310" t="s">
        <v>333</v>
      </c>
      <c r="D167" s="1311"/>
      <c r="E167" s="267"/>
      <c r="F167" s="268"/>
      <c r="G167" s="269"/>
      <c r="H167" s="269"/>
      <c r="I167" s="267"/>
      <c r="J167" s="270"/>
      <c r="K167" s="270"/>
      <c r="L167" s="269"/>
      <c r="M167" s="270"/>
      <c r="N167" s="270"/>
      <c r="O167" s="1163">
        <v>0.93490804699999996</v>
      </c>
    </row>
    <row r="168" spans="1:15" ht="18.95" customHeight="1">
      <c r="A168" s="198"/>
      <c r="B168" s="843" t="s">
        <v>245</v>
      </c>
      <c r="C168" s="532" t="s">
        <v>864</v>
      </c>
      <c r="D168" s="532"/>
      <c r="E168" s="270">
        <v>16</v>
      </c>
      <c r="F168" s="268" t="s">
        <v>218</v>
      </c>
      <c r="G168" s="269">
        <v>1350</v>
      </c>
      <c r="H168" s="267">
        <f t="shared" ref="H168:H171" si="24">G168*O168</f>
        <v>1262.12586345</v>
      </c>
      <c r="I168" s="267">
        <f t="shared" ref="I168:I171" si="25">E168*H168</f>
        <v>20194.0138152</v>
      </c>
      <c r="J168" s="270">
        <v>450</v>
      </c>
      <c r="K168" s="269">
        <f>J168*O168</f>
        <v>420.70862115</v>
      </c>
      <c r="L168" s="269">
        <f>E168*K168</f>
        <v>6731.3379384</v>
      </c>
      <c r="M168" s="270">
        <f>SUM(L168+I168)</f>
        <v>26925.3517536</v>
      </c>
      <c r="N168" s="270"/>
      <c r="O168" s="1163">
        <v>0.93490804699999996</v>
      </c>
    </row>
    <row r="169" spans="1:15" ht="18.95" customHeight="1">
      <c r="A169" s="198"/>
      <c r="B169" s="843" t="s">
        <v>245</v>
      </c>
      <c r="C169" s="532" t="s">
        <v>865</v>
      </c>
      <c r="D169" s="485"/>
      <c r="E169" s="267">
        <v>3</v>
      </c>
      <c r="F169" s="268" t="s">
        <v>218</v>
      </c>
      <c r="G169" s="267">
        <v>850</v>
      </c>
      <c r="H169" s="267">
        <f t="shared" si="24"/>
        <v>794.67183994999994</v>
      </c>
      <c r="I169" s="267">
        <f t="shared" si="25"/>
        <v>2384.0155198499997</v>
      </c>
      <c r="J169" s="269">
        <v>255</v>
      </c>
      <c r="K169" s="269">
        <f t="shared" ref="K169:K170" si="26">J169*O169</f>
        <v>238.401551985</v>
      </c>
      <c r="L169" s="269">
        <f t="shared" ref="L169:L170" si="27">E169*K169</f>
        <v>715.20465595500002</v>
      </c>
      <c r="M169" s="270">
        <f>SUM(L169+I169)</f>
        <v>3099.2201758049996</v>
      </c>
      <c r="N169" s="270"/>
      <c r="O169" s="1163">
        <v>0.93490804699999996</v>
      </c>
    </row>
    <row r="170" spans="1:15" ht="18.95" customHeight="1">
      <c r="A170" s="198"/>
      <c r="B170" s="843" t="s">
        <v>245</v>
      </c>
      <c r="C170" s="832" t="s">
        <v>866</v>
      </c>
      <c r="D170" s="849"/>
      <c r="E170" s="270">
        <v>5</v>
      </c>
      <c r="F170" s="268" t="s">
        <v>276</v>
      </c>
      <c r="G170" s="270">
        <v>500</v>
      </c>
      <c r="H170" s="267">
        <f t="shared" si="24"/>
        <v>467.45402350000001</v>
      </c>
      <c r="I170" s="267">
        <f t="shared" si="25"/>
        <v>2337.2701175000002</v>
      </c>
      <c r="J170" s="270">
        <v>100</v>
      </c>
      <c r="K170" s="269">
        <f t="shared" si="26"/>
        <v>93.490804699999998</v>
      </c>
      <c r="L170" s="269">
        <f t="shared" si="27"/>
        <v>467.45402350000001</v>
      </c>
      <c r="M170" s="270">
        <f>SUM(L170+I170)</f>
        <v>2804.7241410000001</v>
      </c>
      <c r="N170" s="270"/>
      <c r="O170" s="1163">
        <v>0.93490804699999996</v>
      </c>
    </row>
    <row r="171" spans="1:15" ht="18.95" customHeight="1">
      <c r="A171" s="198"/>
      <c r="B171" s="842" t="s">
        <v>337</v>
      </c>
      <c r="C171" s="532" t="s">
        <v>338</v>
      </c>
      <c r="D171" s="332"/>
      <c r="E171" s="267">
        <v>50</v>
      </c>
      <c r="F171" s="268" t="s">
        <v>218</v>
      </c>
      <c r="G171" s="267">
        <v>1000</v>
      </c>
      <c r="H171" s="267">
        <f t="shared" si="24"/>
        <v>934.90804700000001</v>
      </c>
      <c r="I171" s="267">
        <f t="shared" si="25"/>
        <v>46745.402350000004</v>
      </c>
      <c r="J171" s="269">
        <v>300</v>
      </c>
      <c r="K171" s="269">
        <f>J171*O171</f>
        <v>280.47241409999998</v>
      </c>
      <c r="L171" s="269">
        <f>E171*K171</f>
        <v>14023.620704999999</v>
      </c>
      <c r="M171" s="270">
        <f>SUM(L171+I171)</f>
        <v>60769.023055000005</v>
      </c>
      <c r="N171" s="268"/>
      <c r="O171" s="1163">
        <v>0.93490804699999996</v>
      </c>
    </row>
    <row r="172" spans="1:15" ht="18.95" customHeight="1">
      <c r="A172" s="198"/>
      <c r="B172" s="843" t="s">
        <v>245</v>
      </c>
      <c r="C172" s="532" t="s">
        <v>905</v>
      </c>
      <c r="D172" s="332"/>
      <c r="E172" s="270" t="s">
        <v>906</v>
      </c>
      <c r="F172" s="268"/>
      <c r="G172" s="267"/>
      <c r="H172" s="267"/>
      <c r="I172" s="267"/>
      <c r="J172" s="269"/>
      <c r="K172" s="269"/>
      <c r="L172" s="269"/>
      <c r="M172" s="270"/>
      <c r="N172" s="268"/>
      <c r="O172" s="1163">
        <v>0.93490804699999996</v>
      </c>
    </row>
    <row r="173" spans="1:15" ht="18.95" customHeight="1">
      <c r="A173" s="198"/>
      <c r="B173" s="1301" t="s">
        <v>907</v>
      </c>
      <c r="C173" s="1302"/>
      <c r="D173" s="1303"/>
      <c r="E173" s="267"/>
      <c r="F173" s="268"/>
      <c r="G173" s="267"/>
      <c r="H173" s="267"/>
      <c r="I173" s="267"/>
      <c r="J173" s="269"/>
      <c r="K173" s="269"/>
      <c r="L173" s="269"/>
      <c r="M173" s="288">
        <f>SUM(M168:M171)</f>
        <v>93598.319125405003</v>
      </c>
      <c r="N173" s="268"/>
      <c r="O173" s="1163">
        <v>0.93490804699999996</v>
      </c>
    </row>
    <row r="174" spans="1:15" ht="18.95" customHeight="1">
      <c r="A174" s="198"/>
      <c r="B174" s="411"/>
      <c r="C174" s="1312"/>
      <c r="D174" s="1313"/>
      <c r="E174" s="267"/>
      <c r="F174" s="268"/>
      <c r="G174" s="267"/>
      <c r="H174" s="267"/>
      <c r="I174" s="267"/>
      <c r="J174" s="269"/>
      <c r="K174" s="269"/>
      <c r="L174" s="269"/>
      <c r="M174" s="270"/>
      <c r="N174" s="268"/>
      <c r="O174" s="1163">
        <v>0.93490804699999996</v>
      </c>
    </row>
    <row r="175" spans="1:15" ht="18.95" customHeight="1">
      <c r="A175" s="1175">
        <v>14</v>
      </c>
      <c r="B175" s="1176" t="s">
        <v>908</v>
      </c>
      <c r="C175" s="1177"/>
      <c r="D175" s="1178"/>
      <c r="E175" s="1185"/>
      <c r="F175" s="1181"/>
      <c r="G175" s="1185"/>
      <c r="H175" s="1185"/>
      <c r="I175" s="1185"/>
      <c r="J175" s="1181"/>
      <c r="K175" s="1181"/>
      <c r="L175" s="1181"/>
      <c r="M175" s="1185"/>
      <c r="N175" s="1181"/>
      <c r="O175" s="1163">
        <v>0.93490804699999996</v>
      </c>
    </row>
    <row r="176" spans="1:15" ht="18.95" customHeight="1">
      <c r="A176" s="198">
        <v>14.1</v>
      </c>
      <c r="B176" s="842" t="s">
        <v>206</v>
      </c>
      <c r="C176" s="1310"/>
      <c r="D176" s="1311"/>
      <c r="E176" s="267"/>
      <c r="F176" s="268"/>
      <c r="G176" s="267"/>
      <c r="H176" s="267"/>
      <c r="I176" s="267"/>
      <c r="J176" s="269"/>
      <c r="K176" s="269"/>
      <c r="L176" s="269"/>
      <c r="M176" s="270"/>
      <c r="N176" s="268"/>
      <c r="O176" s="1163">
        <v>0.93490804699999996</v>
      </c>
    </row>
    <row r="177" spans="1:15" ht="18.95" customHeight="1">
      <c r="A177" s="198"/>
      <c r="B177" s="842" t="s">
        <v>332</v>
      </c>
      <c r="C177" s="1314" t="s">
        <v>333</v>
      </c>
      <c r="D177" s="1315"/>
      <c r="E177" s="267"/>
      <c r="F177" s="268"/>
      <c r="G177" s="269"/>
      <c r="H177" s="269"/>
      <c r="I177" s="267"/>
      <c r="J177" s="270"/>
      <c r="K177" s="270"/>
      <c r="L177" s="269"/>
      <c r="M177" s="270"/>
      <c r="N177" s="268"/>
      <c r="O177" s="1163">
        <v>0.93490804699999996</v>
      </c>
    </row>
    <row r="178" spans="1:15" ht="18.95" customHeight="1">
      <c r="A178" s="198"/>
      <c r="B178" s="843" t="s">
        <v>245</v>
      </c>
      <c r="C178" s="814" t="s">
        <v>864</v>
      </c>
      <c r="D178" s="814"/>
      <c r="E178" s="270">
        <v>12</v>
      </c>
      <c r="F178" s="268" t="s">
        <v>218</v>
      </c>
      <c r="G178" s="269">
        <v>1350</v>
      </c>
      <c r="H178" s="267">
        <f t="shared" ref="H178:H181" si="28">G178*O178</f>
        <v>1262.12586345</v>
      </c>
      <c r="I178" s="267">
        <f t="shared" ref="I178:I181" si="29">E178*H178</f>
        <v>15145.5103614</v>
      </c>
      <c r="J178" s="270">
        <v>450</v>
      </c>
      <c r="K178" s="269">
        <f>J178*O178</f>
        <v>420.70862115</v>
      </c>
      <c r="L178" s="269">
        <f>E178*K178</f>
        <v>5048.5034538</v>
      </c>
      <c r="M178" s="270">
        <f>SUM(L178+I178)</f>
        <v>20194.0138152</v>
      </c>
      <c r="N178" s="268"/>
      <c r="O178" s="1163">
        <v>0.93490804699999996</v>
      </c>
    </row>
    <row r="179" spans="1:15" ht="18.95" customHeight="1">
      <c r="A179" s="198"/>
      <c r="B179" s="843" t="s">
        <v>245</v>
      </c>
      <c r="C179" s="814" t="s">
        <v>865</v>
      </c>
      <c r="D179" s="485"/>
      <c r="E179" s="267">
        <v>3</v>
      </c>
      <c r="F179" s="268" t="s">
        <v>218</v>
      </c>
      <c r="G179" s="267">
        <v>850</v>
      </c>
      <c r="H179" s="267">
        <f t="shared" si="28"/>
        <v>794.67183994999994</v>
      </c>
      <c r="I179" s="267">
        <f t="shared" si="29"/>
        <v>2384.0155198499997</v>
      </c>
      <c r="J179" s="269">
        <v>255</v>
      </c>
      <c r="K179" s="269">
        <f t="shared" ref="K179:K180" si="30">J179*O179</f>
        <v>238.401551985</v>
      </c>
      <c r="L179" s="269">
        <f t="shared" ref="L179:L180" si="31">E179*K179</f>
        <v>715.20465595500002</v>
      </c>
      <c r="M179" s="270">
        <f>SUM(L179+I179)</f>
        <v>3099.2201758049996</v>
      </c>
      <c r="N179" s="268"/>
      <c r="O179" s="1163">
        <v>0.93490804699999996</v>
      </c>
    </row>
    <row r="180" spans="1:15" ht="18.95" customHeight="1">
      <c r="A180" s="198"/>
      <c r="B180" s="843" t="s">
        <v>245</v>
      </c>
      <c r="C180" s="835" t="s">
        <v>866</v>
      </c>
      <c r="D180" s="849"/>
      <c r="E180" s="270">
        <v>4</v>
      </c>
      <c r="F180" s="268" t="s">
        <v>276</v>
      </c>
      <c r="G180" s="270">
        <v>500</v>
      </c>
      <c r="H180" s="267">
        <f t="shared" si="28"/>
        <v>467.45402350000001</v>
      </c>
      <c r="I180" s="267">
        <f t="shared" si="29"/>
        <v>1869.816094</v>
      </c>
      <c r="J180" s="270">
        <v>100</v>
      </c>
      <c r="K180" s="269">
        <f t="shared" si="30"/>
        <v>93.490804699999998</v>
      </c>
      <c r="L180" s="269">
        <f t="shared" si="31"/>
        <v>373.96321879999999</v>
      </c>
      <c r="M180" s="270">
        <f>SUM(L180+I180)</f>
        <v>2243.7793127999998</v>
      </c>
      <c r="N180" s="268"/>
      <c r="O180" s="1163">
        <v>0.93490804699999996</v>
      </c>
    </row>
    <row r="181" spans="1:15" ht="18.95" customHeight="1">
      <c r="A181" s="198"/>
      <c r="B181" s="842" t="s">
        <v>337</v>
      </c>
      <c r="C181" s="814" t="s">
        <v>338</v>
      </c>
      <c r="D181" s="332"/>
      <c r="E181" s="267">
        <v>23</v>
      </c>
      <c r="F181" s="268" t="s">
        <v>218</v>
      </c>
      <c r="G181" s="267">
        <v>1000</v>
      </c>
      <c r="H181" s="267">
        <f t="shared" si="28"/>
        <v>934.90804700000001</v>
      </c>
      <c r="I181" s="267">
        <f t="shared" si="29"/>
        <v>21502.885081</v>
      </c>
      <c r="J181" s="269">
        <v>300</v>
      </c>
      <c r="K181" s="269">
        <f>J181*O181</f>
        <v>280.47241409999998</v>
      </c>
      <c r="L181" s="269">
        <f>E181*K181</f>
        <v>6450.8655242999994</v>
      </c>
      <c r="M181" s="270">
        <f>SUM(L181+I181)</f>
        <v>27953.7506053</v>
      </c>
      <c r="N181" s="268"/>
      <c r="O181" s="1163">
        <v>0.93490804699999996</v>
      </c>
    </row>
    <row r="182" spans="1:15" ht="18.95" customHeight="1">
      <c r="A182" s="198"/>
      <c r="B182" s="843" t="s">
        <v>245</v>
      </c>
      <c r="C182" s="814" t="s">
        <v>905</v>
      </c>
      <c r="D182" s="332"/>
      <c r="E182" s="270" t="s">
        <v>906</v>
      </c>
      <c r="F182" s="268"/>
      <c r="G182" s="267"/>
      <c r="H182" s="267"/>
      <c r="I182" s="267"/>
      <c r="J182" s="269"/>
      <c r="K182" s="269"/>
      <c r="L182" s="269"/>
      <c r="M182" s="270"/>
      <c r="N182" s="268"/>
      <c r="O182" s="1163">
        <v>0.93490804699999996</v>
      </c>
    </row>
    <row r="183" spans="1:15" ht="18.95" customHeight="1">
      <c r="A183" s="198"/>
      <c r="B183" s="1301" t="s">
        <v>909</v>
      </c>
      <c r="C183" s="1302"/>
      <c r="D183" s="1303"/>
      <c r="E183" s="267"/>
      <c r="F183" s="268"/>
      <c r="G183" s="267"/>
      <c r="H183" s="267"/>
      <c r="I183" s="267"/>
      <c r="J183" s="267"/>
      <c r="K183" s="267"/>
      <c r="L183" s="269"/>
      <c r="M183" s="271">
        <f>SUM(M176:M182)</f>
        <v>53490.763909105</v>
      </c>
      <c r="N183" s="268"/>
      <c r="O183" s="1163">
        <v>0.93490804699999996</v>
      </c>
    </row>
    <row r="184" spans="1:15" ht="18.95" customHeight="1">
      <c r="A184" s="224"/>
      <c r="B184" s="122"/>
      <c r="C184" s="329"/>
      <c r="D184" s="328"/>
      <c r="E184" s="267"/>
      <c r="F184" s="268"/>
      <c r="G184" s="267"/>
      <c r="H184" s="267"/>
      <c r="I184" s="267"/>
      <c r="J184" s="267"/>
      <c r="K184" s="267"/>
      <c r="L184" s="269"/>
      <c r="M184" s="267"/>
      <c r="N184" s="268"/>
      <c r="O184" s="1163">
        <v>0.93490804699999996</v>
      </c>
    </row>
    <row r="185" spans="1:15" ht="18.95" customHeight="1">
      <c r="A185" s="1175">
        <v>15</v>
      </c>
      <c r="B185" s="1176" t="s">
        <v>910</v>
      </c>
      <c r="C185" s="1177"/>
      <c r="D185" s="1186"/>
      <c r="E185" s="1179"/>
      <c r="F185" s="1180"/>
      <c r="G185" s="1179"/>
      <c r="H185" s="1179"/>
      <c r="I185" s="1179"/>
      <c r="J185" s="1180"/>
      <c r="K185" s="1180"/>
      <c r="L185" s="1179"/>
      <c r="M185" s="1180"/>
      <c r="N185" s="1181"/>
      <c r="O185" s="1163">
        <v>0.93490804699999996</v>
      </c>
    </row>
    <row r="186" spans="1:15" ht="18.95" customHeight="1">
      <c r="A186" s="340">
        <v>15.1</v>
      </c>
      <c r="B186" s="411" t="s">
        <v>824</v>
      </c>
      <c r="C186" s="834"/>
      <c r="D186" s="854"/>
      <c r="E186" s="271"/>
      <c r="F186" s="281"/>
      <c r="G186" s="271"/>
      <c r="H186" s="271"/>
      <c r="I186" s="271"/>
      <c r="J186" s="339"/>
      <c r="K186" s="339"/>
      <c r="L186" s="271"/>
      <c r="M186" s="281"/>
      <c r="N186" s="268"/>
      <c r="O186" s="1163">
        <v>0.93490804699999996</v>
      </c>
    </row>
    <row r="187" spans="1:15" ht="18.95" customHeight="1">
      <c r="A187" s="229"/>
      <c r="B187" s="345" t="s">
        <v>880</v>
      </c>
      <c r="C187" s="835" t="s">
        <v>911</v>
      </c>
      <c r="D187" s="852" t="s">
        <v>912</v>
      </c>
      <c r="E187" s="267">
        <v>5.375</v>
      </c>
      <c r="F187" s="268" t="s">
        <v>276</v>
      </c>
      <c r="G187" s="269">
        <v>10000</v>
      </c>
      <c r="H187" s="267">
        <f t="shared" ref="H187:H188" si="32">G187*O187</f>
        <v>9349.080469999999</v>
      </c>
      <c r="I187" s="267">
        <f t="shared" ref="I187:I188" si="33">E187*H187</f>
        <v>50251.307526249991</v>
      </c>
      <c r="J187" s="269">
        <v>0</v>
      </c>
      <c r="K187" s="269"/>
      <c r="L187" s="269">
        <v>0</v>
      </c>
      <c r="M187" s="270">
        <f>SUM(I187)</f>
        <v>50251.307526249991</v>
      </c>
      <c r="N187" s="270"/>
      <c r="O187" s="1163">
        <v>0.93490804699999996</v>
      </c>
    </row>
    <row r="188" spans="1:15" ht="18.95" customHeight="1">
      <c r="A188" s="229"/>
      <c r="B188" s="345"/>
      <c r="C188" s="835" t="s">
        <v>913</v>
      </c>
      <c r="D188" s="852" t="s">
        <v>884</v>
      </c>
      <c r="E188" s="267">
        <v>5.375</v>
      </c>
      <c r="F188" s="268" t="s">
        <v>276</v>
      </c>
      <c r="G188" s="269">
        <v>7500</v>
      </c>
      <c r="H188" s="267">
        <f t="shared" si="32"/>
        <v>7011.8103524999997</v>
      </c>
      <c r="I188" s="267">
        <f t="shared" si="33"/>
        <v>37688.480644687501</v>
      </c>
      <c r="J188" s="269">
        <v>0</v>
      </c>
      <c r="K188" s="269"/>
      <c r="L188" s="269">
        <v>0</v>
      </c>
      <c r="M188" s="270">
        <f>SUM(I188)</f>
        <v>37688.480644687501</v>
      </c>
      <c r="N188" s="270"/>
      <c r="O188" s="1163">
        <v>0.93490804699999996</v>
      </c>
    </row>
    <row r="189" spans="1:15" ht="18.95" customHeight="1">
      <c r="A189" s="336"/>
      <c r="B189" s="1301" t="s">
        <v>885</v>
      </c>
      <c r="C189" s="1302"/>
      <c r="D189" s="1303"/>
      <c r="E189" s="267"/>
      <c r="F189" s="268"/>
      <c r="G189" s="267"/>
      <c r="H189" s="267"/>
      <c r="I189" s="267"/>
      <c r="J189" s="269"/>
      <c r="K189" s="269"/>
      <c r="L189" s="269"/>
      <c r="M189" s="288">
        <f>SUM(M187:M188)</f>
        <v>87939.788170937492</v>
      </c>
      <c r="N189" s="270"/>
      <c r="O189" s="1163">
        <v>0.93490804699999996</v>
      </c>
    </row>
    <row r="190" spans="1:15" ht="18.95" customHeight="1">
      <c r="A190" s="149"/>
      <c r="B190" s="411"/>
      <c r="C190" s="485"/>
      <c r="D190" s="485"/>
      <c r="E190" s="267"/>
      <c r="F190" s="268"/>
      <c r="G190" s="267"/>
      <c r="H190" s="267"/>
      <c r="I190" s="267"/>
      <c r="J190" s="269"/>
      <c r="K190" s="269"/>
      <c r="L190" s="269"/>
      <c r="M190" s="270"/>
      <c r="N190" s="270"/>
      <c r="O190" s="1163">
        <v>0.93490804699999996</v>
      </c>
    </row>
    <row r="191" spans="1:15" ht="18.95" customHeight="1">
      <c r="A191" s="1175">
        <v>16</v>
      </c>
      <c r="B191" s="1176" t="s">
        <v>914</v>
      </c>
      <c r="C191" s="1177"/>
      <c r="D191" s="1178"/>
      <c r="E191" s="1185"/>
      <c r="F191" s="1181"/>
      <c r="G191" s="1185"/>
      <c r="H191" s="1185"/>
      <c r="I191" s="1185"/>
      <c r="J191" s="1181"/>
      <c r="K191" s="1181"/>
      <c r="L191" s="1181"/>
      <c r="M191" s="1185"/>
      <c r="N191" s="1185"/>
      <c r="O191" s="1163">
        <v>0.93490804699999996</v>
      </c>
    </row>
    <row r="192" spans="1:15" ht="18.95" customHeight="1">
      <c r="A192" s="340">
        <v>16.100000000000001</v>
      </c>
      <c r="B192" s="411" t="s">
        <v>824</v>
      </c>
      <c r="C192" s="834"/>
      <c r="D192" s="849"/>
      <c r="E192" s="267"/>
      <c r="F192" s="268"/>
      <c r="G192" s="267"/>
      <c r="H192" s="267"/>
      <c r="I192" s="267"/>
      <c r="J192" s="269"/>
      <c r="K192" s="269"/>
      <c r="L192" s="269"/>
      <c r="M192" s="270"/>
      <c r="N192" s="270"/>
      <c r="O192" s="1163">
        <v>0.93490804699999996</v>
      </c>
    </row>
    <row r="193" spans="1:15" ht="18.95" customHeight="1">
      <c r="A193" s="346"/>
      <c r="B193" s="345" t="s">
        <v>915</v>
      </c>
      <c r="C193" s="835" t="s">
        <v>916</v>
      </c>
      <c r="D193" s="852" t="s">
        <v>917</v>
      </c>
      <c r="E193" s="267">
        <v>8.1999999999999993</v>
      </c>
      <c r="F193" s="268" t="s">
        <v>276</v>
      </c>
      <c r="G193" s="267">
        <v>20000</v>
      </c>
      <c r="H193" s="267">
        <f t="shared" ref="H193" si="34">G193*O193</f>
        <v>18698.160939999998</v>
      </c>
      <c r="I193" s="267">
        <f t="shared" ref="I193" si="35">E193*H193</f>
        <v>153324.91970799997</v>
      </c>
      <c r="J193" s="269">
        <v>0</v>
      </c>
      <c r="K193" s="269"/>
      <c r="L193" s="269">
        <v>0</v>
      </c>
      <c r="M193" s="270">
        <f>SUM(I193)</f>
        <v>153324.91970799997</v>
      </c>
      <c r="N193" s="270"/>
      <c r="O193" s="1163">
        <v>0.93490804699999996</v>
      </c>
    </row>
    <row r="194" spans="1:15" ht="18.95" customHeight="1">
      <c r="A194" s="346"/>
      <c r="B194" s="1301" t="s">
        <v>918</v>
      </c>
      <c r="C194" s="1302"/>
      <c r="D194" s="1303"/>
      <c r="E194" s="267"/>
      <c r="F194" s="268"/>
      <c r="G194" s="267"/>
      <c r="H194" s="267"/>
      <c r="I194" s="267"/>
      <c r="J194" s="269"/>
      <c r="K194" s="269"/>
      <c r="L194" s="269"/>
      <c r="M194" s="288">
        <f>SUM(M193)</f>
        <v>153324.91970799997</v>
      </c>
      <c r="N194" s="270"/>
      <c r="O194" s="1163">
        <v>0.93490804699999996</v>
      </c>
    </row>
    <row r="195" spans="1:15" ht="18.95" customHeight="1">
      <c r="A195" s="346"/>
      <c r="B195" s="411"/>
      <c r="C195" s="832"/>
      <c r="D195" s="837"/>
      <c r="E195" s="267"/>
      <c r="F195" s="268"/>
      <c r="G195" s="267"/>
      <c r="H195" s="267"/>
      <c r="I195" s="267"/>
      <c r="J195" s="269"/>
      <c r="K195" s="269"/>
      <c r="L195" s="269"/>
      <c r="M195" s="270"/>
      <c r="N195" s="268"/>
      <c r="O195" s="1163">
        <v>0.93490804699999996</v>
      </c>
    </row>
    <row r="196" spans="1:15" ht="18.95" customHeight="1">
      <c r="A196" s="1175">
        <v>17</v>
      </c>
      <c r="B196" s="1176" t="s">
        <v>919</v>
      </c>
      <c r="C196" s="1177"/>
      <c r="D196" s="1178"/>
      <c r="E196" s="1185"/>
      <c r="F196" s="1181"/>
      <c r="G196" s="1185"/>
      <c r="H196" s="1185"/>
      <c r="I196" s="1185"/>
      <c r="J196" s="1181"/>
      <c r="K196" s="1181"/>
      <c r="L196" s="1181"/>
      <c r="M196" s="1185"/>
      <c r="N196" s="1181"/>
      <c r="O196" s="1163">
        <v>0.93490804699999996</v>
      </c>
    </row>
    <row r="197" spans="1:15" ht="18.95" customHeight="1">
      <c r="A197" s="340">
        <v>17.100000000000001</v>
      </c>
      <c r="B197" s="411" t="s">
        <v>824</v>
      </c>
      <c r="C197" s="834"/>
      <c r="D197" s="849"/>
      <c r="E197" s="267"/>
      <c r="F197" s="268"/>
      <c r="G197" s="267"/>
      <c r="H197" s="267"/>
      <c r="I197" s="267"/>
      <c r="J197" s="269"/>
      <c r="K197" s="269"/>
      <c r="L197" s="269"/>
      <c r="M197" s="270"/>
      <c r="N197" s="268"/>
      <c r="O197" s="1163">
        <v>0.93490804699999996</v>
      </c>
    </row>
    <row r="198" spans="1:15" ht="18.95" customHeight="1">
      <c r="A198" s="346"/>
      <c r="B198" s="345" t="s">
        <v>920</v>
      </c>
      <c r="C198" s="835" t="s">
        <v>921</v>
      </c>
      <c r="D198" s="852" t="s">
        <v>922</v>
      </c>
      <c r="E198" s="270">
        <v>3.5</v>
      </c>
      <c r="F198" s="268" t="s">
        <v>276</v>
      </c>
      <c r="G198" s="270">
        <v>20000</v>
      </c>
      <c r="H198" s="267">
        <f>G198*O198</f>
        <v>18698.160939999998</v>
      </c>
      <c r="I198" s="267">
        <f t="shared" ref="I198:I199" si="36">E198*H198</f>
        <v>65443.563289999991</v>
      </c>
      <c r="J198" s="269">
        <v>0</v>
      </c>
      <c r="K198" s="269"/>
      <c r="L198" s="269">
        <v>0</v>
      </c>
      <c r="M198" s="270">
        <f>SUM(I198)</f>
        <v>65443.563289999991</v>
      </c>
      <c r="N198" s="268"/>
      <c r="O198" s="1163">
        <v>0.93490804699999996</v>
      </c>
    </row>
    <row r="199" spans="1:15" ht="18.95" customHeight="1">
      <c r="A199" s="346"/>
      <c r="B199" s="345"/>
      <c r="C199" s="835" t="s">
        <v>923</v>
      </c>
      <c r="D199" s="852" t="s">
        <v>924</v>
      </c>
      <c r="E199" s="270">
        <v>2.95</v>
      </c>
      <c r="F199" s="268" t="s">
        <v>276</v>
      </c>
      <c r="G199" s="270">
        <v>10000</v>
      </c>
      <c r="H199" s="267">
        <f>G199*O199</f>
        <v>9349.080469999999</v>
      </c>
      <c r="I199" s="267">
        <f t="shared" si="36"/>
        <v>27579.7873865</v>
      </c>
      <c r="J199" s="269">
        <v>0</v>
      </c>
      <c r="K199" s="269"/>
      <c r="L199" s="269">
        <v>0</v>
      </c>
      <c r="M199" s="270">
        <f>SUM(I199)</f>
        <v>27579.7873865</v>
      </c>
      <c r="N199" s="268"/>
      <c r="O199" s="1163">
        <v>0.93490804699999996</v>
      </c>
    </row>
    <row r="200" spans="1:15" ht="18.95" customHeight="1">
      <c r="A200" s="346"/>
      <c r="B200" s="1301" t="s">
        <v>925</v>
      </c>
      <c r="C200" s="1302"/>
      <c r="D200" s="1303"/>
      <c r="E200" s="267"/>
      <c r="F200" s="268"/>
      <c r="G200" s="267"/>
      <c r="H200" s="267"/>
      <c r="I200" s="267"/>
      <c r="J200" s="269"/>
      <c r="K200" s="269"/>
      <c r="L200" s="269"/>
      <c r="M200" s="288">
        <f>SUM(M198:M199)</f>
        <v>93023.350676499991</v>
      </c>
      <c r="N200" s="268"/>
      <c r="O200" s="1163">
        <v>0.93490804699999996</v>
      </c>
    </row>
    <row r="201" spans="1:15" ht="18.95" customHeight="1">
      <c r="A201" s="1175">
        <v>18</v>
      </c>
      <c r="B201" s="1176" t="s">
        <v>926</v>
      </c>
      <c r="C201" s="1177"/>
      <c r="D201" s="1178"/>
      <c r="E201" s="1185"/>
      <c r="F201" s="1181"/>
      <c r="G201" s="1185"/>
      <c r="H201" s="1185"/>
      <c r="I201" s="1185"/>
      <c r="J201" s="1181"/>
      <c r="K201" s="1181"/>
      <c r="L201" s="1181"/>
      <c r="M201" s="1185"/>
      <c r="N201" s="1181"/>
      <c r="O201" s="1163">
        <v>0.93490804699999996</v>
      </c>
    </row>
    <row r="202" spans="1:15" ht="18.95" customHeight="1">
      <c r="A202" s="340">
        <v>17.100000000000001</v>
      </c>
      <c r="B202" s="411" t="s">
        <v>824</v>
      </c>
      <c r="C202" s="834"/>
      <c r="D202" s="849"/>
      <c r="E202" s="267"/>
      <c r="F202" s="268"/>
      <c r="G202" s="267"/>
      <c r="H202" s="267"/>
      <c r="I202" s="267"/>
      <c r="J202" s="269"/>
      <c r="K202" s="269"/>
      <c r="L202" s="269"/>
      <c r="M202" s="270"/>
      <c r="N202" s="268"/>
      <c r="O202" s="1163">
        <v>0.93490804699999996</v>
      </c>
    </row>
    <row r="203" spans="1:15" ht="18.95" customHeight="1">
      <c r="A203" s="346"/>
      <c r="B203" s="355" t="s">
        <v>245</v>
      </c>
      <c r="C203" s="1310" t="s">
        <v>927</v>
      </c>
      <c r="D203" s="1311"/>
      <c r="E203" s="267">
        <v>1</v>
      </c>
      <c r="F203" s="356" t="s">
        <v>351</v>
      </c>
      <c r="G203" s="267">
        <v>8500</v>
      </c>
      <c r="H203" s="267">
        <f t="shared" ref="H203" si="37">G203*O203</f>
        <v>7946.7183994999996</v>
      </c>
      <c r="I203" s="267">
        <f t="shared" ref="I203" si="38">E203*H203</f>
        <v>7946.7183994999996</v>
      </c>
      <c r="J203" s="269">
        <v>0</v>
      </c>
      <c r="K203" s="269"/>
      <c r="L203" s="269">
        <v>0</v>
      </c>
      <c r="M203" s="270">
        <f>SUM(I203)</f>
        <v>7946.7183994999996</v>
      </c>
      <c r="N203" s="268"/>
      <c r="O203" s="1163">
        <v>0.93490804699999996</v>
      </c>
    </row>
    <row r="204" spans="1:15" ht="18.95" customHeight="1">
      <c r="A204" s="346"/>
      <c r="B204" s="1301" t="s">
        <v>928</v>
      </c>
      <c r="C204" s="1302"/>
      <c r="D204" s="1303"/>
      <c r="E204" s="267"/>
      <c r="F204" s="268"/>
      <c r="G204" s="267"/>
      <c r="H204" s="267"/>
      <c r="I204" s="267"/>
      <c r="J204" s="269"/>
      <c r="K204" s="269"/>
      <c r="L204" s="269"/>
      <c r="M204" s="288">
        <f>SUM(M202:M203)</f>
        <v>7946.7183994999996</v>
      </c>
      <c r="N204" s="268"/>
      <c r="O204" s="1163">
        <v>0.93490804699999996</v>
      </c>
    </row>
    <row r="205" spans="1:15" ht="18.95" customHeight="1">
      <c r="A205" s="148"/>
      <c r="B205" s="411"/>
      <c r="C205" s="838"/>
      <c r="D205" s="328"/>
      <c r="E205" s="267"/>
      <c r="F205" s="268"/>
      <c r="G205" s="267"/>
      <c r="H205" s="267"/>
      <c r="I205" s="267"/>
      <c r="J205" s="269"/>
      <c r="K205" s="269"/>
      <c r="L205" s="269"/>
      <c r="M205" s="270"/>
      <c r="N205" s="268"/>
      <c r="O205" s="1163">
        <v>0.93490804699999996</v>
      </c>
    </row>
    <row r="206" spans="1:15" ht="18.95" customHeight="1">
      <c r="A206" s="1175">
        <v>19</v>
      </c>
      <c r="B206" s="1176" t="s">
        <v>929</v>
      </c>
      <c r="C206" s="1177"/>
      <c r="D206" s="1178"/>
      <c r="E206" s="1185"/>
      <c r="F206" s="1181"/>
      <c r="G206" s="1185"/>
      <c r="H206" s="1185"/>
      <c r="I206" s="1185"/>
      <c r="J206" s="1181"/>
      <c r="K206" s="1181"/>
      <c r="L206" s="1181"/>
      <c r="M206" s="1185"/>
      <c r="N206" s="1181"/>
      <c r="O206" s="1163">
        <v>0.93490804699999996</v>
      </c>
    </row>
    <row r="207" spans="1:15" ht="18.95" customHeight="1">
      <c r="A207" s="340">
        <v>19.100000000000001</v>
      </c>
      <c r="B207" s="411" t="s">
        <v>824</v>
      </c>
      <c r="C207" s="834"/>
      <c r="D207" s="849"/>
      <c r="E207" s="267"/>
      <c r="F207" s="268"/>
      <c r="G207" s="267"/>
      <c r="H207" s="267"/>
      <c r="I207" s="267"/>
      <c r="J207" s="269"/>
      <c r="K207" s="269"/>
      <c r="L207" s="269"/>
      <c r="M207" s="270"/>
      <c r="N207" s="268"/>
      <c r="O207" s="1163">
        <v>0.93490804699999996</v>
      </c>
    </row>
    <row r="208" spans="1:15" ht="18.95" customHeight="1">
      <c r="A208" s="336"/>
      <c r="B208" s="345" t="s">
        <v>930</v>
      </c>
      <c r="C208" s="835" t="s">
        <v>931</v>
      </c>
      <c r="D208" s="852" t="s">
        <v>932</v>
      </c>
      <c r="E208" s="270">
        <v>5.55</v>
      </c>
      <c r="F208" s="268" t="s">
        <v>276</v>
      </c>
      <c r="G208" s="267">
        <v>18000</v>
      </c>
      <c r="H208" s="267">
        <f t="shared" ref="H208:H212" si="39">G208*O208</f>
        <v>16828.344846</v>
      </c>
      <c r="I208" s="267">
        <f t="shared" ref="I208:I212" si="40">E208*H208</f>
        <v>93397.313895300002</v>
      </c>
      <c r="J208" s="269">
        <v>0</v>
      </c>
      <c r="K208" s="269"/>
      <c r="L208" s="269">
        <v>0</v>
      </c>
      <c r="M208" s="270">
        <f>SUM(I208)</f>
        <v>93397.313895300002</v>
      </c>
      <c r="N208" s="270"/>
      <c r="O208" s="1163">
        <v>0.93490804699999996</v>
      </c>
    </row>
    <row r="209" spans="1:15" ht="18.95" customHeight="1">
      <c r="A209" s="336"/>
      <c r="B209" s="345"/>
      <c r="C209" s="835" t="s">
        <v>933</v>
      </c>
      <c r="D209" s="852" t="s">
        <v>934</v>
      </c>
      <c r="E209" s="270">
        <v>3.9249999999999998</v>
      </c>
      <c r="F209" s="268" t="s">
        <v>276</v>
      </c>
      <c r="G209" s="267">
        <v>13000</v>
      </c>
      <c r="H209" s="267">
        <f t="shared" si="39"/>
        <v>12153.804611</v>
      </c>
      <c r="I209" s="267">
        <f t="shared" si="40"/>
        <v>47703.683098174995</v>
      </c>
      <c r="J209" s="269">
        <v>0</v>
      </c>
      <c r="K209" s="269"/>
      <c r="L209" s="269">
        <v>0</v>
      </c>
      <c r="M209" s="270">
        <f>SUM(I209)</f>
        <v>47703.683098174995</v>
      </c>
      <c r="N209" s="268"/>
      <c r="O209" s="1163">
        <v>0.93490804699999996</v>
      </c>
    </row>
    <row r="210" spans="1:15" ht="18.95" customHeight="1">
      <c r="A210" s="340"/>
      <c r="B210" s="355" t="s">
        <v>245</v>
      </c>
      <c r="C210" s="835" t="s">
        <v>860</v>
      </c>
      <c r="D210" s="848"/>
      <c r="E210" s="267">
        <v>1</v>
      </c>
      <c r="F210" s="268" t="s">
        <v>402</v>
      </c>
      <c r="G210" s="269">
        <v>6000</v>
      </c>
      <c r="H210" s="267">
        <f t="shared" si="39"/>
        <v>5609.4482819999994</v>
      </c>
      <c r="I210" s="267">
        <f t="shared" si="40"/>
        <v>5609.4482819999994</v>
      </c>
      <c r="J210" s="269">
        <v>0</v>
      </c>
      <c r="K210" s="269"/>
      <c r="L210" s="269">
        <v>0</v>
      </c>
      <c r="M210" s="270">
        <f>SUM(I210)</f>
        <v>5609.4482819999994</v>
      </c>
      <c r="N210" s="268"/>
      <c r="O210" s="1163">
        <v>0.93490804699999996</v>
      </c>
    </row>
    <row r="211" spans="1:15" ht="18.95" customHeight="1">
      <c r="A211" s="340"/>
      <c r="B211" s="355" t="s">
        <v>245</v>
      </c>
      <c r="C211" s="532" t="s">
        <v>861</v>
      </c>
      <c r="D211" s="485"/>
      <c r="E211" s="270">
        <v>1</v>
      </c>
      <c r="F211" s="268" t="s">
        <v>402</v>
      </c>
      <c r="G211" s="269">
        <v>2000</v>
      </c>
      <c r="H211" s="267">
        <f t="shared" si="39"/>
        <v>1869.816094</v>
      </c>
      <c r="I211" s="267">
        <f t="shared" si="40"/>
        <v>1869.816094</v>
      </c>
      <c r="J211" s="269">
        <v>0</v>
      </c>
      <c r="K211" s="269"/>
      <c r="L211" s="269">
        <v>0</v>
      </c>
      <c r="M211" s="270">
        <f>SUM(I211)</f>
        <v>1869.816094</v>
      </c>
      <c r="N211" s="268"/>
      <c r="O211" s="1163">
        <v>0.93490804699999996</v>
      </c>
    </row>
    <row r="212" spans="1:15" ht="18.95" customHeight="1">
      <c r="A212" s="340"/>
      <c r="B212" s="345" t="s">
        <v>935</v>
      </c>
      <c r="C212" s="835" t="s">
        <v>936</v>
      </c>
      <c r="D212" s="852" t="s">
        <v>937</v>
      </c>
      <c r="E212" s="270">
        <v>2</v>
      </c>
      <c r="F212" s="268" t="s">
        <v>276</v>
      </c>
      <c r="G212" s="267">
        <v>18000</v>
      </c>
      <c r="H212" s="267">
        <f t="shared" si="39"/>
        <v>16828.344846</v>
      </c>
      <c r="I212" s="267">
        <f t="shared" si="40"/>
        <v>33656.689692</v>
      </c>
      <c r="J212" s="269">
        <v>0</v>
      </c>
      <c r="K212" s="269"/>
      <c r="L212" s="269">
        <v>0</v>
      </c>
      <c r="M212" s="270">
        <f>SUM(I212)</f>
        <v>33656.689692</v>
      </c>
      <c r="N212" s="268"/>
      <c r="O212" s="1163">
        <v>0.93490804699999996</v>
      </c>
    </row>
    <row r="213" spans="1:15" ht="18.95" customHeight="1">
      <c r="A213" s="340"/>
      <c r="B213" s="1301" t="s">
        <v>938</v>
      </c>
      <c r="C213" s="1302"/>
      <c r="D213" s="1303"/>
      <c r="E213" s="267"/>
      <c r="F213" s="268"/>
      <c r="G213" s="267"/>
      <c r="H213" s="267"/>
      <c r="I213" s="267"/>
      <c r="J213" s="267"/>
      <c r="K213" s="267"/>
      <c r="L213" s="269"/>
      <c r="M213" s="271">
        <f>SUM(M208:M212)</f>
        <v>182236.95106147503</v>
      </c>
      <c r="N213" s="268"/>
      <c r="O213" s="1163">
        <v>0.93490804699999996</v>
      </c>
    </row>
    <row r="214" spans="1:15" ht="18.95" customHeight="1">
      <c r="A214" s="340"/>
      <c r="B214" s="413"/>
      <c r="C214" s="585"/>
      <c r="D214" s="855"/>
      <c r="E214" s="267"/>
      <c r="F214" s="268"/>
      <c r="G214" s="267"/>
      <c r="H214" s="267"/>
      <c r="I214" s="267"/>
      <c r="J214" s="267"/>
      <c r="K214" s="267"/>
      <c r="L214" s="269"/>
      <c r="M214" s="271"/>
      <c r="N214" s="268"/>
      <c r="O214" s="1163">
        <v>0.93490804699999996</v>
      </c>
    </row>
    <row r="215" spans="1:15" ht="18.95" customHeight="1">
      <c r="A215" s="1175">
        <v>20</v>
      </c>
      <c r="B215" s="1176" t="s">
        <v>939</v>
      </c>
      <c r="C215" s="1177"/>
      <c r="D215" s="1186"/>
      <c r="E215" s="1179"/>
      <c r="F215" s="1180"/>
      <c r="G215" s="1179"/>
      <c r="H215" s="1179"/>
      <c r="I215" s="1179"/>
      <c r="J215" s="1180"/>
      <c r="K215" s="1180"/>
      <c r="L215" s="1179"/>
      <c r="M215" s="1180"/>
      <c r="N215" s="1181"/>
      <c r="O215" s="1163">
        <v>0.93490804699999996</v>
      </c>
    </row>
    <row r="216" spans="1:15" ht="18.95" customHeight="1">
      <c r="A216" s="340">
        <v>20.100000000000001</v>
      </c>
      <c r="B216" s="411" t="s">
        <v>824</v>
      </c>
      <c r="C216" s="834"/>
      <c r="D216" s="854"/>
      <c r="E216" s="271"/>
      <c r="F216" s="281"/>
      <c r="G216" s="271"/>
      <c r="H216" s="271"/>
      <c r="I216" s="271"/>
      <c r="J216" s="339"/>
      <c r="K216" s="339"/>
      <c r="L216" s="271"/>
      <c r="M216" s="281"/>
      <c r="N216" s="268"/>
      <c r="O216" s="1163">
        <v>0.93490804699999996</v>
      </c>
    </row>
    <row r="217" spans="1:15" ht="18.95" customHeight="1">
      <c r="A217" s="229"/>
      <c r="B217" s="345" t="s">
        <v>940</v>
      </c>
      <c r="C217" s="835" t="s">
        <v>941</v>
      </c>
      <c r="D217" s="852" t="s">
        <v>942</v>
      </c>
      <c r="E217" s="267">
        <v>4.5</v>
      </c>
      <c r="F217" s="268" t="s">
        <v>276</v>
      </c>
      <c r="G217" s="269">
        <v>14000</v>
      </c>
      <c r="H217" s="267">
        <f t="shared" ref="H217:H218" si="41">G217*O217</f>
        <v>13088.712658</v>
      </c>
      <c r="I217" s="267">
        <f t="shared" ref="I217:I218" si="42">E217*H217</f>
        <v>58899.206961000004</v>
      </c>
      <c r="J217" s="269">
        <v>0</v>
      </c>
      <c r="K217" s="269"/>
      <c r="L217" s="269">
        <v>0</v>
      </c>
      <c r="M217" s="270">
        <f>SUM(I217)</f>
        <v>58899.206961000004</v>
      </c>
      <c r="N217" s="268"/>
      <c r="O217" s="1163">
        <v>0.93490804699999996</v>
      </c>
    </row>
    <row r="218" spans="1:15" ht="18.95" customHeight="1">
      <c r="A218" s="229"/>
      <c r="B218" s="345"/>
      <c r="C218" s="835" t="s">
        <v>943</v>
      </c>
      <c r="D218" s="852" t="s">
        <v>942</v>
      </c>
      <c r="E218" s="267">
        <v>4.5</v>
      </c>
      <c r="F218" s="268" t="s">
        <v>276</v>
      </c>
      <c r="G218" s="269">
        <v>12000</v>
      </c>
      <c r="H218" s="267">
        <f t="shared" si="41"/>
        <v>11218.896563999999</v>
      </c>
      <c r="I218" s="267">
        <f t="shared" si="42"/>
        <v>50485.034537999993</v>
      </c>
      <c r="J218" s="269">
        <v>0</v>
      </c>
      <c r="K218" s="269"/>
      <c r="L218" s="269">
        <v>0</v>
      </c>
      <c r="M218" s="270">
        <f>SUM(I218)</f>
        <v>50485.034537999993</v>
      </c>
      <c r="N218" s="268"/>
      <c r="O218" s="1163">
        <v>0.93490804699999996</v>
      </c>
    </row>
    <row r="219" spans="1:15" ht="18.95" customHeight="1">
      <c r="A219" s="336"/>
      <c r="B219" s="1301" t="s">
        <v>885</v>
      </c>
      <c r="C219" s="1302"/>
      <c r="D219" s="1303"/>
      <c r="E219" s="267"/>
      <c r="F219" s="268"/>
      <c r="G219" s="267"/>
      <c r="H219" s="267"/>
      <c r="I219" s="267"/>
      <c r="J219" s="269"/>
      <c r="K219" s="269"/>
      <c r="L219" s="269"/>
      <c r="M219" s="288">
        <f>SUM(M217:M218)</f>
        <v>109384.241499</v>
      </c>
      <c r="N219" s="270"/>
      <c r="O219" s="1163">
        <v>0.93490804699999996</v>
      </c>
    </row>
    <row r="220" spans="1:15" ht="18.95" customHeight="1">
      <c r="A220" s="336"/>
      <c r="B220" s="413"/>
      <c r="C220" s="585"/>
      <c r="D220" s="855"/>
      <c r="E220" s="267"/>
      <c r="F220" s="268"/>
      <c r="G220" s="267"/>
      <c r="H220" s="267"/>
      <c r="I220" s="267"/>
      <c r="J220" s="269"/>
      <c r="K220" s="269"/>
      <c r="L220" s="269"/>
      <c r="M220" s="288"/>
      <c r="N220" s="270"/>
      <c r="O220" s="1163">
        <v>0.93490804699999996</v>
      </c>
    </row>
    <row r="221" spans="1:15" ht="18.95" customHeight="1">
      <c r="A221" s="1175">
        <v>21</v>
      </c>
      <c r="B221" s="1176" t="s">
        <v>944</v>
      </c>
      <c r="C221" s="1177"/>
      <c r="D221" s="1186"/>
      <c r="E221" s="1179"/>
      <c r="F221" s="1180"/>
      <c r="G221" s="1179"/>
      <c r="H221" s="1179"/>
      <c r="I221" s="1179"/>
      <c r="J221" s="1180"/>
      <c r="K221" s="1180"/>
      <c r="L221" s="1179"/>
      <c r="M221" s="1180"/>
      <c r="N221" s="1181"/>
      <c r="O221" s="1163">
        <v>0.93490804699999996</v>
      </c>
    </row>
    <row r="222" spans="1:15" ht="18.95" customHeight="1">
      <c r="A222" s="340">
        <v>21.1</v>
      </c>
      <c r="B222" s="411" t="s">
        <v>824</v>
      </c>
      <c r="C222" s="834"/>
      <c r="D222" s="854"/>
      <c r="E222" s="271"/>
      <c r="F222" s="281"/>
      <c r="G222" s="271"/>
      <c r="H222" s="271"/>
      <c r="I222" s="271"/>
      <c r="J222" s="339"/>
      <c r="K222" s="339"/>
      <c r="L222" s="271"/>
      <c r="M222" s="281"/>
      <c r="N222" s="268"/>
      <c r="O222" s="1163">
        <v>0.93490804699999996</v>
      </c>
    </row>
    <row r="223" spans="1:15" ht="18" customHeight="1">
      <c r="A223" s="229"/>
      <c r="B223" s="345" t="s">
        <v>945</v>
      </c>
      <c r="C223" s="835" t="s">
        <v>946</v>
      </c>
      <c r="D223" s="852" t="s">
        <v>947</v>
      </c>
      <c r="E223" s="270">
        <v>3.65</v>
      </c>
      <c r="F223" s="268" t="s">
        <v>276</v>
      </c>
      <c r="G223" s="267">
        <v>15000</v>
      </c>
      <c r="H223" s="267">
        <f t="shared" ref="H223:H225" si="43">G223*O223</f>
        <v>14023.620704999999</v>
      </c>
      <c r="I223" s="267">
        <f t="shared" ref="I223:I225" si="44">E223*H223</f>
        <v>51186.215573249996</v>
      </c>
      <c r="J223" s="269">
        <v>0</v>
      </c>
      <c r="K223" s="269"/>
      <c r="L223" s="269">
        <v>0</v>
      </c>
      <c r="M223" s="270">
        <f>SUM(I223)</f>
        <v>51186.215573249996</v>
      </c>
      <c r="N223" s="270"/>
      <c r="O223" s="1163">
        <v>0.93490804699999996</v>
      </c>
    </row>
    <row r="224" spans="1:15" ht="18.95" customHeight="1">
      <c r="A224" s="336"/>
      <c r="B224" s="345" t="s">
        <v>948</v>
      </c>
      <c r="C224" s="835" t="s">
        <v>946</v>
      </c>
      <c r="D224" s="852" t="s">
        <v>947</v>
      </c>
      <c r="E224" s="270">
        <v>3.65</v>
      </c>
      <c r="F224" s="268" t="s">
        <v>276</v>
      </c>
      <c r="G224" s="267">
        <v>12000</v>
      </c>
      <c r="H224" s="267">
        <f t="shared" si="43"/>
        <v>11218.896563999999</v>
      </c>
      <c r="I224" s="267">
        <f t="shared" si="44"/>
        <v>40948.972458599994</v>
      </c>
      <c r="J224" s="269">
        <v>0</v>
      </c>
      <c r="K224" s="269"/>
      <c r="L224" s="269">
        <v>0</v>
      </c>
      <c r="M224" s="270">
        <f>SUM(I224)</f>
        <v>40948.972458599994</v>
      </c>
      <c r="N224" s="270"/>
      <c r="O224" s="1163">
        <v>0.93490804699999996</v>
      </c>
    </row>
    <row r="225" spans="1:15" ht="18.95" customHeight="1">
      <c r="A225" s="149"/>
      <c r="B225" s="345" t="s">
        <v>949</v>
      </c>
      <c r="C225" s="835" t="s">
        <v>946</v>
      </c>
      <c r="D225" s="852" t="s">
        <v>950</v>
      </c>
      <c r="E225" s="270">
        <v>5</v>
      </c>
      <c r="F225" s="268" t="s">
        <v>276</v>
      </c>
      <c r="G225" s="267">
        <v>15000</v>
      </c>
      <c r="H225" s="267">
        <f t="shared" si="43"/>
        <v>14023.620704999999</v>
      </c>
      <c r="I225" s="267">
        <f t="shared" si="44"/>
        <v>70118.103524999999</v>
      </c>
      <c r="J225" s="269">
        <v>0</v>
      </c>
      <c r="K225" s="269"/>
      <c r="L225" s="269">
        <v>0</v>
      </c>
      <c r="M225" s="270">
        <f>SUM(I225)</f>
        <v>70118.103524999999</v>
      </c>
      <c r="N225" s="270"/>
      <c r="O225" s="1163">
        <v>0.93490804699999996</v>
      </c>
    </row>
    <row r="226" spans="1:15" ht="18.95" customHeight="1">
      <c r="A226" s="149"/>
      <c r="B226" s="1301" t="s">
        <v>951</v>
      </c>
      <c r="C226" s="1302"/>
      <c r="D226" s="1303"/>
      <c r="E226" s="267"/>
      <c r="F226" s="268"/>
      <c r="G226" s="267"/>
      <c r="H226" s="267"/>
      <c r="I226" s="267"/>
      <c r="J226" s="269"/>
      <c r="K226" s="269"/>
      <c r="L226" s="269"/>
      <c r="M226" s="288">
        <f>SUM(M223:M225)</f>
        <v>162253.29155684999</v>
      </c>
      <c r="N226" s="270"/>
      <c r="O226" s="1163">
        <v>0.93490804699999996</v>
      </c>
    </row>
    <row r="227" spans="1:15" ht="18.95" customHeight="1">
      <c r="A227" s="149"/>
      <c r="B227" s="411"/>
      <c r="C227" s="485"/>
      <c r="D227" s="485"/>
      <c r="E227" s="267"/>
      <c r="F227" s="268"/>
      <c r="G227" s="267"/>
      <c r="H227" s="267"/>
      <c r="I227" s="267"/>
      <c r="J227" s="269"/>
      <c r="K227" s="269"/>
      <c r="L227" s="269"/>
      <c r="M227" s="270"/>
      <c r="N227" s="270"/>
      <c r="O227" s="1163">
        <v>0.93490804699999996</v>
      </c>
    </row>
    <row r="228" spans="1:15" ht="18.95" customHeight="1">
      <c r="A228" s="1175">
        <v>22</v>
      </c>
      <c r="B228" s="1176" t="s">
        <v>952</v>
      </c>
      <c r="C228" s="1177"/>
      <c r="D228" s="1178"/>
      <c r="E228" s="1185"/>
      <c r="F228" s="1181"/>
      <c r="G228" s="1185"/>
      <c r="H228" s="1185"/>
      <c r="I228" s="1185"/>
      <c r="J228" s="1181"/>
      <c r="K228" s="1181"/>
      <c r="L228" s="1181"/>
      <c r="M228" s="1185"/>
      <c r="N228" s="1185"/>
      <c r="O228" s="1163">
        <v>0.93490804699999996</v>
      </c>
    </row>
    <row r="229" spans="1:15" ht="18.95" customHeight="1">
      <c r="A229" s="340">
        <v>22.1</v>
      </c>
      <c r="B229" s="411" t="s">
        <v>824</v>
      </c>
      <c r="C229" s="834"/>
      <c r="D229" s="849"/>
      <c r="E229" s="267"/>
      <c r="F229" s="268"/>
      <c r="G229" s="267"/>
      <c r="H229" s="267"/>
      <c r="I229" s="267"/>
      <c r="J229" s="269"/>
      <c r="K229" s="269"/>
      <c r="L229" s="269"/>
      <c r="M229" s="270"/>
      <c r="N229" s="270"/>
      <c r="O229" s="1163">
        <v>0.93490804699999996</v>
      </c>
    </row>
    <row r="230" spans="1:15" ht="18.95" customHeight="1">
      <c r="A230" s="346"/>
      <c r="B230" s="345" t="s">
        <v>953</v>
      </c>
      <c r="C230" s="835" t="s">
        <v>954</v>
      </c>
      <c r="D230" s="852" t="s">
        <v>955</v>
      </c>
      <c r="E230" s="270">
        <v>2.4500000000000002</v>
      </c>
      <c r="F230" s="268" t="s">
        <v>276</v>
      </c>
      <c r="G230" s="270">
        <v>20000</v>
      </c>
      <c r="H230" s="267">
        <f t="shared" ref="H230:H231" si="45">G230*O230</f>
        <v>18698.160939999998</v>
      </c>
      <c r="I230" s="267">
        <f t="shared" ref="I230:I231" si="46">E230*H230</f>
        <v>45810.494302999999</v>
      </c>
      <c r="J230" s="269">
        <v>0</v>
      </c>
      <c r="K230" s="269"/>
      <c r="L230" s="269">
        <v>0</v>
      </c>
      <c r="M230" s="270">
        <f>SUM(I230)</f>
        <v>45810.494302999999</v>
      </c>
      <c r="N230" s="268"/>
      <c r="O230" s="1163">
        <v>0.93490804699999996</v>
      </c>
    </row>
    <row r="231" spans="1:15" ht="18.95" customHeight="1">
      <c r="A231" s="346"/>
      <c r="B231" s="345"/>
      <c r="C231" s="835" t="s">
        <v>956</v>
      </c>
      <c r="D231" s="852" t="s">
        <v>957</v>
      </c>
      <c r="E231" s="270">
        <v>1.0249999999999999</v>
      </c>
      <c r="F231" s="268" t="s">
        <v>276</v>
      </c>
      <c r="G231" s="270">
        <v>10000</v>
      </c>
      <c r="H231" s="267">
        <f t="shared" si="45"/>
        <v>9349.080469999999</v>
      </c>
      <c r="I231" s="267">
        <f t="shared" si="46"/>
        <v>9582.8074817499983</v>
      </c>
      <c r="J231" s="269">
        <v>0</v>
      </c>
      <c r="K231" s="269"/>
      <c r="L231" s="269">
        <v>0</v>
      </c>
      <c r="M231" s="270">
        <f>SUM(I231)</f>
        <v>9582.8074817499983</v>
      </c>
      <c r="N231" s="268"/>
      <c r="O231" s="1163">
        <v>0.93490804699999996</v>
      </c>
    </row>
    <row r="232" spans="1:15" ht="18.95" customHeight="1">
      <c r="A232" s="346"/>
      <c r="B232" s="1301" t="s">
        <v>958</v>
      </c>
      <c r="C232" s="1302"/>
      <c r="D232" s="1303"/>
      <c r="E232" s="267"/>
      <c r="F232" s="268"/>
      <c r="G232" s="267"/>
      <c r="H232" s="267"/>
      <c r="I232" s="267"/>
      <c r="J232" s="269"/>
      <c r="K232" s="269"/>
      <c r="L232" s="269"/>
      <c r="M232" s="288">
        <f>SUM(M230:M231)</f>
        <v>55393.301784750001</v>
      </c>
      <c r="N232" s="268"/>
      <c r="O232" s="1163">
        <v>0.93490804699999996</v>
      </c>
    </row>
    <row r="233" spans="1:15" ht="18.95" customHeight="1">
      <c r="A233" s="1175">
        <v>23</v>
      </c>
      <c r="B233" s="1176" t="s">
        <v>959</v>
      </c>
      <c r="C233" s="1177"/>
      <c r="D233" s="1178"/>
      <c r="E233" s="1185"/>
      <c r="F233" s="1181"/>
      <c r="G233" s="1185"/>
      <c r="H233" s="1185"/>
      <c r="I233" s="1185"/>
      <c r="J233" s="1181"/>
      <c r="K233" s="1181"/>
      <c r="L233" s="1181"/>
      <c r="M233" s="1185"/>
      <c r="N233" s="1181"/>
      <c r="O233" s="1163">
        <v>0.93490804699999996</v>
      </c>
    </row>
    <row r="234" spans="1:15" ht="18.95" customHeight="1">
      <c r="A234" s="198">
        <v>23.1</v>
      </c>
      <c r="B234" s="842" t="s">
        <v>206</v>
      </c>
      <c r="C234" s="1310"/>
      <c r="D234" s="1311"/>
      <c r="E234" s="267"/>
      <c r="F234" s="268"/>
      <c r="G234" s="267"/>
      <c r="H234" s="267"/>
      <c r="I234" s="267"/>
      <c r="J234" s="269"/>
      <c r="K234" s="269"/>
      <c r="L234" s="269"/>
      <c r="M234" s="270"/>
      <c r="N234" s="268"/>
      <c r="O234" s="1163">
        <v>0.93490804699999996</v>
      </c>
    </row>
    <row r="235" spans="1:15" ht="18.95" customHeight="1">
      <c r="A235" s="198"/>
      <c r="B235" s="411" t="s">
        <v>308</v>
      </c>
      <c r="C235" s="832" t="s">
        <v>960</v>
      </c>
      <c r="D235" s="485"/>
      <c r="E235" s="267" t="s">
        <v>816</v>
      </c>
      <c r="F235" s="268"/>
      <c r="G235" s="267"/>
      <c r="H235" s="267"/>
      <c r="I235" s="267"/>
      <c r="J235" s="269"/>
      <c r="K235" s="269"/>
      <c r="L235" s="269"/>
      <c r="M235" s="270"/>
      <c r="N235" s="268"/>
      <c r="O235" s="1163">
        <v>0.93490804699999996</v>
      </c>
    </row>
    <row r="236" spans="1:15" ht="18.95" customHeight="1">
      <c r="A236" s="198"/>
      <c r="B236" s="842" t="s">
        <v>337</v>
      </c>
      <c r="C236" s="832" t="s">
        <v>867</v>
      </c>
      <c r="D236" s="485"/>
      <c r="E236" s="267">
        <v>30</v>
      </c>
      <c r="F236" s="268" t="s">
        <v>218</v>
      </c>
      <c r="G236" s="267">
        <v>1000</v>
      </c>
      <c r="H236" s="267">
        <f t="shared" ref="H236:H240" si="47">G236*O236</f>
        <v>934.90804700000001</v>
      </c>
      <c r="I236" s="267">
        <f t="shared" ref="I236" si="48">E236*H236</f>
        <v>28047.241409999999</v>
      </c>
      <c r="J236" s="269">
        <v>300</v>
      </c>
      <c r="K236" s="269">
        <f>J236*O236</f>
        <v>280.47241409999998</v>
      </c>
      <c r="L236" s="269">
        <f>E236*K236</f>
        <v>8414.172423</v>
      </c>
      <c r="M236" s="270">
        <f>SUM(L236+I236)</f>
        <v>36461.413832999999</v>
      </c>
      <c r="N236" s="268"/>
      <c r="O236" s="1163">
        <v>0.93490804699999996</v>
      </c>
    </row>
    <row r="237" spans="1:15" ht="18.95" customHeight="1">
      <c r="A237" s="198"/>
      <c r="B237" s="411" t="s">
        <v>824</v>
      </c>
      <c r="C237" s="832"/>
      <c r="D237" s="485"/>
      <c r="E237" s="267"/>
      <c r="F237" s="268"/>
      <c r="G237" s="267"/>
      <c r="H237" s="267"/>
      <c r="I237" s="267"/>
      <c r="J237" s="269"/>
      <c r="K237" s="269">
        <f t="shared" ref="K237:K238" si="49">J237*O237</f>
        <v>0</v>
      </c>
      <c r="L237" s="269">
        <f t="shared" ref="L237:L238" si="50">E237*K237</f>
        <v>0</v>
      </c>
      <c r="M237" s="270"/>
      <c r="N237" s="268"/>
      <c r="O237" s="1163">
        <v>0.93490804699999996</v>
      </c>
    </row>
    <row r="238" spans="1:15" ht="18.95" customHeight="1">
      <c r="A238" s="198"/>
      <c r="B238" s="345" t="s">
        <v>961</v>
      </c>
      <c r="C238" s="835" t="s">
        <v>962</v>
      </c>
      <c r="D238" s="852" t="s">
        <v>963</v>
      </c>
      <c r="E238" s="270">
        <v>24.5</v>
      </c>
      <c r="F238" s="268" t="s">
        <v>276</v>
      </c>
      <c r="G238" s="270">
        <v>18800</v>
      </c>
      <c r="H238" s="267">
        <f t="shared" si="47"/>
        <v>17576.271283599999</v>
      </c>
      <c r="I238" s="267">
        <f t="shared" ref="I238:I240" si="51">E238*H238</f>
        <v>430618.64644819999</v>
      </c>
      <c r="J238" s="269">
        <v>0</v>
      </c>
      <c r="K238" s="269">
        <f t="shared" si="49"/>
        <v>0</v>
      </c>
      <c r="L238" s="269">
        <f t="shared" si="50"/>
        <v>0</v>
      </c>
      <c r="M238" s="270">
        <f>SUM(I238)</f>
        <v>430618.64644819999</v>
      </c>
      <c r="N238" s="268"/>
      <c r="O238" s="1163">
        <v>0.93490804699999996</v>
      </c>
    </row>
    <row r="239" spans="1:15" ht="18.95" customHeight="1">
      <c r="A239" s="198"/>
      <c r="B239" s="345" t="s">
        <v>964</v>
      </c>
      <c r="C239" s="835" t="s">
        <v>962</v>
      </c>
      <c r="D239" s="852" t="s">
        <v>965</v>
      </c>
      <c r="E239" s="270">
        <v>14.8</v>
      </c>
      <c r="F239" s="268" t="s">
        <v>276</v>
      </c>
      <c r="G239" s="270">
        <v>12000</v>
      </c>
      <c r="H239" s="267">
        <f t="shared" si="47"/>
        <v>11218.896563999999</v>
      </c>
      <c r="I239" s="267">
        <f t="shared" si="51"/>
        <v>166039.66914719998</v>
      </c>
      <c r="J239" s="269">
        <v>0</v>
      </c>
      <c r="K239" s="269"/>
      <c r="L239" s="269">
        <v>0</v>
      </c>
      <c r="M239" s="270">
        <f>SUM(I239)</f>
        <v>166039.66914719998</v>
      </c>
      <c r="N239" s="268"/>
      <c r="O239" s="1163">
        <v>0.93490804699999996</v>
      </c>
    </row>
    <row r="240" spans="1:15" ht="18.95" customHeight="1">
      <c r="A240" s="198"/>
      <c r="B240" s="843" t="s">
        <v>245</v>
      </c>
      <c r="C240" s="832" t="s">
        <v>966</v>
      </c>
      <c r="D240" s="849"/>
      <c r="E240" s="267">
        <v>7.75</v>
      </c>
      <c r="F240" s="268" t="s">
        <v>276</v>
      </c>
      <c r="G240" s="267">
        <v>8000</v>
      </c>
      <c r="H240" s="267">
        <f t="shared" si="47"/>
        <v>7479.2643760000001</v>
      </c>
      <c r="I240" s="267">
        <f t="shared" si="51"/>
        <v>57964.298913999999</v>
      </c>
      <c r="J240" s="269">
        <v>0</v>
      </c>
      <c r="K240" s="269"/>
      <c r="L240" s="269">
        <v>0</v>
      </c>
      <c r="M240" s="270">
        <f>SUM(I240)</f>
        <v>57964.298913999999</v>
      </c>
      <c r="N240" s="268"/>
      <c r="O240" s="1163">
        <v>0.93490804699999996</v>
      </c>
    </row>
    <row r="241" spans="1:15" ht="18.95" customHeight="1">
      <c r="A241" s="149"/>
      <c r="B241" s="1301" t="s">
        <v>967</v>
      </c>
      <c r="C241" s="1302"/>
      <c r="D241" s="1303"/>
      <c r="E241" s="267"/>
      <c r="F241" s="268"/>
      <c r="G241" s="267"/>
      <c r="H241" s="267"/>
      <c r="I241" s="267"/>
      <c r="J241" s="269"/>
      <c r="K241" s="269"/>
      <c r="L241" s="269"/>
      <c r="M241" s="288">
        <f>SUM(M236:M240)</f>
        <v>691084.02834239998</v>
      </c>
      <c r="N241" s="268"/>
      <c r="O241" s="1163">
        <v>0.93490804699999996</v>
      </c>
    </row>
    <row r="242" spans="1:15" ht="18.95" customHeight="1">
      <c r="A242" s="148"/>
      <c r="B242" s="411"/>
      <c r="C242" s="485"/>
      <c r="D242" s="485"/>
      <c r="E242" s="267"/>
      <c r="F242" s="268"/>
      <c r="G242" s="267"/>
      <c r="H242" s="267"/>
      <c r="I242" s="267"/>
      <c r="J242" s="269"/>
      <c r="K242" s="269"/>
      <c r="L242" s="269"/>
      <c r="M242" s="270"/>
      <c r="N242" s="268"/>
      <c r="O242" s="1163">
        <v>0.93490804699999996</v>
      </c>
    </row>
    <row r="243" spans="1:15" ht="18.95" customHeight="1">
      <c r="A243" s="1187">
        <v>24</v>
      </c>
      <c r="B243" s="1176" t="s">
        <v>968</v>
      </c>
      <c r="C243" s="1184"/>
      <c r="D243" s="1184"/>
      <c r="E243" s="1185"/>
      <c r="F243" s="1181"/>
      <c r="G243" s="1185"/>
      <c r="H243" s="1185"/>
      <c r="I243" s="1185"/>
      <c r="J243" s="1181"/>
      <c r="K243" s="1181"/>
      <c r="L243" s="1181"/>
      <c r="M243" s="1185"/>
      <c r="N243" s="1181"/>
      <c r="O243" s="1163">
        <v>0.93490804699999996</v>
      </c>
    </row>
    <row r="244" spans="1:15" ht="18.95" customHeight="1">
      <c r="A244" s="149">
        <v>24.1</v>
      </c>
      <c r="B244" s="411" t="s">
        <v>824</v>
      </c>
      <c r="C244" s="834"/>
      <c r="D244" s="849"/>
      <c r="E244" s="267"/>
      <c r="F244" s="268"/>
      <c r="G244" s="267"/>
      <c r="H244" s="267"/>
      <c r="I244" s="267"/>
      <c r="J244" s="269"/>
      <c r="K244" s="269"/>
      <c r="L244" s="269"/>
      <c r="M244" s="270"/>
      <c r="N244" s="268"/>
      <c r="O244" s="1163">
        <v>0.93490804699999996</v>
      </c>
    </row>
    <row r="245" spans="1:15" ht="18.95" customHeight="1">
      <c r="A245" s="148"/>
      <c r="B245" s="345" t="s">
        <v>969</v>
      </c>
      <c r="C245" s="835" t="s">
        <v>970</v>
      </c>
      <c r="D245" s="485" t="s">
        <v>971</v>
      </c>
      <c r="E245" s="267">
        <v>3.6</v>
      </c>
      <c r="F245" s="268" t="s">
        <v>276</v>
      </c>
      <c r="G245" s="267">
        <v>35000</v>
      </c>
      <c r="H245" s="267">
        <f t="shared" ref="H245:H247" si="52">G245*O245</f>
        <v>32721.781644999999</v>
      </c>
      <c r="I245" s="267">
        <f t="shared" ref="I245:I247" si="53">E245*H245</f>
        <v>117798.41392199999</v>
      </c>
      <c r="J245" s="269">
        <v>0</v>
      </c>
      <c r="K245" s="269"/>
      <c r="L245" s="269">
        <v>0</v>
      </c>
      <c r="M245" s="270">
        <f>SUM(I245)</f>
        <v>117798.41392199999</v>
      </c>
      <c r="N245" s="268"/>
      <c r="O245" s="1163">
        <v>0.93490804699999996</v>
      </c>
    </row>
    <row r="246" spans="1:15" ht="18.95" customHeight="1">
      <c r="A246" s="149"/>
      <c r="B246" s="345" t="s">
        <v>972</v>
      </c>
      <c r="C246" s="835" t="s">
        <v>973</v>
      </c>
      <c r="D246" s="485" t="s">
        <v>974</v>
      </c>
      <c r="E246" s="267">
        <v>4.2549999999999999</v>
      </c>
      <c r="F246" s="268" t="s">
        <v>276</v>
      </c>
      <c r="G246" s="267">
        <v>35000</v>
      </c>
      <c r="H246" s="267">
        <f t="shared" si="52"/>
        <v>32721.781644999999</v>
      </c>
      <c r="I246" s="267">
        <f t="shared" si="53"/>
        <v>139231.180899475</v>
      </c>
      <c r="J246" s="269">
        <v>0</v>
      </c>
      <c r="K246" s="269"/>
      <c r="L246" s="269">
        <v>0</v>
      </c>
      <c r="M246" s="270">
        <f>SUM(I246)</f>
        <v>139231.180899475</v>
      </c>
      <c r="N246" s="268"/>
      <c r="O246" s="1163">
        <v>0.93490804699999996</v>
      </c>
    </row>
    <row r="247" spans="1:15" ht="18.95" customHeight="1">
      <c r="A247" s="149"/>
      <c r="B247" s="345" t="s">
        <v>975</v>
      </c>
      <c r="C247" s="835" t="s">
        <v>976</v>
      </c>
      <c r="D247" s="485" t="s">
        <v>974</v>
      </c>
      <c r="E247" s="267">
        <v>11.2</v>
      </c>
      <c r="F247" s="268" t="s">
        <v>276</v>
      </c>
      <c r="G247" s="270">
        <v>15000</v>
      </c>
      <c r="H247" s="267">
        <f t="shared" si="52"/>
        <v>14023.620704999999</v>
      </c>
      <c r="I247" s="267">
        <f t="shared" si="53"/>
        <v>157064.55189599999</v>
      </c>
      <c r="J247" s="269">
        <v>0</v>
      </c>
      <c r="K247" s="269"/>
      <c r="L247" s="269">
        <v>0</v>
      </c>
      <c r="M247" s="270">
        <f>SUM(I247)</f>
        <v>157064.55189599999</v>
      </c>
      <c r="N247" s="268"/>
      <c r="O247" s="1163">
        <v>0.93490804699999996</v>
      </c>
    </row>
    <row r="248" spans="1:15" ht="18.95" customHeight="1">
      <c r="A248" s="148"/>
      <c r="B248" s="1301" t="s">
        <v>977</v>
      </c>
      <c r="C248" s="1302"/>
      <c r="D248" s="1303"/>
      <c r="E248" s="267"/>
      <c r="F248" s="268"/>
      <c r="G248" s="267"/>
      <c r="H248" s="267"/>
      <c r="I248" s="267"/>
      <c r="J248" s="269"/>
      <c r="K248" s="269"/>
      <c r="L248" s="269"/>
      <c r="M248" s="288">
        <f>SUM(M244:M247)</f>
        <v>414094.14671747497</v>
      </c>
      <c r="N248" s="268"/>
      <c r="O248" s="1163">
        <v>0.93490804699999996</v>
      </c>
    </row>
    <row r="249" spans="1:15" ht="18.95" customHeight="1">
      <c r="A249" s="224"/>
      <c r="B249" s="122"/>
      <c r="C249" s="329"/>
      <c r="D249" s="328"/>
      <c r="E249" s="267"/>
      <c r="F249" s="268"/>
      <c r="G249" s="267"/>
      <c r="H249" s="267"/>
      <c r="I249" s="267"/>
      <c r="J249" s="267"/>
      <c r="K249" s="267"/>
      <c r="L249" s="269"/>
      <c r="M249" s="267"/>
      <c r="N249" s="268"/>
      <c r="O249" s="1163">
        <v>0.93490804699999996</v>
      </c>
    </row>
    <row r="250" spans="1:15" ht="18.95" customHeight="1">
      <c r="A250" s="1175">
        <v>25</v>
      </c>
      <c r="B250" s="1176" t="s">
        <v>978</v>
      </c>
      <c r="C250" s="1177"/>
      <c r="D250" s="1186"/>
      <c r="E250" s="1185"/>
      <c r="F250" s="1181"/>
      <c r="G250" s="1185"/>
      <c r="H250" s="1185"/>
      <c r="I250" s="1185"/>
      <c r="J250" s="1181"/>
      <c r="K250" s="1181"/>
      <c r="L250" s="1179"/>
      <c r="M250" s="1181"/>
      <c r="N250" s="1181"/>
      <c r="O250" s="1163">
        <v>0.93490804699999996</v>
      </c>
    </row>
    <row r="251" spans="1:15" ht="18.95" customHeight="1">
      <c r="A251" s="340">
        <v>25.1</v>
      </c>
      <c r="B251" s="411" t="s">
        <v>824</v>
      </c>
      <c r="C251" s="834"/>
      <c r="D251" s="854"/>
      <c r="E251" s="267"/>
      <c r="F251" s="268"/>
      <c r="G251" s="267"/>
      <c r="H251" s="267"/>
      <c r="I251" s="267"/>
      <c r="J251" s="269"/>
      <c r="K251" s="269"/>
      <c r="L251" s="269"/>
      <c r="M251" s="270"/>
      <c r="N251" s="268"/>
      <c r="O251" s="1163">
        <v>0.93490804699999996</v>
      </c>
    </row>
    <row r="252" spans="1:15" ht="18.95" customHeight="1">
      <c r="A252" s="346"/>
      <c r="B252" s="345" t="s">
        <v>979</v>
      </c>
      <c r="C252" s="835" t="s">
        <v>980</v>
      </c>
      <c r="D252" s="852" t="s">
        <v>981</v>
      </c>
      <c r="E252" s="270">
        <v>1.55</v>
      </c>
      <c r="F252" s="268" t="s">
        <v>276</v>
      </c>
      <c r="G252" s="270">
        <v>17000</v>
      </c>
      <c r="H252" s="267">
        <f t="shared" ref="H252:H253" si="54">G252*O252</f>
        <v>15893.436798999999</v>
      </c>
      <c r="I252" s="267">
        <f t="shared" ref="I252:I253" si="55">E252*H252</f>
        <v>24634.827038449999</v>
      </c>
      <c r="J252" s="269">
        <v>0</v>
      </c>
      <c r="K252" s="269"/>
      <c r="L252" s="269">
        <v>0</v>
      </c>
      <c r="M252" s="270">
        <f>SUM(I252)</f>
        <v>24634.827038449999</v>
      </c>
      <c r="N252" s="270"/>
      <c r="O252" s="1163">
        <v>0.93490804699999996</v>
      </c>
    </row>
    <row r="253" spans="1:15" ht="18.95" customHeight="1">
      <c r="A253" s="346"/>
      <c r="B253" s="345"/>
      <c r="C253" s="835" t="s">
        <v>982</v>
      </c>
      <c r="D253" s="852" t="s">
        <v>983</v>
      </c>
      <c r="E253" s="270">
        <v>1.55</v>
      </c>
      <c r="F253" s="268" t="s">
        <v>276</v>
      </c>
      <c r="G253" s="270">
        <v>10000</v>
      </c>
      <c r="H253" s="267">
        <f t="shared" si="54"/>
        <v>9349.080469999999</v>
      </c>
      <c r="I253" s="267">
        <f t="shared" si="55"/>
        <v>14491.074728499998</v>
      </c>
      <c r="J253" s="269">
        <v>0</v>
      </c>
      <c r="K253" s="269"/>
      <c r="L253" s="269">
        <v>0</v>
      </c>
      <c r="M253" s="270">
        <f>SUM(I253)</f>
        <v>14491.074728499998</v>
      </c>
      <c r="N253" s="270"/>
      <c r="O253" s="1163">
        <v>0.93490804699999996</v>
      </c>
    </row>
    <row r="254" spans="1:15" ht="18.95" customHeight="1">
      <c r="A254" s="346"/>
      <c r="B254" s="1301" t="s">
        <v>984</v>
      </c>
      <c r="C254" s="1302"/>
      <c r="D254" s="1303"/>
      <c r="E254" s="267"/>
      <c r="F254" s="268"/>
      <c r="G254" s="267"/>
      <c r="H254" s="267"/>
      <c r="I254" s="267"/>
      <c r="J254" s="269"/>
      <c r="K254" s="269"/>
      <c r="L254" s="269"/>
      <c r="M254" s="288">
        <f>SUM(M252:M253)</f>
        <v>39125.901766949995</v>
      </c>
      <c r="N254" s="270"/>
      <c r="O254" s="1163">
        <v>0.93490804699999996</v>
      </c>
    </row>
    <row r="255" spans="1:15" ht="18.95" customHeight="1">
      <c r="A255" s="149"/>
      <c r="B255" s="411"/>
      <c r="C255" s="485"/>
      <c r="D255" s="485"/>
      <c r="E255" s="267"/>
      <c r="F255" s="268"/>
      <c r="G255" s="267"/>
      <c r="H255" s="267"/>
      <c r="I255" s="267"/>
      <c r="J255" s="269"/>
      <c r="K255" s="269"/>
      <c r="L255" s="269"/>
      <c r="M255" s="270"/>
      <c r="N255" s="270"/>
      <c r="O255" s="1163">
        <v>0.93490804699999996</v>
      </c>
    </row>
    <row r="256" spans="1:15" ht="18.95" customHeight="1">
      <c r="A256" s="1175">
        <v>26</v>
      </c>
      <c r="B256" s="1176" t="s">
        <v>985</v>
      </c>
      <c r="C256" s="1177"/>
      <c r="D256" s="1178"/>
      <c r="E256" s="1185"/>
      <c r="F256" s="1181"/>
      <c r="G256" s="1185"/>
      <c r="H256" s="1185"/>
      <c r="I256" s="1185"/>
      <c r="J256" s="1181"/>
      <c r="K256" s="1181"/>
      <c r="L256" s="1181"/>
      <c r="M256" s="1185"/>
      <c r="N256" s="1185"/>
      <c r="O256" s="1163">
        <v>0.93490804699999996</v>
      </c>
    </row>
    <row r="257" spans="1:15" ht="18.95" customHeight="1">
      <c r="A257" s="340">
        <v>26.1</v>
      </c>
      <c r="B257" s="411" t="s">
        <v>824</v>
      </c>
      <c r="C257" s="834"/>
      <c r="D257" s="849"/>
      <c r="E257" s="267"/>
      <c r="F257" s="268"/>
      <c r="G257" s="267"/>
      <c r="H257" s="267"/>
      <c r="I257" s="267"/>
      <c r="J257" s="269"/>
      <c r="K257" s="269"/>
      <c r="L257" s="269"/>
      <c r="M257" s="270"/>
      <c r="N257" s="270"/>
      <c r="O257" s="1163">
        <v>0.93490804699999996</v>
      </c>
    </row>
    <row r="258" spans="1:15" ht="18.95" customHeight="1">
      <c r="A258" s="336"/>
      <c r="B258" s="345" t="s">
        <v>930</v>
      </c>
      <c r="C258" s="835" t="s">
        <v>986</v>
      </c>
      <c r="D258" s="852" t="s">
        <v>932</v>
      </c>
      <c r="E258" s="270">
        <v>5.55</v>
      </c>
      <c r="F258" s="268" t="s">
        <v>276</v>
      </c>
      <c r="G258" s="267">
        <v>18000</v>
      </c>
      <c r="H258" s="267">
        <f t="shared" ref="H258:H262" si="56">G258*O258</f>
        <v>16828.344846</v>
      </c>
      <c r="I258" s="267">
        <f t="shared" ref="I258:I262" si="57">E258*H258</f>
        <v>93397.313895300002</v>
      </c>
      <c r="J258" s="269">
        <v>0</v>
      </c>
      <c r="K258" s="269"/>
      <c r="L258" s="269">
        <v>0</v>
      </c>
      <c r="M258" s="270">
        <f>SUM(I258)</f>
        <v>93397.313895300002</v>
      </c>
      <c r="N258" s="268"/>
      <c r="O258" s="1163">
        <v>0.93490804699999996</v>
      </c>
    </row>
    <row r="259" spans="1:15" ht="18.95" customHeight="1">
      <c r="A259" s="336"/>
      <c r="B259" s="345"/>
      <c r="C259" s="835" t="s">
        <v>933</v>
      </c>
      <c r="D259" s="852" t="s">
        <v>934</v>
      </c>
      <c r="E259" s="270">
        <v>3.9249999999999998</v>
      </c>
      <c r="F259" s="268" t="s">
        <v>276</v>
      </c>
      <c r="G259" s="267">
        <v>14000</v>
      </c>
      <c r="H259" s="267">
        <f t="shared" si="56"/>
        <v>13088.712658</v>
      </c>
      <c r="I259" s="267">
        <f t="shared" si="57"/>
        <v>51373.197182650001</v>
      </c>
      <c r="J259" s="269">
        <v>0</v>
      </c>
      <c r="K259" s="269"/>
      <c r="L259" s="269">
        <v>0</v>
      </c>
      <c r="M259" s="270">
        <f>SUM(I259)</f>
        <v>51373.197182650001</v>
      </c>
      <c r="N259" s="268"/>
      <c r="O259" s="1163">
        <v>0.93490804699999996</v>
      </c>
    </row>
    <row r="260" spans="1:15" ht="18.95" customHeight="1">
      <c r="A260" s="340"/>
      <c r="B260" s="355" t="s">
        <v>245</v>
      </c>
      <c r="C260" s="835" t="s">
        <v>860</v>
      </c>
      <c r="D260" s="848"/>
      <c r="E260" s="267">
        <v>1</v>
      </c>
      <c r="F260" s="268" t="s">
        <v>402</v>
      </c>
      <c r="G260" s="269">
        <v>6000</v>
      </c>
      <c r="H260" s="267">
        <f t="shared" si="56"/>
        <v>5609.4482819999994</v>
      </c>
      <c r="I260" s="267">
        <f t="shared" si="57"/>
        <v>5609.4482819999994</v>
      </c>
      <c r="J260" s="269">
        <v>0</v>
      </c>
      <c r="K260" s="269"/>
      <c r="L260" s="269">
        <v>0</v>
      </c>
      <c r="M260" s="270">
        <f>SUM(I260)</f>
        <v>5609.4482819999994</v>
      </c>
      <c r="N260" s="270"/>
      <c r="O260" s="1163">
        <v>0.93490804699999996</v>
      </c>
    </row>
    <row r="261" spans="1:15" ht="18.95" customHeight="1">
      <c r="A261" s="340"/>
      <c r="B261" s="355" t="s">
        <v>245</v>
      </c>
      <c r="C261" s="532" t="s">
        <v>861</v>
      </c>
      <c r="D261" s="485"/>
      <c r="E261" s="270">
        <v>1</v>
      </c>
      <c r="F261" s="268" t="s">
        <v>402</v>
      </c>
      <c r="G261" s="269">
        <v>2000</v>
      </c>
      <c r="H261" s="267">
        <f t="shared" si="56"/>
        <v>1869.816094</v>
      </c>
      <c r="I261" s="267">
        <f t="shared" si="57"/>
        <v>1869.816094</v>
      </c>
      <c r="J261" s="269">
        <v>0</v>
      </c>
      <c r="K261" s="269"/>
      <c r="L261" s="269">
        <v>0</v>
      </c>
      <c r="M261" s="270">
        <f>SUM(I261)</f>
        <v>1869.816094</v>
      </c>
      <c r="N261" s="268"/>
      <c r="O261" s="1163">
        <v>0.93490804699999996</v>
      </c>
    </row>
    <row r="262" spans="1:15" ht="18.95" customHeight="1">
      <c r="A262" s="340"/>
      <c r="B262" s="345" t="s">
        <v>935</v>
      </c>
      <c r="C262" s="835" t="s">
        <v>936</v>
      </c>
      <c r="D262" s="852" t="s">
        <v>937</v>
      </c>
      <c r="E262" s="270">
        <v>2</v>
      </c>
      <c r="F262" s="268" t="s">
        <v>276</v>
      </c>
      <c r="G262" s="267">
        <v>18000</v>
      </c>
      <c r="H262" s="267">
        <f t="shared" si="56"/>
        <v>16828.344846</v>
      </c>
      <c r="I262" s="267">
        <f t="shared" si="57"/>
        <v>33656.689692</v>
      </c>
      <c r="J262" s="269">
        <v>0</v>
      </c>
      <c r="K262" s="269"/>
      <c r="L262" s="269">
        <v>0</v>
      </c>
      <c r="M262" s="270">
        <f>SUM(I262)</f>
        <v>33656.689692</v>
      </c>
      <c r="N262" s="268"/>
      <c r="O262" s="1163">
        <v>0.93490804699999996</v>
      </c>
    </row>
    <row r="263" spans="1:15" ht="18.95" customHeight="1">
      <c r="A263" s="141"/>
      <c r="B263" s="1301" t="s">
        <v>987</v>
      </c>
      <c r="C263" s="1302"/>
      <c r="D263" s="1303"/>
      <c r="E263" s="267"/>
      <c r="F263" s="268"/>
      <c r="G263" s="267"/>
      <c r="H263" s="267"/>
      <c r="I263" s="267"/>
      <c r="J263" s="269"/>
      <c r="K263" s="269"/>
      <c r="L263" s="269"/>
      <c r="M263" s="288">
        <f>SUM(M258:M262)</f>
        <v>185906.46514595003</v>
      </c>
      <c r="N263" s="268"/>
      <c r="O263" s="1163">
        <v>0.93490804699999996</v>
      </c>
    </row>
    <row r="264" spans="1:15" ht="18.95" customHeight="1">
      <c r="A264" s="1175">
        <v>27</v>
      </c>
      <c r="B264" s="1176" t="s">
        <v>988</v>
      </c>
      <c r="C264" s="1177"/>
      <c r="D264" s="1178"/>
      <c r="E264" s="1185"/>
      <c r="F264" s="1181"/>
      <c r="G264" s="1185"/>
      <c r="H264" s="1185"/>
      <c r="I264" s="1185"/>
      <c r="J264" s="1181"/>
      <c r="K264" s="1181"/>
      <c r="L264" s="1181"/>
      <c r="M264" s="1185"/>
      <c r="N264" s="1181"/>
      <c r="O264" s="1163">
        <v>0.93490804699999996</v>
      </c>
    </row>
    <row r="265" spans="1:15" ht="18.95" customHeight="1">
      <c r="A265" s="340">
        <v>27.1</v>
      </c>
      <c r="B265" s="411" t="s">
        <v>824</v>
      </c>
      <c r="C265" s="834"/>
      <c r="D265" s="849"/>
      <c r="E265" s="267"/>
      <c r="F265" s="268"/>
      <c r="G265" s="267"/>
      <c r="H265" s="267"/>
      <c r="I265" s="267"/>
      <c r="J265" s="269"/>
      <c r="K265" s="269"/>
      <c r="L265" s="269"/>
      <c r="M265" s="270"/>
      <c r="N265" s="268"/>
      <c r="O265" s="1163">
        <v>0.93490804699999996</v>
      </c>
    </row>
    <row r="266" spans="1:15" ht="18.95" customHeight="1">
      <c r="A266" s="340"/>
      <c r="B266" s="355" t="s">
        <v>989</v>
      </c>
      <c r="C266" s="835" t="s">
        <v>986</v>
      </c>
      <c r="D266" s="848" t="s">
        <v>990</v>
      </c>
      <c r="E266" s="267">
        <v>3.8</v>
      </c>
      <c r="F266" s="268" t="s">
        <v>276</v>
      </c>
      <c r="G266" s="269">
        <v>18000</v>
      </c>
      <c r="H266" s="267">
        <f t="shared" ref="H266:H269" si="58">G266*O266</f>
        <v>16828.344846</v>
      </c>
      <c r="I266" s="267">
        <f t="shared" ref="I266:I269" si="59">E266*H266</f>
        <v>63947.7104148</v>
      </c>
      <c r="J266" s="269">
        <v>0</v>
      </c>
      <c r="K266" s="269"/>
      <c r="L266" s="269">
        <v>0</v>
      </c>
      <c r="M266" s="270">
        <f>SUM(I266)</f>
        <v>63947.7104148</v>
      </c>
      <c r="N266" s="268"/>
      <c r="O266" s="1163">
        <v>0.93490804699999996</v>
      </c>
    </row>
    <row r="267" spans="1:15" ht="18.95" customHeight="1">
      <c r="A267" s="336"/>
      <c r="B267" s="345"/>
      <c r="C267" s="835" t="s">
        <v>933</v>
      </c>
      <c r="D267" s="852" t="s">
        <v>991</v>
      </c>
      <c r="E267" s="270">
        <v>1.9</v>
      </c>
      <c r="F267" s="268" t="s">
        <v>276</v>
      </c>
      <c r="G267" s="267">
        <v>8000</v>
      </c>
      <c r="H267" s="267">
        <f t="shared" si="58"/>
        <v>7479.2643760000001</v>
      </c>
      <c r="I267" s="267">
        <f t="shared" si="59"/>
        <v>14210.602314399999</v>
      </c>
      <c r="J267" s="269">
        <v>0</v>
      </c>
      <c r="K267" s="269"/>
      <c r="L267" s="269">
        <v>0</v>
      </c>
      <c r="M267" s="270">
        <f>SUM(I267)</f>
        <v>14210.602314399999</v>
      </c>
      <c r="N267" s="268"/>
      <c r="O267" s="1163">
        <v>0.93490804699999996</v>
      </c>
    </row>
    <row r="268" spans="1:15" ht="18.95" customHeight="1">
      <c r="A268" s="340"/>
      <c r="B268" s="355" t="s">
        <v>245</v>
      </c>
      <c r="C268" s="835" t="s">
        <v>860</v>
      </c>
      <c r="D268" s="848"/>
      <c r="E268" s="267">
        <v>1</v>
      </c>
      <c r="F268" s="268" t="s">
        <v>402</v>
      </c>
      <c r="G268" s="269">
        <v>6000</v>
      </c>
      <c r="H268" s="267">
        <f t="shared" si="58"/>
        <v>5609.4482819999994</v>
      </c>
      <c r="I268" s="267">
        <f t="shared" si="59"/>
        <v>5609.4482819999994</v>
      </c>
      <c r="J268" s="269">
        <v>0</v>
      </c>
      <c r="K268" s="269"/>
      <c r="L268" s="269">
        <v>0</v>
      </c>
      <c r="M268" s="270">
        <f>SUM(I268)</f>
        <v>5609.4482819999994</v>
      </c>
      <c r="N268" s="268"/>
      <c r="O268" s="1163">
        <v>0.93490804699999996</v>
      </c>
    </row>
    <row r="269" spans="1:15" ht="18.95" customHeight="1">
      <c r="A269" s="340"/>
      <c r="B269" s="355" t="s">
        <v>245</v>
      </c>
      <c r="C269" s="532" t="s">
        <v>861</v>
      </c>
      <c r="D269" s="485"/>
      <c r="E269" s="270">
        <v>1</v>
      </c>
      <c r="F269" s="268" t="s">
        <v>402</v>
      </c>
      <c r="G269" s="269">
        <v>2000</v>
      </c>
      <c r="H269" s="267">
        <f t="shared" si="58"/>
        <v>1869.816094</v>
      </c>
      <c r="I269" s="267">
        <f t="shared" si="59"/>
        <v>1869.816094</v>
      </c>
      <c r="J269" s="269">
        <v>0</v>
      </c>
      <c r="K269" s="269"/>
      <c r="L269" s="269">
        <v>0</v>
      </c>
      <c r="M269" s="270">
        <f>SUM(I269)</f>
        <v>1869.816094</v>
      </c>
      <c r="N269" s="268"/>
      <c r="O269" s="1163">
        <v>0.93490804699999996</v>
      </c>
    </row>
    <row r="270" spans="1:15" ht="18.95" customHeight="1">
      <c r="A270" s="149"/>
      <c r="B270" s="1301" t="s">
        <v>611</v>
      </c>
      <c r="C270" s="1302"/>
      <c r="D270" s="1303"/>
      <c r="E270" s="267"/>
      <c r="F270" s="268"/>
      <c r="G270" s="267"/>
      <c r="H270" s="267"/>
      <c r="I270" s="267"/>
      <c r="J270" s="269"/>
      <c r="K270" s="269"/>
      <c r="L270" s="269"/>
      <c r="M270" s="288">
        <f>SUM(M266:M269)</f>
        <v>85637.577105199991</v>
      </c>
      <c r="N270" s="268"/>
      <c r="O270" s="1163">
        <v>0.93490804699999996</v>
      </c>
    </row>
    <row r="271" spans="1:15" ht="18.95" customHeight="1">
      <c r="A271" s="1175">
        <v>28</v>
      </c>
      <c r="B271" s="1176" t="s">
        <v>992</v>
      </c>
      <c r="C271" s="1177"/>
      <c r="D271" s="1188"/>
      <c r="E271" s="1185"/>
      <c r="F271" s="1181"/>
      <c r="G271" s="1185"/>
      <c r="H271" s="1185"/>
      <c r="I271" s="1185"/>
      <c r="J271" s="1185"/>
      <c r="K271" s="1185"/>
      <c r="L271" s="1185"/>
      <c r="M271" s="1180"/>
      <c r="N271" s="1181"/>
      <c r="O271" s="1163">
        <v>0.93490804699999996</v>
      </c>
    </row>
    <row r="272" spans="1:15" ht="18.95" customHeight="1">
      <c r="A272" s="203">
        <v>28.1</v>
      </c>
      <c r="B272" s="842" t="s">
        <v>206</v>
      </c>
      <c r="C272" s="1310"/>
      <c r="D272" s="1311"/>
      <c r="E272" s="270"/>
      <c r="F272" s="268"/>
      <c r="G272" s="270"/>
      <c r="H272" s="270"/>
      <c r="I272" s="270"/>
      <c r="J272" s="270"/>
      <c r="K272" s="270"/>
      <c r="L272" s="270"/>
      <c r="M272" s="268"/>
      <c r="N272" s="268"/>
      <c r="O272" s="1163">
        <v>0.93490804699999996</v>
      </c>
    </row>
    <row r="273" spans="1:15" ht="18.95" customHeight="1">
      <c r="A273" s="224"/>
      <c r="B273" s="843" t="s">
        <v>313</v>
      </c>
      <c r="C273" s="532" t="s">
        <v>314</v>
      </c>
      <c r="D273" s="850"/>
      <c r="E273" s="267">
        <v>20</v>
      </c>
      <c r="F273" s="268" t="s">
        <v>218</v>
      </c>
      <c r="G273" s="267">
        <v>1500</v>
      </c>
      <c r="H273" s="267">
        <f t="shared" ref="H273:H283" si="60">G273*O273</f>
        <v>1402.3620704999998</v>
      </c>
      <c r="I273" s="267">
        <f t="shared" ref="I273:I283" si="61">E273*H273</f>
        <v>28047.241409999995</v>
      </c>
      <c r="J273" s="269">
        <v>450</v>
      </c>
      <c r="K273" s="269">
        <f>J273*O273</f>
        <v>420.70862115</v>
      </c>
      <c r="L273" s="269">
        <f>E273*K273</f>
        <v>8414.172423</v>
      </c>
      <c r="M273" s="270">
        <f>SUM(L273+I273)</f>
        <v>36461.413832999999</v>
      </c>
      <c r="N273" s="268"/>
      <c r="O273" s="1163">
        <v>0.93490804699999996</v>
      </c>
    </row>
    <row r="274" spans="1:15" ht="18.95" customHeight="1">
      <c r="A274" s="224"/>
      <c r="B274" s="843" t="s">
        <v>245</v>
      </c>
      <c r="C274" s="832" t="s">
        <v>993</v>
      </c>
      <c r="D274" s="485"/>
      <c r="E274" s="270">
        <v>15</v>
      </c>
      <c r="F274" s="268" t="s">
        <v>218</v>
      </c>
      <c r="G274" s="267">
        <v>1000</v>
      </c>
      <c r="H274" s="267">
        <f t="shared" si="60"/>
        <v>934.90804700000001</v>
      </c>
      <c r="I274" s="267">
        <f t="shared" si="61"/>
        <v>14023.620704999999</v>
      </c>
      <c r="J274" s="269">
        <v>350</v>
      </c>
      <c r="K274" s="269">
        <f t="shared" ref="K274:K275" si="62">J274*O274</f>
        <v>327.21781644999999</v>
      </c>
      <c r="L274" s="269">
        <f t="shared" ref="L274:L275" si="63">E274*K274</f>
        <v>4908.2672467499997</v>
      </c>
      <c r="M274" s="270">
        <f>SUM(L274+I274)</f>
        <v>18931.887951749999</v>
      </c>
      <c r="N274" s="268"/>
      <c r="O274" s="1163">
        <v>0.93490804699999996</v>
      </c>
    </row>
    <row r="275" spans="1:15" ht="18.95" customHeight="1">
      <c r="A275" s="224"/>
      <c r="B275" s="843" t="s">
        <v>245</v>
      </c>
      <c r="C275" s="532" t="s">
        <v>994</v>
      </c>
      <c r="D275" s="850"/>
      <c r="E275" s="267">
        <v>15</v>
      </c>
      <c r="F275" s="268" t="s">
        <v>218</v>
      </c>
      <c r="G275" s="267">
        <v>750</v>
      </c>
      <c r="H275" s="267">
        <f t="shared" si="60"/>
        <v>701.18103524999992</v>
      </c>
      <c r="I275" s="267">
        <f t="shared" si="61"/>
        <v>10517.715528749999</v>
      </c>
      <c r="J275" s="269">
        <v>225</v>
      </c>
      <c r="K275" s="269">
        <f t="shared" si="62"/>
        <v>210.354310575</v>
      </c>
      <c r="L275" s="269">
        <f t="shared" si="63"/>
        <v>3155.314658625</v>
      </c>
      <c r="M275" s="270">
        <f>SUM(L275+I275)</f>
        <v>13673.030187375</v>
      </c>
      <c r="N275" s="268"/>
      <c r="O275" s="1163">
        <v>0.93490804699999996</v>
      </c>
    </row>
    <row r="276" spans="1:15" ht="18.95" customHeight="1">
      <c r="A276" s="224">
        <v>28.2</v>
      </c>
      <c r="B276" s="411" t="s">
        <v>824</v>
      </c>
      <c r="C276" s="832"/>
      <c r="D276" s="485"/>
      <c r="E276" s="267"/>
      <c r="F276" s="268"/>
      <c r="G276" s="267"/>
      <c r="H276" s="267"/>
      <c r="I276" s="267" t="s">
        <v>611</v>
      </c>
      <c r="J276" s="267"/>
      <c r="K276" s="267"/>
      <c r="L276" s="269"/>
      <c r="M276" s="267"/>
      <c r="N276" s="268"/>
      <c r="O276" s="1163">
        <v>0.93490804699999996</v>
      </c>
    </row>
    <row r="277" spans="1:15" ht="18.95" customHeight="1">
      <c r="A277" s="224"/>
      <c r="B277" s="345" t="s">
        <v>995</v>
      </c>
      <c r="C277" s="1316" t="s">
        <v>996</v>
      </c>
      <c r="D277" s="1317"/>
      <c r="E277" s="270">
        <v>9.6</v>
      </c>
      <c r="F277" s="268" t="s">
        <v>276</v>
      </c>
      <c r="G277" s="267">
        <v>35000</v>
      </c>
      <c r="H277" s="267">
        <f t="shared" si="60"/>
        <v>32721.781644999999</v>
      </c>
      <c r="I277" s="267">
        <f t="shared" si="61"/>
        <v>314129.10379199998</v>
      </c>
      <c r="J277" s="269">
        <v>0</v>
      </c>
      <c r="K277" s="269"/>
      <c r="L277" s="269">
        <v>0</v>
      </c>
      <c r="M277" s="270">
        <f t="shared" ref="M277:M283" si="64">SUM(I277)</f>
        <v>314129.10379199998</v>
      </c>
      <c r="N277" s="268"/>
      <c r="O277" s="1163">
        <v>0.93490804699999996</v>
      </c>
    </row>
    <row r="278" spans="1:15" ht="18.95" customHeight="1">
      <c r="A278" s="224"/>
      <c r="B278" s="345"/>
      <c r="C278" s="1316" t="s">
        <v>997</v>
      </c>
      <c r="D278" s="1317"/>
      <c r="E278" s="270">
        <v>13</v>
      </c>
      <c r="F278" s="268" t="s">
        <v>276</v>
      </c>
      <c r="G278" s="267">
        <v>25000</v>
      </c>
      <c r="H278" s="267">
        <f t="shared" si="60"/>
        <v>23372.701174999998</v>
      </c>
      <c r="I278" s="267">
        <f t="shared" si="61"/>
        <v>303845.11527499999</v>
      </c>
      <c r="J278" s="269">
        <v>0</v>
      </c>
      <c r="K278" s="269"/>
      <c r="L278" s="269">
        <v>0</v>
      </c>
      <c r="M278" s="270">
        <f t="shared" si="64"/>
        <v>303845.11527499999</v>
      </c>
      <c r="N278" s="268"/>
      <c r="O278" s="1163">
        <v>0.93490804699999996</v>
      </c>
    </row>
    <row r="279" spans="1:15" ht="18.95" customHeight="1">
      <c r="A279" s="336"/>
      <c r="B279" s="345" t="s">
        <v>998</v>
      </c>
      <c r="C279" s="835" t="s">
        <v>999</v>
      </c>
      <c r="D279" s="851" t="s">
        <v>1000</v>
      </c>
      <c r="E279" s="267">
        <v>4</v>
      </c>
      <c r="F279" s="268" t="s">
        <v>276</v>
      </c>
      <c r="G279" s="267">
        <v>15000</v>
      </c>
      <c r="H279" s="267">
        <f t="shared" si="60"/>
        <v>14023.620704999999</v>
      </c>
      <c r="I279" s="267">
        <f t="shared" si="61"/>
        <v>56094.482819999997</v>
      </c>
      <c r="J279" s="269">
        <v>0</v>
      </c>
      <c r="K279" s="269"/>
      <c r="L279" s="269">
        <v>0</v>
      </c>
      <c r="M279" s="270">
        <f t="shared" si="64"/>
        <v>56094.482819999997</v>
      </c>
      <c r="N279" s="268"/>
      <c r="O279" s="1163">
        <v>0.93490804699999996</v>
      </c>
    </row>
    <row r="280" spans="1:15" ht="18.95" customHeight="1">
      <c r="A280" s="139"/>
      <c r="B280" s="345" t="s">
        <v>1001</v>
      </c>
      <c r="C280" s="835" t="s">
        <v>1002</v>
      </c>
      <c r="D280" s="851" t="s">
        <v>1003</v>
      </c>
      <c r="E280" s="267">
        <v>4.4000000000000004</v>
      </c>
      <c r="F280" s="268" t="s">
        <v>276</v>
      </c>
      <c r="G280" s="267">
        <v>18000</v>
      </c>
      <c r="H280" s="267">
        <f t="shared" si="60"/>
        <v>16828.344846</v>
      </c>
      <c r="I280" s="267">
        <f t="shared" si="61"/>
        <v>74044.7173224</v>
      </c>
      <c r="J280" s="269">
        <v>0</v>
      </c>
      <c r="K280" s="269"/>
      <c r="L280" s="269">
        <v>0</v>
      </c>
      <c r="M280" s="270">
        <f t="shared" si="64"/>
        <v>74044.7173224</v>
      </c>
      <c r="N280" s="268"/>
      <c r="O280" s="1163">
        <v>0.93490804699999996</v>
      </c>
    </row>
    <row r="281" spans="1:15" ht="18.95" customHeight="1">
      <c r="A281" s="139"/>
      <c r="B281" s="345"/>
      <c r="C281" s="835" t="s">
        <v>1004</v>
      </c>
      <c r="D281" s="851" t="s">
        <v>1005</v>
      </c>
      <c r="E281" s="267">
        <v>4.4000000000000004</v>
      </c>
      <c r="F281" s="268" t="s">
        <v>276</v>
      </c>
      <c r="G281" s="267">
        <v>14000</v>
      </c>
      <c r="H281" s="267">
        <f t="shared" si="60"/>
        <v>13088.712658</v>
      </c>
      <c r="I281" s="267">
        <f t="shared" si="61"/>
        <v>57590.335695200003</v>
      </c>
      <c r="J281" s="269">
        <v>0</v>
      </c>
      <c r="K281" s="269"/>
      <c r="L281" s="269">
        <v>0</v>
      </c>
      <c r="M281" s="270">
        <f t="shared" si="64"/>
        <v>57590.335695200003</v>
      </c>
      <c r="N281" s="268"/>
      <c r="O281" s="1163">
        <v>0.93490804699999996</v>
      </c>
    </row>
    <row r="282" spans="1:15" ht="18.95" customHeight="1">
      <c r="A282" s="139"/>
      <c r="B282" s="355" t="s">
        <v>245</v>
      </c>
      <c r="C282" s="835" t="s">
        <v>860</v>
      </c>
      <c r="D282" s="848"/>
      <c r="E282" s="267">
        <v>1</v>
      </c>
      <c r="F282" s="268" t="s">
        <v>402</v>
      </c>
      <c r="G282" s="267">
        <v>8000</v>
      </c>
      <c r="H282" s="267">
        <f t="shared" si="60"/>
        <v>7479.2643760000001</v>
      </c>
      <c r="I282" s="267">
        <f t="shared" si="61"/>
        <v>7479.2643760000001</v>
      </c>
      <c r="J282" s="269">
        <v>0</v>
      </c>
      <c r="K282" s="269"/>
      <c r="L282" s="269">
        <v>0</v>
      </c>
      <c r="M282" s="270">
        <f t="shared" si="64"/>
        <v>7479.2643760000001</v>
      </c>
      <c r="N282" s="270"/>
      <c r="O282" s="1163">
        <v>0.93490804699999996</v>
      </c>
    </row>
    <row r="283" spans="1:15" ht="18.95" customHeight="1">
      <c r="A283" s="139"/>
      <c r="B283" s="355" t="s">
        <v>245</v>
      </c>
      <c r="C283" s="532" t="s">
        <v>861</v>
      </c>
      <c r="D283" s="485"/>
      <c r="E283" s="270">
        <v>1</v>
      </c>
      <c r="F283" s="268" t="s">
        <v>402</v>
      </c>
      <c r="G283" s="267">
        <v>2000</v>
      </c>
      <c r="H283" s="267">
        <f t="shared" si="60"/>
        <v>1869.816094</v>
      </c>
      <c r="I283" s="267">
        <f t="shared" si="61"/>
        <v>1869.816094</v>
      </c>
      <c r="J283" s="269">
        <v>0</v>
      </c>
      <c r="K283" s="269"/>
      <c r="L283" s="269">
        <v>0</v>
      </c>
      <c r="M283" s="270">
        <f t="shared" si="64"/>
        <v>1869.816094</v>
      </c>
      <c r="N283" s="270"/>
      <c r="O283" s="1163">
        <v>0.93490804699999996</v>
      </c>
    </row>
    <row r="284" spans="1:15" ht="18.95" customHeight="1">
      <c r="A284" s="358"/>
      <c r="B284" s="1318" t="s">
        <v>1006</v>
      </c>
      <c r="C284" s="1319"/>
      <c r="D284" s="1320"/>
      <c r="E284" s="272"/>
      <c r="F284" s="273"/>
      <c r="G284" s="272"/>
      <c r="H284" s="272"/>
      <c r="I284" s="272"/>
      <c r="J284" s="274"/>
      <c r="K284" s="274"/>
      <c r="L284" s="274"/>
      <c r="M284" s="359">
        <f>SUM(M272:M283)</f>
        <v>884119.16734672501</v>
      </c>
      <c r="N284" s="278"/>
      <c r="O284" s="976"/>
    </row>
    <row r="285" spans="1:15" ht="18.95" customHeight="1">
      <c r="A285" s="151"/>
      <c r="B285" s="845"/>
      <c r="C285" s="839"/>
      <c r="D285" s="856"/>
      <c r="E285" s="361"/>
      <c r="F285" s="362"/>
      <c r="G285" s="363"/>
      <c r="H285" s="363"/>
      <c r="I285" s="361"/>
      <c r="J285" s="364"/>
      <c r="K285" s="364"/>
      <c r="L285" s="365"/>
      <c r="M285" s="366"/>
      <c r="N285" s="366"/>
      <c r="O285" s="976"/>
    </row>
    <row r="286" spans="1:15" ht="18.95" customHeight="1">
      <c r="A286" s="149"/>
      <c r="B286" s="410"/>
      <c r="C286" s="329"/>
      <c r="D286" s="328"/>
      <c r="E286" s="367"/>
      <c r="F286" s="224"/>
      <c r="G286" s="367"/>
      <c r="H286" s="367"/>
      <c r="I286" s="367"/>
      <c r="J286" s="368"/>
      <c r="K286" s="368"/>
      <c r="L286" s="369"/>
      <c r="M286" s="370"/>
      <c r="N286" s="224"/>
      <c r="O286" s="973"/>
    </row>
    <row r="287" spans="1:15" ht="18.95" customHeight="1">
      <c r="A287" s="371"/>
      <c r="B287" s="841"/>
      <c r="C287" s="832"/>
      <c r="D287" s="328"/>
      <c r="E287" s="367"/>
      <c r="F287" s="224"/>
      <c r="G287" s="372"/>
      <c r="H287" s="372"/>
      <c r="I287" s="367"/>
      <c r="J287" s="368"/>
      <c r="K287" s="368"/>
      <c r="L287" s="369"/>
      <c r="M287" s="370"/>
      <c r="N287" s="224"/>
      <c r="O287" s="973"/>
    </row>
    <row r="288" spans="1:15" ht="18.95" customHeight="1">
      <c r="A288" s="149"/>
      <c r="B288" s="331"/>
      <c r="C288" s="330"/>
      <c r="D288" s="328"/>
      <c r="E288" s="367"/>
      <c r="F288" s="224"/>
      <c r="G288" s="372"/>
      <c r="H288" s="372"/>
      <c r="I288" s="367"/>
      <c r="J288" s="368"/>
      <c r="K288" s="368"/>
      <c r="L288" s="369"/>
      <c r="M288" s="370"/>
      <c r="N288" s="224"/>
      <c r="O288" s="973"/>
    </row>
    <row r="289" spans="1:15" ht="18.95" customHeight="1">
      <c r="A289" s="141"/>
      <c r="B289" s="411"/>
      <c r="C289" s="832"/>
      <c r="D289" s="840"/>
      <c r="E289" s="375"/>
      <c r="F289" s="376"/>
      <c r="G289" s="377"/>
      <c r="H289" s="377"/>
      <c r="I289" s="367"/>
      <c r="J289" s="368"/>
      <c r="K289" s="368"/>
      <c r="L289" s="369"/>
      <c r="M289" s="370"/>
      <c r="N289" s="224"/>
      <c r="O289" s="973"/>
    </row>
    <row r="290" spans="1:15" ht="18.95" customHeight="1">
      <c r="A290" s="204"/>
      <c r="B290" s="411"/>
      <c r="C290" s="840"/>
      <c r="D290" s="840"/>
      <c r="E290" s="367"/>
      <c r="F290" s="224"/>
      <c r="G290" s="372"/>
      <c r="H290" s="372"/>
      <c r="I290" s="367"/>
      <c r="J290" s="368"/>
      <c r="K290" s="368"/>
      <c r="L290" s="369"/>
      <c r="M290" s="370"/>
      <c r="N290" s="224"/>
      <c r="O290" s="973"/>
    </row>
    <row r="291" spans="1:15" ht="18.95" customHeight="1">
      <c r="A291" s="149"/>
      <c r="B291" s="331"/>
      <c r="C291" s="329"/>
      <c r="D291" s="328"/>
      <c r="E291" s="367"/>
      <c r="F291" s="224"/>
      <c r="G291" s="367"/>
      <c r="H291" s="367"/>
      <c r="I291" s="367"/>
      <c r="J291" s="368"/>
      <c r="K291" s="368"/>
      <c r="L291" s="369"/>
      <c r="M291" s="370"/>
      <c r="N291" s="224"/>
      <c r="O291" s="973"/>
    </row>
    <row r="292" spans="1:15" ht="18.95" customHeight="1">
      <c r="A292" s="141"/>
      <c r="B292" s="331"/>
      <c r="C292" s="329"/>
      <c r="D292" s="328"/>
      <c r="E292" s="367"/>
      <c r="F292" s="224"/>
      <c r="G292" s="367"/>
      <c r="H292" s="367"/>
      <c r="I292" s="367"/>
      <c r="J292" s="368"/>
      <c r="K292" s="368"/>
      <c r="L292" s="369"/>
      <c r="M292" s="370"/>
      <c r="N292" s="224"/>
      <c r="O292" s="973"/>
    </row>
    <row r="293" spans="1:15" ht="18.95" customHeight="1">
      <c r="A293" s="379"/>
      <c r="B293" s="409"/>
      <c r="C293" s="832"/>
      <c r="D293" s="328"/>
      <c r="E293" s="367"/>
      <c r="F293" s="224"/>
      <c r="G293" s="367"/>
      <c r="H293" s="367"/>
      <c r="I293" s="367"/>
      <c r="J293" s="368"/>
      <c r="K293" s="368"/>
      <c r="L293" s="369"/>
      <c r="M293" s="370"/>
      <c r="N293" s="224"/>
      <c r="O293" s="973"/>
    </row>
    <row r="294" spans="1:15" ht="18.95" customHeight="1">
      <c r="A294" s="149"/>
      <c r="B294" s="331"/>
      <c r="C294" s="329"/>
      <c r="D294" s="328"/>
      <c r="E294" s="367"/>
      <c r="F294" s="224"/>
      <c r="G294" s="367"/>
      <c r="H294" s="367"/>
      <c r="I294" s="367"/>
      <c r="J294" s="368"/>
      <c r="K294" s="368"/>
      <c r="L294" s="369"/>
      <c r="M294" s="370"/>
      <c r="N294" s="224"/>
      <c r="O294" s="973"/>
    </row>
    <row r="295" spans="1:15" ht="18.95" customHeight="1">
      <c r="A295" s="380"/>
      <c r="B295" s="414"/>
      <c r="C295" s="329"/>
      <c r="D295" s="328"/>
      <c r="E295" s="367"/>
      <c r="F295" s="224"/>
      <c r="G295" s="367"/>
      <c r="H295" s="367"/>
      <c r="I295" s="367"/>
      <c r="J295" s="368"/>
      <c r="K295" s="368"/>
      <c r="L295" s="369"/>
      <c r="M295" s="370"/>
      <c r="N295" s="224"/>
      <c r="O295" s="973"/>
    </row>
    <row r="296" spans="1:15" ht="18.95" customHeight="1">
      <c r="A296" s="204"/>
      <c r="B296" s="331"/>
      <c r="C296" s="329"/>
      <c r="D296" s="328"/>
      <c r="E296" s="367"/>
      <c r="F296" s="224"/>
      <c r="G296" s="367"/>
      <c r="H296" s="367"/>
      <c r="I296" s="367"/>
      <c r="J296" s="368"/>
      <c r="K296" s="368"/>
      <c r="L296" s="369"/>
      <c r="M296" s="370"/>
      <c r="N296" s="224"/>
      <c r="O296" s="973"/>
    </row>
    <row r="297" spans="1:15" ht="18.95" customHeight="1">
      <c r="A297" s="203"/>
      <c r="B297" s="331"/>
      <c r="C297" s="329"/>
      <c r="D297" s="328"/>
      <c r="E297" s="367"/>
      <c r="F297" s="224"/>
      <c r="G297" s="367"/>
      <c r="H297" s="367"/>
      <c r="I297" s="367"/>
      <c r="J297" s="368"/>
      <c r="K297" s="368"/>
      <c r="L297" s="369"/>
      <c r="M297" s="370"/>
      <c r="N297" s="224"/>
      <c r="O297" s="973"/>
    </row>
    <row r="298" spans="1:15" ht="18.95" customHeight="1">
      <c r="A298" s="203"/>
      <c r="B298" s="415"/>
      <c r="C298" s="733"/>
      <c r="D298" s="851"/>
      <c r="E298" s="370"/>
      <c r="F298" s="382"/>
      <c r="G298" s="377"/>
      <c r="H298" s="377"/>
      <c r="I298" s="377"/>
      <c r="J298" s="377"/>
      <c r="K298" s="377"/>
      <c r="L298" s="377"/>
      <c r="M298" s="224"/>
      <c r="N298" s="224"/>
      <c r="O298" s="973"/>
    </row>
    <row r="299" spans="1:15" ht="18.95" customHeight="1">
      <c r="A299" s="203"/>
      <c r="B299" s="1307"/>
      <c r="C299" s="1308"/>
      <c r="D299" s="1309"/>
      <c r="E299" s="370"/>
      <c r="F299" s="382"/>
      <c r="G299" s="377"/>
      <c r="H299" s="377"/>
      <c r="I299" s="377"/>
      <c r="J299" s="377"/>
      <c r="K299" s="377"/>
      <c r="L299" s="377"/>
      <c r="M299" s="383"/>
      <c r="N299" s="224"/>
      <c r="O299" s="973"/>
    </row>
    <row r="300" spans="1:15" ht="18.95" customHeight="1">
      <c r="A300" s="224"/>
      <c r="B300" s="416"/>
      <c r="C300" s="329"/>
      <c r="D300" s="850"/>
      <c r="E300" s="370"/>
      <c r="F300" s="382"/>
      <c r="G300" s="377"/>
      <c r="H300" s="377"/>
      <c r="I300" s="377"/>
      <c r="J300" s="377"/>
      <c r="K300" s="377"/>
      <c r="L300" s="377"/>
      <c r="M300" s="224"/>
      <c r="N300" s="224"/>
      <c r="O300" s="973"/>
    </row>
    <row r="301" spans="1:15" ht="18.95" customHeight="1">
      <c r="A301" s="224"/>
      <c r="B301" s="122"/>
      <c r="C301" s="329"/>
      <c r="D301" s="328"/>
      <c r="E301" s="367"/>
      <c r="F301" s="224"/>
      <c r="G301" s="367"/>
      <c r="H301" s="367"/>
      <c r="I301" s="367"/>
      <c r="J301" s="368"/>
      <c r="K301" s="368"/>
      <c r="L301" s="369"/>
      <c r="M301" s="368"/>
      <c r="N301" s="224"/>
      <c r="O301" s="973"/>
    </row>
    <row r="302" spans="1:15" ht="18.95" customHeight="1">
      <c r="A302" s="224"/>
      <c r="B302" s="122"/>
      <c r="C302" s="329"/>
      <c r="D302" s="328"/>
      <c r="E302" s="367"/>
      <c r="F302" s="224"/>
      <c r="G302" s="367"/>
      <c r="H302" s="367"/>
      <c r="I302" s="367"/>
      <c r="J302" s="368"/>
      <c r="K302" s="368"/>
      <c r="L302" s="369"/>
      <c r="M302" s="368"/>
      <c r="N302" s="224"/>
      <c r="O302" s="973"/>
    </row>
    <row r="303" spans="1:15" ht="18.95" customHeight="1">
      <c r="A303" s="224"/>
      <c r="B303" s="122"/>
      <c r="C303" s="329"/>
      <c r="D303" s="328"/>
      <c r="E303" s="367"/>
      <c r="F303" s="224"/>
      <c r="G303" s="367"/>
      <c r="H303" s="367"/>
      <c r="I303" s="367"/>
      <c r="J303" s="368"/>
      <c r="K303" s="368"/>
      <c r="L303" s="369"/>
      <c r="M303" s="368"/>
      <c r="N303" s="224"/>
      <c r="O303" s="973"/>
    </row>
    <row r="304" spans="1:15" ht="18.95" customHeight="1">
      <c r="A304" s="224"/>
      <c r="B304" s="122"/>
      <c r="C304" s="329"/>
      <c r="D304" s="328"/>
      <c r="E304" s="367"/>
      <c r="F304" s="224"/>
      <c r="G304" s="367"/>
      <c r="H304" s="367"/>
      <c r="I304" s="367"/>
      <c r="J304" s="368"/>
      <c r="K304" s="368"/>
      <c r="L304" s="369"/>
      <c r="M304" s="368"/>
      <c r="N304" s="224"/>
      <c r="O304" s="973"/>
    </row>
    <row r="305" spans="1:15" ht="18.95" customHeight="1">
      <c r="A305" s="336"/>
      <c r="B305" s="409"/>
      <c r="C305" s="834"/>
      <c r="D305" s="849"/>
      <c r="E305" s="384"/>
      <c r="F305" s="385"/>
      <c r="G305" s="384"/>
      <c r="H305" s="384"/>
      <c r="I305" s="384"/>
      <c r="J305" s="386"/>
      <c r="K305" s="386"/>
      <c r="L305" s="384"/>
      <c r="M305" s="387"/>
      <c r="N305" s="224"/>
      <c r="O305" s="973"/>
    </row>
    <row r="306" spans="1:15" ht="18.95" customHeight="1">
      <c r="A306" s="154"/>
      <c r="B306" s="409"/>
      <c r="C306" s="834"/>
      <c r="D306" s="849"/>
      <c r="E306" s="384"/>
      <c r="F306" s="385"/>
      <c r="G306" s="384"/>
      <c r="H306" s="384"/>
      <c r="I306" s="384"/>
      <c r="J306" s="386"/>
      <c r="K306" s="386"/>
      <c r="L306" s="384"/>
      <c r="M306" s="387"/>
      <c r="N306" s="224"/>
      <c r="O306" s="973"/>
    </row>
    <row r="307" spans="1:15" ht="18.95" customHeight="1">
      <c r="A307" s="149"/>
      <c r="B307" s="411"/>
      <c r="C307" s="485"/>
      <c r="D307" s="485"/>
      <c r="E307" s="367"/>
      <c r="F307" s="388"/>
      <c r="G307" s="367"/>
      <c r="H307" s="367"/>
      <c r="I307" s="367"/>
      <c r="J307" s="372"/>
      <c r="K307" s="372"/>
      <c r="L307" s="372"/>
      <c r="M307" s="370"/>
      <c r="N307" s="370"/>
      <c r="O307" s="976"/>
    </row>
    <row r="308" spans="1:15" ht="18.95" customHeight="1">
      <c r="A308" s="149"/>
      <c r="B308" s="411"/>
      <c r="C308" s="485"/>
      <c r="D308" s="485"/>
      <c r="E308" s="367"/>
      <c r="F308" s="388"/>
      <c r="G308" s="367"/>
      <c r="H308" s="367"/>
      <c r="I308" s="367"/>
      <c r="J308" s="372"/>
      <c r="K308" s="372"/>
      <c r="L308" s="372"/>
      <c r="M308" s="370"/>
      <c r="N308" s="370"/>
      <c r="O308" s="976"/>
    </row>
    <row r="309" spans="1:15" ht="18.95" customHeight="1">
      <c r="A309" s="149"/>
      <c r="B309" s="411"/>
      <c r="C309" s="485"/>
      <c r="D309" s="485"/>
      <c r="E309" s="367"/>
      <c r="F309" s="388"/>
      <c r="G309" s="367"/>
      <c r="H309" s="367"/>
      <c r="I309" s="367"/>
      <c r="J309" s="372"/>
      <c r="K309" s="372"/>
      <c r="L309" s="372"/>
      <c r="M309" s="370"/>
      <c r="N309" s="370"/>
      <c r="O309" s="976"/>
    </row>
    <row r="310" spans="1:15" ht="18.95" customHeight="1">
      <c r="A310" s="149"/>
      <c r="B310" s="411"/>
      <c r="C310" s="485"/>
      <c r="D310" s="485"/>
      <c r="E310" s="367"/>
      <c r="F310" s="388"/>
      <c r="G310" s="367"/>
      <c r="H310" s="367"/>
      <c r="I310" s="367"/>
      <c r="J310" s="372"/>
      <c r="K310" s="372"/>
      <c r="L310" s="372"/>
      <c r="M310" s="370"/>
      <c r="N310" s="370"/>
      <c r="O310" s="976"/>
    </row>
    <row r="311" spans="1:15" ht="18.95" customHeight="1">
      <c r="A311" s="149"/>
      <c r="B311" s="411"/>
      <c r="C311" s="485"/>
      <c r="D311" s="485"/>
      <c r="E311" s="367"/>
      <c r="F311" s="388"/>
      <c r="G311" s="367"/>
      <c r="H311" s="367"/>
      <c r="I311" s="367"/>
      <c r="J311" s="372"/>
      <c r="K311" s="372"/>
      <c r="L311" s="372"/>
      <c r="M311" s="370"/>
      <c r="N311" s="370"/>
      <c r="O311" s="976"/>
    </row>
    <row r="312" spans="1:15" ht="18.95" customHeight="1">
      <c r="A312" s="149"/>
      <c r="B312" s="411"/>
      <c r="C312" s="485"/>
      <c r="D312" s="485"/>
      <c r="E312" s="367"/>
      <c r="F312" s="388"/>
      <c r="G312" s="367"/>
      <c r="H312" s="367"/>
      <c r="I312" s="367"/>
      <c r="J312" s="372"/>
      <c r="K312" s="372"/>
      <c r="L312" s="372"/>
      <c r="M312" s="370"/>
      <c r="N312" s="370"/>
      <c r="O312" s="976"/>
    </row>
    <row r="313" spans="1:15" ht="18.95" customHeight="1">
      <c r="A313" s="149"/>
      <c r="B313" s="411"/>
      <c r="C313" s="485"/>
      <c r="D313" s="485"/>
      <c r="E313" s="367"/>
      <c r="F313" s="388"/>
      <c r="G313" s="367"/>
      <c r="H313" s="367"/>
      <c r="I313" s="367"/>
      <c r="J313" s="372"/>
      <c r="K313" s="372"/>
      <c r="L313" s="372"/>
      <c r="M313" s="370"/>
      <c r="N313" s="370"/>
      <c r="O313" s="976"/>
    </row>
    <row r="314" spans="1:15" ht="18.95" customHeight="1">
      <c r="A314" s="149"/>
      <c r="B314" s="411"/>
      <c r="C314" s="485"/>
      <c r="D314" s="485"/>
      <c r="E314" s="367"/>
      <c r="F314" s="388"/>
      <c r="G314" s="367"/>
      <c r="H314" s="367"/>
      <c r="I314" s="367"/>
      <c r="J314" s="372"/>
      <c r="K314" s="372"/>
      <c r="L314" s="372"/>
      <c r="M314" s="370"/>
      <c r="N314" s="224"/>
      <c r="O314" s="973"/>
    </row>
    <row r="315" spans="1:15" ht="18.95" customHeight="1">
      <c r="A315" s="149"/>
      <c r="B315" s="411"/>
      <c r="C315" s="485"/>
      <c r="D315" s="485"/>
      <c r="E315" s="367"/>
      <c r="F315" s="388"/>
      <c r="G315" s="367"/>
      <c r="H315" s="367"/>
      <c r="I315" s="367"/>
      <c r="J315" s="372"/>
      <c r="K315" s="372"/>
      <c r="L315" s="372"/>
      <c r="M315" s="370"/>
      <c r="N315" s="224"/>
      <c r="O315" s="973"/>
    </row>
    <row r="316" spans="1:15" ht="18.95" customHeight="1">
      <c r="A316" s="148"/>
      <c r="B316" s="411"/>
      <c r="C316" s="485"/>
      <c r="D316" s="485"/>
      <c r="E316" s="367"/>
      <c r="F316" s="388"/>
      <c r="G316" s="367"/>
      <c r="H316" s="367"/>
      <c r="I316" s="367"/>
      <c r="J316" s="372"/>
      <c r="K316" s="372"/>
      <c r="L316" s="372"/>
      <c r="M316" s="370"/>
      <c r="N316" s="224"/>
      <c r="O316" s="973"/>
    </row>
    <row r="317" spans="1:15" ht="18.95" customHeight="1">
      <c r="A317" s="149"/>
      <c r="B317" s="411"/>
      <c r="C317" s="485"/>
      <c r="D317" s="485"/>
      <c r="E317" s="367"/>
      <c r="F317" s="388"/>
      <c r="G317" s="367"/>
      <c r="H317" s="367"/>
      <c r="I317" s="367"/>
      <c r="J317" s="372"/>
      <c r="K317" s="372"/>
      <c r="L317" s="372"/>
      <c r="M317" s="370"/>
      <c r="N317" s="224"/>
      <c r="O317" s="973"/>
    </row>
    <row r="318" spans="1:15" ht="18.95" customHeight="1">
      <c r="A318" s="149"/>
      <c r="B318" s="411"/>
      <c r="C318" s="485"/>
      <c r="D318" s="485"/>
      <c r="E318" s="367"/>
      <c r="F318" s="388"/>
      <c r="G318" s="367"/>
      <c r="H318" s="367"/>
      <c r="I318" s="367"/>
      <c r="J318" s="372"/>
      <c r="K318" s="372"/>
      <c r="L318" s="372"/>
      <c r="M318" s="370"/>
      <c r="N318" s="224"/>
      <c r="O318" s="973"/>
    </row>
    <row r="319" spans="1:15" ht="18.95" customHeight="1">
      <c r="A319" s="148"/>
      <c r="B319" s="411"/>
      <c r="C319" s="485"/>
      <c r="D319" s="485"/>
      <c r="E319" s="367"/>
      <c r="F319" s="388"/>
      <c r="G319" s="367"/>
      <c r="H319" s="367"/>
      <c r="I319" s="367"/>
      <c r="J319" s="372"/>
      <c r="K319" s="372"/>
      <c r="L319" s="372"/>
      <c r="M319" s="370"/>
      <c r="N319" s="224"/>
      <c r="O319" s="973"/>
    </row>
    <row r="320" spans="1:15" ht="18.95" customHeight="1">
      <c r="A320" s="149"/>
      <c r="B320" s="411"/>
      <c r="C320" s="485"/>
      <c r="D320" s="485"/>
      <c r="E320" s="367"/>
      <c r="F320" s="388"/>
      <c r="G320" s="367"/>
      <c r="H320" s="367"/>
      <c r="I320" s="367"/>
      <c r="J320" s="372"/>
      <c r="K320" s="372"/>
      <c r="L320" s="372"/>
      <c r="M320" s="370"/>
      <c r="N320" s="224"/>
      <c r="O320" s="973"/>
    </row>
    <row r="321" spans="1:15" ht="18.95" customHeight="1">
      <c r="A321" s="149"/>
      <c r="B321" s="411"/>
      <c r="C321" s="485"/>
      <c r="D321" s="485"/>
      <c r="E321" s="367"/>
      <c r="F321" s="388"/>
      <c r="G321" s="367"/>
      <c r="H321" s="367"/>
      <c r="I321" s="367"/>
      <c r="J321" s="372"/>
      <c r="K321" s="372"/>
      <c r="L321" s="372"/>
      <c r="M321" s="370"/>
      <c r="N321" s="224"/>
      <c r="O321" s="973"/>
    </row>
    <row r="322" spans="1:15" ht="18.95" customHeight="1">
      <c r="A322" s="148"/>
      <c r="B322" s="411"/>
      <c r="C322" s="485"/>
      <c r="D322" s="485"/>
      <c r="E322" s="367"/>
      <c r="F322" s="388"/>
      <c r="G322" s="367"/>
      <c r="H322" s="367"/>
      <c r="I322" s="367"/>
      <c r="J322" s="372"/>
      <c r="K322" s="372"/>
      <c r="L322" s="372"/>
      <c r="M322" s="370"/>
      <c r="N322" s="224"/>
      <c r="O322" s="973"/>
    </row>
    <row r="323" spans="1:15" ht="18.95" customHeight="1">
      <c r="A323" s="149"/>
      <c r="B323" s="411"/>
      <c r="C323" s="485"/>
      <c r="D323" s="485"/>
      <c r="E323" s="367"/>
      <c r="F323" s="388"/>
      <c r="G323" s="367"/>
      <c r="H323" s="367"/>
      <c r="I323" s="367"/>
      <c r="J323" s="372"/>
      <c r="K323" s="372"/>
      <c r="L323" s="372"/>
      <c r="M323" s="370"/>
      <c r="N323" s="224"/>
      <c r="O323" s="973"/>
    </row>
    <row r="324" spans="1:15" ht="18.95" customHeight="1">
      <c r="A324" s="149"/>
      <c r="B324" s="411"/>
      <c r="C324" s="485"/>
      <c r="D324" s="485"/>
      <c r="E324" s="367"/>
      <c r="F324" s="388"/>
      <c r="G324" s="367"/>
      <c r="H324" s="367"/>
      <c r="I324" s="367"/>
      <c r="J324" s="372"/>
      <c r="K324" s="372"/>
      <c r="L324" s="372"/>
      <c r="M324" s="370"/>
      <c r="N324" s="224"/>
      <c r="O324" s="973"/>
    </row>
    <row r="325" spans="1:15" ht="18.95" customHeight="1">
      <c r="A325" s="148"/>
      <c r="B325" s="411"/>
      <c r="C325" s="485"/>
      <c r="D325" s="485"/>
      <c r="E325" s="367"/>
      <c r="F325" s="388"/>
      <c r="G325" s="367"/>
      <c r="H325" s="367"/>
      <c r="I325" s="367"/>
      <c r="J325" s="372"/>
      <c r="K325" s="372"/>
      <c r="L325" s="372"/>
      <c r="M325" s="370"/>
      <c r="N325" s="224"/>
      <c r="O325" s="973"/>
    </row>
    <row r="326" spans="1:15" ht="18.95" customHeight="1">
      <c r="A326" s="149"/>
      <c r="B326" s="411"/>
      <c r="C326" s="485"/>
      <c r="D326" s="485"/>
      <c r="E326" s="367"/>
      <c r="F326" s="388"/>
      <c r="G326" s="367"/>
      <c r="H326" s="367"/>
      <c r="I326" s="367"/>
      <c r="J326" s="372"/>
      <c r="K326" s="372"/>
      <c r="L326" s="372"/>
      <c r="M326" s="370"/>
      <c r="N326" s="224"/>
      <c r="O326" s="973"/>
    </row>
    <row r="327" spans="1:15" ht="18.95" customHeight="1">
      <c r="A327" s="149"/>
      <c r="B327" s="411"/>
      <c r="C327" s="485"/>
      <c r="D327" s="485"/>
      <c r="E327" s="367"/>
      <c r="F327" s="388"/>
      <c r="G327" s="367"/>
      <c r="H327" s="367"/>
      <c r="I327" s="367"/>
      <c r="J327" s="372"/>
      <c r="K327" s="372"/>
      <c r="L327" s="372"/>
      <c r="M327" s="370"/>
      <c r="N327" s="224"/>
      <c r="O327" s="973"/>
    </row>
    <row r="328" spans="1:15" ht="18.95" customHeight="1">
      <c r="A328" s="148"/>
      <c r="B328" s="411"/>
      <c r="C328" s="485"/>
      <c r="D328" s="485"/>
      <c r="E328" s="367"/>
      <c r="F328" s="388"/>
      <c r="G328" s="367"/>
      <c r="H328" s="367"/>
      <c r="I328" s="367"/>
      <c r="J328" s="372"/>
      <c r="K328" s="372"/>
      <c r="L328" s="372"/>
      <c r="M328" s="370"/>
      <c r="N328" s="224"/>
      <c r="O328" s="973"/>
    </row>
    <row r="329" spans="1:15" ht="18.95" customHeight="1">
      <c r="A329" s="149"/>
      <c r="B329" s="411"/>
      <c r="C329" s="485"/>
      <c r="D329" s="485"/>
      <c r="E329" s="367"/>
      <c r="F329" s="388"/>
      <c r="G329" s="367"/>
      <c r="H329" s="367"/>
      <c r="I329" s="367"/>
      <c r="J329" s="372"/>
      <c r="K329" s="372"/>
      <c r="L329" s="372"/>
      <c r="M329" s="370"/>
      <c r="N329" s="224"/>
      <c r="O329" s="973"/>
    </row>
    <row r="330" spans="1:15" ht="18.95" customHeight="1">
      <c r="A330" s="149"/>
      <c r="B330" s="411"/>
      <c r="C330" s="485"/>
      <c r="D330" s="485"/>
      <c r="E330" s="367"/>
      <c r="F330" s="388"/>
      <c r="G330" s="367"/>
      <c r="H330" s="367"/>
      <c r="I330" s="367"/>
      <c r="J330" s="372"/>
      <c r="K330" s="372"/>
      <c r="L330" s="372"/>
      <c r="M330" s="370"/>
      <c r="N330" s="224"/>
      <c r="O330" s="973"/>
    </row>
    <row r="331" spans="1:15" ht="18.95" customHeight="1">
      <c r="A331" s="148"/>
      <c r="B331" s="411"/>
      <c r="C331" s="485"/>
      <c r="D331" s="485"/>
      <c r="E331" s="367"/>
      <c r="F331" s="388"/>
      <c r="G331" s="367"/>
      <c r="H331" s="367"/>
      <c r="I331" s="367"/>
      <c r="J331" s="372"/>
      <c r="K331" s="372"/>
      <c r="L331" s="372"/>
      <c r="M331" s="370"/>
      <c r="N331" s="224"/>
      <c r="O331" s="973"/>
    </row>
    <row r="332" spans="1:15" ht="18.95" customHeight="1">
      <c r="A332" s="224"/>
      <c r="B332" s="122"/>
      <c r="C332" s="329"/>
      <c r="D332" s="328"/>
      <c r="E332" s="367"/>
      <c r="F332" s="388"/>
      <c r="G332" s="367"/>
      <c r="H332" s="367"/>
      <c r="I332" s="367"/>
      <c r="J332" s="367"/>
      <c r="K332" s="367"/>
      <c r="L332" s="372"/>
      <c r="M332" s="367"/>
      <c r="N332" s="224"/>
      <c r="O332" s="973"/>
    </row>
    <row r="333" spans="1:15" ht="18.95" customHeight="1">
      <c r="A333" s="336"/>
      <c r="B333" s="409"/>
      <c r="C333" s="834"/>
      <c r="D333" s="332"/>
      <c r="E333" s="367"/>
      <c r="F333" s="388"/>
      <c r="G333" s="367"/>
      <c r="H333" s="367"/>
      <c r="I333" s="367"/>
      <c r="J333" s="372"/>
      <c r="K333" s="372"/>
      <c r="L333" s="389"/>
      <c r="M333" s="388"/>
      <c r="N333" s="224"/>
      <c r="O333" s="973"/>
    </row>
    <row r="334" spans="1:15" ht="18.95" customHeight="1">
      <c r="A334" s="141"/>
      <c r="B334" s="411"/>
      <c r="C334" s="485"/>
      <c r="D334" s="485"/>
      <c r="E334" s="367"/>
      <c r="F334" s="388"/>
      <c r="G334" s="367"/>
      <c r="H334" s="367"/>
      <c r="I334" s="367"/>
      <c r="J334" s="372"/>
      <c r="K334" s="372"/>
      <c r="L334" s="372"/>
      <c r="M334" s="370"/>
      <c r="N334" s="224"/>
      <c r="O334" s="973"/>
    </row>
    <row r="335" spans="1:15" ht="18.95" customHeight="1">
      <c r="A335" s="149"/>
      <c r="B335" s="411"/>
      <c r="C335" s="485"/>
      <c r="D335" s="485"/>
      <c r="E335" s="367"/>
      <c r="F335" s="388"/>
      <c r="G335" s="367"/>
      <c r="H335" s="367"/>
      <c r="I335" s="367"/>
      <c r="J335" s="372"/>
      <c r="K335" s="372"/>
      <c r="L335" s="372"/>
      <c r="M335" s="370"/>
      <c r="N335" s="370"/>
      <c r="O335" s="976"/>
    </row>
    <row r="336" spans="1:15" ht="18.95" customHeight="1">
      <c r="A336" s="141"/>
      <c r="B336" s="411"/>
      <c r="C336" s="485"/>
      <c r="D336" s="485"/>
      <c r="E336" s="367"/>
      <c r="F336" s="388"/>
      <c r="G336" s="367"/>
      <c r="H336" s="367"/>
      <c r="I336" s="367"/>
      <c r="J336" s="372"/>
      <c r="K336" s="372"/>
      <c r="L336" s="372"/>
      <c r="M336" s="370"/>
      <c r="N336" s="370"/>
      <c r="O336" s="976"/>
    </row>
    <row r="337" spans="1:15" ht="18.95" customHeight="1">
      <c r="A337" s="149"/>
      <c r="B337" s="411"/>
      <c r="C337" s="485"/>
      <c r="D337" s="485"/>
      <c r="E337" s="367"/>
      <c r="F337" s="388"/>
      <c r="G337" s="367"/>
      <c r="H337" s="367"/>
      <c r="I337" s="367"/>
      <c r="J337" s="372"/>
      <c r="K337" s="372"/>
      <c r="L337" s="372"/>
      <c r="M337" s="370"/>
      <c r="N337" s="370"/>
      <c r="O337" s="976"/>
    </row>
    <row r="338" spans="1:15" ht="18.95" customHeight="1">
      <c r="A338" s="141"/>
      <c r="B338" s="411"/>
      <c r="C338" s="485"/>
      <c r="D338" s="485"/>
      <c r="E338" s="367"/>
      <c r="F338" s="388"/>
      <c r="G338" s="367"/>
      <c r="H338" s="367"/>
      <c r="I338" s="367"/>
      <c r="J338" s="372"/>
      <c r="K338" s="372"/>
      <c r="L338" s="372"/>
      <c r="M338" s="370"/>
      <c r="N338" s="370"/>
      <c r="O338" s="976"/>
    </row>
    <row r="339" spans="1:15" ht="18.95" customHeight="1">
      <c r="A339" s="149"/>
      <c r="B339" s="411"/>
      <c r="C339" s="485"/>
      <c r="D339" s="485"/>
      <c r="E339" s="367"/>
      <c r="F339" s="388"/>
      <c r="G339" s="367"/>
      <c r="H339" s="367"/>
      <c r="I339" s="367"/>
      <c r="J339" s="372"/>
      <c r="K339" s="372"/>
      <c r="L339" s="372"/>
      <c r="M339" s="370"/>
      <c r="N339" s="370"/>
      <c r="O339" s="976"/>
    </row>
    <row r="340" spans="1:15" ht="18.95" customHeight="1">
      <c r="A340" s="141"/>
      <c r="B340" s="411"/>
      <c r="C340" s="485"/>
      <c r="D340" s="485"/>
      <c r="E340" s="367"/>
      <c r="F340" s="388"/>
      <c r="G340" s="367"/>
      <c r="H340" s="367"/>
      <c r="I340" s="367"/>
      <c r="J340" s="372"/>
      <c r="K340" s="372"/>
      <c r="L340" s="372"/>
      <c r="M340" s="370"/>
      <c r="N340" s="370"/>
      <c r="O340" s="976"/>
    </row>
    <row r="341" spans="1:15" ht="18.95" customHeight="1">
      <c r="A341" s="149"/>
      <c r="B341" s="411"/>
      <c r="C341" s="485"/>
      <c r="D341" s="485"/>
      <c r="E341" s="367"/>
      <c r="F341" s="388"/>
      <c r="G341" s="367"/>
      <c r="H341" s="367"/>
      <c r="I341" s="367"/>
      <c r="J341" s="372"/>
      <c r="K341" s="372"/>
      <c r="L341" s="372"/>
      <c r="M341" s="370"/>
      <c r="N341" s="370"/>
      <c r="O341" s="976"/>
    </row>
    <row r="342" spans="1:15" ht="18.95" customHeight="1">
      <c r="A342" s="141"/>
      <c r="B342" s="411"/>
      <c r="C342" s="485"/>
      <c r="D342" s="485"/>
      <c r="E342" s="367"/>
      <c r="F342" s="388"/>
      <c r="G342" s="367"/>
      <c r="H342" s="367"/>
      <c r="I342" s="367"/>
      <c r="J342" s="372"/>
      <c r="K342" s="372"/>
      <c r="L342" s="372"/>
      <c r="M342" s="370"/>
      <c r="N342" s="224"/>
      <c r="O342" s="973"/>
    </row>
    <row r="343" spans="1:15" ht="18.95" customHeight="1">
      <c r="A343" s="149"/>
      <c r="B343" s="411"/>
      <c r="C343" s="485"/>
      <c r="D343" s="485"/>
      <c r="E343" s="367"/>
      <c r="F343" s="388"/>
      <c r="G343" s="367"/>
      <c r="H343" s="367"/>
      <c r="I343" s="367"/>
      <c r="J343" s="372"/>
      <c r="K343" s="372"/>
      <c r="L343" s="372"/>
      <c r="M343" s="370"/>
      <c r="N343" s="224"/>
      <c r="O343" s="973"/>
    </row>
    <row r="344" spans="1:15" ht="18.95" customHeight="1">
      <c r="A344" s="141"/>
      <c r="B344" s="411"/>
      <c r="C344" s="485"/>
      <c r="D344" s="485"/>
      <c r="E344" s="367"/>
      <c r="F344" s="388"/>
      <c r="G344" s="367"/>
      <c r="H344" s="367"/>
      <c r="I344" s="367"/>
      <c r="J344" s="372"/>
      <c r="K344" s="372"/>
      <c r="L344" s="372"/>
      <c r="M344" s="370"/>
      <c r="N344" s="224"/>
      <c r="O344" s="973"/>
    </row>
    <row r="345" spans="1:15" ht="18.95" customHeight="1">
      <c r="A345" s="149"/>
      <c r="B345" s="411"/>
      <c r="C345" s="485"/>
      <c r="D345" s="485"/>
      <c r="E345" s="367"/>
      <c r="F345" s="388"/>
      <c r="G345" s="367"/>
      <c r="H345" s="367"/>
      <c r="I345" s="367"/>
      <c r="J345" s="372"/>
      <c r="K345" s="372"/>
      <c r="L345" s="372"/>
      <c r="M345" s="370"/>
      <c r="N345" s="224"/>
      <c r="O345" s="973"/>
    </row>
    <row r="346" spans="1:15" ht="18.95" customHeight="1">
      <c r="A346" s="141"/>
      <c r="B346" s="411"/>
      <c r="C346" s="485"/>
      <c r="D346" s="485"/>
      <c r="E346" s="367"/>
      <c r="F346" s="388"/>
      <c r="G346" s="367"/>
      <c r="H346" s="367"/>
      <c r="I346" s="367"/>
      <c r="J346" s="372"/>
      <c r="K346" s="372"/>
      <c r="L346" s="372"/>
      <c r="M346" s="370"/>
      <c r="N346" s="224"/>
      <c r="O346" s="973"/>
    </row>
    <row r="347" spans="1:15" ht="18.95" customHeight="1">
      <c r="A347" s="149"/>
      <c r="B347" s="411"/>
      <c r="C347" s="485"/>
      <c r="D347" s="485"/>
      <c r="E347" s="367"/>
      <c r="F347" s="388"/>
      <c r="G347" s="367"/>
      <c r="H347" s="367"/>
      <c r="I347" s="367"/>
      <c r="J347" s="372"/>
      <c r="K347" s="372"/>
      <c r="L347" s="372"/>
      <c r="M347" s="370"/>
      <c r="N347" s="224"/>
      <c r="O347" s="973"/>
    </row>
    <row r="348" spans="1:15" ht="18.95" customHeight="1">
      <c r="A348" s="141"/>
      <c r="B348" s="411"/>
      <c r="C348" s="485"/>
      <c r="D348" s="485"/>
      <c r="E348" s="367"/>
      <c r="F348" s="388"/>
      <c r="G348" s="367"/>
      <c r="H348" s="367"/>
      <c r="I348" s="367"/>
      <c r="J348" s="372"/>
      <c r="K348" s="372"/>
      <c r="L348" s="372"/>
      <c r="M348" s="370"/>
      <c r="N348" s="224"/>
      <c r="O348" s="973"/>
    </row>
    <row r="349" spans="1:15" ht="18.95" customHeight="1">
      <c r="A349" s="149"/>
      <c r="B349" s="411"/>
      <c r="C349" s="485"/>
      <c r="D349" s="485"/>
      <c r="E349" s="367"/>
      <c r="F349" s="388"/>
      <c r="G349" s="367"/>
      <c r="H349" s="367"/>
      <c r="I349" s="367"/>
      <c r="J349" s="372"/>
      <c r="K349" s="372"/>
      <c r="L349" s="372"/>
      <c r="M349" s="370"/>
      <c r="N349" s="224"/>
      <c r="O349" s="973"/>
    </row>
    <row r="350" spans="1:15" ht="18.95" customHeight="1">
      <c r="A350" s="141"/>
      <c r="B350" s="411"/>
      <c r="C350" s="485"/>
      <c r="D350" s="485"/>
      <c r="E350" s="367"/>
      <c r="F350" s="388"/>
      <c r="G350" s="367"/>
      <c r="H350" s="367"/>
      <c r="I350" s="367"/>
      <c r="J350" s="372"/>
      <c r="K350" s="372"/>
      <c r="L350" s="372"/>
      <c r="M350" s="370"/>
      <c r="N350" s="224"/>
      <c r="O350" s="973"/>
    </row>
    <row r="351" spans="1:15" ht="18.95" customHeight="1">
      <c r="A351" s="149"/>
      <c r="B351" s="411"/>
      <c r="C351" s="840"/>
      <c r="D351" s="840"/>
      <c r="E351" s="367"/>
      <c r="F351" s="388"/>
      <c r="G351" s="367"/>
      <c r="H351" s="367"/>
      <c r="I351" s="367"/>
      <c r="J351" s="372"/>
      <c r="K351" s="372"/>
      <c r="L351" s="372"/>
      <c r="M351" s="375"/>
      <c r="N351" s="224"/>
      <c r="O351" s="973"/>
    </row>
    <row r="352" spans="1:15" ht="18.95" customHeight="1">
      <c r="A352" s="204"/>
      <c r="B352" s="415"/>
      <c r="C352" s="453"/>
      <c r="D352" s="328"/>
      <c r="E352" s="367"/>
      <c r="F352" s="390"/>
      <c r="G352" s="377"/>
      <c r="H352" s="377"/>
      <c r="I352" s="377"/>
      <c r="J352" s="391"/>
      <c r="K352" s="391"/>
      <c r="L352" s="370"/>
      <c r="M352" s="388"/>
      <c r="N352" s="224"/>
      <c r="O352" s="973"/>
    </row>
    <row r="353" spans="1:15" ht="18.95" customHeight="1">
      <c r="A353" s="203"/>
      <c r="B353" s="1304"/>
      <c r="C353" s="1305"/>
      <c r="D353" s="1306"/>
      <c r="E353" s="370"/>
      <c r="F353" s="382"/>
      <c r="G353" s="377"/>
      <c r="H353" s="377"/>
      <c r="I353" s="377"/>
      <c r="J353" s="377"/>
      <c r="K353" s="377"/>
      <c r="L353" s="377"/>
      <c r="M353" s="383"/>
      <c r="N353" s="224"/>
      <c r="O353" s="973"/>
    </row>
    <row r="354" spans="1:15" ht="18.95" customHeight="1">
      <c r="A354" s="203"/>
      <c r="B354" s="415"/>
      <c r="C354" s="733"/>
      <c r="D354" s="851"/>
      <c r="E354" s="370"/>
      <c r="F354" s="382"/>
      <c r="G354" s="377"/>
      <c r="H354" s="377"/>
      <c r="I354" s="377"/>
      <c r="J354" s="377"/>
      <c r="K354" s="377"/>
      <c r="L354" s="377"/>
      <c r="M354" s="388"/>
      <c r="N354" s="224"/>
      <c r="O354" s="973"/>
    </row>
    <row r="355" spans="1:15" ht="18.95" customHeight="1">
      <c r="A355" s="203"/>
      <c r="B355" s="416"/>
      <c r="C355" s="329"/>
      <c r="D355" s="328"/>
      <c r="E355" s="370"/>
      <c r="F355" s="382"/>
      <c r="G355" s="377"/>
      <c r="H355" s="377"/>
      <c r="I355" s="377"/>
      <c r="J355" s="377"/>
      <c r="K355" s="377"/>
      <c r="L355" s="377"/>
      <c r="M355" s="388"/>
      <c r="N355" s="224"/>
      <c r="O355" s="973"/>
    </row>
    <row r="356" spans="1:15" ht="18.95" customHeight="1">
      <c r="A356" s="224"/>
      <c r="B356" s="416"/>
      <c r="C356" s="329"/>
      <c r="D356" s="850"/>
      <c r="E356" s="370"/>
      <c r="F356" s="382"/>
      <c r="G356" s="377"/>
      <c r="H356" s="377"/>
      <c r="I356" s="377"/>
      <c r="J356" s="377"/>
      <c r="K356" s="377"/>
      <c r="L356" s="377"/>
      <c r="M356" s="388"/>
      <c r="N356" s="224"/>
      <c r="O356" s="973"/>
    </row>
    <row r="357" spans="1:15" ht="18.95" customHeight="1">
      <c r="A357" s="224"/>
      <c r="B357" s="122"/>
      <c r="C357" s="329"/>
      <c r="D357" s="328"/>
      <c r="E357" s="367"/>
      <c r="F357" s="388"/>
      <c r="G357" s="367"/>
      <c r="H357" s="367"/>
      <c r="I357" s="367"/>
      <c r="J357" s="367"/>
      <c r="K357" s="367"/>
      <c r="L357" s="372"/>
      <c r="M357" s="367"/>
      <c r="N357" s="224"/>
      <c r="O357" s="973"/>
    </row>
    <row r="358" spans="1:15" ht="18.95" customHeight="1">
      <c r="A358" s="224"/>
      <c r="B358" s="122"/>
      <c r="C358" s="329"/>
      <c r="D358" s="328"/>
      <c r="E358" s="367"/>
      <c r="F358" s="388"/>
      <c r="G358" s="367"/>
      <c r="H358" s="367"/>
      <c r="I358" s="367"/>
      <c r="J358" s="367"/>
      <c r="K358" s="367"/>
      <c r="L358" s="372"/>
      <c r="M358" s="367"/>
      <c r="N358" s="224"/>
      <c r="O358" s="973"/>
    </row>
    <row r="359" spans="1:15" ht="18.95" customHeight="1">
      <c r="A359" s="224"/>
      <c r="B359" s="122"/>
      <c r="C359" s="329"/>
      <c r="D359" s="328"/>
      <c r="E359" s="367"/>
      <c r="F359" s="388"/>
      <c r="G359" s="367"/>
      <c r="H359" s="367"/>
      <c r="I359" s="367"/>
      <c r="J359" s="367"/>
      <c r="K359" s="367"/>
      <c r="L359" s="372"/>
      <c r="M359" s="367"/>
      <c r="N359" s="224"/>
      <c r="O359" s="973"/>
    </row>
    <row r="360" spans="1:15" ht="18.95" customHeight="1">
      <c r="A360" s="224"/>
      <c r="B360" s="122"/>
      <c r="C360" s="329"/>
      <c r="D360" s="328"/>
      <c r="E360" s="367"/>
      <c r="F360" s="388"/>
      <c r="G360" s="367"/>
      <c r="H360" s="367"/>
      <c r="I360" s="367"/>
      <c r="J360" s="367"/>
      <c r="K360" s="367"/>
      <c r="L360" s="372"/>
      <c r="M360" s="367"/>
      <c r="N360" s="224"/>
      <c r="O360" s="973"/>
    </row>
    <row r="361" spans="1:15" ht="18.95" customHeight="1">
      <c r="A361" s="336"/>
      <c r="B361" s="409"/>
      <c r="C361" s="834"/>
      <c r="D361" s="849"/>
      <c r="E361" s="384"/>
      <c r="F361" s="385"/>
      <c r="G361" s="384"/>
      <c r="H361" s="384"/>
      <c r="I361" s="384"/>
      <c r="J361" s="386"/>
      <c r="K361" s="386"/>
      <c r="L361" s="384"/>
      <c r="M361" s="387"/>
      <c r="N361" s="224"/>
      <c r="O361" s="973"/>
    </row>
    <row r="362" spans="1:15" ht="18.95" customHeight="1">
      <c r="A362" s="139"/>
      <c r="B362" s="411"/>
      <c r="C362" s="485"/>
      <c r="D362" s="485"/>
      <c r="E362" s="368"/>
      <c r="F362" s="224"/>
      <c r="G362" s="368"/>
      <c r="H362" s="368"/>
      <c r="I362" s="368"/>
      <c r="J362" s="369"/>
      <c r="K362" s="369"/>
      <c r="L362" s="369"/>
      <c r="M362" s="392"/>
      <c r="N362" s="224"/>
      <c r="O362" s="973"/>
    </row>
    <row r="363" spans="1:15" ht="18.95" customHeight="1">
      <c r="A363" s="139"/>
      <c r="B363" s="411"/>
      <c r="C363" s="485"/>
      <c r="D363" s="485"/>
      <c r="E363" s="368"/>
      <c r="F363" s="224"/>
      <c r="G363" s="368"/>
      <c r="H363" s="368"/>
      <c r="I363" s="368"/>
      <c r="J363" s="369"/>
      <c r="K363" s="369"/>
      <c r="L363" s="369"/>
      <c r="M363" s="392"/>
      <c r="N363" s="370"/>
      <c r="O363" s="976"/>
    </row>
    <row r="364" spans="1:15" ht="18.95" customHeight="1">
      <c r="A364" s="139"/>
      <c r="B364" s="411"/>
      <c r="C364" s="485"/>
      <c r="D364" s="485"/>
      <c r="E364" s="367"/>
      <c r="F364" s="388"/>
      <c r="G364" s="367"/>
      <c r="H364" s="367"/>
      <c r="I364" s="367"/>
      <c r="J364" s="372"/>
      <c r="K364" s="372"/>
      <c r="L364" s="372"/>
      <c r="M364" s="370"/>
      <c r="N364" s="370"/>
      <c r="O364" s="976"/>
    </row>
    <row r="365" spans="1:15" ht="18.95" customHeight="1">
      <c r="A365" s="139"/>
      <c r="B365" s="411"/>
      <c r="C365" s="485"/>
      <c r="D365" s="485"/>
      <c r="E365" s="367"/>
      <c r="F365" s="388"/>
      <c r="G365" s="367"/>
      <c r="H365" s="367"/>
      <c r="I365" s="367"/>
      <c r="J365" s="372"/>
      <c r="K365" s="372"/>
      <c r="L365" s="372"/>
      <c r="M365" s="370"/>
      <c r="N365" s="370"/>
      <c r="O365" s="976"/>
    </row>
    <row r="366" spans="1:15" ht="18.95" customHeight="1">
      <c r="A366" s="139"/>
      <c r="B366" s="411"/>
      <c r="C366" s="485"/>
      <c r="D366" s="485"/>
      <c r="E366" s="367"/>
      <c r="F366" s="388"/>
      <c r="G366" s="367"/>
      <c r="H366" s="367"/>
      <c r="I366" s="367"/>
      <c r="J366" s="372"/>
      <c r="K366" s="372"/>
      <c r="L366" s="372"/>
      <c r="M366" s="370"/>
      <c r="N366" s="370"/>
      <c r="O366" s="976"/>
    </row>
    <row r="367" spans="1:15" ht="18.95" customHeight="1">
      <c r="A367" s="139"/>
      <c r="B367" s="411"/>
      <c r="C367" s="485"/>
      <c r="D367" s="485"/>
      <c r="E367" s="367"/>
      <c r="F367" s="388"/>
      <c r="G367" s="367"/>
      <c r="H367" s="367"/>
      <c r="I367" s="367"/>
      <c r="J367" s="372"/>
      <c r="K367" s="372"/>
      <c r="L367" s="372"/>
      <c r="M367" s="370"/>
      <c r="N367" s="370"/>
      <c r="O367" s="976"/>
    </row>
    <row r="368" spans="1:15" ht="18.95" customHeight="1">
      <c r="A368" s="149"/>
      <c r="B368" s="411"/>
      <c r="C368" s="485"/>
      <c r="D368" s="485"/>
      <c r="E368" s="367"/>
      <c r="F368" s="388"/>
      <c r="G368" s="367"/>
      <c r="H368" s="367"/>
      <c r="I368" s="367"/>
      <c r="J368" s="372"/>
      <c r="K368" s="372"/>
      <c r="L368" s="372"/>
      <c r="M368" s="370"/>
      <c r="N368" s="370"/>
      <c r="O368" s="976"/>
    </row>
    <row r="369" spans="1:15" ht="18.95" customHeight="1">
      <c r="A369" s="149"/>
      <c r="B369" s="1301"/>
      <c r="C369" s="1302"/>
      <c r="D369" s="1303"/>
      <c r="E369" s="367"/>
      <c r="F369" s="388"/>
      <c r="G369" s="367"/>
      <c r="H369" s="367"/>
      <c r="I369" s="367"/>
      <c r="J369" s="372"/>
      <c r="K369" s="372"/>
      <c r="L369" s="372"/>
      <c r="M369" s="393"/>
      <c r="N369" s="370"/>
      <c r="O369" s="976"/>
    </row>
    <row r="370" spans="1:15" ht="18.95" customHeight="1">
      <c r="A370" s="149"/>
      <c r="B370" s="411"/>
      <c r="C370" s="485"/>
      <c r="D370" s="485"/>
      <c r="E370" s="367"/>
      <c r="F370" s="388"/>
      <c r="G370" s="367"/>
      <c r="H370" s="367"/>
      <c r="I370" s="367"/>
      <c r="J370" s="372"/>
      <c r="K370" s="372"/>
      <c r="L370" s="372"/>
      <c r="M370" s="370"/>
      <c r="N370" s="224"/>
      <c r="O370" s="973"/>
    </row>
    <row r="371" spans="1:15" ht="18.95" customHeight="1">
      <c r="A371" s="371"/>
      <c r="B371" s="409"/>
      <c r="C371" s="485"/>
      <c r="D371" s="485"/>
      <c r="E371" s="367"/>
      <c r="F371" s="388"/>
      <c r="G371" s="367"/>
      <c r="H371" s="367"/>
      <c r="I371" s="367"/>
      <c r="J371" s="372"/>
      <c r="K371" s="372"/>
      <c r="L371" s="372"/>
      <c r="M371" s="370"/>
      <c r="N371" s="224"/>
      <c r="O371" s="973"/>
    </row>
    <row r="372" spans="1:15" ht="18.95" customHeight="1">
      <c r="A372" s="149"/>
      <c r="B372" s="411"/>
      <c r="C372" s="485"/>
      <c r="D372" s="485"/>
      <c r="E372" s="367"/>
      <c r="F372" s="388"/>
      <c r="G372" s="367"/>
      <c r="H372" s="367"/>
      <c r="I372" s="367"/>
      <c r="J372" s="372"/>
      <c r="K372" s="372"/>
      <c r="L372" s="372"/>
      <c r="M372" s="370"/>
      <c r="N372" s="224"/>
      <c r="O372" s="973"/>
    </row>
    <row r="373" spans="1:15" ht="18.95" customHeight="1">
      <c r="A373" s="141"/>
      <c r="B373" s="411"/>
      <c r="C373" s="485"/>
      <c r="D373" s="485"/>
      <c r="E373" s="367"/>
      <c r="F373" s="388"/>
      <c r="G373" s="367"/>
      <c r="H373" s="367"/>
      <c r="I373" s="367"/>
      <c r="J373" s="372"/>
      <c r="K373" s="372"/>
      <c r="L373" s="372"/>
      <c r="M373" s="370"/>
      <c r="N373" s="224"/>
      <c r="O373" s="973"/>
    </row>
    <row r="374" spans="1:15" ht="18.95" customHeight="1">
      <c r="A374" s="204"/>
      <c r="B374" s="411"/>
      <c r="C374" s="485"/>
      <c r="D374" s="485"/>
      <c r="E374" s="368"/>
      <c r="F374" s="224"/>
      <c r="G374" s="368"/>
      <c r="H374" s="368"/>
      <c r="I374" s="368"/>
      <c r="J374" s="369"/>
      <c r="K374" s="369"/>
      <c r="L374" s="369"/>
      <c r="M374" s="392"/>
      <c r="N374" s="224"/>
      <c r="O374" s="973"/>
    </row>
    <row r="375" spans="1:15" ht="18.95" customHeight="1">
      <c r="A375" s="149"/>
      <c r="B375" s="411"/>
      <c r="C375" s="485"/>
      <c r="D375" s="485"/>
      <c r="E375" s="368"/>
      <c r="F375" s="224"/>
      <c r="G375" s="368"/>
      <c r="H375" s="368"/>
      <c r="I375" s="368"/>
      <c r="J375" s="369"/>
      <c r="K375" s="369"/>
      <c r="L375" s="369"/>
      <c r="M375" s="392"/>
      <c r="N375" s="224"/>
      <c r="O375" s="973"/>
    </row>
    <row r="376" spans="1:15" ht="18.95" customHeight="1">
      <c r="A376" s="141"/>
      <c r="B376" s="411"/>
      <c r="C376" s="485"/>
      <c r="D376" s="485"/>
      <c r="E376" s="368"/>
      <c r="F376" s="224"/>
      <c r="G376" s="368"/>
      <c r="H376" s="368"/>
      <c r="I376" s="368"/>
      <c r="J376" s="369"/>
      <c r="K376" s="369"/>
      <c r="L376" s="369"/>
      <c r="M376" s="392"/>
      <c r="N376" s="224"/>
      <c r="O376" s="973"/>
    </row>
    <row r="377" spans="1:15" ht="18.95" customHeight="1">
      <c r="A377" s="204"/>
      <c r="B377" s="411"/>
      <c r="C377" s="485"/>
      <c r="D377" s="485"/>
      <c r="E377" s="368"/>
      <c r="F377" s="224"/>
      <c r="G377" s="368"/>
      <c r="H377" s="368"/>
      <c r="I377" s="368"/>
      <c r="J377" s="369"/>
      <c r="K377" s="369"/>
      <c r="L377" s="369"/>
      <c r="M377" s="392"/>
      <c r="N377" s="224"/>
      <c r="O377" s="973"/>
    </row>
    <row r="378" spans="1:15" ht="18.95" customHeight="1">
      <c r="A378" s="149"/>
      <c r="B378" s="411"/>
      <c r="C378" s="485"/>
      <c r="D378" s="485"/>
      <c r="E378" s="368"/>
      <c r="F378" s="224"/>
      <c r="G378" s="368"/>
      <c r="H378" s="368"/>
      <c r="I378" s="368"/>
      <c r="J378" s="369"/>
      <c r="K378" s="369"/>
      <c r="L378" s="369"/>
      <c r="M378" s="392"/>
      <c r="N378" s="224"/>
      <c r="O378" s="973"/>
    </row>
    <row r="379" spans="1:15" ht="18.95" customHeight="1">
      <c r="A379" s="141"/>
      <c r="B379" s="411"/>
      <c r="C379" s="840"/>
      <c r="D379" s="840"/>
      <c r="E379" s="368"/>
      <c r="F379" s="224"/>
      <c r="G379" s="368"/>
      <c r="H379" s="368"/>
      <c r="I379" s="368"/>
      <c r="J379" s="369"/>
      <c r="K379" s="369"/>
      <c r="L379" s="369"/>
      <c r="M379" s="394"/>
      <c r="N379" s="224"/>
      <c r="O379" s="973"/>
    </row>
    <row r="380" spans="1:15" ht="18.95" customHeight="1">
      <c r="A380" s="204"/>
      <c r="B380" s="415"/>
      <c r="C380" s="453"/>
      <c r="D380" s="328"/>
      <c r="E380" s="367"/>
      <c r="F380" s="395"/>
      <c r="G380" s="377"/>
      <c r="H380" s="377"/>
      <c r="I380" s="377"/>
      <c r="J380" s="396"/>
      <c r="K380" s="396"/>
      <c r="L380" s="370"/>
      <c r="M380" s="224"/>
      <c r="N380" s="224"/>
      <c r="O380" s="973"/>
    </row>
    <row r="381" spans="1:15" ht="18.95" customHeight="1">
      <c r="A381" s="203"/>
      <c r="B381" s="417"/>
      <c r="C381" s="453"/>
      <c r="D381" s="328"/>
      <c r="E381" s="370"/>
      <c r="F381" s="382"/>
      <c r="G381" s="377"/>
      <c r="H381" s="377"/>
      <c r="I381" s="377"/>
      <c r="J381" s="377"/>
      <c r="K381" s="377"/>
      <c r="L381" s="377"/>
      <c r="M381" s="224"/>
      <c r="N381" s="224"/>
      <c r="O381" s="973"/>
    </row>
    <row r="382" spans="1:15" ht="18.95" customHeight="1">
      <c r="A382" s="203"/>
      <c r="B382" s="415"/>
      <c r="C382" s="733"/>
      <c r="D382" s="851"/>
      <c r="E382" s="370"/>
      <c r="F382" s="382"/>
      <c r="G382" s="377"/>
      <c r="H382" s="377"/>
      <c r="I382" s="377"/>
      <c r="J382" s="377"/>
      <c r="K382" s="377"/>
      <c r="L382" s="377"/>
      <c r="M382" s="224"/>
      <c r="N382" s="224"/>
      <c r="O382" s="973"/>
    </row>
    <row r="383" spans="1:15" ht="18.95" customHeight="1">
      <c r="A383" s="203"/>
      <c r="B383" s="416"/>
      <c r="C383" s="329"/>
      <c r="D383" s="328"/>
      <c r="E383" s="370"/>
      <c r="F383" s="382"/>
      <c r="G383" s="377"/>
      <c r="H383" s="377"/>
      <c r="I383" s="377"/>
      <c r="J383" s="377"/>
      <c r="K383" s="377"/>
      <c r="L383" s="377"/>
      <c r="M383" s="224"/>
      <c r="N383" s="224"/>
      <c r="O383" s="973"/>
    </row>
    <row r="384" spans="1:15" ht="18.95" customHeight="1">
      <c r="A384" s="224"/>
      <c r="B384" s="416"/>
      <c r="C384" s="329"/>
      <c r="D384" s="850"/>
      <c r="E384" s="370"/>
      <c r="F384" s="382"/>
      <c r="G384" s="377"/>
      <c r="H384" s="377"/>
      <c r="I384" s="377"/>
      <c r="J384" s="377"/>
      <c r="K384" s="377"/>
      <c r="L384" s="377"/>
      <c r="M384" s="224"/>
      <c r="N384" s="224"/>
      <c r="O384" s="973"/>
    </row>
    <row r="385" spans="1:15" ht="18.95" customHeight="1">
      <c r="A385" s="224"/>
      <c r="B385" s="122"/>
      <c r="C385" s="329"/>
      <c r="D385" s="328"/>
      <c r="E385" s="367"/>
      <c r="F385" s="224"/>
      <c r="G385" s="367"/>
      <c r="H385" s="367"/>
      <c r="I385" s="367"/>
      <c r="J385" s="368"/>
      <c r="K385" s="368"/>
      <c r="L385" s="369"/>
      <c r="M385" s="368"/>
      <c r="N385" s="224"/>
      <c r="O385" s="973"/>
    </row>
    <row r="386" spans="1:15" ht="18.95" customHeight="1">
      <c r="A386" s="224"/>
      <c r="B386" s="122"/>
      <c r="C386" s="329"/>
      <c r="D386" s="328"/>
      <c r="E386" s="367"/>
      <c r="F386" s="224"/>
      <c r="G386" s="367"/>
      <c r="H386" s="367"/>
      <c r="I386" s="367"/>
      <c r="J386" s="368"/>
      <c r="K386" s="368"/>
      <c r="L386" s="369"/>
      <c r="M386" s="368"/>
      <c r="N386" s="224"/>
      <c r="O386" s="973"/>
    </row>
    <row r="387" spans="1:15" ht="18.95" customHeight="1">
      <c r="A387" s="224"/>
      <c r="B387" s="122"/>
      <c r="C387" s="329"/>
      <c r="D387" s="328"/>
      <c r="E387" s="367"/>
      <c r="F387" s="224"/>
      <c r="G387" s="367"/>
      <c r="H387" s="367"/>
      <c r="I387" s="367"/>
      <c r="J387" s="368"/>
      <c r="K387" s="368"/>
      <c r="L387" s="369"/>
      <c r="M387" s="368"/>
      <c r="N387" s="224"/>
      <c r="O387" s="973"/>
    </row>
    <row r="388" spans="1:15" ht="18.95" customHeight="1">
      <c r="A388" s="224"/>
      <c r="B388" s="122"/>
      <c r="C388" s="329"/>
      <c r="D388" s="328"/>
      <c r="E388" s="367"/>
      <c r="F388" s="224"/>
      <c r="G388" s="367"/>
      <c r="H388" s="367"/>
      <c r="I388" s="367"/>
      <c r="J388" s="368"/>
      <c r="K388" s="368"/>
      <c r="L388" s="369"/>
      <c r="M388" s="368"/>
      <c r="N388" s="224"/>
      <c r="O388" s="973"/>
    </row>
    <row r="389" spans="1:15" ht="18.95" customHeight="1">
      <c r="A389" s="336"/>
      <c r="B389" s="409"/>
      <c r="C389" s="834"/>
      <c r="D389" s="849"/>
      <c r="E389" s="384"/>
      <c r="F389" s="385"/>
      <c r="G389" s="384"/>
      <c r="H389" s="384"/>
      <c r="I389" s="384"/>
      <c r="J389" s="386"/>
      <c r="K389" s="386"/>
      <c r="L389" s="384"/>
      <c r="M389" s="387"/>
      <c r="N389" s="224"/>
      <c r="O389" s="973"/>
    </row>
    <row r="390" spans="1:15" ht="18.95" customHeight="1">
      <c r="A390" s="139"/>
      <c r="B390" s="411"/>
      <c r="C390" s="485"/>
      <c r="D390" s="485"/>
      <c r="E390" s="368"/>
      <c r="F390" s="224"/>
      <c r="G390" s="368"/>
      <c r="H390" s="368"/>
      <c r="I390" s="368"/>
      <c r="J390" s="369"/>
      <c r="K390" s="369"/>
      <c r="L390" s="369"/>
      <c r="M390" s="392"/>
      <c r="N390" s="224"/>
      <c r="O390" s="973"/>
    </row>
    <row r="391" spans="1:15" ht="18.95" customHeight="1">
      <c r="A391" s="398"/>
      <c r="B391" s="409"/>
      <c r="C391" s="834"/>
      <c r="D391" s="328"/>
      <c r="E391" s="367"/>
      <c r="F391" s="224"/>
      <c r="G391" s="367"/>
      <c r="H391" s="367"/>
      <c r="I391" s="367"/>
      <c r="J391" s="372"/>
      <c r="K391" s="372"/>
      <c r="L391" s="389"/>
      <c r="M391" s="224"/>
      <c r="N391" s="370"/>
      <c r="O391" s="976"/>
    </row>
    <row r="392" spans="1:15" ht="18.95" customHeight="1">
      <c r="A392" s="139"/>
      <c r="B392" s="410"/>
      <c r="C392" s="832"/>
      <c r="D392" s="328"/>
      <c r="E392" s="367"/>
      <c r="F392" s="224"/>
      <c r="G392" s="367"/>
      <c r="H392" s="367"/>
      <c r="I392" s="367"/>
      <c r="J392" s="368"/>
      <c r="K392" s="368"/>
      <c r="L392" s="369"/>
      <c r="M392" s="370"/>
      <c r="N392" s="370"/>
      <c r="O392" s="976"/>
    </row>
    <row r="393" spans="1:15" ht="18.95" customHeight="1">
      <c r="A393" s="139"/>
      <c r="B393" s="417"/>
      <c r="C393" s="832"/>
      <c r="D393" s="328"/>
      <c r="E393" s="367"/>
      <c r="F393" s="224"/>
      <c r="G393" s="367"/>
      <c r="H393" s="367"/>
      <c r="I393" s="367"/>
      <c r="J393" s="368"/>
      <c r="K393" s="368"/>
      <c r="L393" s="369"/>
      <c r="M393" s="370"/>
      <c r="N393" s="370"/>
      <c r="O393" s="976"/>
    </row>
    <row r="394" spans="1:15" ht="18.95" customHeight="1">
      <c r="A394" s="139"/>
      <c r="B394" s="417"/>
      <c r="C394" s="832"/>
      <c r="D394" s="328"/>
      <c r="E394" s="367"/>
      <c r="F394" s="224"/>
      <c r="G394" s="367"/>
      <c r="H394" s="367"/>
      <c r="I394" s="367"/>
      <c r="J394" s="368"/>
      <c r="K394" s="368"/>
      <c r="L394" s="369"/>
      <c r="M394" s="370"/>
      <c r="N394" s="370"/>
      <c r="O394" s="976"/>
    </row>
    <row r="395" spans="1:15" ht="18.95" customHeight="1">
      <c r="A395" s="139"/>
      <c r="B395" s="417"/>
      <c r="C395" s="832"/>
      <c r="D395" s="328"/>
      <c r="E395" s="367"/>
      <c r="F395" s="224"/>
      <c r="G395" s="367"/>
      <c r="H395" s="367"/>
      <c r="I395" s="367"/>
      <c r="J395" s="368"/>
      <c r="K395" s="368"/>
      <c r="L395" s="369"/>
      <c r="M395" s="370"/>
      <c r="N395" s="370"/>
      <c r="O395" s="976"/>
    </row>
    <row r="396" spans="1:15" ht="18.95" customHeight="1">
      <c r="A396" s="399"/>
      <c r="B396" s="846"/>
      <c r="C396" s="832"/>
      <c r="D396" s="328"/>
      <c r="E396" s="367"/>
      <c r="F396" s="224"/>
      <c r="G396" s="367"/>
      <c r="H396" s="367"/>
      <c r="I396" s="367"/>
      <c r="J396" s="368"/>
      <c r="K396" s="368"/>
      <c r="L396" s="369"/>
      <c r="M396" s="370"/>
      <c r="N396" s="370"/>
      <c r="O396" s="976"/>
    </row>
    <row r="397" spans="1:15" ht="18.95" customHeight="1">
      <c r="A397" s="149"/>
      <c r="B397" s="417"/>
      <c r="C397" s="832"/>
      <c r="D397" s="328"/>
      <c r="E397" s="367"/>
      <c r="F397" s="224"/>
      <c r="G397" s="372"/>
      <c r="H397" s="372"/>
      <c r="I397" s="367"/>
      <c r="J397" s="368"/>
      <c r="K397" s="368"/>
      <c r="L397" s="369"/>
      <c r="M397" s="370"/>
      <c r="N397" s="370"/>
      <c r="O397" s="976"/>
    </row>
    <row r="398" spans="1:15" ht="18.95" customHeight="1">
      <c r="A398" s="149"/>
      <c r="B398" s="410"/>
      <c r="C398" s="329"/>
      <c r="D398" s="328"/>
      <c r="E398" s="367"/>
      <c r="F398" s="224"/>
      <c r="G398" s="367"/>
      <c r="H398" s="367"/>
      <c r="I398" s="367"/>
      <c r="J398" s="368"/>
      <c r="K398" s="368"/>
      <c r="L398" s="369"/>
      <c r="M398" s="370"/>
      <c r="N398" s="224"/>
      <c r="O398" s="973"/>
    </row>
    <row r="399" spans="1:15" ht="18.95" customHeight="1">
      <c r="A399" s="371"/>
      <c r="B399" s="841"/>
      <c r="C399" s="832"/>
      <c r="D399" s="328"/>
      <c r="E399" s="367"/>
      <c r="F399" s="224"/>
      <c r="G399" s="372"/>
      <c r="H399" s="372"/>
      <c r="I399" s="367"/>
      <c r="J399" s="368"/>
      <c r="K399" s="368"/>
      <c r="L399" s="369"/>
      <c r="M399" s="370"/>
      <c r="N399" s="224"/>
      <c r="O399" s="973"/>
    </row>
    <row r="400" spans="1:15" ht="18.95" customHeight="1">
      <c r="A400" s="149"/>
      <c r="B400" s="331"/>
      <c r="C400" s="330"/>
      <c r="D400" s="328"/>
      <c r="E400" s="367"/>
      <c r="F400" s="224"/>
      <c r="G400" s="372"/>
      <c r="H400" s="372"/>
      <c r="I400" s="367"/>
      <c r="J400" s="368"/>
      <c r="K400" s="368"/>
      <c r="L400" s="369"/>
      <c r="M400" s="370"/>
      <c r="N400" s="224"/>
      <c r="O400" s="973"/>
    </row>
    <row r="401" spans="1:15" ht="18.95" customHeight="1">
      <c r="A401" s="141"/>
      <c r="B401" s="411"/>
      <c r="C401" s="832"/>
      <c r="D401" s="840"/>
      <c r="E401" s="375"/>
      <c r="F401" s="376"/>
      <c r="G401" s="377"/>
      <c r="H401" s="377"/>
      <c r="I401" s="367"/>
      <c r="J401" s="368"/>
      <c r="K401" s="368"/>
      <c r="L401" s="369"/>
      <c r="M401" s="370"/>
      <c r="N401" s="224"/>
      <c r="O401" s="973"/>
    </row>
    <row r="402" spans="1:15" ht="18.95" customHeight="1">
      <c r="A402" s="204"/>
      <c r="B402" s="411"/>
      <c r="C402" s="840"/>
      <c r="D402" s="840"/>
      <c r="E402" s="367"/>
      <c r="F402" s="224"/>
      <c r="G402" s="372"/>
      <c r="H402" s="372"/>
      <c r="I402" s="367"/>
      <c r="J402" s="368"/>
      <c r="K402" s="368"/>
      <c r="L402" s="369"/>
      <c r="M402" s="370"/>
      <c r="N402" s="224"/>
      <c r="O402" s="973"/>
    </row>
    <row r="403" spans="1:15" ht="18.95" customHeight="1">
      <c r="A403" s="149"/>
      <c r="B403" s="331"/>
      <c r="C403" s="329"/>
      <c r="D403" s="328"/>
      <c r="E403" s="367"/>
      <c r="F403" s="224"/>
      <c r="G403" s="367"/>
      <c r="H403" s="367"/>
      <c r="I403" s="367"/>
      <c r="J403" s="368"/>
      <c r="K403" s="368"/>
      <c r="L403" s="369"/>
      <c r="M403" s="370"/>
      <c r="N403" s="224"/>
      <c r="O403" s="973"/>
    </row>
    <row r="404" spans="1:15" ht="18.95" customHeight="1">
      <c r="A404" s="141"/>
      <c r="B404" s="331"/>
      <c r="C404" s="329"/>
      <c r="D404" s="328"/>
      <c r="E404" s="367"/>
      <c r="F404" s="224"/>
      <c r="G404" s="367"/>
      <c r="H404" s="367"/>
      <c r="I404" s="367"/>
      <c r="J404" s="368"/>
      <c r="K404" s="368"/>
      <c r="L404" s="369"/>
      <c r="M404" s="370"/>
      <c r="N404" s="224"/>
      <c r="O404" s="973"/>
    </row>
    <row r="405" spans="1:15" ht="18.95" customHeight="1">
      <c r="A405" s="379"/>
      <c r="B405" s="409"/>
      <c r="C405" s="832"/>
      <c r="D405" s="328"/>
      <c r="E405" s="367"/>
      <c r="F405" s="224"/>
      <c r="G405" s="367"/>
      <c r="H405" s="367"/>
      <c r="I405" s="367"/>
      <c r="J405" s="368"/>
      <c r="K405" s="368"/>
      <c r="L405" s="369"/>
      <c r="M405" s="370"/>
      <c r="N405" s="224"/>
      <c r="O405" s="973"/>
    </row>
    <row r="406" spans="1:15" ht="18.95" customHeight="1">
      <c r="A406" s="149"/>
      <c r="B406" s="331"/>
      <c r="C406" s="329"/>
      <c r="D406" s="328"/>
      <c r="E406" s="367"/>
      <c r="F406" s="224"/>
      <c r="G406" s="367"/>
      <c r="H406" s="367"/>
      <c r="I406" s="367"/>
      <c r="J406" s="368"/>
      <c r="K406" s="368"/>
      <c r="L406" s="369"/>
      <c r="M406" s="370"/>
      <c r="N406" s="224"/>
      <c r="O406" s="973"/>
    </row>
    <row r="407" spans="1:15" ht="18.95" customHeight="1">
      <c r="A407" s="380"/>
      <c r="B407" s="414"/>
      <c r="C407" s="329"/>
      <c r="D407" s="328"/>
      <c r="E407" s="367"/>
      <c r="F407" s="224"/>
      <c r="G407" s="367"/>
      <c r="H407" s="367"/>
      <c r="I407" s="367"/>
      <c r="J407" s="368"/>
      <c r="K407" s="368"/>
      <c r="L407" s="369"/>
      <c r="M407" s="370"/>
      <c r="N407" s="224"/>
      <c r="O407" s="973"/>
    </row>
    <row r="408" spans="1:15" ht="18.95" customHeight="1">
      <c r="A408" s="204"/>
      <c r="B408" s="331"/>
      <c r="C408" s="329"/>
      <c r="D408" s="328"/>
      <c r="E408" s="367"/>
      <c r="F408" s="224"/>
      <c r="G408" s="367"/>
      <c r="H408" s="367"/>
      <c r="I408" s="367"/>
      <c r="J408" s="368"/>
      <c r="K408" s="368"/>
      <c r="L408" s="369"/>
      <c r="M408" s="370"/>
      <c r="N408" s="224"/>
      <c r="O408" s="973"/>
    </row>
    <row r="409" spans="1:15" ht="18.95" customHeight="1">
      <c r="A409" s="203"/>
      <c r="B409" s="331"/>
      <c r="C409" s="329"/>
      <c r="D409" s="328"/>
      <c r="E409" s="367"/>
      <c r="F409" s="224"/>
      <c r="G409" s="367"/>
      <c r="H409" s="367"/>
      <c r="I409" s="367"/>
      <c r="J409" s="368"/>
      <c r="K409" s="368"/>
      <c r="L409" s="369"/>
      <c r="M409" s="370"/>
      <c r="N409" s="224"/>
      <c r="O409" s="973"/>
    </row>
    <row r="410" spans="1:15" ht="18.95" customHeight="1">
      <c r="A410" s="203"/>
      <c r="B410" s="415"/>
      <c r="C410" s="733"/>
      <c r="D410" s="851"/>
      <c r="E410" s="370"/>
      <c r="F410" s="382"/>
      <c r="G410" s="377"/>
      <c r="H410" s="377"/>
      <c r="I410" s="377"/>
      <c r="J410" s="377"/>
      <c r="K410" s="377"/>
      <c r="L410" s="377"/>
      <c r="M410" s="224"/>
      <c r="N410" s="224"/>
      <c r="O410" s="973"/>
    </row>
    <row r="411" spans="1:15" ht="18.95" customHeight="1">
      <c r="A411" s="203"/>
      <c r="B411" s="1307"/>
      <c r="C411" s="1308"/>
      <c r="D411" s="1309"/>
      <c r="E411" s="370"/>
      <c r="F411" s="382"/>
      <c r="G411" s="377"/>
      <c r="H411" s="377"/>
      <c r="I411" s="377"/>
      <c r="J411" s="377"/>
      <c r="K411" s="377"/>
      <c r="L411" s="377"/>
      <c r="M411" s="383"/>
      <c r="N411" s="224"/>
      <c r="O411" s="973"/>
    </row>
    <row r="412" spans="1:15" ht="18.95" customHeight="1">
      <c r="A412" s="224"/>
      <c r="B412" s="416"/>
      <c r="C412" s="329"/>
      <c r="D412" s="850"/>
      <c r="E412" s="370"/>
      <c r="F412" s="382"/>
      <c r="G412" s="377"/>
      <c r="H412" s="377"/>
      <c r="I412" s="377"/>
      <c r="J412" s="377"/>
      <c r="K412" s="377"/>
      <c r="L412" s="377"/>
      <c r="M412" s="224"/>
      <c r="N412" s="224"/>
      <c r="O412" s="973"/>
    </row>
    <row r="413" spans="1:15" ht="18.95" customHeight="1">
      <c r="A413" s="224"/>
      <c r="B413" s="122"/>
      <c r="C413" s="329"/>
      <c r="D413" s="328"/>
      <c r="E413" s="367"/>
      <c r="F413" s="224"/>
      <c r="G413" s="367"/>
      <c r="H413" s="367"/>
      <c r="I413" s="367"/>
      <c r="J413" s="368"/>
      <c r="K413" s="368"/>
      <c r="L413" s="369"/>
      <c r="M413" s="368"/>
      <c r="N413" s="224"/>
      <c r="O413" s="973"/>
    </row>
    <row r="414" spans="1:15" ht="18.95" customHeight="1">
      <c r="A414" s="224"/>
      <c r="B414" s="122"/>
      <c r="C414" s="329"/>
      <c r="D414" s="328"/>
      <c r="E414" s="367"/>
      <c r="F414" s="224"/>
      <c r="G414" s="367"/>
      <c r="H414" s="367"/>
      <c r="I414" s="367"/>
      <c r="J414" s="368"/>
      <c r="K414" s="368"/>
      <c r="L414" s="369"/>
      <c r="M414" s="368"/>
      <c r="N414" s="224"/>
      <c r="O414" s="973"/>
    </row>
    <row r="415" spans="1:15" ht="18.95" customHeight="1">
      <c r="A415" s="224"/>
      <c r="B415" s="122"/>
      <c r="C415" s="329"/>
      <c r="D415" s="328"/>
      <c r="E415" s="367"/>
      <c r="F415" s="224"/>
      <c r="G415" s="367"/>
      <c r="H415" s="367"/>
      <c r="I415" s="367"/>
      <c r="J415" s="368"/>
      <c r="K415" s="368"/>
      <c r="L415" s="369"/>
      <c r="M415" s="368"/>
      <c r="N415" s="224"/>
      <c r="O415" s="973"/>
    </row>
    <row r="416" spans="1:15" ht="18.95" customHeight="1">
      <c r="A416" s="401"/>
      <c r="B416" s="133"/>
      <c r="C416" s="402"/>
      <c r="D416" s="403"/>
      <c r="E416" s="404"/>
      <c r="F416" s="401"/>
      <c r="G416" s="404"/>
      <c r="H416" s="404"/>
      <c r="I416" s="404"/>
      <c r="J416" s="405"/>
      <c r="K416" s="405"/>
      <c r="L416" s="406"/>
      <c r="M416" s="405"/>
      <c r="N416" s="401"/>
      <c r="O416" s="973"/>
    </row>
  </sheetData>
  <mergeCells count="44">
    <mergeCell ref="C277:D277"/>
    <mergeCell ref="C278:D278"/>
    <mergeCell ref="B284:D284"/>
    <mergeCell ref="C234:D234"/>
    <mergeCell ref="B241:D241"/>
    <mergeCell ref="B263:D263"/>
    <mergeCell ref="B270:D270"/>
    <mergeCell ref="C272:D272"/>
    <mergeCell ref="C203:D203"/>
    <mergeCell ref="B204:D204"/>
    <mergeCell ref="B213:D213"/>
    <mergeCell ref="B226:D226"/>
    <mergeCell ref="B232:D232"/>
    <mergeCell ref="C176:D176"/>
    <mergeCell ref="C177:D177"/>
    <mergeCell ref="B183:D183"/>
    <mergeCell ref="B189:D189"/>
    <mergeCell ref="B200:D200"/>
    <mergeCell ref="B163:D163"/>
    <mergeCell ref="C164:D164"/>
    <mergeCell ref="C167:D167"/>
    <mergeCell ref="B173:D173"/>
    <mergeCell ref="C174:D174"/>
    <mergeCell ref="B102:D102"/>
    <mergeCell ref="B110:D110"/>
    <mergeCell ref="B128:D128"/>
    <mergeCell ref="B146:D146"/>
    <mergeCell ref="B158:D158"/>
    <mergeCell ref="B35:D35"/>
    <mergeCell ref="B353:D353"/>
    <mergeCell ref="B369:D369"/>
    <mergeCell ref="B411:D411"/>
    <mergeCell ref="B299:D299"/>
    <mergeCell ref="B248:D248"/>
    <mergeCell ref="B254:D254"/>
    <mergeCell ref="B219:D219"/>
    <mergeCell ref="B194:D194"/>
    <mergeCell ref="B122:D122"/>
    <mergeCell ref="C166:D166"/>
    <mergeCell ref="C159:D159"/>
    <mergeCell ref="B134:D134"/>
    <mergeCell ref="B139:D139"/>
    <mergeCell ref="B91:D91"/>
    <mergeCell ref="B96:D96"/>
  </mergeCells>
  <phoneticPr fontId="10" type="noConversion"/>
  <printOptions horizontalCentered="1"/>
  <pageMargins left="0.31496062992125984" right="0.15748031496062992" top="1.0629921259842521" bottom="0" header="0.6692913385826772" footer="0"/>
  <pageSetup paperSize="9" scale="73" firstPageNumber="24" fitToHeight="1000" orientation="landscape" useFirstPageNumber="1" r:id="rId1"/>
  <headerFooter alignWithMargins="0">
    <oddHeader xml:space="preserve">&amp;C&amp;"Cordia New,Regular"&amp;14แบบแสดงรายการ ปริมาณงาน และราคา&amp;R&amp;"Cordia New,Regular"&amp;14แบบปร.4(ก) แผ่นที่ &amp;P/103   </oddHeader>
  </headerFooter>
  <rowBreaks count="9" manualBreakCount="9">
    <brk id="26" max="11" man="1"/>
    <brk id="53" max="11" man="1"/>
    <brk id="85" max="11" man="1"/>
    <brk id="111" max="11" man="1"/>
    <brk id="141" max="11" man="1"/>
    <brk id="174" max="11" man="1"/>
    <brk id="205" max="11" man="1"/>
    <brk id="232" max="11" man="1"/>
    <brk id="263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S698"/>
  <sheetViews>
    <sheetView showGridLines="0" view="pageBreakPreview" zoomScaleNormal="70" zoomScaleSheetLayoutView="100" workbookViewId="0">
      <pane ySplit="1" topLeftCell="A2" activePane="bottomLeft" state="frozen"/>
      <selection pane="bottomLeft" activeCell="M17" sqref="M17"/>
    </sheetView>
  </sheetViews>
  <sheetFormatPr defaultColWidth="10.42578125" defaultRowHeight="18.95" customHeight="1"/>
  <cols>
    <col min="1" max="1" width="6.7109375" style="250" customWidth="1"/>
    <col min="2" max="2" width="10" style="250" customWidth="1"/>
    <col min="3" max="3" width="6.42578125" style="407" customWidth="1"/>
    <col min="4" max="4" width="46.42578125" style="251" customWidth="1"/>
    <col min="5" max="5" width="12.85546875" style="408" customWidth="1"/>
    <col min="6" max="6" width="9.5703125" style="250" customWidth="1"/>
    <col min="7" max="7" width="15.7109375" style="408" hidden="1" customWidth="1"/>
    <col min="8" max="9" width="15.7109375" style="408" customWidth="1"/>
    <col min="10" max="10" width="15.7109375" style="250" hidden="1" customWidth="1"/>
    <col min="11" max="12" width="15.7109375" style="250" customWidth="1"/>
    <col min="13" max="13" width="18.7109375" style="250" customWidth="1"/>
    <col min="14" max="14" width="19" style="250" customWidth="1"/>
    <col min="15" max="15" width="17.85546875" style="250" customWidth="1"/>
    <col min="16" max="16" width="16.5703125" style="250" customWidth="1"/>
    <col min="17" max="17" width="13.85546875" style="250" customWidth="1"/>
    <col min="18" max="16384" width="10.42578125" style="250"/>
  </cols>
  <sheetData>
    <row r="1" spans="1:16" ht="36.75" customHeight="1">
      <c r="A1" s="1192" t="s">
        <v>1007</v>
      </c>
      <c r="B1" s="1192"/>
      <c r="C1" s="1205" t="s">
        <v>33</v>
      </c>
      <c r="D1" s="1206"/>
      <c r="E1" s="1193" t="s">
        <v>35</v>
      </c>
      <c r="F1" s="308" t="s">
        <v>34</v>
      </c>
      <c r="G1" s="1207" t="s">
        <v>1008</v>
      </c>
      <c r="H1" s="1211" t="s">
        <v>1009</v>
      </c>
      <c r="I1" s="1208" t="s">
        <v>36</v>
      </c>
      <c r="J1" s="1209" t="s">
        <v>1010</v>
      </c>
      <c r="K1" s="1212" t="s">
        <v>1011</v>
      </c>
      <c r="L1" s="1210" t="s">
        <v>37</v>
      </c>
      <c r="M1" s="308" t="s">
        <v>38</v>
      </c>
      <c r="N1" s="308" t="s">
        <v>19</v>
      </c>
      <c r="O1" s="306"/>
      <c r="P1" s="306"/>
    </row>
    <row r="2" spans="1:16" ht="18.95" customHeight="1">
      <c r="A2" s="119"/>
      <c r="B2" s="119"/>
      <c r="C2" s="419" t="s">
        <v>1012</v>
      </c>
      <c r="D2" s="120"/>
      <c r="E2" s="263"/>
      <c r="F2" s="264"/>
      <c r="G2" s="263"/>
      <c r="H2" s="263"/>
      <c r="I2" s="263"/>
      <c r="J2" s="265"/>
      <c r="K2" s="265"/>
      <c r="L2" s="266"/>
      <c r="M2" s="264"/>
      <c r="N2" s="264"/>
      <c r="O2" s="973"/>
      <c r="P2" s="973"/>
    </row>
    <row r="3" spans="1:16" ht="18.95" customHeight="1">
      <c r="A3" s="122"/>
      <c r="B3" s="122"/>
      <c r="C3" s="315" t="s">
        <v>22</v>
      </c>
      <c r="D3" s="123"/>
      <c r="E3" s="267"/>
      <c r="F3" s="268"/>
      <c r="G3" s="267"/>
      <c r="H3" s="267"/>
      <c r="I3" s="267"/>
      <c r="J3" s="269"/>
      <c r="K3" s="269"/>
      <c r="L3" s="269"/>
      <c r="M3" s="270"/>
      <c r="N3" s="268"/>
      <c r="O3" s="973"/>
      <c r="P3" s="973"/>
    </row>
    <row r="4" spans="1:16" ht="18.95" customHeight="1">
      <c r="A4" s="314">
        <v>1</v>
      </c>
      <c r="B4" s="590"/>
      <c r="C4" s="323"/>
      <c r="D4" s="323" t="s">
        <v>1013</v>
      </c>
      <c r="E4" s="267"/>
      <c r="F4" s="268"/>
      <c r="G4" s="267"/>
      <c r="H4" s="267"/>
      <c r="I4" s="267"/>
      <c r="J4" s="269"/>
      <c r="K4" s="269"/>
      <c r="L4" s="269"/>
      <c r="M4" s="270">
        <f>M181</f>
        <v>2841633.3698041015</v>
      </c>
      <c r="N4" s="268"/>
      <c r="O4" s="973">
        <f>P4*0.934908047</f>
        <v>2841633.3664384326</v>
      </c>
      <c r="P4" s="973">
        <v>3039478.99</v>
      </c>
    </row>
    <row r="5" spans="1:16" ht="18.95" customHeight="1">
      <c r="A5" s="314">
        <v>2</v>
      </c>
      <c r="B5" s="590"/>
      <c r="C5" s="420"/>
      <c r="D5" s="420" t="s">
        <v>1014</v>
      </c>
      <c r="E5" s="267"/>
      <c r="F5" s="268"/>
      <c r="G5" s="267"/>
      <c r="H5" s="267"/>
      <c r="I5" s="267"/>
      <c r="J5" s="269"/>
      <c r="K5" s="269"/>
      <c r="L5" s="269"/>
      <c r="M5" s="270">
        <f>M308</f>
        <v>725488.87071974715</v>
      </c>
      <c r="N5" s="268"/>
      <c r="O5" s="973">
        <f t="shared" ref="O5:O14" si="0">P5*0.934908047</f>
        <v>725488.86884993128</v>
      </c>
      <c r="P5" s="973">
        <v>776000.24</v>
      </c>
    </row>
    <row r="6" spans="1:16" ht="18.95" customHeight="1">
      <c r="A6" s="314">
        <v>3</v>
      </c>
      <c r="B6" s="590"/>
      <c r="C6" s="420"/>
      <c r="D6" s="420" t="s">
        <v>1015</v>
      </c>
      <c r="E6" s="267"/>
      <c r="F6" s="268"/>
      <c r="G6" s="267"/>
      <c r="H6" s="267"/>
      <c r="I6" s="267"/>
      <c r="J6" s="269"/>
      <c r="K6" s="269"/>
      <c r="L6" s="269"/>
      <c r="M6" s="270">
        <f>M322</f>
        <v>43085.16816279952</v>
      </c>
      <c r="N6" s="268"/>
      <c r="O6" s="973">
        <f t="shared" si="0"/>
        <v>43085.171902431706</v>
      </c>
      <c r="P6" s="973">
        <v>46084.93</v>
      </c>
    </row>
    <row r="7" spans="1:16" ht="18.95" customHeight="1">
      <c r="A7" s="314">
        <v>4</v>
      </c>
      <c r="B7" s="590"/>
      <c r="C7" s="420"/>
      <c r="D7" s="420" t="s">
        <v>1016</v>
      </c>
      <c r="E7" s="267"/>
      <c r="F7" s="268"/>
      <c r="G7" s="267"/>
      <c r="H7" s="267"/>
      <c r="I7" s="267"/>
      <c r="J7" s="269"/>
      <c r="K7" s="269"/>
      <c r="L7" s="269"/>
      <c r="M7" s="270">
        <f>M446</f>
        <v>132959.01771938318</v>
      </c>
      <c r="N7" s="268"/>
      <c r="O7" s="973">
        <f t="shared" si="0"/>
        <v>132959.01369927858</v>
      </c>
      <c r="P7" s="973">
        <v>142216.14000000001</v>
      </c>
    </row>
    <row r="8" spans="1:16" ht="18.95" customHeight="1">
      <c r="A8" s="314">
        <v>5</v>
      </c>
      <c r="B8" s="590"/>
      <c r="C8" s="420"/>
      <c r="D8" s="420" t="s">
        <v>1017</v>
      </c>
      <c r="E8" s="267"/>
      <c r="F8" s="268"/>
      <c r="G8" s="267"/>
      <c r="H8" s="267"/>
      <c r="I8" s="267"/>
      <c r="J8" s="269"/>
      <c r="K8" s="269"/>
      <c r="L8" s="269"/>
      <c r="M8" s="270">
        <f>M475</f>
        <v>3168993.6479162658</v>
      </c>
      <c r="N8" s="268"/>
      <c r="O8" s="973">
        <f t="shared" si="0"/>
        <v>3168993.6441766345</v>
      </c>
      <c r="P8" s="973">
        <v>3389631.37</v>
      </c>
    </row>
    <row r="9" spans="1:16" ht="18.95" customHeight="1">
      <c r="A9" s="314">
        <v>6</v>
      </c>
      <c r="B9" s="590"/>
      <c r="C9" s="420"/>
      <c r="D9" s="420" t="s">
        <v>1018</v>
      </c>
      <c r="E9" s="267"/>
      <c r="F9" s="268"/>
      <c r="G9" s="269"/>
      <c r="H9" s="269"/>
      <c r="I9" s="269"/>
      <c r="J9" s="269"/>
      <c r="K9" s="269"/>
      <c r="L9" s="270"/>
      <c r="M9" s="270">
        <f>M494</f>
        <v>145432.49609332954</v>
      </c>
      <c r="N9" s="268"/>
      <c r="O9" s="973">
        <f t="shared" si="0"/>
        <v>145432.50076786973</v>
      </c>
      <c r="P9" s="973">
        <v>155558.07999999999</v>
      </c>
    </row>
    <row r="10" spans="1:16" ht="18.95" customHeight="1">
      <c r="A10" s="314">
        <v>7</v>
      </c>
      <c r="B10" s="590"/>
      <c r="C10" s="420"/>
      <c r="D10" s="420" t="s">
        <v>1019</v>
      </c>
      <c r="E10" s="267"/>
      <c r="F10" s="268"/>
      <c r="G10" s="267"/>
      <c r="H10" s="267"/>
      <c r="I10" s="267"/>
      <c r="J10" s="269"/>
      <c r="K10" s="269"/>
      <c r="L10" s="269"/>
      <c r="M10" s="270">
        <f>M534</f>
        <v>376822.58083708264</v>
      </c>
      <c r="N10" s="268"/>
      <c r="O10" s="973">
        <f t="shared" si="0"/>
        <v>376822.57896726666</v>
      </c>
      <c r="P10" s="973">
        <v>403058.44</v>
      </c>
    </row>
    <row r="11" spans="1:16" ht="18.95" customHeight="1">
      <c r="A11" s="314">
        <v>8</v>
      </c>
      <c r="B11" s="590"/>
      <c r="C11" s="420"/>
      <c r="D11" s="420" t="s">
        <v>1020</v>
      </c>
      <c r="E11" s="267"/>
      <c r="F11" s="268"/>
      <c r="G11" s="269"/>
      <c r="H11" s="269"/>
      <c r="I11" s="269"/>
      <c r="J11" s="269"/>
      <c r="K11" s="269"/>
      <c r="L11" s="270"/>
      <c r="M11" s="270">
        <f>M569</f>
        <v>406080.11119895888</v>
      </c>
      <c r="N11" s="268"/>
      <c r="O11" s="973">
        <f t="shared" si="0"/>
        <v>406080.11493859097</v>
      </c>
      <c r="P11" s="973">
        <v>434353</v>
      </c>
    </row>
    <row r="12" spans="1:16" ht="18.95" customHeight="1">
      <c r="A12" s="314">
        <v>9</v>
      </c>
      <c r="B12" s="590"/>
      <c r="C12" s="420"/>
      <c r="D12" s="420" t="s">
        <v>1021</v>
      </c>
      <c r="E12" s="267"/>
      <c r="F12" s="268"/>
      <c r="G12" s="269"/>
      <c r="H12" s="269"/>
      <c r="I12" s="269"/>
      <c r="J12" s="269"/>
      <c r="K12" s="269"/>
      <c r="L12" s="270"/>
      <c r="M12" s="268">
        <f>M605</f>
        <v>874869.25182534393</v>
      </c>
      <c r="N12" s="268"/>
      <c r="O12" s="973">
        <f t="shared" si="0"/>
        <v>874869.25257327023</v>
      </c>
      <c r="P12" s="973">
        <v>935781.07</v>
      </c>
    </row>
    <row r="13" spans="1:16" ht="18.95" customHeight="1">
      <c r="A13" s="314">
        <v>10</v>
      </c>
      <c r="B13" s="590"/>
      <c r="C13" s="420"/>
      <c r="D13" s="420" t="s">
        <v>1022</v>
      </c>
      <c r="E13" s="267"/>
      <c r="F13" s="268"/>
      <c r="G13" s="269"/>
      <c r="H13" s="269"/>
      <c r="I13" s="269"/>
      <c r="J13" s="269"/>
      <c r="K13" s="269"/>
      <c r="L13" s="270"/>
      <c r="M13" s="268">
        <f>M678</f>
        <v>411813.33924958383</v>
      </c>
      <c r="N13" s="268"/>
      <c r="O13" s="973">
        <f t="shared" si="0"/>
        <v>411813.33569693333</v>
      </c>
      <c r="P13" s="973">
        <v>440485.39</v>
      </c>
    </row>
    <row r="14" spans="1:16" ht="18.95" customHeight="1">
      <c r="A14" s="314">
        <v>11</v>
      </c>
      <c r="B14" s="590"/>
      <c r="C14" s="420"/>
      <c r="D14" s="420" t="s">
        <v>1023</v>
      </c>
      <c r="E14" s="267"/>
      <c r="F14" s="268"/>
      <c r="G14" s="267"/>
      <c r="H14" s="267"/>
      <c r="I14" s="267"/>
      <c r="J14" s="267"/>
      <c r="K14" s="267"/>
      <c r="L14" s="269"/>
      <c r="M14" s="267">
        <f>M686</f>
        <v>739182.8129303176</v>
      </c>
      <c r="N14" s="268"/>
      <c r="O14" s="973">
        <f t="shared" si="0"/>
        <v>739182.8129303176</v>
      </c>
      <c r="P14" s="973">
        <v>790647.61</v>
      </c>
    </row>
    <row r="15" spans="1:16" ht="18.95" customHeight="1">
      <c r="A15" s="122"/>
      <c r="B15" s="122"/>
      <c r="C15" s="128"/>
      <c r="D15" s="129"/>
      <c r="E15" s="267"/>
      <c r="F15" s="268"/>
      <c r="G15" s="267"/>
      <c r="H15" s="267"/>
      <c r="I15" s="267"/>
      <c r="J15" s="267"/>
      <c r="K15" s="267"/>
      <c r="L15" s="269"/>
      <c r="M15" s="271"/>
      <c r="N15" s="268"/>
      <c r="O15" s="973">
        <f t="shared" ref="O15" si="1">P15*0.934899332</f>
        <v>0</v>
      </c>
      <c r="P15" s="973"/>
    </row>
    <row r="16" spans="1:16" ht="18.95" customHeight="1">
      <c r="A16" s="122"/>
      <c r="B16" s="407"/>
      <c r="D16" s="1258" t="s">
        <v>1024</v>
      </c>
      <c r="E16" s="267"/>
      <c r="F16" s="268"/>
      <c r="G16" s="267"/>
      <c r="H16" s="267"/>
      <c r="I16" s="267"/>
      <c r="J16" s="267"/>
      <c r="K16" s="267"/>
      <c r="L16" s="269"/>
      <c r="M16" s="271">
        <f>SUM(M4:M15)</f>
        <v>9866360.6664569136</v>
      </c>
      <c r="N16" s="268"/>
      <c r="O16" s="973">
        <f>SUM(O4:O15)</f>
        <v>9866360.6609409563</v>
      </c>
      <c r="P16" s="973">
        <f>SUM(P4:P15)</f>
        <v>10553295.260000002</v>
      </c>
    </row>
    <row r="17" spans="1:19" ht="18.95" customHeight="1">
      <c r="A17" s="122"/>
      <c r="B17" s="122"/>
      <c r="C17" s="421"/>
      <c r="D17" s="131"/>
      <c r="E17" s="267"/>
      <c r="F17" s="268"/>
      <c r="G17" s="267"/>
      <c r="H17" s="267"/>
      <c r="I17" s="267"/>
      <c r="J17" s="267"/>
      <c r="K17" s="267"/>
      <c r="L17" s="269"/>
      <c r="M17" s="267"/>
      <c r="N17" s="268"/>
      <c r="O17" s="973"/>
      <c r="P17" s="973"/>
    </row>
    <row r="18" spans="1:19" ht="18.95" customHeight="1">
      <c r="A18" s="125"/>
      <c r="B18" s="125"/>
      <c r="C18" s="323"/>
      <c r="D18" s="123"/>
      <c r="E18" s="267"/>
      <c r="F18" s="268"/>
      <c r="G18" s="267"/>
      <c r="H18" s="267"/>
      <c r="I18" s="267"/>
      <c r="J18" s="267"/>
      <c r="K18" s="267"/>
      <c r="L18" s="269"/>
      <c r="M18" s="270"/>
      <c r="N18" s="268"/>
      <c r="O18" s="973"/>
      <c r="P18" s="973"/>
    </row>
    <row r="19" spans="1:19" ht="18.95" customHeight="1">
      <c r="A19" s="125"/>
      <c r="B19" s="125"/>
      <c r="C19" s="323"/>
      <c r="D19" s="123"/>
      <c r="E19" s="267"/>
      <c r="F19" s="268"/>
      <c r="G19" s="267"/>
      <c r="H19" s="267"/>
      <c r="I19" s="267"/>
      <c r="J19" s="267"/>
      <c r="K19" s="267"/>
      <c r="L19" s="269"/>
      <c r="M19" s="270"/>
      <c r="N19" s="268"/>
      <c r="O19" s="973"/>
      <c r="P19" s="973"/>
    </row>
    <row r="20" spans="1:19" ht="18.95" customHeight="1">
      <c r="A20" s="122"/>
      <c r="B20" s="122"/>
      <c r="C20" s="421"/>
      <c r="D20" s="131"/>
      <c r="E20" s="267"/>
      <c r="F20" s="268"/>
      <c r="G20" s="267"/>
      <c r="H20" s="267"/>
      <c r="I20" s="267"/>
      <c r="J20" s="267"/>
      <c r="K20" s="267"/>
      <c r="L20" s="269"/>
      <c r="M20" s="267"/>
      <c r="N20" s="268"/>
      <c r="O20" s="973"/>
      <c r="P20" s="973"/>
    </row>
    <row r="21" spans="1:19" ht="18.95" customHeight="1">
      <c r="A21" s="122"/>
      <c r="B21" s="122"/>
      <c r="C21" s="421"/>
      <c r="D21" s="131"/>
      <c r="E21" s="267"/>
      <c r="F21" s="268"/>
      <c r="G21" s="267"/>
      <c r="H21" s="267"/>
      <c r="I21" s="267"/>
      <c r="J21" s="267"/>
      <c r="K21" s="267"/>
      <c r="L21" s="269"/>
      <c r="M21" s="267"/>
      <c r="N21" s="268"/>
      <c r="O21" s="973"/>
      <c r="P21" s="973"/>
    </row>
    <row r="22" spans="1:19" ht="18.95" customHeight="1">
      <c r="A22" s="122"/>
      <c r="B22" s="122"/>
      <c r="C22" s="323"/>
      <c r="D22" s="131"/>
      <c r="E22" s="267"/>
      <c r="F22" s="268"/>
      <c r="G22" s="267"/>
      <c r="H22" s="267"/>
      <c r="I22" s="267"/>
      <c r="J22" s="267"/>
      <c r="K22" s="267"/>
      <c r="L22" s="269"/>
      <c r="M22" s="267"/>
      <c r="N22" s="268"/>
      <c r="O22" s="973"/>
      <c r="P22" s="973"/>
    </row>
    <row r="23" spans="1:19" ht="18.95" customHeight="1">
      <c r="A23" s="122"/>
      <c r="B23" s="122"/>
      <c r="C23" s="323"/>
      <c r="D23" s="131"/>
      <c r="E23" s="267"/>
      <c r="F23" s="268"/>
      <c r="G23" s="267"/>
      <c r="H23" s="267"/>
      <c r="I23" s="267"/>
      <c r="J23" s="267"/>
      <c r="K23" s="267"/>
      <c r="L23" s="269"/>
      <c r="M23" s="267"/>
      <c r="N23" s="268"/>
      <c r="O23" s="973"/>
      <c r="P23" s="973"/>
    </row>
    <row r="24" spans="1:19" ht="18.95" customHeight="1">
      <c r="A24" s="122"/>
      <c r="B24" s="122"/>
      <c r="C24" s="421"/>
      <c r="D24" s="131"/>
      <c r="E24" s="267"/>
      <c r="F24" s="268"/>
      <c r="G24" s="267"/>
      <c r="H24" s="267"/>
      <c r="I24" s="267"/>
      <c r="J24" s="267"/>
      <c r="K24" s="267"/>
      <c r="L24" s="269"/>
      <c r="M24" s="267"/>
      <c r="N24" s="268"/>
      <c r="O24" s="973"/>
      <c r="P24" s="973"/>
    </row>
    <row r="25" spans="1:19" ht="18.95" customHeight="1">
      <c r="A25" s="122"/>
      <c r="B25" s="122"/>
      <c r="C25" s="421"/>
      <c r="D25" s="131"/>
      <c r="E25" s="267"/>
      <c r="F25" s="268"/>
      <c r="G25" s="267"/>
      <c r="H25" s="267"/>
      <c r="I25" s="267"/>
      <c r="J25" s="267"/>
      <c r="K25" s="267"/>
      <c r="L25" s="269"/>
      <c r="M25" s="267"/>
      <c r="N25" s="268"/>
      <c r="O25" s="973"/>
      <c r="P25" s="973"/>
    </row>
    <row r="26" spans="1:19" ht="18.95" customHeight="1">
      <c r="A26" s="422"/>
      <c r="B26" s="422"/>
      <c r="C26" s="423" t="s">
        <v>1025</v>
      </c>
      <c r="D26" s="424"/>
      <c r="E26" s="267"/>
      <c r="F26" s="268"/>
      <c r="G26" s="267"/>
      <c r="H26" s="267"/>
      <c r="I26" s="267"/>
      <c r="J26" s="269"/>
      <c r="K26" s="269"/>
      <c r="L26" s="271"/>
      <c r="M26" s="268"/>
      <c r="N26" s="268"/>
      <c r="O26" s="973"/>
      <c r="P26" s="973"/>
    </row>
    <row r="27" spans="1:19" ht="18.95" customHeight="1">
      <c r="A27" s="422"/>
      <c r="B27" s="422"/>
      <c r="C27" s="423"/>
      <c r="D27" s="424"/>
      <c r="E27" s="267"/>
      <c r="F27" s="268"/>
      <c r="G27" s="267"/>
      <c r="H27" s="267"/>
      <c r="I27" s="267"/>
      <c r="J27" s="269"/>
      <c r="K27" s="269"/>
      <c r="L27" s="271"/>
      <c r="M27" s="268"/>
      <c r="N27" s="268"/>
      <c r="O27" s="973"/>
      <c r="P27" s="973"/>
    </row>
    <row r="28" spans="1:19" ht="18.95" customHeight="1">
      <c r="A28" s="224">
        <v>1</v>
      </c>
      <c r="B28" s="122"/>
      <c r="C28" s="1349" t="s">
        <v>1025</v>
      </c>
      <c r="D28" s="1350"/>
      <c r="E28" s="267"/>
      <c r="F28" s="268"/>
      <c r="G28" s="267"/>
      <c r="H28" s="267"/>
      <c r="I28" s="267"/>
      <c r="J28" s="269"/>
      <c r="K28" s="269"/>
      <c r="L28" s="269"/>
      <c r="M28" s="270"/>
      <c r="N28" s="268"/>
      <c r="O28" s="973"/>
      <c r="P28" s="973"/>
    </row>
    <row r="29" spans="1:19" ht="18.95" customHeight="1">
      <c r="A29" s="425"/>
      <c r="B29" s="122"/>
      <c r="C29" s="1347" t="s">
        <v>1026</v>
      </c>
      <c r="D29" s="1348"/>
      <c r="E29" s="267"/>
      <c r="F29" s="268"/>
      <c r="G29" s="270"/>
      <c r="H29" s="270"/>
      <c r="I29" s="270"/>
      <c r="J29" s="270"/>
      <c r="K29" s="270"/>
      <c r="L29" s="270"/>
      <c r="M29" s="270"/>
      <c r="N29" s="270"/>
      <c r="O29" s="976"/>
      <c r="P29" s="976"/>
    </row>
    <row r="30" spans="1:19" ht="18.95" customHeight="1">
      <c r="A30" s="314">
        <v>1.1000000000000001</v>
      </c>
      <c r="B30" s="122"/>
      <c r="C30" s="1351" t="s">
        <v>1027</v>
      </c>
      <c r="D30" s="1352"/>
      <c r="E30" s="267">
        <v>34</v>
      </c>
      <c r="F30" s="268" t="s">
        <v>1028</v>
      </c>
      <c r="G30" s="267">
        <v>11500</v>
      </c>
      <c r="H30" s="267">
        <f>G30*O30</f>
        <v>10751.4425405</v>
      </c>
      <c r="I30" s="267">
        <f>E30*H30</f>
        <v>365549.04637699999</v>
      </c>
      <c r="J30" s="269">
        <v>0</v>
      </c>
      <c r="K30" s="269">
        <f>J30*O30</f>
        <v>0</v>
      </c>
      <c r="L30" s="267">
        <f>E30*K30</f>
        <v>0</v>
      </c>
      <c r="M30" s="267">
        <f>I30+L30</f>
        <v>365549.04637699999</v>
      </c>
      <c r="N30" s="270"/>
      <c r="O30" s="1163">
        <v>0.93490804699999996</v>
      </c>
      <c r="P30" s="976"/>
      <c r="Q30" s="252"/>
      <c r="R30" s="252"/>
      <c r="S30" s="252"/>
    </row>
    <row r="31" spans="1:19" ht="18.95" customHeight="1">
      <c r="A31" s="314">
        <v>1.2</v>
      </c>
      <c r="B31" s="122"/>
      <c r="C31" s="1351" t="s">
        <v>1029</v>
      </c>
      <c r="D31" s="1352"/>
      <c r="E31" s="267">
        <v>34</v>
      </c>
      <c r="F31" s="268" t="s">
        <v>1028</v>
      </c>
      <c r="G31" s="267">
        <v>0</v>
      </c>
      <c r="H31" s="267">
        <f t="shared" ref="H31:H94" si="2">G31*O31</f>
        <v>0</v>
      </c>
      <c r="I31" s="267">
        <f t="shared" ref="I31:I94" si="3">E31*H31</f>
        <v>0</v>
      </c>
      <c r="J31" s="269">
        <v>350</v>
      </c>
      <c r="K31" s="269">
        <f t="shared" ref="K31:K41" si="4">J31*O31</f>
        <v>327.21781644999999</v>
      </c>
      <c r="L31" s="267">
        <f t="shared" ref="L31:L41" si="5">E31*K31</f>
        <v>11125.4057593</v>
      </c>
      <c r="M31" s="267">
        <f t="shared" ref="M31:M58" si="6">I31+L31</f>
        <v>11125.4057593</v>
      </c>
      <c r="N31" s="270"/>
      <c r="O31" s="1163">
        <v>0.93490804699999996</v>
      </c>
      <c r="P31" s="976"/>
      <c r="Q31" s="252"/>
      <c r="R31" s="252"/>
      <c r="S31" s="252"/>
    </row>
    <row r="32" spans="1:19" ht="18.95" customHeight="1">
      <c r="A32" s="425"/>
      <c r="B32" s="122"/>
      <c r="C32" s="1347" t="s">
        <v>1030</v>
      </c>
      <c r="D32" s="1348"/>
      <c r="E32" s="267"/>
      <c r="F32" s="427"/>
      <c r="G32" s="267"/>
      <c r="H32" s="267"/>
      <c r="I32" s="267"/>
      <c r="J32" s="269"/>
      <c r="K32" s="269"/>
      <c r="L32" s="267"/>
      <c r="M32" s="267"/>
      <c r="N32" s="270"/>
      <c r="O32" s="1163">
        <v>0.93490804699999996</v>
      </c>
      <c r="P32" s="976"/>
      <c r="Q32" s="252"/>
      <c r="R32" s="252"/>
      <c r="S32" s="252"/>
    </row>
    <row r="33" spans="1:19" ht="18.95" customHeight="1">
      <c r="A33" s="314">
        <v>1.3</v>
      </c>
      <c r="B33" s="122"/>
      <c r="C33" s="1323" t="s">
        <v>1031</v>
      </c>
      <c r="D33" s="1324"/>
      <c r="E33" s="267">
        <v>57.2</v>
      </c>
      <c r="F33" s="430" t="s">
        <v>1032</v>
      </c>
      <c r="G33" s="267">
        <v>0</v>
      </c>
      <c r="H33" s="267">
        <f t="shared" si="2"/>
        <v>0</v>
      </c>
      <c r="I33" s="267">
        <f t="shared" si="3"/>
        <v>0</v>
      </c>
      <c r="J33" s="269">
        <v>112</v>
      </c>
      <c r="K33" s="269">
        <f t="shared" si="4"/>
        <v>104.70970126399999</v>
      </c>
      <c r="L33" s="267">
        <f t="shared" si="5"/>
        <v>5989.3949123007997</v>
      </c>
      <c r="M33" s="267">
        <f t="shared" si="6"/>
        <v>5989.3949123007997</v>
      </c>
      <c r="N33" s="270"/>
      <c r="O33" s="1163">
        <v>0.93490804699999996</v>
      </c>
      <c r="P33" s="976"/>
      <c r="Q33" s="252"/>
      <c r="R33" s="252"/>
      <c r="S33" s="252"/>
    </row>
    <row r="34" spans="1:19" ht="18.95" customHeight="1">
      <c r="A34" s="314">
        <v>1.4</v>
      </c>
      <c r="B34" s="122"/>
      <c r="C34" s="1323" t="s">
        <v>1033</v>
      </c>
      <c r="D34" s="1324"/>
      <c r="E34" s="267">
        <v>3.3</v>
      </c>
      <c r="F34" s="430" t="s">
        <v>1032</v>
      </c>
      <c r="G34" s="267">
        <v>508.33</v>
      </c>
      <c r="H34" s="267">
        <f t="shared" si="2"/>
        <v>475.24180753150995</v>
      </c>
      <c r="I34" s="267">
        <f t="shared" si="3"/>
        <v>1568.2979648539826</v>
      </c>
      <c r="J34" s="269">
        <v>104</v>
      </c>
      <c r="K34" s="269">
        <f t="shared" si="4"/>
        <v>97.230436888</v>
      </c>
      <c r="L34" s="267">
        <f t="shared" si="5"/>
        <v>320.8604417304</v>
      </c>
      <c r="M34" s="267">
        <f t="shared" si="6"/>
        <v>1889.1584065843826</v>
      </c>
      <c r="N34" s="270"/>
      <c r="O34" s="1163">
        <v>0.93490804699999996</v>
      </c>
      <c r="P34" s="976"/>
      <c r="Q34" s="252"/>
      <c r="R34" s="252"/>
      <c r="S34" s="252"/>
    </row>
    <row r="35" spans="1:19" ht="18.95" customHeight="1">
      <c r="A35" s="314">
        <v>1.5</v>
      </c>
      <c r="B35" s="122"/>
      <c r="C35" s="1323" t="s">
        <v>1034</v>
      </c>
      <c r="D35" s="1324"/>
      <c r="E35" s="267">
        <v>3.3</v>
      </c>
      <c r="F35" s="430" t="s">
        <v>1032</v>
      </c>
      <c r="G35" s="267">
        <v>2460</v>
      </c>
      <c r="H35" s="267">
        <f t="shared" si="2"/>
        <v>2299.8737956199998</v>
      </c>
      <c r="I35" s="267">
        <f t="shared" si="3"/>
        <v>7589.5835255459988</v>
      </c>
      <c r="J35" s="269">
        <v>426</v>
      </c>
      <c r="K35" s="269">
        <f t="shared" si="4"/>
        <v>398.27082802199999</v>
      </c>
      <c r="L35" s="267">
        <f t="shared" si="5"/>
        <v>1314.2937324725999</v>
      </c>
      <c r="M35" s="267">
        <f t="shared" si="6"/>
        <v>8903.8772580185978</v>
      </c>
      <c r="N35" s="270"/>
      <c r="O35" s="1163">
        <v>0.93490804699999996</v>
      </c>
      <c r="P35" s="976"/>
      <c r="Q35" s="252"/>
      <c r="R35" s="252"/>
      <c r="S35" s="252"/>
    </row>
    <row r="36" spans="1:19" ht="18.95" customHeight="1">
      <c r="A36" s="314">
        <v>1.6</v>
      </c>
      <c r="B36" s="122"/>
      <c r="C36" s="1331" t="s">
        <v>1035</v>
      </c>
      <c r="D36" s="1332"/>
      <c r="E36" s="267">
        <v>16.8</v>
      </c>
      <c r="F36" s="430" t="s">
        <v>1032</v>
      </c>
      <c r="G36" s="267">
        <v>2117.5</v>
      </c>
      <c r="H36" s="267">
        <f t="shared" si="2"/>
        <v>1979.6677895225</v>
      </c>
      <c r="I36" s="267">
        <f t="shared" si="3"/>
        <v>33258.418863978004</v>
      </c>
      <c r="J36" s="269">
        <v>519</v>
      </c>
      <c r="K36" s="269">
        <f t="shared" si="4"/>
        <v>485.21727639299996</v>
      </c>
      <c r="L36" s="267">
        <f t="shared" si="5"/>
        <v>8151.6502434023996</v>
      </c>
      <c r="M36" s="267">
        <f t="shared" si="6"/>
        <v>41410.069107380405</v>
      </c>
      <c r="N36" s="268"/>
      <c r="O36" s="1163">
        <v>0.93490804699999996</v>
      </c>
      <c r="P36" s="973"/>
      <c r="Q36" s="252"/>
      <c r="R36" s="252"/>
      <c r="S36" s="252"/>
    </row>
    <row r="37" spans="1:19" ht="18.95" customHeight="1">
      <c r="A37" s="314"/>
      <c r="B37" s="122"/>
      <c r="C37" s="1341" t="s">
        <v>1036</v>
      </c>
      <c r="D37" s="1342"/>
      <c r="E37" s="267"/>
      <c r="F37" s="430"/>
      <c r="G37" s="267"/>
      <c r="H37" s="267"/>
      <c r="I37" s="267"/>
      <c r="J37" s="269"/>
      <c r="K37" s="269"/>
      <c r="L37" s="267"/>
      <c r="M37" s="267"/>
      <c r="N37" s="268"/>
      <c r="O37" s="1163">
        <v>0.93490804699999996</v>
      </c>
      <c r="P37" s="973"/>
      <c r="Q37" s="252"/>
      <c r="R37" s="252"/>
      <c r="S37" s="252"/>
    </row>
    <row r="38" spans="1:19" ht="18.95" customHeight="1">
      <c r="A38" s="314">
        <v>1.7</v>
      </c>
      <c r="B38" s="122"/>
      <c r="C38" s="1323" t="s">
        <v>1037</v>
      </c>
      <c r="D38" s="1324"/>
      <c r="E38" s="267">
        <v>36.9</v>
      </c>
      <c r="F38" s="430" t="s">
        <v>348</v>
      </c>
      <c r="G38" s="267">
        <v>19.600000000000001</v>
      </c>
      <c r="H38" s="267">
        <f t="shared" si="2"/>
        <v>18.324197721200001</v>
      </c>
      <c r="I38" s="267">
        <f t="shared" si="3"/>
        <v>676.16289591227996</v>
      </c>
      <c r="J38" s="269">
        <v>4.4000000000000004</v>
      </c>
      <c r="K38" s="269">
        <f t="shared" si="4"/>
        <v>4.1135954068</v>
      </c>
      <c r="L38" s="267">
        <f t="shared" si="5"/>
        <v>151.79167051092</v>
      </c>
      <c r="M38" s="267">
        <f t="shared" si="6"/>
        <v>827.95456642319994</v>
      </c>
      <c r="N38" s="268"/>
      <c r="O38" s="1163">
        <v>0.93490804699999996</v>
      </c>
      <c r="P38" s="973"/>
      <c r="Q38" s="862" t="s">
        <v>1038</v>
      </c>
      <c r="R38" s="252"/>
      <c r="S38" s="252"/>
    </row>
    <row r="39" spans="1:19" ht="18.95" customHeight="1">
      <c r="A39" s="314">
        <v>1.8</v>
      </c>
      <c r="B39" s="122"/>
      <c r="C39" s="1323" t="s">
        <v>1039</v>
      </c>
      <c r="D39" s="1324"/>
      <c r="E39" s="267"/>
      <c r="F39" s="430" t="s">
        <v>348</v>
      </c>
      <c r="G39" s="267">
        <v>19.7</v>
      </c>
      <c r="H39" s="267">
        <f t="shared" si="2"/>
        <v>18.417688525899997</v>
      </c>
      <c r="I39" s="267">
        <f t="shared" si="3"/>
        <v>0</v>
      </c>
      <c r="J39" s="269">
        <v>3.6</v>
      </c>
      <c r="K39" s="269">
        <f t="shared" si="4"/>
        <v>3.3656689692000001</v>
      </c>
      <c r="L39" s="267">
        <f t="shared" si="5"/>
        <v>0</v>
      </c>
      <c r="M39" s="267">
        <f t="shared" si="6"/>
        <v>0</v>
      </c>
      <c r="N39" s="268"/>
      <c r="O39" s="1163">
        <v>0.93490804699999996</v>
      </c>
      <c r="P39" s="973"/>
      <c r="Q39" s="862" t="s">
        <v>1038</v>
      </c>
      <c r="R39" s="252"/>
      <c r="S39" s="252"/>
    </row>
    <row r="40" spans="1:19" ht="18.95" customHeight="1">
      <c r="A40" s="314">
        <v>1.9</v>
      </c>
      <c r="B40" s="122"/>
      <c r="C40" s="1323" t="s">
        <v>1040</v>
      </c>
      <c r="D40" s="1324"/>
      <c r="E40" s="267">
        <v>1030.0999999999999</v>
      </c>
      <c r="F40" s="430" t="s">
        <v>348</v>
      </c>
      <c r="G40" s="267">
        <v>19.5</v>
      </c>
      <c r="H40" s="267">
        <f t="shared" si="2"/>
        <v>18.230706916500001</v>
      </c>
      <c r="I40" s="267">
        <f t="shared" si="3"/>
        <v>18779.451194686648</v>
      </c>
      <c r="J40" s="269">
        <v>3.6</v>
      </c>
      <c r="K40" s="269">
        <f t="shared" si="4"/>
        <v>3.3656689692000001</v>
      </c>
      <c r="L40" s="267">
        <f t="shared" si="5"/>
        <v>3466.97560517292</v>
      </c>
      <c r="M40" s="267">
        <f t="shared" si="6"/>
        <v>22246.426799859568</v>
      </c>
      <c r="N40" s="268"/>
      <c r="O40" s="1163">
        <v>0.93490804699999996</v>
      </c>
      <c r="P40" s="973"/>
      <c r="Q40" s="862" t="s">
        <v>1038</v>
      </c>
      <c r="R40" s="252"/>
      <c r="S40" s="252"/>
    </row>
    <row r="41" spans="1:19" ht="18.95" customHeight="1">
      <c r="A41" s="425">
        <v>1.1000000000000001</v>
      </c>
      <c r="B41" s="122"/>
      <c r="C41" s="1323" t="s">
        <v>1041</v>
      </c>
      <c r="D41" s="1324"/>
      <c r="E41" s="267">
        <v>19.100000000000001</v>
      </c>
      <c r="F41" s="430" t="s">
        <v>348</v>
      </c>
      <c r="G41" s="267">
        <v>27.1</v>
      </c>
      <c r="H41" s="267">
        <f t="shared" si="2"/>
        <v>25.3360080737</v>
      </c>
      <c r="I41" s="267">
        <f t="shared" si="3"/>
        <v>483.91775420767004</v>
      </c>
      <c r="J41" s="269">
        <v>0</v>
      </c>
      <c r="K41" s="269">
        <f t="shared" si="4"/>
        <v>0</v>
      </c>
      <c r="L41" s="267">
        <f t="shared" si="5"/>
        <v>0</v>
      </c>
      <c r="M41" s="267">
        <f t="shared" si="6"/>
        <v>483.91775420767004</v>
      </c>
      <c r="N41" s="268"/>
      <c r="O41" s="1163">
        <v>0.93490804699999996</v>
      </c>
      <c r="P41" s="973"/>
      <c r="Q41" s="862" t="s">
        <v>1038</v>
      </c>
      <c r="R41" s="252">
        <f>+E41+E53+E68+E80+E107+E129+E150+E171+E196+E210+E236+E267+E289+E334+E351+E369+E387+E404+E421+E438+E471+E510+E529+E593+E617+E636+E653+E670</f>
        <v>495.85</v>
      </c>
      <c r="S41" s="252" t="s">
        <v>1042</v>
      </c>
    </row>
    <row r="42" spans="1:19" ht="18.95" customHeight="1">
      <c r="A42" s="314">
        <v>1.1100000000000001</v>
      </c>
      <c r="B42" s="122"/>
      <c r="C42" s="1323" t="s">
        <v>1043</v>
      </c>
      <c r="D42" s="1324"/>
      <c r="E42" s="267"/>
      <c r="F42" s="430"/>
      <c r="G42" s="267"/>
      <c r="H42" s="267"/>
      <c r="I42" s="267"/>
      <c r="J42" s="269"/>
      <c r="K42" s="269"/>
      <c r="L42" s="267"/>
      <c r="M42" s="267"/>
      <c r="N42" s="268"/>
      <c r="O42" s="1163">
        <v>0.93490804699999996</v>
      </c>
      <c r="P42" s="973"/>
      <c r="Q42" s="252"/>
      <c r="R42" s="252"/>
      <c r="S42" s="252"/>
    </row>
    <row r="43" spans="1:19" ht="18.95" customHeight="1">
      <c r="A43" s="431"/>
      <c r="B43" s="329"/>
      <c r="C43" s="433" t="s">
        <v>1044</v>
      </c>
      <c r="E43" s="267">
        <v>29.46</v>
      </c>
      <c r="F43" s="434" t="s">
        <v>218</v>
      </c>
      <c r="G43" s="434">
        <v>245.2</v>
      </c>
      <c r="H43" s="267">
        <f t="shared" si="2"/>
        <v>229.23945312439997</v>
      </c>
      <c r="I43" s="267">
        <f t="shared" si="3"/>
        <v>6753.3942890448234</v>
      </c>
      <c r="J43" s="435">
        <v>0</v>
      </c>
      <c r="K43" s="269">
        <f t="shared" ref="K43:K87" si="7">J43*O43</f>
        <v>0</v>
      </c>
      <c r="L43" s="267">
        <f t="shared" ref="L43:L87" si="8">E43*K43</f>
        <v>0</v>
      </c>
      <c r="M43" s="267">
        <f t="shared" si="6"/>
        <v>6753.3942890448234</v>
      </c>
      <c r="N43" s="436"/>
      <c r="O43" s="1163">
        <v>0.93490804699999996</v>
      </c>
      <c r="P43" s="765"/>
      <c r="Q43" s="252"/>
      <c r="R43" s="252"/>
      <c r="S43" s="252"/>
    </row>
    <row r="44" spans="1:19" ht="18.95" customHeight="1">
      <c r="A44" s="431"/>
      <c r="B44" s="329"/>
      <c r="C44" s="433" t="s">
        <v>1045</v>
      </c>
      <c r="E44" s="267">
        <v>49.1</v>
      </c>
      <c r="F44" s="434" t="s">
        <v>218</v>
      </c>
      <c r="G44" s="434">
        <v>0</v>
      </c>
      <c r="H44" s="267">
        <f t="shared" si="2"/>
        <v>0</v>
      </c>
      <c r="I44" s="267">
        <f t="shared" si="3"/>
        <v>0</v>
      </c>
      <c r="J44" s="435">
        <v>121</v>
      </c>
      <c r="K44" s="269">
        <f t="shared" si="7"/>
        <v>113.123873687</v>
      </c>
      <c r="L44" s="267">
        <f t="shared" si="8"/>
        <v>5554.3821980316998</v>
      </c>
      <c r="M44" s="267">
        <f t="shared" si="6"/>
        <v>5554.3821980316998</v>
      </c>
      <c r="N44" s="436"/>
      <c r="O44" s="1163">
        <v>0.93490804699999996</v>
      </c>
      <c r="P44" s="765"/>
      <c r="Q44" s="252"/>
      <c r="R44" s="252"/>
      <c r="S44" s="252"/>
    </row>
    <row r="45" spans="1:19" ht="18.95" customHeight="1">
      <c r="A45" s="431"/>
      <c r="B45" s="329"/>
      <c r="C45" s="433" t="s">
        <v>1046</v>
      </c>
      <c r="E45" s="267">
        <v>8.84</v>
      </c>
      <c r="F45" s="434" t="s">
        <v>1047</v>
      </c>
      <c r="G45" s="434">
        <v>309.42</v>
      </c>
      <c r="H45" s="267">
        <f t="shared" si="2"/>
        <v>289.27924790274</v>
      </c>
      <c r="I45" s="267">
        <f t="shared" si="3"/>
        <v>2557.2285514602218</v>
      </c>
      <c r="J45" s="435">
        <v>0</v>
      </c>
      <c r="K45" s="269">
        <f t="shared" si="7"/>
        <v>0</v>
      </c>
      <c r="L45" s="267">
        <f t="shared" si="8"/>
        <v>0</v>
      </c>
      <c r="M45" s="267">
        <f t="shared" si="6"/>
        <v>2557.2285514602218</v>
      </c>
      <c r="N45" s="436"/>
      <c r="O45" s="1163">
        <v>0.93490804699999996</v>
      </c>
      <c r="P45" s="765"/>
      <c r="Q45" s="252"/>
      <c r="R45" s="252"/>
      <c r="S45" s="252"/>
    </row>
    <row r="46" spans="1:19" ht="18.95" customHeight="1">
      <c r="A46" s="431"/>
      <c r="B46" s="329"/>
      <c r="C46" s="433" t="s">
        <v>1048</v>
      </c>
      <c r="E46" s="269">
        <v>7.37</v>
      </c>
      <c r="F46" s="434" t="s">
        <v>348</v>
      </c>
      <c r="G46" s="434">
        <v>23.36</v>
      </c>
      <c r="H46" s="267">
        <f t="shared" si="2"/>
        <v>21.83945197792</v>
      </c>
      <c r="I46" s="267">
        <f t="shared" si="3"/>
        <v>160.95676107727039</v>
      </c>
      <c r="J46" s="435">
        <v>0</v>
      </c>
      <c r="K46" s="269">
        <f t="shared" si="7"/>
        <v>0</v>
      </c>
      <c r="L46" s="267">
        <f t="shared" si="8"/>
        <v>0</v>
      </c>
      <c r="M46" s="267">
        <f t="shared" si="6"/>
        <v>160.95676107727039</v>
      </c>
      <c r="N46" s="436"/>
      <c r="O46" s="1163">
        <v>0.93490804699999996</v>
      </c>
      <c r="P46" s="765"/>
      <c r="Q46" s="862" t="s">
        <v>1038</v>
      </c>
      <c r="R46" s="252"/>
      <c r="S46" s="252"/>
    </row>
    <row r="47" spans="1:19" ht="18.95" customHeight="1">
      <c r="A47" s="425"/>
      <c r="B47" s="122"/>
      <c r="C47" s="1347" t="s">
        <v>1049</v>
      </c>
      <c r="D47" s="1348"/>
      <c r="E47" s="267"/>
      <c r="F47" s="427"/>
      <c r="G47" s="267"/>
      <c r="H47" s="267"/>
      <c r="I47" s="267"/>
      <c r="J47" s="269"/>
      <c r="K47" s="269"/>
      <c r="L47" s="267"/>
      <c r="M47" s="267"/>
      <c r="N47" s="268"/>
      <c r="O47" s="1163">
        <v>0.93490804699999996</v>
      </c>
      <c r="P47" s="973"/>
      <c r="Q47" s="252"/>
      <c r="R47" s="252"/>
      <c r="S47" s="252"/>
    </row>
    <row r="48" spans="1:19" ht="18.95" customHeight="1">
      <c r="A48" s="314">
        <v>1.1200000000000001</v>
      </c>
      <c r="B48" s="122"/>
      <c r="C48" s="1331" t="s">
        <v>1050</v>
      </c>
      <c r="D48" s="1332"/>
      <c r="E48" s="267">
        <v>0.4</v>
      </c>
      <c r="F48" s="430" t="s">
        <v>1032</v>
      </c>
      <c r="G48" s="434">
        <v>2117.5</v>
      </c>
      <c r="H48" s="267">
        <f t="shared" si="2"/>
        <v>1979.6677895225</v>
      </c>
      <c r="I48" s="267">
        <f t="shared" si="3"/>
        <v>791.8671158090001</v>
      </c>
      <c r="J48" s="269">
        <v>519</v>
      </c>
      <c r="K48" s="269">
        <f t="shared" si="7"/>
        <v>485.21727639299996</v>
      </c>
      <c r="L48" s="267">
        <f t="shared" si="8"/>
        <v>194.08691055719999</v>
      </c>
      <c r="M48" s="267">
        <f t="shared" si="6"/>
        <v>985.95402636620008</v>
      </c>
      <c r="N48" s="268"/>
      <c r="O48" s="1163">
        <v>0.93490804699999996</v>
      </c>
      <c r="P48" s="973"/>
      <c r="Q48" s="252"/>
      <c r="R48" s="252"/>
      <c r="S48" s="252"/>
    </row>
    <row r="49" spans="1:19" ht="18.95" customHeight="1">
      <c r="A49" s="314"/>
      <c r="B49" s="122"/>
      <c r="C49" s="1341" t="s">
        <v>1036</v>
      </c>
      <c r="D49" s="1342"/>
      <c r="E49" s="267"/>
      <c r="F49" s="430"/>
      <c r="G49" s="267"/>
      <c r="H49" s="267"/>
      <c r="I49" s="267"/>
      <c r="J49" s="269"/>
      <c r="K49" s="269"/>
      <c r="L49" s="267"/>
      <c r="M49" s="267"/>
      <c r="N49" s="268"/>
      <c r="O49" s="1163">
        <v>0.93490804699999996</v>
      </c>
      <c r="P49" s="973"/>
      <c r="Q49" s="252"/>
      <c r="R49" s="252"/>
      <c r="S49" s="252"/>
    </row>
    <row r="50" spans="1:19" ht="18.95" customHeight="1">
      <c r="A50" s="314">
        <v>1.1299999999999999</v>
      </c>
      <c r="B50" s="122"/>
      <c r="C50" s="1323" t="s">
        <v>1037</v>
      </c>
      <c r="D50" s="1324"/>
      <c r="E50" s="267">
        <v>64.2</v>
      </c>
      <c r="F50" s="430" t="s">
        <v>348</v>
      </c>
      <c r="G50" s="267">
        <v>19.600000000000001</v>
      </c>
      <c r="H50" s="267">
        <f t="shared" si="2"/>
        <v>18.324197721200001</v>
      </c>
      <c r="I50" s="267">
        <f t="shared" si="3"/>
        <v>1176.4134937010401</v>
      </c>
      <c r="J50" s="269">
        <v>4.4000000000000004</v>
      </c>
      <c r="K50" s="269">
        <f t="shared" si="7"/>
        <v>4.1135954068</v>
      </c>
      <c r="L50" s="267">
        <f t="shared" si="8"/>
        <v>264.09282511655999</v>
      </c>
      <c r="M50" s="267">
        <f t="shared" si="6"/>
        <v>1440.5063188176</v>
      </c>
      <c r="N50" s="268"/>
      <c r="O50" s="1163">
        <v>0.93490804699999996</v>
      </c>
      <c r="P50" s="973"/>
      <c r="Q50" s="862" t="s">
        <v>1038</v>
      </c>
      <c r="R50" s="252"/>
      <c r="S50" s="252"/>
    </row>
    <row r="51" spans="1:19" ht="18.95" customHeight="1">
      <c r="A51" s="314">
        <v>1.1399999999999999</v>
      </c>
      <c r="B51" s="122"/>
      <c r="C51" s="1323" t="s">
        <v>1039</v>
      </c>
      <c r="D51" s="1324"/>
      <c r="E51" s="267"/>
      <c r="F51" s="430" t="s">
        <v>348</v>
      </c>
      <c r="G51" s="267">
        <v>19.7</v>
      </c>
      <c r="H51" s="267">
        <f t="shared" si="2"/>
        <v>18.417688525899997</v>
      </c>
      <c r="I51" s="267">
        <f t="shared" si="3"/>
        <v>0</v>
      </c>
      <c r="J51" s="269">
        <v>3.6</v>
      </c>
      <c r="K51" s="269">
        <f t="shared" si="7"/>
        <v>3.3656689692000001</v>
      </c>
      <c r="L51" s="267">
        <f t="shared" si="8"/>
        <v>0</v>
      </c>
      <c r="M51" s="267">
        <f t="shared" si="6"/>
        <v>0</v>
      </c>
      <c r="N51" s="268"/>
      <c r="O51" s="1163">
        <v>0.93490804699999996</v>
      </c>
      <c r="P51" s="973"/>
      <c r="Q51" s="862" t="s">
        <v>1038</v>
      </c>
      <c r="R51" s="252"/>
      <c r="S51" s="252"/>
    </row>
    <row r="52" spans="1:19" ht="18.95" customHeight="1">
      <c r="A52" s="314">
        <v>1.1499999999999999</v>
      </c>
      <c r="B52" s="122"/>
      <c r="C52" s="1323" t="s">
        <v>1040</v>
      </c>
      <c r="D52" s="1324"/>
      <c r="E52" s="267">
        <v>227.3</v>
      </c>
      <c r="F52" s="430" t="s">
        <v>348</v>
      </c>
      <c r="G52" s="267">
        <v>19.5</v>
      </c>
      <c r="H52" s="267">
        <f t="shared" si="2"/>
        <v>18.230706916500001</v>
      </c>
      <c r="I52" s="267">
        <f t="shared" si="3"/>
        <v>4143.8396821204506</v>
      </c>
      <c r="J52" s="269">
        <v>3.6</v>
      </c>
      <c r="K52" s="269">
        <f t="shared" si="7"/>
        <v>3.3656689692000001</v>
      </c>
      <c r="L52" s="267">
        <f t="shared" si="8"/>
        <v>765.01655669916011</v>
      </c>
      <c r="M52" s="267">
        <f t="shared" si="6"/>
        <v>4908.8562388196106</v>
      </c>
      <c r="N52" s="268"/>
      <c r="O52" s="1163">
        <v>0.93490804699999996</v>
      </c>
      <c r="P52" s="973"/>
      <c r="Q52" s="862" t="s">
        <v>1038</v>
      </c>
      <c r="R52" s="252"/>
      <c r="S52" s="252"/>
    </row>
    <row r="53" spans="1:19" ht="18.95" customHeight="1">
      <c r="A53" s="314">
        <v>1.1599999999999999</v>
      </c>
      <c r="B53" s="122"/>
      <c r="C53" s="1323" t="s">
        <v>1041</v>
      </c>
      <c r="D53" s="1324"/>
      <c r="E53" s="267">
        <v>5.2</v>
      </c>
      <c r="F53" s="430" t="s">
        <v>348</v>
      </c>
      <c r="G53" s="269">
        <v>27.1</v>
      </c>
      <c r="H53" s="267">
        <f t="shared" si="2"/>
        <v>25.3360080737</v>
      </c>
      <c r="I53" s="267">
        <f t="shared" si="3"/>
        <v>131.74724198324</v>
      </c>
      <c r="J53" s="269">
        <v>0</v>
      </c>
      <c r="K53" s="269">
        <f t="shared" si="7"/>
        <v>0</v>
      </c>
      <c r="L53" s="267">
        <f t="shared" si="8"/>
        <v>0</v>
      </c>
      <c r="M53" s="267">
        <f t="shared" si="6"/>
        <v>131.74724198324</v>
      </c>
      <c r="N53" s="268"/>
      <c r="O53" s="1163">
        <v>0.93490804699999996</v>
      </c>
      <c r="P53" s="973"/>
      <c r="Q53" s="862" t="s">
        <v>1038</v>
      </c>
      <c r="R53" s="252"/>
      <c r="S53" s="252"/>
    </row>
    <row r="54" spans="1:19" ht="18.95" customHeight="1">
      <c r="A54" s="314">
        <v>1.17</v>
      </c>
      <c r="B54" s="122"/>
      <c r="C54" s="1323" t="s">
        <v>1043</v>
      </c>
      <c r="D54" s="1324"/>
      <c r="E54" s="267"/>
      <c r="F54" s="430"/>
      <c r="G54" s="267"/>
      <c r="H54" s="267"/>
      <c r="I54" s="267"/>
      <c r="J54" s="269"/>
      <c r="K54" s="269"/>
      <c r="L54" s="267"/>
      <c r="M54" s="267"/>
      <c r="N54" s="268"/>
      <c r="O54" s="1163">
        <v>0.93490804699999996</v>
      </c>
      <c r="P54" s="973"/>
      <c r="Q54" s="252"/>
      <c r="R54" s="252"/>
      <c r="S54" s="252"/>
    </row>
    <row r="55" spans="1:19" ht="18.95" customHeight="1">
      <c r="A55" s="431"/>
      <c r="B55" s="329"/>
      <c r="C55" s="433" t="s">
        <v>1044</v>
      </c>
      <c r="E55" s="267">
        <v>7.92</v>
      </c>
      <c r="F55" s="434" t="s">
        <v>218</v>
      </c>
      <c r="G55" s="434">
        <v>245.2</v>
      </c>
      <c r="H55" s="267">
        <f t="shared" si="2"/>
        <v>229.23945312439997</v>
      </c>
      <c r="I55" s="267">
        <f t="shared" si="3"/>
        <v>1815.5764687452477</v>
      </c>
      <c r="J55" s="435">
        <v>0</v>
      </c>
      <c r="K55" s="269">
        <f t="shared" si="7"/>
        <v>0</v>
      </c>
      <c r="L55" s="267">
        <f t="shared" si="8"/>
        <v>0</v>
      </c>
      <c r="M55" s="267">
        <f t="shared" si="6"/>
        <v>1815.5764687452477</v>
      </c>
      <c r="N55" s="436"/>
      <c r="O55" s="1163">
        <v>0.93490804699999996</v>
      </c>
      <c r="P55" s="765"/>
      <c r="Q55" s="252"/>
      <c r="R55" s="252"/>
      <c r="S55" s="252"/>
    </row>
    <row r="56" spans="1:19" ht="18.95" customHeight="1">
      <c r="A56" s="431"/>
      <c r="B56" s="329"/>
      <c r="C56" s="433" t="s">
        <v>1045</v>
      </c>
      <c r="E56" s="267">
        <v>13.2</v>
      </c>
      <c r="F56" s="434" t="s">
        <v>218</v>
      </c>
      <c r="G56" s="434">
        <v>0</v>
      </c>
      <c r="H56" s="267">
        <f t="shared" si="2"/>
        <v>0</v>
      </c>
      <c r="I56" s="267">
        <f t="shared" si="3"/>
        <v>0</v>
      </c>
      <c r="J56" s="435">
        <v>121</v>
      </c>
      <c r="K56" s="269">
        <f t="shared" si="7"/>
        <v>113.123873687</v>
      </c>
      <c r="L56" s="267">
        <f t="shared" si="8"/>
        <v>1493.2351326684</v>
      </c>
      <c r="M56" s="267">
        <f t="shared" si="6"/>
        <v>1493.2351326684</v>
      </c>
      <c r="N56" s="436"/>
      <c r="O56" s="1163">
        <v>0.93490804699999996</v>
      </c>
      <c r="P56" s="765"/>
      <c r="Q56" s="252"/>
      <c r="R56" s="252"/>
      <c r="S56" s="252"/>
    </row>
    <row r="57" spans="1:19" ht="18.95" customHeight="1">
      <c r="A57" s="431"/>
      <c r="B57" s="329"/>
      <c r="C57" s="433" t="s">
        <v>1046</v>
      </c>
      <c r="E57" s="267">
        <v>2.38</v>
      </c>
      <c r="F57" s="434" t="s">
        <v>1047</v>
      </c>
      <c r="G57" s="434">
        <v>309.42</v>
      </c>
      <c r="H57" s="267">
        <f t="shared" si="2"/>
        <v>289.27924790274</v>
      </c>
      <c r="I57" s="267">
        <f t="shared" si="3"/>
        <v>688.48461000852114</v>
      </c>
      <c r="J57" s="435">
        <v>0</v>
      </c>
      <c r="K57" s="269">
        <f t="shared" si="7"/>
        <v>0</v>
      </c>
      <c r="L57" s="267">
        <f t="shared" si="8"/>
        <v>0</v>
      </c>
      <c r="M57" s="267">
        <f t="shared" si="6"/>
        <v>688.48461000852114</v>
      </c>
      <c r="N57" s="436"/>
      <c r="O57" s="1163">
        <v>0.93490804699999996</v>
      </c>
      <c r="P57" s="765"/>
      <c r="Q57" s="252"/>
      <c r="R57" s="252"/>
      <c r="S57" s="252"/>
    </row>
    <row r="58" spans="1:19" ht="18.95" customHeight="1">
      <c r="A58" s="431"/>
      <c r="B58" s="329"/>
      <c r="C58" s="433" t="s">
        <v>1048</v>
      </c>
      <c r="E58" s="269">
        <v>1.98</v>
      </c>
      <c r="F58" s="434" t="s">
        <v>348</v>
      </c>
      <c r="G58" s="434">
        <v>23.36</v>
      </c>
      <c r="H58" s="267">
        <f t="shared" si="2"/>
        <v>21.83945197792</v>
      </c>
      <c r="I58" s="267">
        <f t="shared" si="3"/>
        <v>43.242114916281601</v>
      </c>
      <c r="J58" s="435">
        <v>0</v>
      </c>
      <c r="K58" s="269">
        <f t="shared" si="7"/>
        <v>0</v>
      </c>
      <c r="L58" s="267">
        <f t="shared" si="8"/>
        <v>0</v>
      </c>
      <c r="M58" s="267">
        <f t="shared" si="6"/>
        <v>43.242114916281601</v>
      </c>
      <c r="N58" s="436"/>
      <c r="O58" s="1163">
        <v>0.93490804699999996</v>
      </c>
      <c r="P58" s="765"/>
      <c r="Q58" s="862" t="s">
        <v>1038</v>
      </c>
      <c r="R58" s="252"/>
      <c r="S58" s="252"/>
    </row>
    <row r="59" spans="1:19" ht="18.95" customHeight="1">
      <c r="A59" s="431"/>
      <c r="B59" s="122"/>
      <c r="C59" s="432"/>
      <c r="D59" s="433"/>
      <c r="E59" s="269"/>
      <c r="F59" s="434"/>
      <c r="G59" s="434"/>
      <c r="H59" s="267"/>
      <c r="I59" s="267"/>
      <c r="J59" s="435"/>
      <c r="K59" s="269"/>
      <c r="L59" s="267"/>
      <c r="M59" s="267"/>
      <c r="N59" s="436"/>
      <c r="O59" s="1163">
        <v>0.93490804699999996</v>
      </c>
      <c r="P59" s="765"/>
      <c r="Q59" s="252"/>
      <c r="R59" s="252"/>
      <c r="S59" s="252"/>
    </row>
    <row r="60" spans="1:19" ht="18.95" customHeight="1">
      <c r="A60" s="425"/>
      <c r="B60" s="122"/>
      <c r="C60" s="1347" t="s">
        <v>1051</v>
      </c>
      <c r="D60" s="1348"/>
      <c r="E60" s="267"/>
      <c r="F60" s="268"/>
      <c r="G60" s="270"/>
      <c r="H60" s="267"/>
      <c r="I60" s="267"/>
      <c r="J60" s="270"/>
      <c r="K60" s="269"/>
      <c r="L60" s="267"/>
      <c r="M60" s="270"/>
      <c r="N60" s="268"/>
      <c r="O60" s="1163">
        <v>0.93490804699999996</v>
      </c>
      <c r="P60" s="973"/>
      <c r="Q60" s="252"/>
      <c r="R60" s="252"/>
      <c r="S60" s="252"/>
    </row>
    <row r="61" spans="1:19" ht="18.95" customHeight="1">
      <c r="A61" s="314"/>
      <c r="B61" s="122"/>
      <c r="C61" s="1347" t="s">
        <v>1052</v>
      </c>
      <c r="D61" s="1348"/>
      <c r="E61" s="267"/>
      <c r="F61" s="268"/>
      <c r="G61" s="270"/>
      <c r="H61" s="267"/>
      <c r="I61" s="267"/>
      <c r="J61" s="270"/>
      <c r="K61" s="269"/>
      <c r="L61" s="267"/>
      <c r="M61" s="270"/>
      <c r="N61" s="270"/>
      <c r="O61" s="1163">
        <v>0.93490804699999996</v>
      </c>
      <c r="P61" s="976"/>
      <c r="Q61" s="252"/>
      <c r="R61" s="252"/>
      <c r="S61" s="252"/>
    </row>
    <row r="62" spans="1:19" ht="18.95" customHeight="1">
      <c r="A62" s="425">
        <v>1.18</v>
      </c>
      <c r="B62" s="122"/>
      <c r="C62" s="1331" t="s">
        <v>1050</v>
      </c>
      <c r="D62" s="1332"/>
      <c r="E62" s="267">
        <v>10.8</v>
      </c>
      <c r="F62" s="430" t="s">
        <v>1032</v>
      </c>
      <c r="G62" s="434">
        <v>2117.5</v>
      </c>
      <c r="H62" s="267">
        <f t="shared" si="2"/>
        <v>1979.6677895225</v>
      </c>
      <c r="I62" s="267">
        <f t="shared" si="3"/>
        <v>21380.412126843003</v>
      </c>
      <c r="J62" s="269">
        <v>519</v>
      </c>
      <c r="K62" s="269">
        <f t="shared" si="7"/>
        <v>485.21727639299996</v>
      </c>
      <c r="L62" s="267">
        <f t="shared" si="8"/>
        <v>5240.3465850443999</v>
      </c>
      <c r="M62" s="267">
        <f t="shared" ref="M62:M92" si="9">I62+L62</f>
        <v>26620.758711887403</v>
      </c>
      <c r="N62" s="270"/>
      <c r="O62" s="1163">
        <v>0.93490804699999996</v>
      </c>
      <c r="P62" s="976"/>
      <c r="Q62" s="252"/>
      <c r="R62" s="252"/>
      <c r="S62" s="252"/>
    </row>
    <row r="63" spans="1:19" ht="18.95" customHeight="1">
      <c r="A63" s="425">
        <v>1.19</v>
      </c>
      <c r="B63" s="122"/>
      <c r="C63" s="1331" t="s">
        <v>1053</v>
      </c>
      <c r="D63" s="1332"/>
      <c r="E63" s="267">
        <v>2.2000000000000002</v>
      </c>
      <c r="F63" s="430" t="s">
        <v>1032</v>
      </c>
      <c r="G63" s="267">
        <v>1937.5</v>
      </c>
      <c r="H63" s="267">
        <f t="shared" si="2"/>
        <v>1811.3843410625</v>
      </c>
      <c r="I63" s="267">
        <f t="shared" si="3"/>
        <v>3985.0455503375001</v>
      </c>
      <c r="J63" s="269">
        <v>519</v>
      </c>
      <c r="K63" s="269">
        <f t="shared" si="7"/>
        <v>485.21727639299996</v>
      </c>
      <c r="L63" s="267">
        <f t="shared" si="8"/>
        <v>1067.4780080646001</v>
      </c>
      <c r="M63" s="267">
        <f t="shared" si="9"/>
        <v>5052.5235584021002</v>
      </c>
      <c r="N63" s="270"/>
      <c r="O63" s="1163">
        <v>0.93490804699999996</v>
      </c>
      <c r="P63" s="976"/>
      <c r="Q63" s="252"/>
      <c r="R63" s="252"/>
      <c r="S63" s="252"/>
    </row>
    <row r="64" spans="1:19" ht="18.95" customHeight="1">
      <c r="A64" s="425"/>
      <c r="B64" s="122"/>
      <c r="C64" s="1341" t="s">
        <v>1036</v>
      </c>
      <c r="D64" s="1342"/>
      <c r="E64" s="267"/>
      <c r="F64" s="430"/>
      <c r="G64" s="267"/>
      <c r="H64" s="267"/>
      <c r="I64" s="267"/>
      <c r="J64" s="267"/>
      <c r="K64" s="269"/>
      <c r="L64" s="267"/>
      <c r="M64" s="267"/>
      <c r="N64" s="270"/>
      <c r="O64" s="1163">
        <v>0.93490804699999996</v>
      </c>
      <c r="P64" s="976"/>
      <c r="Q64" s="252"/>
      <c r="R64" s="252"/>
      <c r="S64" s="252"/>
    </row>
    <row r="65" spans="1:19" ht="18.95" customHeight="1">
      <c r="A65" s="425">
        <v>1.2</v>
      </c>
      <c r="B65" s="122"/>
      <c r="C65" s="1323" t="s">
        <v>1037</v>
      </c>
      <c r="D65" s="1324"/>
      <c r="E65" s="267">
        <v>336.3</v>
      </c>
      <c r="F65" s="430" t="s">
        <v>348</v>
      </c>
      <c r="G65" s="267">
        <v>19.600000000000001</v>
      </c>
      <c r="H65" s="267">
        <f t="shared" si="2"/>
        <v>18.324197721200001</v>
      </c>
      <c r="I65" s="267">
        <f t="shared" si="3"/>
        <v>6162.4276936395609</v>
      </c>
      <c r="J65" s="269">
        <v>4.4000000000000004</v>
      </c>
      <c r="K65" s="269">
        <f t="shared" si="7"/>
        <v>4.1135954068</v>
      </c>
      <c r="L65" s="267">
        <f t="shared" si="8"/>
        <v>1383.4021353068401</v>
      </c>
      <c r="M65" s="267">
        <f t="shared" si="9"/>
        <v>7545.829828946401</v>
      </c>
      <c r="N65" s="270"/>
      <c r="O65" s="1163">
        <v>0.93490804699999996</v>
      </c>
      <c r="P65" s="976"/>
      <c r="Q65" s="862" t="s">
        <v>1038</v>
      </c>
      <c r="R65" s="252"/>
      <c r="S65" s="252"/>
    </row>
    <row r="66" spans="1:19" ht="18.95" customHeight="1">
      <c r="A66" s="425">
        <v>1.21</v>
      </c>
      <c r="B66" s="122"/>
      <c r="C66" s="1323" t="s">
        <v>1039</v>
      </c>
      <c r="D66" s="1324"/>
      <c r="E66" s="267"/>
      <c r="F66" s="430" t="s">
        <v>348</v>
      </c>
      <c r="G66" s="267">
        <v>19.7</v>
      </c>
      <c r="H66" s="267">
        <f t="shared" si="2"/>
        <v>18.417688525899997</v>
      </c>
      <c r="I66" s="267">
        <f t="shared" si="3"/>
        <v>0</v>
      </c>
      <c r="J66" s="269">
        <v>3.6</v>
      </c>
      <c r="K66" s="269">
        <f t="shared" si="7"/>
        <v>3.3656689692000001</v>
      </c>
      <c r="L66" s="267">
        <f t="shared" si="8"/>
        <v>0</v>
      </c>
      <c r="M66" s="267">
        <f t="shared" si="9"/>
        <v>0</v>
      </c>
      <c r="N66" s="270"/>
      <c r="O66" s="1163">
        <v>0.93490804699999996</v>
      </c>
      <c r="P66" s="976"/>
      <c r="Q66" s="862" t="s">
        <v>1038</v>
      </c>
      <c r="R66" s="252"/>
      <c r="S66" s="252"/>
    </row>
    <row r="67" spans="1:19" ht="18.95" customHeight="1">
      <c r="A67" s="425">
        <v>1.22</v>
      </c>
      <c r="B67" s="122"/>
      <c r="C67" s="1323" t="s">
        <v>1040</v>
      </c>
      <c r="D67" s="1324"/>
      <c r="E67" s="267">
        <v>805.7</v>
      </c>
      <c r="F67" s="430" t="s">
        <v>348</v>
      </c>
      <c r="G67" s="267">
        <v>19.5</v>
      </c>
      <c r="H67" s="267">
        <f t="shared" si="2"/>
        <v>18.230706916500001</v>
      </c>
      <c r="I67" s="267">
        <f t="shared" si="3"/>
        <v>14688.480562624052</v>
      </c>
      <c r="J67" s="269">
        <v>3.6</v>
      </c>
      <c r="K67" s="269">
        <f t="shared" si="7"/>
        <v>3.3656689692000001</v>
      </c>
      <c r="L67" s="267">
        <f t="shared" si="8"/>
        <v>2711.7194884844403</v>
      </c>
      <c r="M67" s="267">
        <f t="shared" si="9"/>
        <v>17400.200051108492</v>
      </c>
      <c r="N67" s="270"/>
      <c r="O67" s="1163">
        <v>0.93490804699999996</v>
      </c>
      <c r="P67" s="976"/>
      <c r="Q67" s="862" t="s">
        <v>1038</v>
      </c>
      <c r="R67" s="252"/>
      <c r="S67" s="252"/>
    </row>
    <row r="68" spans="1:19" ht="18.95" customHeight="1">
      <c r="A68" s="425">
        <v>1.23</v>
      </c>
      <c r="B68" s="122"/>
      <c r="C68" s="1323" t="s">
        <v>1041</v>
      </c>
      <c r="D68" s="1324"/>
      <c r="E68" s="267">
        <v>20.6</v>
      </c>
      <c r="F68" s="430" t="s">
        <v>348</v>
      </c>
      <c r="G68" s="269">
        <v>27.1</v>
      </c>
      <c r="H68" s="267">
        <f t="shared" si="2"/>
        <v>25.3360080737</v>
      </c>
      <c r="I68" s="267">
        <f t="shared" si="3"/>
        <v>521.92176631822008</v>
      </c>
      <c r="J68" s="267">
        <v>0</v>
      </c>
      <c r="K68" s="269">
        <f t="shared" si="7"/>
        <v>0</v>
      </c>
      <c r="L68" s="267">
        <f t="shared" si="8"/>
        <v>0</v>
      </c>
      <c r="M68" s="267">
        <f t="shared" si="9"/>
        <v>521.92176631822008</v>
      </c>
      <c r="N68" s="268"/>
      <c r="O68" s="1163">
        <v>0.93490804699999996</v>
      </c>
      <c r="P68" s="973"/>
      <c r="Q68" s="862" t="s">
        <v>1038</v>
      </c>
      <c r="R68" s="252"/>
      <c r="S68" s="252"/>
    </row>
    <row r="69" spans="1:19" ht="18.95" customHeight="1">
      <c r="A69" s="314">
        <v>1.24</v>
      </c>
      <c r="B69" s="122"/>
      <c r="C69" s="1323" t="s">
        <v>1043</v>
      </c>
      <c r="D69" s="1324"/>
      <c r="E69" s="267"/>
      <c r="F69" s="430"/>
      <c r="G69" s="267"/>
      <c r="H69" s="267"/>
      <c r="I69" s="267"/>
      <c r="J69" s="269"/>
      <c r="K69" s="269"/>
      <c r="L69" s="267"/>
      <c r="M69" s="267"/>
      <c r="N69" s="268"/>
      <c r="O69" s="1163">
        <v>0.93490804699999996</v>
      </c>
      <c r="P69" s="973"/>
      <c r="Q69" s="252"/>
      <c r="R69" s="252"/>
      <c r="S69" s="252"/>
    </row>
    <row r="70" spans="1:19" ht="18.95" customHeight="1">
      <c r="A70" s="431"/>
      <c r="B70" s="329"/>
      <c r="C70" s="433" t="s">
        <v>1044</v>
      </c>
      <c r="E70" s="267">
        <v>59.16</v>
      </c>
      <c r="F70" s="434" t="s">
        <v>218</v>
      </c>
      <c r="G70" s="434">
        <v>245.2</v>
      </c>
      <c r="H70" s="267">
        <f t="shared" si="2"/>
        <v>229.23945312439997</v>
      </c>
      <c r="I70" s="267">
        <f t="shared" si="3"/>
        <v>13561.806046839502</v>
      </c>
      <c r="J70" s="435">
        <v>0</v>
      </c>
      <c r="K70" s="269">
        <f t="shared" si="7"/>
        <v>0</v>
      </c>
      <c r="L70" s="267">
        <f t="shared" si="8"/>
        <v>0</v>
      </c>
      <c r="M70" s="267">
        <f t="shared" si="9"/>
        <v>13561.806046839502</v>
      </c>
      <c r="N70" s="436"/>
      <c r="O70" s="1163">
        <v>0.93490804699999996</v>
      </c>
      <c r="P70" s="765"/>
      <c r="Q70" s="252"/>
      <c r="R70" s="252"/>
      <c r="S70" s="252"/>
    </row>
    <row r="71" spans="1:19" ht="18.95" customHeight="1">
      <c r="A71" s="431"/>
      <c r="B71" s="329"/>
      <c r="C71" s="433" t="s">
        <v>1045</v>
      </c>
      <c r="E71" s="267">
        <v>98.6</v>
      </c>
      <c r="F71" s="434" t="s">
        <v>218</v>
      </c>
      <c r="G71" s="434">
        <v>0</v>
      </c>
      <c r="H71" s="267">
        <f t="shared" si="2"/>
        <v>0</v>
      </c>
      <c r="I71" s="267">
        <f t="shared" si="3"/>
        <v>0</v>
      </c>
      <c r="J71" s="435">
        <v>121</v>
      </c>
      <c r="K71" s="269">
        <f t="shared" si="7"/>
        <v>113.123873687</v>
      </c>
      <c r="L71" s="267">
        <f t="shared" si="8"/>
        <v>11154.0139455382</v>
      </c>
      <c r="M71" s="267">
        <f t="shared" si="9"/>
        <v>11154.0139455382</v>
      </c>
      <c r="N71" s="436"/>
      <c r="O71" s="1163">
        <v>0.93490804699999996</v>
      </c>
      <c r="P71" s="765"/>
      <c r="Q71" s="252"/>
      <c r="R71" s="252"/>
      <c r="S71" s="252"/>
    </row>
    <row r="72" spans="1:19" ht="18.95" customHeight="1">
      <c r="A72" s="431"/>
      <c r="B72" s="329"/>
      <c r="C72" s="433" t="s">
        <v>1046</v>
      </c>
      <c r="E72" s="267">
        <v>17.75</v>
      </c>
      <c r="F72" s="434" t="s">
        <v>1047</v>
      </c>
      <c r="G72" s="434">
        <v>309.42</v>
      </c>
      <c r="H72" s="267">
        <f t="shared" si="2"/>
        <v>289.27924790274</v>
      </c>
      <c r="I72" s="267">
        <f t="shared" si="3"/>
        <v>5134.7066502736352</v>
      </c>
      <c r="J72" s="435">
        <v>0</v>
      </c>
      <c r="K72" s="269">
        <f t="shared" si="7"/>
        <v>0</v>
      </c>
      <c r="L72" s="267">
        <f t="shared" si="8"/>
        <v>0</v>
      </c>
      <c r="M72" s="267">
        <f t="shared" si="9"/>
        <v>5134.7066502736352</v>
      </c>
      <c r="N72" s="436"/>
      <c r="O72" s="1163">
        <v>0.93490804699999996</v>
      </c>
      <c r="P72" s="765"/>
      <c r="Q72" s="252"/>
      <c r="R72" s="252"/>
      <c r="S72" s="252"/>
    </row>
    <row r="73" spans="1:19" ht="18.95" customHeight="1">
      <c r="A73" s="431"/>
      <c r="B73" s="329"/>
      <c r="C73" s="433" t="s">
        <v>1048</v>
      </c>
      <c r="E73" s="269">
        <v>14.79</v>
      </c>
      <c r="F73" s="434" t="s">
        <v>348</v>
      </c>
      <c r="G73" s="434">
        <v>23.36</v>
      </c>
      <c r="H73" s="267">
        <f t="shared" si="2"/>
        <v>21.83945197792</v>
      </c>
      <c r="I73" s="267">
        <f t="shared" si="3"/>
        <v>323.00549475343678</v>
      </c>
      <c r="J73" s="435">
        <v>0</v>
      </c>
      <c r="K73" s="269">
        <f t="shared" si="7"/>
        <v>0</v>
      </c>
      <c r="L73" s="267">
        <f t="shared" si="8"/>
        <v>0</v>
      </c>
      <c r="M73" s="267">
        <f t="shared" si="9"/>
        <v>323.00549475343678</v>
      </c>
      <c r="N73" s="436"/>
      <c r="O73" s="1163">
        <v>0.93490804699999996</v>
      </c>
      <c r="P73" s="765"/>
      <c r="Q73" s="862" t="s">
        <v>1038</v>
      </c>
      <c r="R73" s="252"/>
      <c r="S73" s="252"/>
    </row>
    <row r="74" spans="1:19" ht="18.95" customHeight="1">
      <c r="A74" s="425"/>
      <c r="B74" s="122"/>
      <c r="C74" s="1347" t="s">
        <v>1054</v>
      </c>
      <c r="D74" s="1348"/>
      <c r="E74" s="267"/>
      <c r="F74" s="427"/>
      <c r="G74" s="267"/>
      <c r="H74" s="267"/>
      <c r="I74" s="267"/>
      <c r="J74" s="269"/>
      <c r="K74" s="269"/>
      <c r="L74" s="267"/>
      <c r="M74" s="267"/>
      <c r="N74" s="268"/>
      <c r="O74" s="1163">
        <v>0.93490804699999996</v>
      </c>
      <c r="P74" s="973"/>
      <c r="Q74" s="252"/>
      <c r="R74" s="252"/>
      <c r="S74" s="252"/>
    </row>
    <row r="75" spans="1:19" ht="18.95" customHeight="1">
      <c r="A75" s="425">
        <v>1.25</v>
      </c>
      <c r="B75" s="122"/>
      <c r="C75" s="1331" t="s">
        <v>1035</v>
      </c>
      <c r="D75" s="1332"/>
      <c r="E75" s="267">
        <v>11.9</v>
      </c>
      <c r="F75" s="430" t="s">
        <v>1032</v>
      </c>
      <c r="G75" s="434">
        <v>2117.5</v>
      </c>
      <c r="H75" s="267">
        <f t="shared" si="2"/>
        <v>1979.6677895225</v>
      </c>
      <c r="I75" s="267">
        <f t="shared" si="3"/>
        <v>23558.046695317749</v>
      </c>
      <c r="J75" s="269">
        <v>519</v>
      </c>
      <c r="K75" s="269">
        <f t="shared" si="7"/>
        <v>485.21727639299996</v>
      </c>
      <c r="L75" s="267">
        <f t="shared" si="8"/>
        <v>5774.0855890766998</v>
      </c>
      <c r="M75" s="267">
        <f t="shared" si="9"/>
        <v>29332.132284394451</v>
      </c>
      <c r="N75" s="268"/>
      <c r="O75" s="1163">
        <v>0.93490804699999996</v>
      </c>
      <c r="P75" s="973"/>
      <c r="Q75" s="252"/>
      <c r="R75" s="252"/>
      <c r="S75" s="252"/>
    </row>
    <row r="76" spans="1:19" ht="18.95" customHeight="1">
      <c r="A76" s="425"/>
      <c r="B76" s="122"/>
      <c r="C76" s="1341" t="s">
        <v>1036</v>
      </c>
      <c r="D76" s="1342"/>
      <c r="E76" s="267"/>
      <c r="F76" s="430"/>
      <c r="G76" s="267"/>
      <c r="H76" s="267"/>
      <c r="I76" s="267"/>
      <c r="J76" s="269"/>
      <c r="K76" s="269"/>
      <c r="L76" s="267"/>
      <c r="M76" s="267"/>
      <c r="N76" s="268"/>
      <c r="O76" s="1163">
        <v>0.93490804699999996</v>
      </c>
      <c r="P76" s="973"/>
      <c r="Q76" s="252"/>
      <c r="R76" s="252"/>
      <c r="S76" s="252"/>
    </row>
    <row r="77" spans="1:19" ht="18.95" customHeight="1">
      <c r="A77" s="425">
        <v>1.26</v>
      </c>
      <c r="B77" s="122"/>
      <c r="C77" s="1323" t="s">
        <v>1037</v>
      </c>
      <c r="D77" s="1324"/>
      <c r="E77" s="267"/>
      <c r="F77" s="430" t="s">
        <v>348</v>
      </c>
      <c r="G77" s="267">
        <v>19.600000000000001</v>
      </c>
      <c r="H77" s="267">
        <f t="shared" si="2"/>
        <v>18.324197721200001</v>
      </c>
      <c r="I77" s="267">
        <f t="shared" si="3"/>
        <v>0</v>
      </c>
      <c r="J77" s="269">
        <v>4.4000000000000004</v>
      </c>
      <c r="K77" s="269">
        <f t="shared" si="7"/>
        <v>4.1135954068</v>
      </c>
      <c r="L77" s="267">
        <f t="shared" si="8"/>
        <v>0</v>
      </c>
      <c r="M77" s="267">
        <f t="shared" si="9"/>
        <v>0</v>
      </c>
      <c r="N77" s="268"/>
      <c r="O77" s="1163">
        <v>0.93490804699999996</v>
      </c>
      <c r="P77" s="973"/>
      <c r="Q77" s="862" t="s">
        <v>1038</v>
      </c>
      <c r="R77" s="252"/>
      <c r="S77" s="252"/>
    </row>
    <row r="78" spans="1:19" ht="18.95" customHeight="1">
      <c r="A78" s="425">
        <v>1.27</v>
      </c>
      <c r="B78" s="122"/>
      <c r="C78" s="1323" t="s">
        <v>1039</v>
      </c>
      <c r="D78" s="1324"/>
      <c r="E78" s="267">
        <v>2565.1</v>
      </c>
      <c r="F78" s="430" t="s">
        <v>348</v>
      </c>
      <c r="G78" s="267">
        <v>19.7</v>
      </c>
      <c r="H78" s="267">
        <f t="shared" si="2"/>
        <v>18.417688525899997</v>
      </c>
      <c r="I78" s="267">
        <f t="shared" si="3"/>
        <v>47243.212837786079</v>
      </c>
      <c r="J78" s="269">
        <v>3.6</v>
      </c>
      <c r="K78" s="269">
        <f t="shared" si="7"/>
        <v>3.3656689692000001</v>
      </c>
      <c r="L78" s="267">
        <f t="shared" si="8"/>
        <v>8633.2774728949207</v>
      </c>
      <c r="M78" s="267">
        <f t="shared" si="9"/>
        <v>55876.490310681002</v>
      </c>
      <c r="N78" s="268"/>
      <c r="O78" s="1163">
        <v>0.93490804699999996</v>
      </c>
      <c r="P78" s="973"/>
      <c r="Q78" s="862" t="s">
        <v>1038</v>
      </c>
      <c r="R78" s="252"/>
      <c r="S78" s="252"/>
    </row>
    <row r="79" spans="1:19" ht="18.95" customHeight="1">
      <c r="A79" s="425">
        <v>1.28</v>
      </c>
      <c r="B79" s="122"/>
      <c r="C79" s="1323" t="s">
        <v>1040</v>
      </c>
      <c r="D79" s="1324"/>
      <c r="E79" s="267"/>
      <c r="F79" s="430" t="s">
        <v>348</v>
      </c>
      <c r="G79" s="267">
        <v>19.5</v>
      </c>
      <c r="H79" s="267">
        <f t="shared" si="2"/>
        <v>18.230706916500001</v>
      </c>
      <c r="I79" s="267">
        <f t="shared" si="3"/>
        <v>0</v>
      </c>
      <c r="J79" s="269">
        <v>3.6</v>
      </c>
      <c r="K79" s="269">
        <f t="shared" si="7"/>
        <v>3.3656689692000001</v>
      </c>
      <c r="L79" s="267">
        <f t="shared" si="8"/>
        <v>0</v>
      </c>
      <c r="M79" s="267">
        <f t="shared" si="9"/>
        <v>0</v>
      </c>
      <c r="N79" s="268"/>
      <c r="O79" s="1163">
        <v>0.93490804699999996</v>
      </c>
      <c r="P79" s="973"/>
      <c r="Q79" s="862" t="s">
        <v>1038</v>
      </c>
      <c r="R79" s="252"/>
      <c r="S79" s="252"/>
    </row>
    <row r="80" spans="1:19" ht="18.95" customHeight="1">
      <c r="A80" s="425">
        <v>1.29</v>
      </c>
      <c r="B80" s="122"/>
      <c r="C80" s="1323" t="s">
        <v>1041</v>
      </c>
      <c r="D80" s="1324"/>
      <c r="E80" s="267">
        <v>46.6</v>
      </c>
      <c r="F80" s="430" t="s">
        <v>348</v>
      </c>
      <c r="G80" s="269">
        <v>27.1</v>
      </c>
      <c r="H80" s="267">
        <f t="shared" si="2"/>
        <v>25.3360080737</v>
      </c>
      <c r="I80" s="267">
        <f t="shared" si="3"/>
        <v>1180.6579762344199</v>
      </c>
      <c r="J80" s="267">
        <v>0</v>
      </c>
      <c r="K80" s="269">
        <f t="shared" si="7"/>
        <v>0</v>
      </c>
      <c r="L80" s="267">
        <f t="shared" si="8"/>
        <v>0</v>
      </c>
      <c r="M80" s="267">
        <f t="shared" si="9"/>
        <v>1180.6579762344199</v>
      </c>
      <c r="N80" s="268"/>
      <c r="O80" s="1163">
        <v>0.93490804699999996</v>
      </c>
      <c r="P80" s="973"/>
      <c r="Q80" s="862" t="s">
        <v>1038</v>
      </c>
      <c r="R80" s="252"/>
      <c r="S80" s="252"/>
    </row>
    <row r="81" spans="1:19" ht="18.95" customHeight="1">
      <c r="A81" s="425">
        <v>1.3</v>
      </c>
      <c r="B81" s="122"/>
      <c r="C81" s="1323" t="s">
        <v>1043</v>
      </c>
      <c r="D81" s="1324"/>
      <c r="E81" s="267"/>
      <c r="F81" s="430"/>
      <c r="G81" s="267"/>
      <c r="H81" s="267"/>
      <c r="I81" s="267"/>
      <c r="J81" s="269"/>
      <c r="K81" s="269"/>
      <c r="L81" s="267"/>
      <c r="M81" s="267"/>
      <c r="N81" s="268"/>
      <c r="O81" s="1163">
        <v>0.93490804699999996</v>
      </c>
      <c r="P81" s="973"/>
      <c r="Q81" s="252"/>
      <c r="R81" s="252"/>
      <c r="S81" s="252"/>
    </row>
    <row r="82" spans="1:19" ht="18.95" customHeight="1">
      <c r="A82" s="431"/>
      <c r="B82" s="329"/>
      <c r="C82" s="433" t="s">
        <v>1044</v>
      </c>
      <c r="E82" s="267">
        <v>56.88</v>
      </c>
      <c r="F82" s="434" t="s">
        <v>218</v>
      </c>
      <c r="G82" s="434">
        <v>245.2</v>
      </c>
      <c r="H82" s="267">
        <f t="shared" si="2"/>
        <v>229.23945312439997</v>
      </c>
      <c r="I82" s="267">
        <f t="shared" si="3"/>
        <v>13039.140093715871</v>
      </c>
      <c r="J82" s="435">
        <v>0</v>
      </c>
      <c r="K82" s="269">
        <f t="shared" si="7"/>
        <v>0</v>
      </c>
      <c r="L82" s="267">
        <f t="shared" si="8"/>
        <v>0</v>
      </c>
      <c r="M82" s="267">
        <f t="shared" si="9"/>
        <v>13039.140093715871</v>
      </c>
      <c r="N82" s="436"/>
      <c r="O82" s="1163">
        <v>0.93490804699999996</v>
      </c>
      <c r="P82" s="765"/>
      <c r="Q82" s="252"/>
      <c r="R82" s="252"/>
      <c r="S82" s="252"/>
    </row>
    <row r="83" spans="1:19" ht="18.95" customHeight="1">
      <c r="A83" s="431"/>
      <c r="B83" s="329"/>
      <c r="C83" s="433" t="s">
        <v>1045</v>
      </c>
      <c r="E83" s="267">
        <v>94.8</v>
      </c>
      <c r="F83" s="434" t="s">
        <v>218</v>
      </c>
      <c r="G83" s="434">
        <v>0</v>
      </c>
      <c r="H83" s="267">
        <f t="shared" si="2"/>
        <v>0</v>
      </c>
      <c r="I83" s="267">
        <f t="shared" si="3"/>
        <v>0</v>
      </c>
      <c r="J83" s="435">
        <v>121</v>
      </c>
      <c r="K83" s="269">
        <f t="shared" si="7"/>
        <v>113.123873687</v>
      </c>
      <c r="L83" s="267">
        <f t="shared" si="8"/>
        <v>10724.143225527599</v>
      </c>
      <c r="M83" s="267">
        <f t="shared" si="9"/>
        <v>10724.143225527599</v>
      </c>
      <c r="N83" s="436"/>
      <c r="O83" s="1163">
        <v>0.93490804699999996</v>
      </c>
      <c r="P83" s="765"/>
      <c r="Q83" s="252"/>
      <c r="R83" s="252"/>
      <c r="S83" s="252"/>
    </row>
    <row r="84" spans="1:19" ht="18.95" customHeight="1">
      <c r="A84" s="431"/>
      <c r="B84" s="329"/>
      <c r="C84" s="433" t="s">
        <v>1046</v>
      </c>
      <c r="E84" s="267">
        <v>17.07</v>
      </c>
      <c r="F84" s="434" t="s">
        <v>1047</v>
      </c>
      <c r="G84" s="434">
        <v>309.42</v>
      </c>
      <c r="H84" s="267">
        <f t="shared" si="2"/>
        <v>289.27924790274</v>
      </c>
      <c r="I84" s="267">
        <f t="shared" si="3"/>
        <v>4937.9967616997719</v>
      </c>
      <c r="J84" s="435">
        <v>0</v>
      </c>
      <c r="K84" s="269">
        <f t="shared" si="7"/>
        <v>0</v>
      </c>
      <c r="L84" s="267">
        <f t="shared" si="8"/>
        <v>0</v>
      </c>
      <c r="M84" s="267">
        <f t="shared" si="9"/>
        <v>4937.9967616997719</v>
      </c>
      <c r="N84" s="436"/>
      <c r="O84" s="1163">
        <v>0.93490804699999996</v>
      </c>
      <c r="P84" s="765"/>
      <c r="Q84" s="252"/>
      <c r="R84" s="252"/>
      <c r="S84" s="252"/>
    </row>
    <row r="85" spans="1:19" ht="18.95" customHeight="1">
      <c r="A85" s="431"/>
      <c r="B85" s="329"/>
      <c r="C85" s="433" t="s">
        <v>1048</v>
      </c>
      <c r="E85" s="269">
        <v>14.22</v>
      </c>
      <c r="F85" s="434" t="s">
        <v>348</v>
      </c>
      <c r="G85" s="434">
        <v>23.36</v>
      </c>
      <c r="H85" s="267">
        <f t="shared" si="2"/>
        <v>21.83945197792</v>
      </c>
      <c r="I85" s="267">
        <f t="shared" si="3"/>
        <v>310.55700712602243</v>
      </c>
      <c r="J85" s="435">
        <v>0</v>
      </c>
      <c r="K85" s="269">
        <f t="shared" si="7"/>
        <v>0</v>
      </c>
      <c r="L85" s="267">
        <f t="shared" si="8"/>
        <v>0</v>
      </c>
      <c r="M85" s="267">
        <f t="shared" si="9"/>
        <v>310.55700712602243</v>
      </c>
      <c r="N85" s="436"/>
      <c r="O85" s="1163">
        <v>0.93490804699999996</v>
      </c>
      <c r="P85" s="765"/>
      <c r="Q85" s="862" t="s">
        <v>1038</v>
      </c>
      <c r="R85" s="252"/>
      <c r="S85" s="252"/>
    </row>
    <row r="86" spans="1:19" ht="18.95" customHeight="1">
      <c r="A86" s="425">
        <v>1.31</v>
      </c>
      <c r="B86" s="122"/>
      <c r="C86" s="1323" t="s">
        <v>1055</v>
      </c>
      <c r="D86" s="1324"/>
      <c r="E86" s="267">
        <v>9.5</v>
      </c>
      <c r="F86" s="430" t="s">
        <v>1032</v>
      </c>
      <c r="G86" s="267">
        <v>508.33</v>
      </c>
      <c r="H86" s="267">
        <f t="shared" si="2"/>
        <v>475.24180753150995</v>
      </c>
      <c r="I86" s="267">
        <f t="shared" si="3"/>
        <v>4514.7971715493441</v>
      </c>
      <c r="J86" s="267">
        <v>112</v>
      </c>
      <c r="K86" s="269">
        <f t="shared" si="7"/>
        <v>104.70970126399999</v>
      </c>
      <c r="L86" s="267">
        <f t="shared" si="8"/>
        <v>994.74216200799992</v>
      </c>
      <c r="M86" s="267">
        <f t="shared" si="9"/>
        <v>5509.5393335573444</v>
      </c>
      <c r="N86" s="268"/>
      <c r="O86" s="1163">
        <v>0.93490804699999996</v>
      </c>
      <c r="P86" s="973"/>
      <c r="Q86" s="252"/>
      <c r="R86" s="252"/>
      <c r="S86" s="252"/>
    </row>
    <row r="87" spans="1:19" ht="18.95" customHeight="1">
      <c r="A87" s="425">
        <v>1.32</v>
      </c>
      <c r="B87" s="122"/>
      <c r="C87" s="1331" t="s">
        <v>1056</v>
      </c>
      <c r="D87" s="1332"/>
      <c r="E87" s="267">
        <v>94.8</v>
      </c>
      <c r="F87" s="430" t="s">
        <v>218</v>
      </c>
      <c r="G87" s="267">
        <v>12</v>
      </c>
      <c r="H87" s="267">
        <f t="shared" si="2"/>
        <v>11.218896564</v>
      </c>
      <c r="I87" s="267">
        <f t="shared" si="3"/>
        <v>1063.5513942671998</v>
      </c>
      <c r="J87" s="267">
        <v>3.6</v>
      </c>
      <c r="K87" s="269">
        <f t="shared" si="7"/>
        <v>3.3656689692000001</v>
      </c>
      <c r="L87" s="267">
        <f t="shared" si="8"/>
        <v>319.06541828016003</v>
      </c>
      <c r="M87" s="267">
        <f t="shared" si="9"/>
        <v>1382.6168125473598</v>
      </c>
      <c r="N87" s="268"/>
      <c r="O87" s="1163">
        <v>0.93490804699999996</v>
      </c>
      <c r="P87" s="973"/>
      <c r="Q87" s="252"/>
      <c r="R87" s="252"/>
      <c r="S87" s="252"/>
    </row>
    <row r="88" spans="1:19" ht="18.95" customHeight="1">
      <c r="A88" s="425"/>
      <c r="B88" s="122"/>
      <c r="C88" s="1347" t="s">
        <v>1057</v>
      </c>
      <c r="D88" s="1348"/>
      <c r="E88" s="267"/>
      <c r="F88" s="427"/>
      <c r="G88" s="267"/>
      <c r="H88" s="267"/>
      <c r="I88" s="267"/>
      <c r="J88" s="269"/>
      <c r="K88" s="269"/>
      <c r="L88" s="267"/>
      <c r="M88" s="267"/>
      <c r="N88" s="268"/>
      <c r="O88" s="1163">
        <v>0.93490804699999996</v>
      </c>
      <c r="P88" s="973"/>
      <c r="Q88" s="252"/>
      <c r="R88" s="252"/>
      <c r="S88" s="252"/>
    </row>
    <row r="89" spans="1:19" ht="18.95" customHeight="1">
      <c r="A89" s="425">
        <v>1.33</v>
      </c>
      <c r="B89" s="122"/>
      <c r="C89" s="1331" t="s">
        <v>1058</v>
      </c>
      <c r="D89" s="1332"/>
      <c r="E89" s="267">
        <v>2249.3000000000002</v>
      </c>
      <c r="F89" s="430" t="s">
        <v>348</v>
      </c>
      <c r="G89" s="267">
        <v>31.66</v>
      </c>
      <c r="H89" s="267">
        <f t="shared" si="2"/>
        <v>29.599188768019999</v>
      </c>
      <c r="I89" s="267">
        <f t="shared" si="3"/>
        <v>66577.455295907392</v>
      </c>
      <c r="J89" s="267">
        <v>14</v>
      </c>
      <c r="K89" s="269">
        <f t="shared" ref="K89:K145" si="10">J89*O89</f>
        <v>13.088712657999999</v>
      </c>
      <c r="L89" s="267">
        <f t="shared" ref="L89:L145" si="11">E89*K89</f>
        <v>29440.441381639401</v>
      </c>
      <c r="M89" s="267">
        <f t="shared" si="9"/>
        <v>96017.896677546785</v>
      </c>
      <c r="N89" s="268"/>
      <c r="O89" s="1163">
        <v>0.93490804699999996</v>
      </c>
      <c r="P89" s="973"/>
      <c r="Q89" s="252"/>
      <c r="R89" s="252"/>
      <c r="S89" s="252"/>
    </row>
    <row r="90" spans="1:19" ht="18.95" customHeight="1">
      <c r="A90" s="425"/>
      <c r="B90" s="122"/>
      <c r="C90" s="437" t="s">
        <v>77</v>
      </c>
      <c r="D90" s="429"/>
      <c r="E90" s="267"/>
      <c r="F90" s="430"/>
      <c r="G90" s="267"/>
      <c r="H90" s="267"/>
      <c r="I90" s="267"/>
      <c r="J90" s="269"/>
      <c r="K90" s="269"/>
      <c r="L90" s="267"/>
      <c r="M90" s="267"/>
      <c r="N90" s="268"/>
      <c r="O90" s="1163">
        <v>0.93490804699999996</v>
      </c>
      <c r="P90" s="973"/>
      <c r="Q90" s="252"/>
      <c r="R90" s="252"/>
      <c r="S90" s="252"/>
    </row>
    <row r="91" spans="1:19" ht="18.95" customHeight="1">
      <c r="A91" s="425">
        <v>1.34</v>
      </c>
      <c r="B91" s="122"/>
      <c r="C91" s="1323" t="s">
        <v>1059</v>
      </c>
      <c r="D91" s="1324"/>
      <c r="E91" s="267">
        <v>93.3</v>
      </c>
      <c r="F91" s="430" t="s">
        <v>348</v>
      </c>
      <c r="G91" s="267">
        <v>27.45</v>
      </c>
      <c r="H91" s="267">
        <f t="shared" si="2"/>
        <v>25.663225890149999</v>
      </c>
      <c r="I91" s="267">
        <f t="shared" si="3"/>
        <v>2394.3789755509947</v>
      </c>
      <c r="J91" s="267">
        <v>14</v>
      </c>
      <c r="K91" s="269">
        <f t="shared" si="10"/>
        <v>13.088712657999999</v>
      </c>
      <c r="L91" s="267">
        <f t="shared" si="11"/>
        <v>1221.1768909913999</v>
      </c>
      <c r="M91" s="267">
        <f t="shared" si="9"/>
        <v>3615.5558665423946</v>
      </c>
      <c r="N91" s="268"/>
      <c r="O91" s="1163">
        <v>0.93490804699999996</v>
      </c>
      <c r="P91" s="973"/>
      <c r="Q91" s="252"/>
      <c r="R91" s="252"/>
      <c r="S91" s="252"/>
    </row>
    <row r="92" spans="1:19" ht="18.95" customHeight="1">
      <c r="A92" s="425">
        <v>1.35</v>
      </c>
      <c r="B92" s="122"/>
      <c r="C92" s="1323" t="s">
        <v>1060</v>
      </c>
      <c r="D92" s="1324"/>
      <c r="E92" s="267">
        <v>48</v>
      </c>
      <c r="F92" s="427" t="s">
        <v>402</v>
      </c>
      <c r="G92" s="267">
        <v>107.71</v>
      </c>
      <c r="H92" s="267">
        <f t="shared" si="2"/>
        <v>100.69894574236999</v>
      </c>
      <c r="I92" s="267">
        <f t="shared" si="3"/>
        <v>4833.5493956337596</v>
      </c>
      <c r="J92" s="267">
        <v>32.31</v>
      </c>
      <c r="K92" s="269">
        <f t="shared" si="10"/>
        <v>30.206878998570001</v>
      </c>
      <c r="L92" s="267">
        <f t="shared" si="11"/>
        <v>1449.93019193136</v>
      </c>
      <c r="M92" s="267">
        <f t="shared" si="9"/>
        <v>6283.4795875651198</v>
      </c>
      <c r="N92" s="268"/>
      <c r="O92" s="1163">
        <v>0.93490804699999996</v>
      </c>
      <c r="P92" s="973"/>
      <c r="Q92" s="252"/>
      <c r="R92" s="252"/>
      <c r="S92" s="252"/>
    </row>
    <row r="93" spans="1:19" ht="18.95" customHeight="1">
      <c r="A93" s="204"/>
      <c r="B93" s="122"/>
      <c r="C93" s="1329" t="s">
        <v>1061</v>
      </c>
      <c r="D93" s="1330"/>
      <c r="E93" s="270"/>
      <c r="F93" s="268"/>
      <c r="G93" s="270"/>
      <c r="H93" s="267"/>
      <c r="I93" s="267"/>
      <c r="J93" s="270"/>
      <c r="K93" s="269"/>
      <c r="L93" s="267"/>
      <c r="M93" s="270"/>
      <c r="N93" s="283"/>
      <c r="O93" s="1163">
        <v>0.93490804699999996</v>
      </c>
      <c r="P93" s="1164"/>
      <c r="Q93" s="252"/>
      <c r="R93" s="252"/>
      <c r="S93" s="252"/>
    </row>
    <row r="94" spans="1:19" ht="18.95" customHeight="1">
      <c r="A94" s="425">
        <v>1.36</v>
      </c>
      <c r="B94" s="122"/>
      <c r="C94" s="428" t="s">
        <v>1062</v>
      </c>
      <c r="D94" s="429"/>
      <c r="E94" s="267">
        <v>58.6</v>
      </c>
      <c r="F94" s="430" t="s">
        <v>218</v>
      </c>
      <c r="G94" s="267">
        <v>28.02</v>
      </c>
      <c r="H94" s="267">
        <f t="shared" si="2"/>
        <v>26.196123476939999</v>
      </c>
      <c r="I94" s="267">
        <f t="shared" si="3"/>
        <v>1535.0928357486839</v>
      </c>
      <c r="J94" s="267">
        <v>30</v>
      </c>
      <c r="K94" s="269">
        <f t="shared" si="10"/>
        <v>28.047241409999998</v>
      </c>
      <c r="L94" s="267">
        <f t="shared" si="11"/>
        <v>1643.568346626</v>
      </c>
      <c r="M94" s="267">
        <f t="shared" ref="M94:M122" si="12">I94+L94</f>
        <v>3178.6611823746839</v>
      </c>
      <c r="N94" s="283"/>
      <c r="O94" s="1163">
        <v>0.93490804699999996</v>
      </c>
      <c r="P94" s="1164"/>
      <c r="Q94" s="252"/>
      <c r="R94" s="252"/>
      <c r="S94" s="252"/>
    </row>
    <row r="95" spans="1:19" ht="18.95" customHeight="1">
      <c r="A95" s="425">
        <v>1.37</v>
      </c>
      <c r="B95" s="122"/>
      <c r="C95" s="428" t="s">
        <v>1063</v>
      </c>
      <c r="D95" s="429"/>
      <c r="E95" s="267">
        <v>58.6</v>
      </c>
      <c r="F95" s="430" t="s">
        <v>218</v>
      </c>
      <c r="G95" s="267">
        <v>32.32</v>
      </c>
      <c r="H95" s="267">
        <f t="shared" ref="H95:H159" si="13">G95*O95</f>
        <v>30.21622807904</v>
      </c>
      <c r="I95" s="267">
        <f t="shared" ref="I95:I159" si="14">E95*H95</f>
        <v>1770.670965431744</v>
      </c>
      <c r="J95" s="267">
        <v>35</v>
      </c>
      <c r="K95" s="269">
        <f t="shared" si="10"/>
        <v>32.721781645</v>
      </c>
      <c r="L95" s="267">
        <f t="shared" si="11"/>
        <v>1917.4964043970001</v>
      </c>
      <c r="M95" s="267">
        <f t="shared" si="12"/>
        <v>3688.1673698287441</v>
      </c>
      <c r="N95" s="283"/>
      <c r="O95" s="1163">
        <v>0.93490804699999996</v>
      </c>
      <c r="P95" s="1164"/>
      <c r="Q95" s="862" t="s">
        <v>1038</v>
      </c>
      <c r="R95" s="252"/>
      <c r="S95" s="252"/>
    </row>
    <row r="96" spans="1:19" ht="18.95" customHeight="1">
      <c r="A96" s="425"/>
      <c r="B96" s="122"/>
      <c r="C96" s="428"/>
      <c r="D96" s="429"/>
      <c r="E96" s="267"/>
      <c r="F96" s="427"/>
      <c r="G96" s="267"/>
      <c r="H96" s="267"/>
      <c r="I96" s="267"/>
      <c r="J96" s="267"/>
      <c r="K96" s="269"/>
      <c r="L96" s="267"/>
      <c r="M96" s="267"/>
      <c r="N96" s="283"/>
      <c r="O96" s="1163"/>
      <c r="P96" s="1164"/>
      <c r="Q96" s="862"/>
      <c r="R96" s="252"/>
      <c r="S96" s="252"/>
    </row>
    <row r="97" spans="1:19" ht="18.95" customHeight="1">
      <c r="A97" s="425"/>
      <c r="B97" s="122"/>
      <c r="C97" s="1347" t="s">
        <v>1064</v>
      </c>
      <c r="D97" s="1348"/>
      <c r="E97" s="267"/>
      <c r="F97" s="427"/>
      <c r="G97" s="267"/>
      <c r="H97" s="267"/>
      <c r="I97" s="267"/>
      <c r="J97" s="269"/>
      <c r="K97" s="269"/>
      <c r="L97" s="267"/>
      <c r="M97" s="267"/>
      <c r="N97" s="283"/>
      <c r="O97" s="1163">
        <v>0.93490804699999996</v>
      </c>
      <c r="P97" s="1164"/>
      <c r="Q97" s="252"/>
      <c r="R97" s="252"/>
      <c r="S97" s="252"/>
    </row>
    <row r="98" spans="1:19" ht="18.95" customHeight="1">
      <c r="A98" s="425"/>
      <c r="B98" s="122"/>
      <c r="C98" s="1347" t="s">
        <v>1052</v>
      </c>
      <c r="D98" s="1348"/>
      <c r="E98" s="267"/>
      <c r="F98" s="427"/>
      <c r="G98" s="267"/>
      <c r="H98" s="267"/>
      <c r="I98" s="267"/>
      <c r="J98" s="269"/>
      <c r="K98" s="269"/>
      <c r="L98" s="267"/>
      <c r="M98" s="267"/>
      <c r="N98" s="283"/>
      <c r="O98" s="1163">
        <v>0.93490804699999996</v>
      </c>
      <c r="P98" s="1164"/>
      <c r="Q98" s="252"/>
      <c r="R98" s="252"/>
      <c r="S98" s="252"/>
    </row>
    <row r="99" spans="1:19" ht="18.95" customHeight="1">
      <c r="A99" s="425">
        <v>1.38</v>
      </c>
      <c r="B99" s="122"/>
      <c r="C99" s="1331" t="s">
        <v>1058</v>
      </c>
      <c r="D99" s="1332"/>
      <c r="E99" s="267">
        <v>6216.8</v>
      </c>
      <c r="F99" s="430" t="s">
        <v>348</v>
      </c>
      <c r="G99" s="267">
        <v>31.66</v>
      </c>
      <c r="H99" s="267">
        <f t="shared" si="13"/>
        <v>29.599188768019999</v>
      </c>
      <c r="I99" s="267">
        <f t="shared" si="14"/>
        <v>184012.23673302674</v>
      </c>
      <c r="J99" s="267">
        <v>14</v>
      </c>
      <c r="K99" s="269">
        <f t="shared" si="10"/>
        <v>13.088712657999999</v>
      </c>
      <c r="L99" s="267">
        <f t="shared" si="11"/>
        <v>81369.90885225439</v>
      </c>
      <c r="M99" s="267">
        <f t="shared" si="12"/>
        <v>265382.14558528113</v>
      </c>
      <c r="N99" s="283"/>
      <c r="O99" s="1163">
        <v>0.93490804699999996</v>
      </c>
      <c r="P99" s="1164"/>
      <c r="Q99" s="252"/>
      <c r="R99" s="252"/>
      <c r="S99" s="252"/>
    </row>
    <row r="100" spans="1:19" ht="18.95" customHeight="1">
      <c r="A100" s="425">
        <v>1.39</v>
      </c>
      <c r="B100" s="122"/>
      <c r="C100" s="1323" t="s">
        <v>1065</v>
      </c>
      <c r="D100" s="1324"/>
      <c r="E100" s="267">
        <v>131.80000000000001</v>
      </c>
      <c r="F100" s="430" t="s">
        <v>348</v>
      </c>
      <c r="G100" s="267">
        <v>24.97</v>
      </c>
      <c r="H100" s="267">
        <f t="shared" si="13"/>
        <v>23.344653933589999</v>
      </c>
      <c r="I100" s="267">
        <f t="shared" si="14"/>
        <v>3076.8253884471624</v>
      </c>
      <c r="J100" s="267">
        <v>14</v>
      </c>
      <c r="K100" s="269">
        <f t="shared" si="10"/>
        <v>13.088712657999999</v>
      </c>
      <c r="L100" s="267">
        <f t="shared" si="11"/>
        <v>1725.0923283243999</v>
      </c>
      <c r="M100" s="267">
        <f t="shared" si="12"/>
        <v>4801.9177167715625</v>
      </c>
      <c r="N100" s="283"/>
      <c r="O100" s="1163">
        <v>0.93490804699999996</v>
      </c>
      <c r="P100" s="1164"/>
      <c r="Q100" s="252"/>
      <c r="R100" s="252"/>
      <c r="S100" s="252"/>
    </row>
    <row r="101" spans="1:19" ht="18.95" customHeight="1">
      <c r="A101" s="425"/>
      <c r="B101" s="122"/>
      <c r="C101" s="1347" t="s">
        <v>1054</v>
      </c>
      <c r="D101" s="1348"/>
      <c r="E101" s="267"/>
      <c r="F101" s="430"/>
      <c r="G101" s="267">
        <v>0</v>
      </c>
      <c r="H101" s="267">
        <f t="shared" si="13"/>
        <v>0</v>
      </c>
      <c r="I101" s="267">
        <f t="shared" si="14"/>
        <v>0</v>
      </c>
      <c r="J101" s="267">
        <v>0</v>
      </c>
      <c r="K101" s="269">
        <f t="shared" si="10"/>
        <v>0</v>
      </c>
      <c r="L101" s="267">
        <f t="shared" si="11"/>
        <v>0</v>
      </c>
      <c r="M101" s="267">
        <f t="shared" si="12"/>
        <v>0</v>
      </c>
      <c r="N101" s="283"/>
      <c r="O101" s="1163">
        <v>0.93490804699999996</v>
      </c>
      <c r="P101" s="1164"/>
      <c r="Q101" s="252"/>
      <c r="R101" s="252"/>
      <c r="S101" s="252"/>
    </row>
    <row r="102" spans="1:19" ht="18.95" customHeight="1">
      <c r="A102" s="425">
        <v>1.4</v>
      </c>
      <c r="B102" s="122"/>
      <c r="C102" s="1331" t="s">
        <v>1066</v>
      </c>
      <c r="D102" s="1332"/>
      <c r="E102" s="267">
        <v>12.4</v>
      </c>
      <c r="F102" s="430" t="s">
        <v>1032</v>
      </c>
      <c r="G102" s="267">
        <v>2507</v>
      </c>
      <c r="H102" s="267">
        <f t="shared" si="13"/>
        <v>2343.8144738289998</v>
      </c>
      <c r="I102" s="267">
        <f t="shared" si="14"/>
        <v>29063.299475479598</v>
      </c>
      <c r="J102" s="267">
        <v>519</v>
      </c>
      <c r="K102" s="269">
        <f t="shared" si="10"/>
        <v>485.21727639299996</v>
      </c>
      <c r="L102" s="267">
        <f t="shared" si="11"/>
        <v>6016.6942272731994</v>
      </c>
      <c r="M102" s="267">
        <f t="shared" si="12"/>
        <v>35079.993702752799</v>
      </c>
      <c r="N102" s="268"/>
      <c r="O102" s="1163">
        <v>0.93490804699999996</v>
      </c>
      <c r="P102" s="973"/>
      <c r="Q102" s="252"/>
      <c r="R102" s="252"/>
      <c r="S102" s="252"/>
    </row>
    <row r="103" spans="1:19" ht="18.95" customHeight="1">
      <c r="A103" s="425"/>
      <c r="B103" s="122"/>
      <c r="C103" s="1341" t="s">
        <v>1036</v>
      </c>
      <c r="D103" s="1342"/>
      <c r="E103" s="267"/>
      <c r="F103" s="430"/>
      <c r="G103" s="267"/>
      <c r="H103" s="267"/>
      <c r="I103" s="267"/>
      <c r="J103" s="269"/>
      <c r="K103" s="269"/>
      <c r="L103" s="267"/>
      <c r="M103" s="267"/>
      <c r="N103" s="268"/>
      <c r="O103" s="1163">
        <v>0.93490804699999996</v>
      </c>
      <c r="P103" s="973"/>
      <c r="Q103" s="252"/>
      <c r="R103" s="252"/>
      <c r="S103" s="252"/>
    </row>
    <row r="104" spans="1:19" ht="18.95" customHeight="1">
      <c r="A104" s="425">
        <v>1.41</v>
      </c>
      <c r="B104" s="122"/>
      <c r="C104" s="1323" t="s">
        <v>1037</v>
      </c>
      <c r="D104" s="1324"/>
      <c r="E104" s="267"/>
      <c r="F104" s="430" t="s">
        <v>348</v>
      </c>
      <c r="G104" s="267">
        <v>19.600000000000001</v>
      </c>
      <c r="H104" s="267">
        <f t="shared" si="13"/>
        <v>18.324197721200001</v>
      </c>
      <c r="I104" s="267">
        <f t="shared" si="14"/>
        <v>0</v>
      </c>
      <c r="J104" s="269">
        <v>4.4000000000000004</v>
      </c>
      <c r="K104" s="269">
        <f t="shared" si="10"/>
        <v>4.1135954068</v>
      </c>
      <c r="L104" s="267">
        <f t="shared" si="11"/>
        <v>0</v>
      </c>
      <c r="M104" s="267">
        <f t="shared" si="12"/>
        <v>0</v>
      </c>
      <c r="N104" s="270"/>
      <c r="O104" s="1163">
        <v>0.93490804699999996</v>
      </c>
      <c r="P104" s="976"/>
      <c r="Q104" s="862" t="s">
        <v>1038</v>
      </c>
      <c r="R104" s="252"/>
      <c r="S104" s="252"/>
    </row>
    <row r="105" spans="1:19" ht="18.95" customHeight="1">
      <c r="A105" s="425">
        <v>1.42</v>
      </c>
      <c r="B105" s="122"/>
      <c r="C105" s="1323" t="s">
        <v>1039</v>
      </c>
      <c r="D105" s="1324"/>
      <c r="E105" s="267"/>
      <c r="F105" s="430" t="s">
        <v>348</v>
      </c>
      <c r="G105" s="267">
        <v>19.7</v>
      </c>
      <c r="H105" s="267">
        <f t="shared" si="13"/>
        <v>18.417688525899997</v>
      </c>
      <c r="I105" s="267">
        <f t="shared" si="14"/>
        <v>0</v>
      </c>
      <c r="J105" s="269">
        <v>3.6</v>
      </c>
      <c r="K105" s="269">
        <f t="shared" si="10"/>
        <v>3.3656689692000001</v>
      </c>
      <c r="L105" s="267">
        <f t="shared" si="11"/>
        <v>0</v>
      </c>
      <c r="M105" s="267">
        <f t="shared" si="12"/>
        <v>0</v>
      </c>
      <c r="N105" s="270"/>
      <c r="O105" s="1163">
        <v>0.93490804699999996</v>
      </c>
      <c r="P105" s="976"/>
      <c r="Q105" s="862" t="s">
        <v>1038</v>
      </c>
      <c r="R105" s="252"/>
      <c r="S105" s="252"/>
    </row>
    <row r="106" spans="1:19" ht="18.95" customHeight="1">
      <c r="A106" s="425">
        <v>1.43</v>
      </c>
      <c r="B106" s="122"/>
      <c r="C106" s="1323" t="s">
        <v>1040</v>
      </c>
      <c r="D106" s="1324"/>
      <c r="E106" s="267">
        <v>2806.2</v>
      </c>
      <c r="F106" s="430" t="s">
        <v>348</v>
      </c>
      <c r="G106" s="267">
        <v>19.5</v>
      </c>
      <c r="H106" s="267">
        <f t="shared" si="13"/>
        <v>18.230706916500001</v>
      </c>
      <c r="I106" s="267">
        <f t="shared" si="14"/>
        <v>51159.009749082295</v>
      </c>
      <c r="J106" s="269">
        <v>3.6</v>
      </c>
      <c r="K106" s="269">
        <f t="shared" si="10"/>
        <v>3.3656689692000001</v>
      </c>
      <c r="L106" s="267">
        <f t="shared" si="11"/>
        <v>9444.7402613690392</v>
      </c>
      <c r="M106" s="267">
        <f t="shared" si="12"/>
        <v>60603.750010451331</v>
      </c>
      <c r="N106" s="268"/>
      <c r="O106" s="1163">
        <v>0.93490804699999996</v>
      </c>
      <c r="P106" s="973"/>
      <c r="Q106" s="862" t="s">
        <v>1038</v>
      </c>
      <c r="R106" s="252"/>
      <c r="S106" s="252"/>
    </row>
    <row r="107" spans="1:19" ht="18.95" customHeight="1">
      <c r="A107" s="425">
        <v>1.44</v>
      </c>
      <c r="B107" s="122"/>
      <c r="C107" s="1323" t="s">
        <v>1041</v>
      </c>
      <c r="D107" s="1324"/>
      <c r="E107" s="267">
        <v>51</v>
      </c>
      <c r="F107" s="430" t="s">
        <v>348</v>
      </c>
      <c r="G107" s="269">
        <v>27.1</v>
      </c>
      <c r="H107" s="267">
        <f t="shared" si="13"/>
        <v>25.3360080737</v>
      </c>
      <c r="I107" s="267">
        <f t="shared" si="14"/>
        <v>1292.1364117587</v>
      </c>
      <c r="J107" s="267">
        <v>0</v>
      </c>
      <c r="K107" s="269">
        <f t="shared" si="10"/>
        <v>0</v>
      </c>
      <c r="L107" s="267">
        <f t="shared" si="11"/>
        <v>0</v>
      </c>
      <c r="M107" s="267">
        <f t="shared" si="12"/>
        <v>1292.1364117587</v>
      </c>
      <c r="N107" s="268"/>
      <c r="O107" s="1163">
        <v>0.93490804699999996</v>
      </c>
      <c r="P107" s="973"/>
      <c r="Q107" s="862" t="s">
        <v>1038</v>
      </c>
      <c r="R107" s="252"/>
      <c r="S107" s="252"/>
    </row>
    <row r="108" spans="1:19" ht="18.95" customHeight="1">
      <c r="A108" s="314">
        <v>1.45</v>
      </c>
      <c r="B108" s="122"/>
      <c r="C108" s="1323" t="s">
        <v>1043</v>
      </c>
      <c r="D108" s="1324"/>
      <c r="E108" s="267"/>
      <c r="F108" s="430"/>
      <c r="G108" s="267"/>
      <c r="H108" s="267"/>
      <c r="I108" s="267"/>
      <c r="J108" s="269"/>
      <c r="K108" s="269"/>
      <c r="L108" s="267"/>
      <c r="M108" s="267"/>
      <c r="N108" s="268"/>
      <c r="O108" s="1163">
        <v>0.93490804699999996</v>
      </c>
      <c r="P108" s="973"/>
      <c r="Q108" s="252"/>
      <c r="R108" s="252"/>
      <c r="S108" s="252"/>
    </row>
    <row r="109" spans="1:19" ht="18.95" customHeight="1">
      <c r="A109" s="431"/>
      <c r="B109" s="329"/>
      <c r="C109" s="433" t="s">
        <v>1044</v>
      </c>
      <c r="E109" s="267">
        <v>63.54</v>
      </c>
      <c r="F109" s="434" t="s">
        <v>218</v>
      </c>
      <c r="G109" s="434">
        <v>245.2</v>
      </c>
      <c r="H109" s="267">
        <f t="shared" si="13"/>
        <v>229.23945312439997</v>
      </c>
      <c r="I109" s="267">
        <f t="shared" si="14"/>
        <v>14565.874851524373</v>
      </c>
      <c r="J109" s="435">
        <v>0</v>
      </c>
      <c r="K109" s="269">
        <f t="shared" si="10"/>
        <v>0</v>
      </c>
      <c r="L109" s="267">
        <f t="shared" si="11"/>
        <v>0</v>
      </c>
      <c r="M109" s="267">
        <f t="shared" si="12"/>
        <v>14565.874851524373</v>
      </c>
      <c r="N109" s="436"/>
      <c r="O109" s="1163">
        <v>0.93490804699999996</v>
      </c>
      <c r="P109" s="765"/>
      <c r="Q109" s="252"/>
      <c r="R109" s="252"/>
      <c r="S109" s="252"/>
    </row>
    <row r="110" spans="1:19" ht="18.95" customHeight="1">
      <c r="A110" s="431"/>
      <c r="B110" s="329"/>
      <c r="C110" s="433" t="s">
        <v>1045</v>
      </c>
      <c r="E110" s="267">
        <v>105.9</v>
      </c>
      <c r="F110" s="434" t="s">
        <v>218</v>
      </c>
      <c r="G110" s="434">
        <v>0</v>
      </c>
      <c r="H110" s="267">
        <f t="shared" si="13"/>
        <v>0</v>
      </c>
      <c r="I110" s="267">
        <f t="shared" si="14"/>
        <v>0</v>
      </c>
      <c r="J110" s="435">
        <v>121</v>
      </c>
      <c r="K110" s="269">
        <f t="shared" si="10"/>
        <v>113.123873687</v>
      </c>
      <c r="L110" s="267">
        <f t="shared" si="11"/>
        <v>11979.818223453301</v>
      </c>
      <c r="M110" s="267">
        <f t="shared" si="12"/>
        <v>11979.818223453301</v>
      </c>
      <c r="N110" s="436"/>
      <c r="O110" s="1163">
        <v>0.93490804699999996</v>
      </c>
      <c r="P110" s="765"/>
      <c r="Q110" s="252"/>
      <c r="R110" s="252"/>
      <c r="S110" s="252"/>
    </row>
    <row r="111" spans="1:19" ht="18.95" customHeight="1">
      <c r="A111" s="431"/>
      <c r="B111" s="329"/>
      <c r="C111" s="433" t="s">
        <v>1046</v>
      </c>
      <c r="E111" s="267">
        <v>19.07</v>
      </c>
      <c r="F111" s="434" t="s">
        <v>1047</v>
      </c>
      <c r="G111" s="434">
        <v>309.42</v>
      </c>
      <c r="H111" s="267">
        <f t="shared" si="13"/>
        <v>289.27924790274</v>
      </c>
      <c r="I111" s="267">
        <f t="shared" si="14"/>
        <v>5516.5552575052516</v>
      </c>
      <c r="J111" s="435">
        <v>0</v>
      </c>
      <c r="K111" s="269">
        <f t="shared" si="10"/>
        <v>0</v>
      </c>
      <c r="L111" s="267">
        <f t="shared" si="11"/>
        <v>0</v>
      </c>
      <c r="M111" s="267">
        <f t="shared" si="12"/>
        <v>5516.5552575052516</v>
      </c>
      <c r="N111" s="436"/>
      <c r="O111" s="1163">
        <v>0.93490804699999996</v>
      </c>
      <c r="P111" s="765"/>
      <c r="Q111" s="252"/>
      <c r="R111" s="252"/>
      <c r="S111" s="252"/>
    </row>
    <row r="112" spans="1:19" ht="18.95" customHeight="1">
      <c r="A112" s="431"/>
      <c r="B112" s="329"/>
      <c r="C112" s="433" t="s">
        <v>1048</v>
      </c>
      <c r="E112" s="269">
        <v>15.89</v>
      </c>
      <c r="F112" s="434" t="s">
        <v>348</v>
      </c>
      <c r="G112" s="434">
        <v>23.36</v>
      </c>
      <c r="H112" s="267">
        <f t="shared" si="13"/>
        <v>21.83945197792</v>
      </c>
      <c r="I112" s="267">
        <f t="shared" si="14"/>
        <v>347.02889192914881</v>
      </c>
      <c r="J112" s="435">
        <v>0</v>
      </c>
      <c r="K112" s="269">
        <f t="shared" si="10"/>
        <v>0</v>
      </c>
      <c r="L112" s="267">
        <f t="shared" si="11"/>
        <v>0</v>
      </c>
      <c r="M112" s="267">
        <f t="shared" si="12"/>
        <v>347.02889192914881</v>
      </c>
      <c r="N112" s="436"/>
      <c r="O112" s="1163">
        <v>0.93490804699999996</v>
      </c>
      <c r="P112" s="765"/>
      <c r="Q112" s="862" t="s">
        <v>1038</v>
      </c>
      <c r="R112" s="252"/>
      <c r="S112" s="252"/>
    </row>
    <row r="113" spans="1:19" ht="18.95" customHeight="1">
      <c r="A113" s="425"/>
      <c r="B113" s="122"/>
      <c r="C113" s="1347" t="s">
        <v>1057</v>
      </c>
      <c r="D113" s="1348"/>
      <c r="E113" s="267"/>
      <c r="F113" s="430"/>
      <c r="G113" s="267"/>
      <c r="H113" s="267"/>
      <c r="I113" s="267"/>
      <c r="J113" s="267"/>
      <c r="K113" s="269"/>
      <c r="L113" s="267"/>
      <c r="M113" s="267"/>
      <c r="N113" s="268"/>
      <c r="O113" s="1163">
        <v>0.93490804699999996</v>
      </c>
      <c r="P113" s="973"/>
      <c r="Q113" s="252"/>
      <c r="R113" s="252"/>
      <c r="S113" s="252"/>
    </row>
    <row r="114" spans="1:19" ht="18.95" customHeight="1">
      <c r="A114" s="425">
        <v>1.46</v>
      </c>
      <c r="B114" s="122"/>
      <c r="C114" s="1331" t="s">
        <v>1058</v>
      </c>
      <c r="D114" s="1332"/>
      <c r="E114" s="267">
        <v>2249.3000000000002</v>
      </c>
      <c r="F114" s="430" t="s">
        <v>348</v>
      </c>
      <c r="G114" s="267">
        <v>31.66</v>
      </c>
      <c r="H114" s="267">
        <f t="shared" si="13"/>
        <v>29.599188768019999</v>
      </c>
      <c r="I114" s="267">
        <f t="shared" si="14"/>
        <v>66577.455295907392</v>
      </c>
      <c r="J114" s="267">
        <v>14</v>
      </c>
      <c r="K114" s="269">
        <f t="shared" si="10"/>
        <v>13.088712657999999</v>
      </c>
      <c r="L114" s="267">
        <f t="shared" si="11"/>
        <v>29440.441381639401</v>
      </c>
      <c r="M114" s="267">
        <f t="shared" si="12"/>
        <v>96017.896677546785</v>
      </c>
      <c r="N114" s="268"/>
      <c r="O114" s="1163">
        <v>0.93490804699999996</v>
      </c>
      <c r="P114" s="973"/>
      <c r="Q114" s="252"/>
      <c r="R114" s="252"/>
      <c r="S114" s="252"/>
    </row>
    <row r="115" spans="1:19" ht="18.95" customHeight="1">
      <c r="A115" s="204"/>
      <c r="B115" s="122"/>
      <c r="C115" s="1329" t="s">
        <v>1061</v>
      </c>
      <c r="D115" s="1330"/>
      <c r="E115" s="267"/>
      <c r="F115" s="430"/>
      <c r="G115" s="267"/>
      <c r="H115" s="267"/>
      <c r="I115" s="267"/>
      <c r="J115" s="267"/>
      <c r="K115" s="269"/>
      <c r="L115" s="267"/>
      <c r="M115" s="267"/>
      <c r="N115" s="268"/>
      <c r="O115" s="1163">
        <v>0.93490804699999996</v>
      </c>
      <c r="P115" s="973"/>
      <c r="Q115" s="252"/>
      <c r="R115" s="252"/>
      <c r="S115" s="252"/>
    </row>
    <row r="116" spans="1:19" ht="18.95" customHeight="1">
      <c r="A116" s="425">
        <v>1.47</v>
      </c>
      <c r="B116" s="122"/>
      <c r="C116" s="428" t="s">
        <v>1062</v>
      </c>
      <c r="D116" s="429"/>
      <c r="E116" s="267">
        <v>214.9</v>
      </c>
      <c r="F116" s="430" t="s">
        <v>218</v>
      </c>
      <c r="G116" s="267">
        <v>28.02</v>
      </c>
      <c r="H116" s="267">
        <f t="shared" si="13"/>
        <v>26.196123476939999</v>
      </c>
      <c r="I116" s="267">
        <f t="shared" si="14"/>
        <v>5629.5469351944057</v>
      </c>
      <c r="J116" s="267">
        <v>30</v>
      </c>
      <c r="K116" s="269">
        <f t="shared" si="10"/>
        <v>28.047241409999998</v>
      </c>
      <c r="L116" s="267">
        <f t="shared" si="11"/>
        <v>6027.3521790089999</v>
      </c>
      <c r="M116" s="267">
        <f>I116+L116</f>
        <v>11656.899114203406</v>
      </c>
      <c r="N116" s="268"/>
      <c r="O116" s="1163">
        <v>0.93490804699999996</v>
      </c>
      <c r="P116" s="973"/>
      <c r="Q116" s="252"/>
      <c r="R116" s="252"/>
      <c r="S116" s="252"/>
    </row>
    <row r="117" spans="1:19" ht="18.95" customHeight="1">
      <c r="A117" s="425">
        <v>1.48</v>
      </c>
      <c r="B117" s="122"/>
      <c r="C117" s="428" t="s">
        <v>1063</v>
      </c>
      <c r="D117" s="429"/>
      <c r="E117" s="267">
        <v>214.9</v>
      </c>
      <c r="F117" s="430" t="s">
        <v>218</v>
      </c>
      <c r="G117" s="267">
        <v>32.32</v>
      </c>
      <c r="H117" s="267">
        <f t="shared" si="13"/>
        <v>30.21622807904</v>
      </c>
      <c r="I117" s="267">
        <f t="shared" si="14"/>
        <v>6493.4674141856958</v>
      </c>
      <c r="J117" s="267">
        <v>35</v>
      </c>
      <c r="K117" s="269">
        <f t="shared" si="10"/>
        <v>32.721781645</v>
      </c>
      <c r="L117" s="267">
        <f t="shared" si="11"/>
        <v>7031.9108755104999</v>
      </c>
      <c r="M117" s="267">
        <f>I117+L117</f>
        <v>13525.378289696197</v>
      </c>
      <c r="N117" s="268"/>
      <c r="O117" s="1163">
        <v>0.93490804699999996</v>
      </c>
      <c r="P117" s="973"/>
      <c r="Q117" s="862" t="s">
        <v>1038</v>
      </c>
      <c r="R117" s="252"/>
      <c r="S117" s="252"/>
    </row>
    <row r="118" spans="1:19" ht="18.95" customHeight="1">
      <c r="A118" s="148"/>
      <c r="B118" s="122"/>
      <c r="C118" s="420"/>
      <c r="D118" s="140"/>
      <c r="E118" s="267"/>
      <c r="F118" s="427"/>
      <c r="G118" s="267"/>
      <c r="H118" s="267"/>
      <c r="I118" s="267"/>
      <c r="J118" s="269"/>
      <c r="K118" s="269"/>
      <c r="L118" s="267"/>
      <c r="M118" s="267"/>
      <c r="N118" s="268"/>
      <c r="O118" s="1163">
        <v>0.93490804699999996</v>
      </c>
      <c r="P118" s="973"/>
      <c r="Q118" s="252"/>
      <c r="R118" s="252"/>
      <c r="S118" s="252"/>
    </row>
    <row r="119" spans="1:19" ht="18.95" customHeight="1">
      <c r="A119" s="425"/>
      <c r="B119" s="122"/>
      <c r="C119" s="1347" t="s">
        <v>1067</v>
      </c>
      <c r="D119" s="1348"/>
      <c r="E119" s="267"/>
      <c r="F119" s="427"/>
      <c r="G119" s="267"/>
      <c r="H119" s="267"/>
      <c r="I119" s="267"/>
      <c r="J119" s="269"/>
      <c r="K119" s="269"/>
      <c r="L119" s="267"/>
      <c r="M119" s="267"/>
      <c r="N119" s="267"/>
      <c r="O119" s="1163">
        <v>0.93490804699999996</v>
      </c>
      <c r="P119" s="765"/>
      <c r="Q119" s="252"/>
      <c r="R119" s="252"/>
      <c r="S119" s="252"/>
    </row>
    <row r="120" spans="1:19" ht="18.95" customHeight="1">
      <c r="A120" s="425"/>
      <c r="B120" s="122"/>
      <c r="C120" s="1347" t="s">
        <v>1052</v>
      </c>
      <c r="D120" s="1348"/>
      <c r="E120" s="267"/>
      <c r="F120" s="427"/>
      <c r="G120" s="267"/>
      <c r="H120" s="267"/>
      <c r="I120" s="267"/>
      <c r="J120" s="269"/>
      <c r="K120" s="269"/>
      <c r="L120" s="267"/>
      <c r="M120" s="267"/>
      <c r="N120" s="267"/>
      <c r="O120" s="1163">
        <v>0.93490804699999996</v>
      </c>
      <c r="P120" s="765"/>
      <c r="Q120" s="252"/>
      <c r="R120" s="252"/>
      <c r="S120" s="252"/>
    </row>
    <row r="121" spans="1:19" ht="18.95" customHeight="1">
      <c r="A121" s="425">
        <v>1.49</v>
      </c>
      <c r="B121" s="122"/>
      <c r="C121" s="1331" t="s">
        <v>1058</v>
      </c>
      <c r="D121" s="1332"/>
      <c r="E121" s="267">
        <v>6154.3</v>
      </c>
      <c r="F121" s="430" t="s">
        <v>348</v>
      </c>
      <c r="G121" s="267">
        <v>31.66</v>
      </c>
      <c r="H121" s="267">
        <f t="shared" si="13"/>
        <v>29.599188768019999</v>
      </c>
      <c r="I121" s="267">
        <f t="shared" si="14"/>
        <v>182162.2874350255</v>
      </c>
      <c r="J121" s="267">
        <v>14</v>
      </c>
      <c r="K121" s="269">
        <f t="shared" si="10"/>
        <v>13.088712657999999</v>
      </c>
      <c r="L121" s="267">
        <f t="shared" si="11"/>
        <v>80551.864311129393</v>
      </c>
      <c r="M121" s="267">
        <f t="shared" si="12"/>
        <v>262714.15174615488</v>
      </c>
      <c r="N121" s="267"/>
      <c r="O121" s="1163">
        <v>0.93490804699999996</v>
      </c>
      <c r="P121" s="765"/>
      <c r="Q121" s="252"/>
      <c r="R121" s="252"/>
      <c r="S121" s="252"/>
    </row>
    <row r="122" spans="1:19" ht="18.95" customHeight="1">
      <c r="A122" s="425">
        <v>1.5</v>
      </c>
      <c r="B122" s="122"/>
      <c r="C122" s="1323" t="s">
        <v>1065</v>
      </c>
      <c r="D122" s="1324"/>
      <c r="E122" s="267">
        <v>131.80000000000001</v>
      </c>
      <c r="F122" s="430" t="s">
        <v>348</v>
      </c>
      <c r="G122" s="267">
        <v>24.97</v>
      </c>
      <c r="H122" s="267">
        <f t="shared" si="13"/>
        <v>23.344653933589999</v>
      </c>
      <c r="I122" s="267">
        <f t="shared" si="14"/>
        <v>3076.8253884471624</v>
      </c>
      <c r="J122" s="267">
        <v>14</v>
      </c>
      <c r="K122" s="269">
        <f t="shared" si="10"/>
        <v>13.088712657999999</v>
      </c>
      <c r="L122" s="267">
        <f t="shared" si="11"/>
        <v>1725.0923283243999</v>
      </c>
      <c r="M122" s="267">
        <f t="shared" si="12"/>
        <v>4801.9177167715625</v>
      </c>
      <c r="N122" s="267"/>
      <c r="O122" s="1163">
        <v>0.93490804699999996</v>
      </c>
      <c r="P122" s="765"/>
      <c r="Q122" s="252"/>
      <c r="R122" s="252"/>
      <c r="S122" s="252"/>
    </row>
    <row r="123" spans="1:19" ht="18.95" customHeight="1">
      <c r="A123" s="425"/>
      <c r="B123" s="122"/>
      <c r="C123" s="1347" t="s">
        <v>1054</v>
      </c>
      <c r="D123" s="1348"/>
      <c r="E123" s="267"/>
      <c r="F123" s="427"/>
      <c r="G123" s="267"/>
      <c r="H123" s="267"/>
      <c r="I123" s="267"/>
      <c r="J123" s="269"/>
      <c r="K123" s="269"/>
      <c r="L123" s="267"/>
      <c r="M123" s="270"/>
      <c r="N123" s="268"/>
      <c r="O123" s="1163">
        <v>0.93490804699999996</v>
      </c>
      <c r="P123" s="973"/>
      <c r="Q123" s="252"/>
      <c r="R123" s="252"/>
      <c r="S123" s="252"/>
    </row>
    <row r="124" spans="1:19" ht="18.95" customHeight="1">
      <c r="A124" s="425">
        <v>1.51</v>
      </c>
      <c r="B124" s="122"/>
      <c r="C124" s="1331" t="s">
        <v>1066</v>
      </c>
      <c r="D124" s="1332"/>
      <c r="E124" s="267">
        <v>14.1</v>
      </c>
      <c r="F124" s="430" t="s">
        <v>1032</v>
      </c>
      <c r="G124" s="267">
        <v>2507</v>
      </c>
      <c r="H124" s="267">
        <f t="shared" si="13"/>
        <v>2343.8144738289998</v>
      </c>
      <c r="I124" s="267">
        <f t="shared" si="14"/>
        <v>33047.784080988895</v>
      </c>
      <c r="J124" s="267">
        <v>519</v>
      </c>
      <c r="K124" s="269">
        <f t="shared" si="10"/>
        <v>485.21727639299996</v>
      </c>
      <c r="L124" s="267">
        <f t="shared" si="11"/>
        <v>6841.5635971412994</v>
      </c>
      <c r="M124" s="270">
        <f t="shared" ref="M124:M155" si="15">I124+L124</f>
        <v>39889.347678130194</v>
      </c>
      <c r="N124" s="270"/>
      <c r="O124" s="1163">
        <v>0.93490804699999996</v>
      </c>
      <c r="P124" s="976"/>
      <c r="Q124" s="252"/>
      <c r="R124" s="252"/>
      <c r="S124" s="252"/>
    </row>
    <row r="125" spans="1:19" ht="18.95" customHeight="1">
      <c r="A125" s="425"/>
      <c r="B125" s="122"/>
      <c r="C125" s="1341" t="s">
        <v>1036</v>
      </c>
      <c r="D125" s="1342"/>
      <c r="E125" s="267"/>
      <c r="F125" s="430"/>
      <c r="G125" s="267"/>
      <c r="H125" s="267"/>
      <c r="I125" s="267"/>
      <c r="J125" s="269"/>
      <c r="K125" s="269"/>
      <c r="L125" s="267"/>
      <c r="M125" s="270"/>
      <c r="N125" s="270"/>
      <c r="O125" s="1163">
        <v>0.93490804699999996</v>
      </c>
      <c r="P125" s="976"/>
      <c r="Q125" s="252"/>
      <c r="R125" s="252"/>
      <c r="S125" s="252"/>
    </row>
    <row r="126" spans="1:19" ht="18.95" customHeight="1">
      <c r="A126" s="425">
        <v>1.52</v>
      </c>
      <c r="B126" s="122"/>
      <c r="C126" s="1323" t="s">
        <v>1037</v>
      </c>
      <c r="D126" s="1324"/>
      <c r="E126" s="267">
        <v>0</v>
      </c>
      <c r="F126" s="430" t="s">
        <v>348</v>
      </c>
      <c r="G126" s="267">
        <v>19.600000000000001</v>
      </c>
      <c r="H126" s="267">
        <f t="shared" si="13"/>
        <v>18.324197721200001</v>
      </c>
      <c r="I126" s="267">
        <f t="shared" si="14"/>
        <v>0</v>
      </c>
      <c r="J126" s="269">
        <v>4.4000000000000004</v>
      </c>
      <c r="K126" s="269">
        <f t="shared" si="10"/>
        <v>4.1135954068</v>
      </c>
      <c r="L126" s="267">
        <f t="shared" si="11"/>
        <v>0</v>
      </c>
      <c r="M126" s="270">
        <f t="shared" si="15"/>
        <v>0</v>
      </c>
      <c r="N126" s="270"/>
      <c r="O126" s="1163">
        <v>0.93490804699999996</v>
      </c>
      <c r="P126" s="976"/>
      <c r="Q126" s="862" t="s">
        <v>1038</v>
      </c>
      <c r="R126" s="252"/>
      <c r="S126" s="252"/>
    </row>
    <row r="127" spans="1:19" ht="18.95" customHeight="1">
      <c r="A127" s="425">
        <v>1.53</v>
      </c>
      <c r="B127" s="122"/>
      <c r="C127" s="1323" t="s">
        <v>1039</v>
      </c>
      <c r="D127" s="1324"/>
      <c r="E127" s="267">
        <v>3145.8</v>
      </c>
      <c r="F127" s="430" t="s">
        <v>348</v>
      </c>
      <c r="G127" s="267">
        <v>19.7</v>
      </c>
      <c r="H127" s="267">
        <f t="shared" si="13"/>
        <v>18.417688525899997</v>
      </c>
      <c r="I127" s="267">
        <f t="shared" si="14"/>
        <v>57938.364564776217</v>
      </c>
      <c r="J127" s="269">
        <v>3.6</v>
      </c>
      <c r="K127" s="269">
        <f t="shared" si="10"/>
        <v>3.3656689692000001</v>
      </c>
      <c r="L127" s="267">
        <f t="shared" si="11"/>
        <v>10587.721443309361</v>
      </c>
      <c r="M127" s="270">
        <f t="shared" si="15"/>
        <v>68526.086008085578</v>
      </c>
      <c r="N127" s="270"/>
      <c r="O127" s="1163">
        <v>0.93490804699999996</v>
      </c>
      <c r="P127" s="976"/>
      <c r="Q127" s="862" t="s">
        <v>1038</v>
      </c>
      <c r="R127" s="252"/>
      <c r="S127" s="252"/>
    </row>
    <row r="128" spans="1:19" ht="18.95" customHeight="1">
      <c r="A128" s="425">
        <v>1.54</v>
      </c>
      <c r="B128" s="122"/>
      <c r="C128" s="1323" t="s">
        <v>1040</v>
      </c>
      <c r="D128" s="1324"/>
      <c r="E128" s="267">
        <v>0</v>
      </c>
      <c r="F128" s="430" t="s">
        <v>348</v>
      </c>
      <c r="G128" s="267">
        <v>19.5</v>
      </c>
      <c r="H128" s="267">
        <f t="shared" si="13"/>
        <v>18.230706916500001</v>
      </c>
      <c r="I128" s="267">
        <f t="shared" si="14"/>
        <v>0</v>
      </c>
      <c r="J128" s="269">
        <v>3.6</v>
      </c>
      <c r="K128" s="269">
        <f t="shared" si="10"/>
        <v>3.3656689692000001</v>
      </c>
      <c r="L128" s="267">
        <f t="shared" si="11"/>
        <v>0</v>
      </c>
      <c r="M128" s="270">
        <f t="shared" si="15"/>
        <v>0</v>
      </c>
      <c r="N128" s="270"/>
      <c r="O128" s="1163">
        <v>0.93490804699999996</v>
      </c>
      <c r="P128" s="976"/>
      <c r="Q128" s="862" t="s">
        <v>1038</v>
      </c>
      <c r="R128" s="252"/>
      <c r="S128" s="252"/>
    </row>
    <row r="129" spans="1:19" ht="18.95" customHeight="1">
      <c r="A129" s="425">
        <v>1.55</v>
      </c>
      <c r="B129" s="122"/>
      <c r="C129" s="1323" t="s">
        <v>1041</v>
      </c>
      <c r="D129" s="1324"/>
      <c r="E129" s="267">
        <v>57.1</v>
      </c>
      <c r="F129" s="430" t="s">
        <v>348</v>
      </c>
      <c r="G129" s="269">
        <v>27.1</v>
      </c>
      <c r="H129" s="267">
        <f t="shared" si="13"/>
        <v>25.3360080737</v>
      </c>
      <c r="I129" s="267">
        <f t="shared" si="14"/>
        <v>1446.6860610082701</v>
      </c>
      <c r="J129" s="267">
        <v>0</v>
      </c>
      <c r="K129" s="269">
        <f t="shared" si="10"/>
        <v>0</v>
      </c>
      <c r="L129" s="267">
        <f t="shared" si="11"/>
        <v>0</v>
      </c>
      <c r="M129" s="270">
        <f t="shared" si="15"/>
        <v>1446.6860610082701</v>
      </c>
      <c r="N129" s="270"/>
      <c r="O129" s="1163">
        <v>0.93490804699999996</v>
      </c>
      <c r="P129" s="976"/>
      <c r="Q129" s="862" t="s">
        <v>1038</v>
      </c>
      <c r="R129" s="252"/>
      <c r="S129" s="252"/>
    </row>
    <row r="130" spans="1:19" ht="18.95" customHeight="1">
      <c r="A130" s="314">
        <v>1.56</v>
      </c>
      <c r="B130" s="122"/>
      <c r="C130" s="1323" t="s">
        <v>1043</v>
      </c>
      <c r="D130" s="1324"/>
      <c r="E130" s="267"/>
      <c r="F130" s="430"/>
      <c r="G130" s="267"/>
      <c r="H130" s="267"/>
      <c r="I130" s="267"/>
      <c r="J130" s="269"/>
      <c r="K130" s="269"/>
      <c r="L130" s="267"/>
      <c r="M130" s="270"/>
      <c r="N130" s="268"/>
      <c r="O130" s="1163">
        <v>0.93490804699999996</v>
      </c>
      <c r="P130" s="973"/>
      <c r="Q130" s="862" t="s">
        <v>1038</v>
      </c>
      <c r="R130" s="252"/>
      <c r="S130" s="252"/>
    </row>
    <row r="131" spans="1:19" ht="18.95" customHeight="1">
      <c r="A131" s="431"/>
      <c r="B131" s="329"/>
      <c r="C131" s="433" t="s">
        <v>1044</v>
      </c>
      <c r="E131" s="267">
        <v>71.34</v>
      </c>
      <c r="F131" s="434" t="s">
        <v>218</v>
      </c>
      <c r="G131" s="434">
        <v>245.2</v>
      </c>
      <c r="H131" s="267">
        <f t="shared" si="13"/>
        <v>229.23945312439997</v>
      </c>
      <c r="I131" s="267">
        <f t="shared" si="14"/>
        <v>16353.942585894694</v>
      </c>
      <c r="J131" s="435">
        <v>0</v>
      </c>
      <c r="K131" s="269">
        <f t="shared" si="10"/>
        <v>0</v>
      </c>
      <c r="L131" s="267">
        <f t="shared" si="11"/>
        <v>0</v>
      </c>
      <c r="M131" s="270">
        <f t="shared" si="15"/>
        <v>16353.942585894694</v>
      </c>
      <c r="N131" s="436"/>
      <c r="O131" s="1163">
        <v>0.93490804699999996</v>
      </c>
      <c r="P131" s="765"/>
      <c r="Q131" s="252"/>
      <c r="R131" s="252"/>
      <c r="S131" s="252"/>
    </row>
    <row r="132" spans="1:19" ht="18.95" customHeight="1">
      <c r="A132" s="431"/>
      <c r="B132" s="329"/>
      <c r="C132" s="433" t="s">
        <v>1045</v>
      </c>
      <c r="E132" s="267">
        <v>118.9</v>
      </c>
      <c r="F132" s="434" t="s">
        <v>218</v>
      </c>
      <c r="G132" s="434">
        <v>0</v>
      </c>
      <c r="H132" s="267">
        <f t="shared" si="13"/>
        <v>0</v>
      </c>
      <c r="I132" s="267">
        <f t="shared" si="14"/>
        <v>0</v>
      </c>
      <c r="J132" s="435">
        <v>121</v>
      </c>
      <c r="K132" s="269">
        <f t="shared" si="10"/>
        <v>113.123873687</v>
      </c>
      <c r="L132" s="267">
        <f t="shared" si="11"/>
        <v>13450.4285813843</v>
      </c>
      <c r="M132" s="270">
        <f t="shared" si="15"/>
        <v>13450.4285813843</v>
      </c>
      <c r="N132" s="436"/>
      <c r="O132" s="1163">
        <v>0.93490804699999996</v>
      </c>
      <c r="P132" s="765"/>
      <c r="Q132" s="252"/>
      <c r="R132" s="252"/>
      <c r="S132" s="252"/>
    </row>
    <row r="133" spans="1:19" ht="18.95" customHeight="1">
      <c r="A133" s="431"/>
      <c r="B133" s="329"/>
      <c r="C133" s="433" t="s">
        <v>1046</v>
      </c>
      <c r="E133" s="267">
        <v>21.41</v>
      </c>
      <c r="F133" s="434" t="s">
        <v>1047</v>
      </c>
      <c r="G133" s="434">
        <v>309.42</v>
      </c>
      <c r="H133" s="267">
        <f t="shared" si="13"/>
        <v>289.27924790274</v>
      </c>
      <c r="I133" s="267">
        <f t="shared" si="14"/>
        <v>6193.4686975976638</v>
      </c>
      <c r="J133" s="435">
        <v>0</v>
      </c>
      <c r="K133" s="269">
        <f t="shared" si="10"/>
        <v>0</v>
      </c>
      <c r="L133" s="267">
        <f t="shared" si="11"/>
        <v>0</v>
      </c>
      <c r="M133" s="270">
        <f t="shared" si="15"/>
        <v>6193.4686975976638</v>
      </c>
      <c r="N133" s="436"/>
      <c r="O133" s="1163">
        <v>0.93490804699999996</v>
      </c>
      <c r="P133" s="765"/>
      <c r="Q133" s="252"/>
      <c r="R133" s="252"/>
      <c r="S133" s="252"/>
    </row>
    <row r="134" spans="1:19" ht="18.95" customHeight="1">
      <c r="A134" s="431"/>
      <c r="B134" s="329"/>
      <c r="C134" s="433" t="s">
        <v>1048</v>
      </c>
      <c r="E134" s="269">
        <v>17.84</v>
      </c>
      <c r="F134" s="434" t="s">
        <v>348</v>
      </c>
      <c r="G134" s="434">
        <v>23.36</v>
      </c>
      <c r="H134" s="267">
        <f t="shared" si="13"/>
        <v>21.83945197792</v>
      </c>
      <c r="I134" s="267">
        <f t="shared" si="14"/>
        <v>389.61582328609279</v>
      </c>
      <c r="J134" s="435">
        <v>0</v>
      </c>
      <c r="K134" s="269">
        <f t="shared" si="10"/>
        <v>0</v>
      </c>
      <c r="L134" s="267">
        <f t="shared" si="11"/>
        <v>0</v>
      </c>
      <c r="M134" s="270">
        <f t="shared" si="15"/>
        <v>389.61582328609279</v>
      </c>
      <c r="N134" s="436"/>
      <c r="O134" s="1163">
        <v>0.93490804699999996</v>
      </c>
      <c r="P134" s="765"/>
      <c r="Q134" s="862" t="s">
        <v>1038</v>
      </c>
      <c r="R134" s="252"/>
      <c r="S134" s="252"/>
    </row>
    <row r="135" spans="1:19" ht="18.95" customHeight="1">
      <c r="A135" s="425"/>
      <c r="B135" s="122"/>
      <c r="C135" s="1347" t="s">
        <v>1057</v>
      </c>
      <c r="D135" s="1348"/>
      <c r="E135" s="267"/>
      <c r="F135" s="427"/>
      <c r="G135" s="267"/>
      <c r="H135" s="267"/>
      <c r="I135" s="267"/>
      <c r="J135" s="269"/>
      <c r="K135" s="269"/>
      <c r="L135" s="267"/>
      <c r="M135" s="270"/>
      <c r="N135" s="268"/>
      <c r="O135" s="1163">
        <v>0.93490804699999996</v>
      </c>
      <c r="P135" s="973"/>
      <c r="Q135" s="252"/>
      <c r="R135" s="252"/>
      <c r="S135" s="252"/>
    </row>
    <row r="136" spans="1:19" ht="18.95" customHeight="1">
      <c r="A136" s="425">
        <v>1.57</v>
      </c>
      <c r="B136" s="122"/>
      <c r="C136" s="1331" t="s">
        <v>1058</v>
      </c>
      <c r="D136" s="1332"/>
      <c r="E136" s="267">
        <v>2999</v>
      </c>
      <c r="F136" s="430" t="s">
        <v>348</v>
      </c>
      <c r="G136" s="267">
        <v>31.66</v>
      </c>
      <c r="H136" s="267">
        <f t="shared" si="13"/>
        <v>29.599188768019999</v>
      </c>
      <c r="I136" s="267">
        <f t="shared" si="14"/>
        <v>88767.967115291976</v>
      </c>
      <c r="J136" s="267">
        <v>14</v>
      </c>
      <c r="K136" s="269">
        <f t="shared" si="10"/>
        <v>13.088712657999999</v>
      </c>
      <c r="L136" s="267">
        <f t="shared" si="11"/>
        <v>39253.049261341999</v>
      </c>
      <c r="M136" s="270">
        <f t="shared" si="15"/>
        <v>128021.01637663398</v>
      </c>
      <c r="N136" s="268"/>
      <c r="O136" s="1163">
        <v>0.93490804699999996</v>
      </c>
      <c r="P136" s="973"/>
      <c r="Q136" s="252"/>
      <c r="R136" s="252"/>
      <c r="S136" s="252"/>
    </row>
    <row r="137" spans="1:19" ht="18.95" customHeight="1">
      <c r="A137" s="204"/>
      <c r="B137" s="122"/>
      <c r="C137" s="1329" t="s">
        <v>1061</v>
      </c>
      <c r="D137" s="1330"/>
      <c r="E137" s="267"/>
      <c r="F137" s="430"/>
      <c r="G137" s="267"/>
      <c r="H137" s="267"/>
      <c r="I137" s="267"/>
      <c r="J137" s="267"/>
      <c r="K137" s="269"/>
      <c r="L137" s="267"/>
      <c r="M137" s="270"/>
      <c r="N137" s="268"/>
      <c r="O137" s="1163">
        <v>0.93490804699999996</v>
      </c>
      <c r="P137" s="973"/>
      <c r="Q137" s="252"/>
      <c r="R137" s="252"/>
      <c r="S137" s="252"/>
    </row>
    <row r="138" spans="1:19" ht="18.95" customHeight="1">
      <c r="A138" s="425">
        <v>1.58</v>
      </c>
      <c r="B138" s="122"/>
      <c r="C138" s="428" t="s">
        <v>1062</v>
      </c>
      <c r="D138" s="429"/>
      <c r="E138" s="267">
        <v>232.1</v>
      </c>
      <c r="F138" s="430" t="s">
        <v>218</v>
      </c>
      <c r="G138" s="267">
        <v>28.02</v>
      </c>
      <c r="H138" s="267">
        <f t="shared" si="13"/>
        <v>26.196123476939999</v>
      </c>
      <c r="I138" s="267">
        <f t="shared" si="14"/>
        <v>6080.1202589977738</v>
      </c>
      <c r="J138" s="267">
        <v>30</v>
      </c>
      <c r="K138" s="269">
        <f t="shared" si="10"/>
        <v>28.047241409999998</v>
      </c>
      <c r="L138" s="267">
        <f t="shared" si="11"/>
        <v>6509.7647312609997</v>
      </c>
      <c r="M138" s="270">
        <f t="shared" si="15"/>
        <v>12589.884990258774</v>
      </c>
      <c r="N138" s="268"/>
      <c r="O138" s="1163">
        <v>0.93490804699999996</v>
      </c>
      <c r="P138" s="973"/>
      <c r="Q138" s="252"/>
      <c r="R138" s="252"/>
      <c r="S138" s="252"/>
    </row>
    <row r="139" spans="1:19" ht="18.95" customHeight="1">
      <c r="A139" s="425">
        <v>1.59</v>
      </c>
      <c r="B139" s="122"/>
      <c r="C139" s="428" t="s">
        <v>1063</v>
      </c>
      <c r="D139" s="429"/>
      <c r="E139" s="267">
        <v>232.1</v>
      </c>
      <c r="F139" s="430" t="s">
        <v>218</v>
      </c>
      <c r="G139" s="267">
        <v>32.32</v>
      </c>
      <c r="H139" s="267">
        <f t="shared" si="13"/>
        <v>30.21622807904</v>
      </c>
      <c r="I139" s="267">
        <f t="shared" si="14"/>
        <v>7013.186537145184</v>
      </c>
      <c r="J139" s="267">
        <v>35</v>
      </c>
      <c r="K139" s="269">
        <f t="shared" si="10"/>
        <v>32.721781645</v>
      </c>
      <c r="L139" s="267">
        <f t="shared" si="11"/>
        <v>7594.7255198044995</v>
      </c>
      <c r="M139" s="270">
        <f t="shared" si="15"/>
        <v>14607.912056949684</v>
      </c>
      <c r="N139" s="268"/>
      <c r="O139" s="1163">
        <v>0.93490804699999996</v>
      </c>
      <c r="P139" s="973"/>
      <c r="Q139" s="862" t="s">
        <v>1038</v>
      </c>
      <c r="R139" s="252"/>
      <c r="S139" s="252"/>
    </row>
    <row r="140" spans="1:19" ht="18.95" customHeight="1">
      <c r="A140" s="425"/>
      <c r="B140" s="122"/>
      <c r="C140" s="1347" t="s">
        <v>1068</v>
      </c>
      <c r="D140" s="1348"/>
      <c r="E140" s="267"/>
      <c r="F140" s="427"/>
      <c r="G140" s="267"/>
      <c r="H140" s="267"/>
      <c r="I140" s="267"/>
      <c r="J140" s="269"/>
      <c r="K140" s="269"/>
      <c r="L140" s="267"/>
      <c r="M140" s="270"/>
      <c r="N140" s="268"/>
      <c r="O140" s="1163">
        <v>0.93490804699999996</v>
      </c>
      <c r="P140" s="973"/>
      <c r="Q140" s="252"/>
      <c r="R140" s="252"/>
      <c r="S140" s="252"/>
    </row>
    <row r="141" spans="1:19" ht="18.95" customHeight="1">
      <c r="A141" s="425"/>
      <c r="B141" s="122"/>
      <c r="C141" s="1347" t="s">
        <v>1052</v>
      </c>
      <c r="D141" s="1348"/>
      <c r="E141" s="267"/>
      <c r="F141" s="427"/>
      <c r="G141" s="267"/>
      <c r="H141" s="267"/>
      <c r="I141" s="267"/>
      <c r="J141" s="269"/>
      <c r="K141" s="269"/>
      <c r="L141" s="267"/>
      <c r="M141" s="270"/>
      <c r="N141" s="268"/>
      <c r="O141" s="1163">
        <v>0.93490804699999996</v>
      </c>
      <c r="P141" s="973"/>
      <c r="Q141" s="252"/>
      <c r="R141" s="252"/>
      <c r="S141" s="252"/>
    </row>
    <row r="142" spans="1:19" ht="18.95" customHeight="1">
      <c r="A142" s="425">
        <v>1.6</v>
      </c>
      <c r="B142" s="122"/>
      <c r="C142" s="1331" t="s">
        <v>1058</v>
      </c>
      <c r="D142" s="1332"/>
      <c r="E142" s="267">
        <v>6154.3</v>
      </c>
      <c r="F142" s="430" t="s">
        <v>348</v>
      </c>
      <c r="G142" s="267">
        <v>31.66</v>
      </c>
      <c r="H142" s="267">
        <f t="shared" si="13"/>
        <v>29.599188768019999</v>
      </c>
      <c r="I142" s="267">
        <f t="shared" si="14"/>
        <v>182162.2874350255</v>
      </c>
      <c r="J142" s="267">
        <v>14</v>
      </c>
      <c r="K142" s="269">
        <f t="shared" si="10"/>
        <v>13.088712657999999</v>
      </c>
      <c r="L142" s="267">
        <f t="shared" si="11"/>
        <v>80551.864311129393</v>
      </c>
      <c r="M142" s="270">
        <f t="shared" si="15"/>
        <v>262714.15174615488</v>
      </c>
      <c r="N142" s="268"/>
      <c r="O142" s="1163">
        <v>0.93490804699999996</v>
      </c>
      <c r="P142" s="973"/>
      <c r="Q142" s="252"/>
      <c r="R142" s="252"/>
      <c r="S142" s="252"/>
    </row>
    <row r="143" spans="1:19" ht="18.95" customHeight="1">
      <c r="A143" s="425">
        <v>1.61</v>
      </c>
      <c r="B143" s="122"/>
      <c r="C143" s="1323" t="s">
        <v>1065</v>
      </c>
      <c r="D143" s="1324"/>
      <c r="E143" s="267">
        <v>131.80000000000001</v>
      </c>
      <c r="F143" s="430" t="s">
        <v>348</v>
      </c>
      <c r="G143" s="267">
        <v>24.97</v>
      </c>
      <c r="H143" s="267">
        <f t="shared" si="13"/>
        <v>23.344653933589999</v>
      </c>
      <c r="I143" s="267">
        <f t="shared" si="14"/>
        <v>3076.8253884471624</v>
      </c>
      <c r="J143" s="267">
        <v>14</v>
      </c>
      <c r="K143" s="269">
        <f t="shared" si="10"/>
        <v>13.088712657999999</v>
      </c>
      <c r="L143" s="267">
        <f t="shared" si="11"/>
        <v>1725.0923283243999</v>
      </c>
      <c r="M143" s="270">
        <f t="shared" si="15"/>
        <v>4801.9177167715625</v>
      </c>
      <c r="N143" s="268"/>
      <c r="O143" s="1163">
        <v>0.93490804699999996</v>
      </c>
      <c r="P143" s="973"/>
      <c r="Q143" s="252"/>
      <c r="R143" s="252"/>
      <c r="S143" s="252"/>
    </row>
    <row r="144" spans="1:19" ht="18.95" customHeight="1">
      <c r="A144" s="425"/>
      <c r="B144" s="122"/>
      <c r="C144" s="1347" t="s">
        <v>1054</v>
      </c>
      <c r="D144" s="1348"/>
      <c r="E144" s="267"/>
      <c r="F144" s="427"/>
      <c r="G144" s="267"/>
      <c r="H144" s="267"/>
      <c r="I144" s="267"/>
      <c r="J144" s="269"/>
      <c r="K144" s="269"/>
      <c r="L144" s="267"/>
      <c r="M144" s="270"/>
      <c r="N144" s="268"/>
      <c r="O144" s="1163">
        <v>0.93490804699999996</v>
      </c>
      <c r="P144" s="973"/>
      <c r="Q144" s="252"/>
      <c r="R144" s="252"/>
      <c r="S144" s="252"/>
    </row>
    <row r="145" spans="1:19" ht="18.95" customHeight="1">
      <c r="A145" s="425">
        <v>1.62</v>
      </c>
      <c r="B145" s="122"/>
      <c r="C145" s="1331" t="s">
        <v>1066</v>
      </c>
      <c r="D145" s="1332"/>
      <c r="E145" s="267">
        <v>14.1</v>
      </c>
      <c r="F145" s="430" t="s">
        <v>1032</v>
      </c>
      <c r="G145" s="267">
        <v>2507</v>
      </c>
      <c r="H145" s="267">
        <f t="shared" si="13"/>
        <v>2343.8144738289998</v>
      </c>
      <c r="I145" s="267">
        <f t="shared" si="14"/>
        <v>33047.784080988895</v>
      </c>
      <c r="J145" s="267">
        <v>519</v>
      </c>
      <c r="K145" s="269">
        <f t="shared" si="10"/>
        <v>485.21727639299996</v>
      </c>
      <c r="L145" s="267">
        <f t="shared" si="11"/>
        <v>6841.5635971412994</v>
      </c>
      <c r="M145" s="270">
        <f t="shared" si="15"/>
        <v>39889.347678130194</v>
      </c>
      <c r="N145" s="268"/>
      <c r="O145" s="1163">
        <v>0.93490804699999996</v>
      </c>
      <c r="P145" s="973"/>
      <c r="Q145" s="252"/>
      <c r="R145" s="252"/>
      <c r="S145" s="252"/>
    </row>
    <row r="146" spans="1:19" ht="18.95" customHeight="1">
      <c r="A146" s="425"/>
      <c r="B146" s="122"/>
      <c r="C146" s="1341" t="s">
        <v>1036</v>
      </c>
      <c r="D146" s="1342"/>
      <c r="E146" s="267"/>
      <c r="F146" s="430"/>
      <c r="G146" s="267"/>
      <c r="H146" s="267"/>
      <c r="I146" s="267"/>
      <c r="J146" s="269"/>
      <c r="K146" s="269"/>
      <c r="L146" s="267"/>
      <c r="M146" s="270"/>
      <c r="N146" s="268"/>
      <c r="O146" s="1163">
        <v>0.93490804699999996</v>
      </c>
      <c r="P146" s="973"/>
      <c r="Q146" s="252"/>
      <c r="R146" s="252"/>
      <c r="S146" s="252"/>
    </row>
    <row r="147" spans="1:19" ht="18.95" customHeight="1">
      <c r="A147" s="425">
        <v>1.63</v>
      </c>
      <c r="B147" s="122"/>
      <c r="C147" s="1323" t="s">
        <v>1037</v>
      </c>
      <c r="D147" s="1324"/>
      <c r="E147" s="267">
        <v>0</v>
      </c>
      <c r="F147" s="430" t="s">
        <v>348</v>
      </c>
      <c r="G147" s="267">
        <v>19.600000000000001</v>
      </c>
      <c r="H147" s="267">
        <f t="shared" si="13"/>
        <v>18.324197721200001</v>
      </c>
      <c r="I147" s="267">
        <f t="shared" si="14"/>
        <v>0</v>
      </c>
      <c r="J147" s="269">
        <v>4.4000000000000004</v>
      </c>
      <c r="K147" s="269">
        <f>J147*O147</f>
        <v>4.1135954068</v>
      </c>
      <c r="L147" s="267">
        <f>E147*K147</f>
        <v>0</v>
      </c>
      <c r="M147" s="270">
        <f t="shared" si="15"/>
        <v>0</v>
      </c>
      <c r="N147" s="268"/>
      <c r="O147" s="1163">
        <v>0.93490804699999996</v>
      </c>
      <c r="P147" s="973"/>
      <c r="Q147" s="862" t="s">
        <v>1038</v>
      </c>
      <c r="R147" s="252"/>
      <c r="S147" s="252"/>
    </row>
    <row r="148" spans="1:19" ht="18.95" customHeight="1">
      <c r="A148" s="425">
        <v>1.64</v>
      </c>
      <c r="B148" s="122"/>
      <c r="C148" s="1323" t="s">
        <v>1039</v>
      </c>
      <c r="D148" s="1324"/>
      <c r="E148" s="267">
        <v>3145.5</v>
      </c>
      <c r="F148" s="430" t="s">
        <v>348</v>
      </c>
      <c r="G148" s="267">
        <v>19.7</v>
      </c>
      <c r="H148" s="267">
        <f t="shared" si="13"/>
        <v>18.417688525899997</v>
      </c>
      <c r="I148" s="267">
        <f t="shared" si="14"/>
        <v>57932.839258218439</v>
      </c>
      <c r="J148" s="269">
        <v>3.6</v>
      </c>
      <c r="K148" s="269">
        <f t="shared" ref="K148:K204" si="16">J148*O148</f>
        <v>3.3656689692000001</v>
      </c>
      <c r="L148" s="267">
        <f t="shared" ref="L148:L204" si="17">E148*K148</f>
        <v>10586.7117426186</v>
      </c>
      <c r="M148" s="270">
        <f t="shared" si="15"/>
        <v>68519.551000837033</v>
      </c>
      <c r="N148" s="268"/>
      <c r="O148" s="1163">
        <v>0.93490804699999996</v>
      </c>
      <c r="P148" s="973"/>
      <c r="Q148" s="862" t="s">
        <v>1038</v>
      </c>
      <c r="R148" s="252"/>
      <c r="S148" s="252"/>
    </row>
    <row r="149" spans="1:19" ht="18.95" customHeight="1">
      <c r="A149" s="425">
        <v>1.65</v>
      </c>
      <c r="B149" s="122"/>
      <c r="C149" s="1323" t="s">
        <v>1040</v>
      </c>
      <c r="D149" s="1324"/>
      <c r="E149" s="267">
        <v>0</v>
      </c>
      <c r="F149" s="430" t="s">
        <v>348</v>
      </c>
      <c r="G149" s="267">
        <v>19.5</v>
      </c>
      <c r="H149" s="267">
        <f t="shared" si="13"/>
        <v>18.230706916500001</v>
      </c>
      <c r="I149" s="267">
        <f t="shared" si="14"/>
        <v>0</v>
      </c>
      <c r="J149" s="269">
        <v>3.6</v>
      </c>
      <c r="K149" s="269">
        <f t="shared" si="16"/>
        <v>3.3656689692000001</v>
      </c>
      <c r="L149" s="267">
        <f t="shared" si="17"/>
        <v>0</v>
      </c>
      <c r="M149" s="270">
        <f t="shared" si="15"/>
        <v>0</v>
      </c>
      <c r="N149" s="268"/>
      <c r="O149" s="1163">
        <v>0.93490804699999996</v>
      </c>
      <c r="P149" s="973"/>
      <c r="Q149" s="862" t="s">
        <v>1038</v>
      </c>
      <c r="R149" s="252"/>
      <c r="S149" s="252"/>
    </row>
    <row r="150" spans="1:19" ht="18.75" customHeight="1">
      <c r="A150" s="425">
        <v>1.66</v>
      </c>
      <c r="B150" s="122"/>
      <c r="C150" s="1323" t="s">
        <v>1041</v>
      </c>
      <c r="D150" s="1324"/>
      <c r="E150" s="267">
        <v>57.1</v>
      </c>
      <c r="F150" s="430" t="s">
        <v>348</v>
      </c>
      <c r="G150" s="269">
        <v>27.1</v>
      </c>
      <c r="H150" s="267">
        <f t="shared" si="13"/>
        <v>25.3360080737</v>
      </c>
      <c r="I150" s="267">
        <f t="shared" si="14"/>
        <v>1446.6860610082701</v>
      </c>
      <c r="J150" s="267">
        <v>0</v>
      </c>
      <c r="K150" s="269">
        <f t="shared" si="16"/>
        <v>0</v>
      </c>
      <c r="L150" s="267">
        <f t="shared" si="17"/>
        <v>0</v>
      </c>
      <c r="M150" s="270">
        <f t="shared" si="15"/>
        <v>1446.6860610082701</v>
      </c>
      <c r="N150" s="268"/>
      <c r="O150" s="1163">
        <v>0.93490804699999996</v>
      </c>
      <c r="P150" s="973"/>
      <c r="Q150" s="862" t="s">
        <v>1038</v>
      </c>
      <c r="R150" s="252"/>
      <c r="S150" s="252"/>
    </row>
    <row r="151" spans="1:19" ht="18.95" customHeight="1">
      <c r="A151" s="314">
        <v>1.67</v>
      </c>
      <c r="B151" s="122"/>
      <c r="C151" s="1323" t="s">
        <v>1043</v>
      </c>
      <c r="D151" s="1324"/>
      <c r="E151" s="267"/>
      <c r="F151" s="430"/>
      <c r="G151" s="267"/>
      <c r="H151" s="267"/>
      <c r="I151" s="267"/>
      <c r="J151" s="269"/>
      <c r="K151" s="269"/>
      <c r="L151" s="267"/>
      <c r="M151" s="270"/>
      <c r="N151" s="268"/>
      <c r="O151" s="1163">
        <v>0.93490804699999996</v>
      </c>
      <c r="P151" s="973"/>
      <c r="Q151" s="252"/>
      <c r="R151" s="252"/>
      <c r="S151" s="252"/>
    </row>
    <row r="152" spans="1:19" ht="18.95" customHeight="1">
      <c r="A152" s="431"/>
      <c r="B152" s="329"/>
      <c r="C152" s="433" t="s">
        <v>1044</v>
      </c>
      <c r="E152" s="267">
        <v>71.34</v>
      </c>
      <c r="F152" s="434" t="s">
        <v>218</v>
      </c>
      <c r="G152" s="434">
        <v>245.2</v>
      </c>
      <c r="H152" s="267">
        <f t="shared" si="13"/>
        <v>229.23945312439997</v>
      </c>
      <c r="I152" s="267">
        <f t="shared" si="14"/>
        <v>16353.942585894694</v>
      </c>
      <c r="J152" s="435">
        <v>0</v>
      </c>
      <c r="K152" s="269">
        <f t="shared" si="16"/>
        <v>0</v>
      </c>
      <c r="L152" s="267">
        <f t="shared" si="17"/>
        <v>0</v>
      </c>
      <c r="M152" s="270">
        <f t="shared" si="15"/>
        <v>16353.942585894694</v>
      </c>
      <c r="N152" s="436"/>
      <c r="O152" s="1163">
        <v>0.93490804699999996</v>
      </c>
      <c r="P152" s="765"/>
      <c r="Q152" s="252"/>
      <c r="R152" s="252"/>
      <c r="S152" s="252"/>
    </row>
    <row r="153" spans="1:19" ht="18.95" customHeight="1">
      <c r="A153" s="431"/>
      <c r="B153" s="329"/>
      <c r="C153" s="433" t="s">
        <v>1045</v>
      </c>
      <c r="E153" s="267">
        <v>118.9</v>
      </c>
      <c r="F153" s="434" t="s">
        <v>218</v>
      </c>
      <c r="G153" s="434">
        <v>0</v>
      </c>
      <c r="H153" s="267">
        <f t="shared" si="13"/>
        <v>0</v>
      </c>
      <c r="I153" s="267">
        <f t="shared" si="14"/>
        <v>0</v>
      </c>
      <c r="J153" s="435">
        <v>121</v>
      </c>
      <c r="K153" s="269">
        <f t="shared" si="16"/>
        <v>113.123873687</v>
      </c>
      <c r="L153" s="267">
        <f t="shared" si="17"/>
        <v>13450.4285813843</v>
      </c>
      <c r="M153" s="270">
        <f t="shared" si="15"/>
        <v>13450.4285813843</v>
      </c>
      <c r="N153" s="436"/>
      <c r="O153" s="1163">
        <v>0.93490804699999996</v>
      </c>
      <c r="P153" s="765"/>
      <c r="Q153" s="252"/>
      <c r="R153" s="252"/>
      <c r="S153" s="252"/>
    </row>
    <row r="154" spans="1:19" ht="18.95" customHeight="1">
      <c r="A154" s="431"/>
      <c r="B154" s="329"/>
      <c r="C154" s="433" t="s">
        <v>1046</v>
      </c>
      <c r="E154" s="267">
        <v>21.41</v>
      </c>
      <c r="F154" s="434" t="s">
        <v>1047</v>
      </c>
      <c r="G154" s="434">
        <v>309.42</v>
      </c>
      <c r="H154" s="267">
        <f t="shared" si="13"/>
        <v>289.27924790274</v>
      </c>
      <c r="I154" s="267">
        <f t="shared" si="14"/>
        <v>6193.4686975976638</v>
      </c>
      <c r="J154" s="435">
        <v>0</v>
      </c>
      <c r="K154" s="269">
        <f t="shared" si="16"/>
        <v>0</v>
      </c>
      <c r="L154" s="267">
        <f t="shared" si="17"/>
        <v>0</v>
      </c>
      <c r="M154" s="270">
        <f t="shared" si="15"/>
        <v>6193.4686975976638</v>
      </c>
      <c r="N154" s="436"/>
      <c r="O154" s="1163">
        <v>0.93490804699999996</v>
      </c>
      <c r="P154" s="765"/>
      <c r="Q154" s="252"/>
      <c r="R154" s="252"/>
      <c r="S154" s="252"/>
    </row>
    <row r="155" spans="1:19" ht="18.600000000000001" customHeight="1">
      <c r="A155" s="431"/>
      <c r="B155" s="329"/>
      <c r="C155" s="433" t="s">
        <v>1048</v>
      </c>
      <c r="E155" s="269">
        <v>17.84</v>
      </c>
      <c r="F155" s="434" t="s">
        <v>348</v>
      </c>
      <c r="G155" s="434">
        <v>23.36</v>
      </c>
      <c r="H155" s="267">
        <f t="shared" si="13"/>
        <v>21.83945197792</v>
      </c>
      <c r="I155" s="267">
        <f t="shared" si="14"/>
        <v>389.61582328609279</v>
      </c>
      <c r="J155" s="435">
        <v>0</v>
      </c>
      <c r="K155" s="269">
        <f t="shared" si="16"/>
        <v>0</v>
      </c>
      <c r="L155" s="267">
        <f t="shared" si="17"/>
        <v>0</v>
      </c>
      <c r="M155" s="270">
        <f t="shared" si="15"/>
        <v>389.61582328609279</v>
      </c>
      <c r="N155" s="436"/>
      <c r="O155" s="1163">
        <v>0.93490804699999996</v>
      </c>
      <c r="P155" s="765"/>
      <c r="Q155" s="862" t="s">
        <v>1038</v>
      </c>
      <c r="R155" s="252"/>
      <c r="S155" s="252"/>
    </row>
    <row r="156" spans="1:19" ht="18.95" customHeight="1">
      <c r="A156" s="425"/>
      <c r="B156" s="122"/>
      <c r="C156" s="1347" t="s">
        <v>1057</v>
      </c>
      <c r="D156" s="1348"/>
      <c r="E156" s="267"/>
      <c r="F156" s="427"/>
      <c r="G156" s="267"/>
      <c r="H156" s="267"/>
      <c r="I156" s="267"/>
      <c r="J156" s="269"/>
      <c r="K156" s="269"/>
      <c r="L156" s="267"/>
      <c r="M156" s="270"/>
      <c r="N156" s="285"/>
      <c r="O156" s="1163">
        <v>0.93490804699999996</v>
      </c>
      <c r="P156" s="1165"/>
      <c r="Q156" s="252"/>
      <c r="R156" s="252"/>
      <c r="S156" s="252"/>
    </row>
    <row r="157" spans="1:19" ht="18.95" customHeight="1">
      <c r="A157" s="425">
        <v>1.68</v>
      </c>
      <c r="B157" s="122"/>
      <c r="C157" s="1331" t="s">
        <v>1058</v>
      </c>
      <c r="D157" s="1332"/>
      <c r="E157" s="267">
        <v>2436.6999999999998</v>
      </c>
      <c r="F157" s="430" t="s">
        <v>348</v>
      </c>
      <c r="G157" s="267">
        <v>31.66</v>
      </c>
      <c r="H157" s="267">
        <f t="shared" si="13"/>
        <v>29.599188768019999</v>
      </c>
      <c r="I157" s="267">
        <f t="shared" si="14"/>
        <v>72124.343271034333</v>
      </c>
      <c r="J157" s="267">
        <v>14</v>
      </c>
      <c r="K157" s="269">
        <f t="shared" si="16"/>
        <v>13.088712657999999</v>
      </c>
      <c r="L157" s="267">
        <f t="shared" si="17"/>
        <v>31893.266133748595</v>
      </c>
      <c r="M157" s="270">
        <f t="shared" ref="M157:M179" si="18">I157+L157</f>
        <v>104017.60940478292</v>
      </c>
      <c r="N157" s="285"/>
      <c r="O157" s="1163">
        <v>0.93490804699999996</v>
      </c>
      <c r="P157" s="1165"/>
      <c r="Q157" s="252"/>
      <c r="R157" s="252"/>
      <c r="S157" s="252"/>
    </row>
    <row r="158" spans="1:19" ht="18.95" customHeight="1">
      <c r="A158" s="204"/>
      <c r="B158" s="122"/>
      <c r="C158" s="1329" t="s">
        <v>1061</v>
      </c>
      <c r="D158" s="1330"/>
      <c r="E158" s="267"/>
      <c r="F158" s="430"/>
      <c r="G158" s="267"/>
      <c r="H158" s="267"/>
      <c r="I158" s="267"/>
      <c r="J158" s="267"/>
      <c r="K158" s="269"/>
      <c r="L158" s="267"/>
      <c r="M158" s="270"/>
      <c r="N158" s="268"/>
      <c r="O158" s="1163">
        <v>0.93490804699999996</v>
      </c>
      <c r="P158" s="973"/>
      <c r="Q158" s="252"/>
      <c r="R158" s="252"/>
      <c r="S158" s="252"/>
    </row>
    <row r="159" spans="1:19" ht="18.95" customHeight="1">
      <c r="A159" s="425">
        <v>1.69</v>
      </c>
      <c r="B159" s="122"/>
      <c r="C159" s="428" t="s">
        <v>1062</v>
      </c>
      <c r="D159" s="429"/>
      <c r="E159" s="267">
        <v>218.1</v>
      </c>
      <c r="F159" s="430" t="s">
        <v>218</v>
      </c>
      <c r="G159" s="267">
        <v>28.02</v>
      </c>
      <c r="H159" s="267">
        <f t="shared" si="13"/>
        <v>26.196123476939999</v>
      </c>
      <c r="I159" s="267">
        <f t="shared" si="14"/>
        <v>5713.3745303206133</v>
      </c>
      <c r="J159" s="267">
        <v>30</v>
      </c>
      <c r="K159" s="269">
        <f t="shared" si="16"/>
        <v>28.047241409999998</v>
      </c>
      <c r="L159" s="267">
        <f t="shared" si="17"/>
        <v>6117.1033515209992</v>
      </c>
      <c r="M159" s="270">
        <f t="shared" si="18"/>
        <v>11830.477881841613</v>
      </c>
      <c r="N159" s="268"/>
      <c r="O159" s="1163">
        <v>0.93490804699999996</v>
      </c>
      <c r="P159" s="973"/>
      <c r="Q159" s="252"/>
      <c r="R159" s="252"/>
      <c r="S159" s="252"/>
    </row>
    <row r="160" spans="1:19" ht="18.95" customHeight="1">
      <c r="A160" s="425">
        <v>1.7</v>
      </c>
      <c r="B160" s="122"/>
      <c r="C160" s="428" t="s">
        <v>1063</v>
      </c>
      <c r="D160" s="429"/>
      <c r="E160" s="267">
        <v>218.1</v>
      </c>
      <c r="F160" s="430" t="s">
        <v>218</v>
      </c>
      <c r="G160" s="267">
        <v>32.32</v>
      </c>
      <c r="H160" s="267">
        <f t="shared" ref="H160:H179" si="19">G160*O160</f>
        <v>30.21622807904</v>
      </c>
      <c r="I160" s="267">
        <f t="shared" ref="I160:I179" si="20">E160*H160</f>
        <v>6590.1593440386241</v>
      </c>
      <c r="J160" s="267">
        <v>35</v>
      </c>
      <c r="K160" s="269">
        <f t="shared" si="16"/>
        <v>32.721781645</v>
      </c>
      <c r="L160" s="267">
        <f t="shared" si="17"/>
        <v>7136.6205767744996</v>
      </c>
      <c r="M160" s="270">
        <f t="shared" si="18"/>
        <v>13726.779920813124</v>
      </c>
      <c r="N160" s="268"/>
      <c r="O160" s="1163">
        <v>0.93490804699999996</v>
      </c>
      <c r="P160" s="973"/>
      <c r="Q160" s="862" t="s">
        <v>1038</v>
      </c>
      <c r="R160" s="252"/>
      <c r="S160" s="252"/>
    </row>
    <row r="161" spans="1:19" ht="18.95" customHeight="1">
      <c r="A161" s="425"/>
      <c r="B161" s="122"/>
      <c r="C161" s="1347" t="s">
        <v>1069</v>
      </c>
      <c r="D161" s="1348"/>
      <c r="E161" s="267"/>
      <c r="F161" s="427"/>
      <c r="G161" s="267"/>
      <c r="H161" s="267"/>
      <c r="I161" s="267"/>
      <c r="J161" s="269"/>
      <c r="K161" s="269"/>
      <c r="L161" s="267"/>
      <c r="M161" s="270"/>
      <c r="N161" s="268"/>
      <c r="O161" s="1163">
        <v>0.93490804699999996</v>
      </c>
      <c r="P161" s="973"/>
      <c r="Q161" s="252"/>
      <c r="R161" s="252"/>
      <c r="S161" s="252"/>
    </row>
    <row r="162" spans="1:19" ht="18.95" customHeight="1">
      <c r="A162" s="425"/>
      <c r="B162" s="122"/>
      <c r="C162" s="1347" t="s">
        <v>1052</v>
      </c>
      <c r="D162" s="1348"/>
      <c r="E162" s="267"/>
      <c r="F162" s="427"/>
      <c r="G162" s="267"/>
      <c r="H162" s="267"/>
      <c r="I162" s="267"/>
      <c r="J162" s="269"/>
      <c r="K162" s="269"/>
      <c r="L162" s="267"/>
      <c r="M162" s="270"/>
      <c r="N162" s="268"/>
      <c r="O162" s="1163">
        <v>0.93490804699999996</v>
      </c>
      <c r="P162" s="973"/>
      <c r="Q162" s="252"/>
      <c r="R162" s="252"/>
      <c r="S162" s="252"/>
    </row>
    <row r="163" spans="1:19" ht="18.95" customHeight="1">
      <c r="A163" s="425">
        <v>1.71</v>
      </c>
      <c r="B163" s="122"/>
      <c r="C163" s="1331" t="s">
        <v>1058</v>
      </c>
      <c r="D163" s="1332"/>
      <c r="E163" s="267">
        <v>5510.7</v>
      </c>
      <c r="F163" s="430" t="s">
        <v>348</v>
      </c>
      <c r="G163" s="267">
        <v>31.66</v>
      </c>
      <c r="H163" s="267">
        <f t="shared" si="19"/>
        <v>29.599188768019999</v>
      </c>
      <c r="I163" s="267">
        <f t="shared" si="20"/>
        <v>163112.24954392781</v>
      </c>
      <c r="J163" s="267">
        <v>14</v>
      </c>
      <c r="K163" s="269">
        <f t="shared" si="16"/>
        <v>13.088712657999999</v>
      </c>
      <c r="L163" s="267">
        <f t="shared" si="17"/>
        <v>72127.968844440591</v>
      </c>
      <c r="M163" s="270">
        <f t="shared" si="18"/>
        <v>235240.2183883684</v>
      </c>
      <c r="N163" s="268"/>
      <c r="O163" s="1163">
        <v>0.93490804699999996</v>
      </c>
      <c r="P163" s="973"/>
      <c r="Q163" s="252"/>
      <c r="R163" s="252"/>
      <c r="S163" s="252"/>
    </row>
    <row r="164" spans="1:19" ht="18.95" customHeight="1">
      <c r="A164" s="425">
        <v>1.72</v>
      </c>
      <c r="B164" s="122"/>
      <c r="C164" s="1323" t="s">
        <v>1065</v>
      </c>
      <c r="D164" s="1324"/>
      <c r="E164" s="267">
        <v>131.80000000000001</v>
      </c>
      <c r="F164" s="430" t="s">
        <v>348</v>
      </c>
      <c r="G164" s="267">
        <v>24.97</v>
      </c>
      <c r="H164" s="267">
        <f t="shared" si="19"/>
        <v>23.344653933589999</v>
      </c>
      <c r="I164" s="267">
        <f t="shared" si="20"/>
        <v>3076.8253884471624</v>
      </c>
      <c r="J164" s="267">
        <v>14</v>
      </c>
      <c r="K164" s="269">
        <f t="shared" si="16"/>
        <v>13.088712657999999</v>
      </c>
      <c r="L164" s="267">
        <f t="shared" si="17"/>
        <v>1725.0923283243999</v>
      </c>
      <c r="M164" s="270">
        <f t="shared" si="18"/>
        <v>4801.9177167715625</v>
      </c>
      <c r="N164" s="268"/>
      <c r="O164" s="1163">
        <v>0.93490804699999996</v>
      </c>
      <c r="P164" s="973"/>
      <c r="Q164" s="252"/>
      <c r="R164" s="252"/>
      <c r="S164" s="252"/>
    </row>
    <row r="165" spans="1:19" ht="18.95" customHeight="1">
      <c r="A165" s="425"/>
      <c r="B165" s="122"/>
      <c r="C165" s="1347" t="s">
        <v>1054</v>
      </c>
      <c r="D165" s="1348"/>
      <c r="E165" s="267"/>
      <c r="F165" s="427"/>
      <c r="G165" s="267"/>
      <c r="H165" s="267"/>
      <c r="I165" s="267"/>
      <c r="J165" s="269"/>
      <c r="K165" s="269"/>
      <c r="L165" s="267"/>
      <c r="M165" s="270"/>
      <c r="N165" s="268"/>
      <c r="O165" s="1163">
        <v>0.93490804699999996</v>
      </c>
      <c r="P165" s="973"/>
      <c r="Q165" s="252"/>
      <c r="R165" s="252"/>
      <c r="S165" s="252"/>
    </row>
    <row r="166" spans="1:19" ht="18.95" customHeight="1">
      <c r="A166" s="425">
        <v>1.73</v>
      </c>
      <c r="B166" s="122"/>
      <c r="C166" s="1331" t="s">
        <v>1035</v>
      </c>
      <c r="D166" s="1332"/>
      <c r="E166" s="267">
        <v>14.4</v>
      </c>
      <c r="F166" s="430" t="s">
        <v>1032</v>
      </c>
      <c r="G166" s="434">
        <v>2117.5</v>
      </c>
      <c r="H166" s="267">
        <f t="shared" si="19"/>
        <v>1979.6677895225</v>
      </c>
      <c r="I166" s="267">
        <f t="shared" si="20"/>
        <v>28507.216169124</v>
      </c>
      <c r="J166" s="269">
        <v>519</v>
      </c>
      <c r="K166" s="269">
        <f t="shared" si="16"/>
        <v>485.21727639299996</v>
      </c>
      <c r="L166" s="267">
        <f t="shared" si="17"/>
        <v>6987.1287800591999</v>
      </c>
      <c r="M166" s="270">
        <f t="shared" si="18"/>
        <v>35494.3449491832</v>
      </c>
      <c r="N166" s="268"/>
      <c r="O166" s="1163">
        <v>0.93490804699999996</v>
      </c>
      <c r="P166" s="973"/>
      <c r="Q166" s="252"/>
      <c r="R166" s="252"/>
      <c r="S166" s="252"/>
    </row>
    <row r="167" spans="1:19" ht="18.95" customHeight="1">
      <c r="A167" s="425"/>
      <c r="B167" s="122"/>
      <c r="C167" s="1341" t="s">
        <v>1036</v>
      </c>
      <c r="D167" s="1342"/>
      <c r="E167" s="267"/>
      <c r="F167" s="430"/>
      <c r="G167" s="267"/>
      <c r="H167" s="267"/>
      <c r="I167" s="267"/>
      <c r="J167" s="269"/>
      <c r="K167" s="269"/>
      <c r="L167" s="267"/>
      <c r="M167" s="270"/>
      <c r="N167" s="268"/>
      <c r="O167" s="1163">
        <v>0.93490804699999996</v>
      </c>
      <c r="P167" s="973"/>
      <c r="Q167" s="252"/>
      <c r="R167" s="252"/>
      <c r="S167" s="252"/>
    </row>
    <row r="168" spans="1:19" ht="18.95" customHeight="1">
      <c r="A168" s="425">
        <v>1.74</v>
      </c>
      <c r="B168" s="122"/>
      <c r="C168" s="1323" t="s">
        <v>1037</v>
      </c>
      <c r="D168" s="1324"/>
      <c r="E168" s="267">
        <v>0</v>
      </c>
      <c r="F168" s="430" t="s">
        <v>348</v>
      </c>
      <c r="G168" s="267">
        <v>19.600000000000001</v>
      </c>
      <c r="H168" s="267">
        <f t="shared" si="19"/>
        <v>18.324197721200001</v>
      </c>
      <c r="I168" s="267">
        <f t="shared" si="20"/>
        <v>0</v>
      </c>
      <c r="J168" s="269">
        <v>4.4000000000000004</v>
      </c>
      <c r="K168" s="269">
        <f t="shared" si="16"/>
        <v>4.1135954068</v>
      </c>
      <c r="L168" s="267">
        <f t="shared" si="17"/>
        <v>0</v>
      </c>
      <c r="M168" s="270">
        <f t="shared" si="18"/>
        <v>0</v>
      </c>
      <c r="N168" s="268"/>
      <c r="O168" s="1163">
        <v>0.93490804699999996</v>
      </c>
      <c r="P168" s="973"/>
      <c r="Q168" s="862" t="s">
        <v>1038</v>
      </c>
      <c r="R168" s="252"/>
      <c r="S168" s="252"/>
    </row>
    <row r="169" spans="1:19" ht="18.95" customHeight="1">
      <c r="A169" s="425">
        <v>1.75</v>
      </c>
      <c r="B169" s="122"/>
      <c r="C169" s="1323" t="s">
        <v>1039</v>
      </c>
      <c r="D169" s="1324"/>
      <c r="E169" s="267">
        <v>3227.5</v>
      </c>
      <c r="F169" s="430" t="s">
        <v>348</v>
      </c>
      <c r="G169" s="267">
        <v>19.7</v>
      </c>
      <c r="H169" s="267">
        <f t="shared" si="19"/>
        <v>18.417688525899997</v>
      </c>
      <c r="I169" s="267">
        <f t="shared" si="20"/>
        <v>59443.089717342242</v>
      </c>
      <c r="J169" s="269">
        <v>3.6</v>
      </c>
      <c r="K169" s="269">
        <f t="shared" si="16"/>
        <v>3.3656689692000001</v>
      </c>
      <c r="L169" s="267">
        <f t="shared" si="17"/>
        <v>10862.696598093</v>
      </c>
      <c r="M169" s="270">
        <f t="shared" si="18"/>
        <v>70305.786315435238</v>
      </c>
      <c r="N169" s="268"/>
      <c r="O169" s="1163">
        <v>0.93490804699999996</v>
      </c>
      <c r="P169" s="973"/>
      <c r="Q169" s="862" t="s">
        <v>1038</v>
      </c>
      <c r="R169" s="252"/>
      <c r="S169" s="252"/>
    </row>
    <row r="170" spans="1:19" ht="18.95" customHeight="1">
      <c r="A170" s="425">
        <v>1.76</v>
      </c>
      <c r="B170" s="122"/>
      <c r="C170" s="1323" t="s">
        <v>1040</v>
      </c>
      <c r="D170" s="1324"/>
      <c r="E170" s="267">
        <v>0</v>
      </c>
      <c r="F170" s="430" t="s">
        <v>348</v>
      </c>
      <c r="G170" s="267">
        <v>19.5</v>
      </c>
      <c r="H170" s="267">
        <f t="shared" si="19"/>
        <v>18.230706916500001</v>
      </c>
      <c r="I170" s="267">
        <f t="shared" si="20"/>
        <v>0</v>
      </c>
      <c r="J170" s="269">
        <v>3.6</v>
      </c>
      <c r="K170" s="269">
        <f t="shared" si="16"/>
        <v>3.3656689692000001</v>
      </c>
      <c r="L170" s="267">
        <f t="shared" si="17"/>
        <v>0</v>
      </c>
      <c r="M170" s="270">
        <f t="shared" si="18"/>
        <v>0</v>
      </c>
      <c r="N170" s="268"/>
      <c r="O170" s="1163">
        <v>0.93490804699999996</v>
      </c>
      <c r="P170" s="973"/>
      <c r="Q170" s="862" t="s">
        <v>1038</v>
      </c>
      <c r="R170" s="252"/>
      <c r="S170" s="252"/>
    </row>
    <row r="171" spans="1:19" ht="18.95" customHeight="1">
      <c r="A171" s="425">
        <v>1.77</v>
      </c>
      <c r="B171" s="122"/>
      <c r="C171" s="1323" t="s">
        <v>1041</v>
      </c>
      <c r="D171" s="1324"/>
      <c r="E171" s="267">
        <v>58.6</v>
      </c>
      <c r="F171" s="430" t="s">
        <v>348</v>
      </c>
      <c r="G171" s="269">
        <v>27.1</v>
      </c>
      <c r="H171" s="267">
        <f t="shared" si="19"/>
        <v>25.3360080737</v>
      </c>
      <c r="I171" s="267">
        <f t="shared" si="20"/>
        <v>1484.69007311882</v>
      </c>
      <c r="J171" s="267">
        <v>0</v>
      </c>
      <c r="K171" s="269">
        <f t="shared" si="16"/>
        <v>0</v>
      </c>
      <c r="L171" s="267">
        <f t="shared" si="17"/>
        <v>0</v>
      </c>
      <c r="M171" s="270">
        <f t="shared" si="18"/>
        <v>1484.69007311882</v>
      </c>
      <c r="N171" s="268"/>
      <c r="O171" s="1163">
        <v>0.93490804699999996</v>
      </c>
      <c r="P171" s="973"/>
      <c r="Q171" s="862" t="s">
        <v>1038</v>
      </c>
      <c r="R171" s="252"/>
      <c r="S171" s="252"/>
    </row>
    <row r="172" spans="1:19" ht="18.95" customHeight="1">
      <c r="A172" s="314">
        <v>1.78</v>
      </c>
      <c r="B172" s="122"/>
      <c r="C172" s="1323" t="s">
        <v>1043</v>
      </c>
      <c r="D172" s="1324"/>
      <c r="E172" s="267"/>
      <c r="F172" s="430"/>
      <c r="G172" s="267"/>
      <c r="H172" s="267"/>
      <c r="I172" s="267"/>
      <c r="J172" s="269"/>
      <c r="K172" s="269"/>
      <c r="L172" s="267"/>
      <c r="M172" s="270"/>
      <c r="N172" s="268"/>
      <c r="O172" s="1163">
        <v>0.93490804699999996</v>
      </c>
      <c r="P172" s="973"/>
      <c r="Q172" s="252"/>
      <c r="R172" s="252"/>
      <c r="S172" s="252"/>
    </row>
    <row r="173" spans="1:19" ht="18.95" customHeight="1">
      <c r="A173" s="431"/>
      <c r="B173" s="329"/>
      <c r="C173" s="433" t="s">
        <v>1044</v>
      </c>
      <c r="E173" s="267">
        <v>73.2</v>
      </c>
      <c r="F173" s="434" t="s">
        <v>218</v>
      </c>
      <c r="G173" s="434">
        <v>245.2</v>
      </c>
      <c r="H173" s="267">
        <f t="shared" si="19"/>
        <v>229.23945312439997</v>
      </c>
      <c r="I173" s="267">
        <f t="shared" si="20"/>
        <v>16780.327968706079</v>
      </c>
      <c r="J173" s="435">
        <v>0</v>
      </c>
      <c r="K173" s="269">
        <f t="shared" si="16"/>
        <v>0</v>
      </c>
      <c r="L173" s="267">
        <f t="shared" si="17"/>
        <v>0</v>
      </c>
      <c r="M173" s="270">
        <f t="shared" si="18"/>
        <v>16780.327968706079</v>
      </c>
      <c r="N173" s="436"/>
      <c r="O173" s="1163">
        <v>0.93490804699999996</v>
      </c>
      <c r="P173" s="765"/>
      <c r="Q173" s="252"/>
      <c r="R173" s="252"/>
      <c r="S173" s="252"/>
    </row>
    <row r="174" spans="1:19" ht="18.95" customHeight="1">
      <c r="A174" s="431"/>
      <c r="B174" s="329"/>
      <c r="C174" s="433" t="s">
        <v>1045</v>
      </c>
      <c r="E174" s="267">
        <v>122</v>
      </c>
      <c r="F174" s="434" t="s">
        <v>218</v>
      </c>
      <c r="G174" s="434">
        <v>0</v>
      </c>
      <c r="H174" s="267">
        <f t="shared" si="19"/>
        <v>0</v>
      </c>
      <c r="I174" s="267">
        <f t="shared" si="20"/>
        <v>0</v>
      </c>
      <c r="J174" s="435">
        <v>121</v>
      </c>
      <c r="K174" s="269">
        <f t="shared" si="16"/>
        <v>113.123873687</v>
      </c>
      <c r="L174" s="267">
        <f t="shared" si="17"/>
        <v>13801.112589814</v>
      </c>
      <c r="M174" s="270">
        <f t="shared" si="18"/>
        <v>13801.112589814</v>
      </c>
      <c r="N174" s="436"/>
      <c r="O174" s="1163">
        <v>0.93490804699999996</v>
      </c>
      <c r="P174" s="765"/>
      <c r="Q174" s="252"/>
      <c r="R174" s="252"/>
      <c r="S174" s="252"/>
    </row>
    <row r="175" spans="1:19" ht="18.95" customHeight="1">
      <c r="A175" s="431"/>
      <c r="B175" s="329"/>
      <c r="C175" s="433" t="s">
        <v>1046</v>
      </c>
      <c r="E175" s="267">
        <v>21.96</v>
      </c>
      <c r="F175" s="434" t="s">
        <v>1047</v>
      </c>
      <c r="G175" s="434">
        <v>309.42</v>
      </c>
      <c r="H175" s="267">
        <f t="shared" si="19"/>
        <v>289.27924790274</v>
      </c>
      <c r="I175" s="267">
        <f t="shared" si="20"/>
        <v>6352.5722839441705</v>
      </c>
      <c r="J175" s="435">
        <v>0</v>
      </c>
      <c r="K175" s="269">
        <f t="shared" si="16"/>
        <v>0</v>
      </c>
      <c r="L175" s="267">
        <f t="shared" si="17"/>
        <v>0</v>
      </c>
      <c r="M175" s="270">
        <f t="shared" si="18"/>
        <v>6352.5722839441705</v>
      </c>
      <c r="N175" s="436"/>
      <c r="O175" s="1163">
        <v>0.93490804699999996</v>
      </c>
      <c r="P175" s="765"/>
      <c r="Q175" s="252"/>
      <c r="R175" s="252"/>
      <c r="S175" s="252"/>
    </row>
    <row r="176" spans="1:19" ht="18.95" customHeight="1">
      <c r="A176" s="431"/>
      <c r="B176" s="329"/>
      <c r="C176" s="433" t="s">
        <v>1048</v>
      </c>
      <c r="E176" s="269">
        <v>18.3</v>
      </c>
      <c r="F176" s="434" t="s">
        <v>348</v>
      </c>
      <c r="G176" s="434">
        <v>23.36</v>
      </c>
      <c r="H176" s="267">
        <f t="shared" si="19"/>
        <v>21.83945197792</v>
      </c>
      <c r="I176" s="267">
        <f t="shared" si="20"/>
        <v>399.66197119593602</v>
      </c>
      <c r="J176" s="435">
        <v>0</v>
      </c>
      <c r="K176" s="269">
        <f t="shared" si="16"/>
        <v>0</v>
      </c>
      <c r="L176" s="267">
        <f t="shared" si="17"/>
        <v>0</v>
      </c>
      <c r="M176" s="270">
        <f t="shared" si="18"/>
        <v>399.66197119593602</v>
      </c>
      <c r="N176" s="436"/>
      <c r="O176" s="1163">
        <v>0.93490804699999996</v>
      </c>
      <c r="P176" s="765"/>
      <c r="Q176" s="862" t="s">
        <v>1038</v>
      </c>
      <c r="R176" s="252"/>
      <c r="S176" s="252"/>
    </row>
    <row r="177" spans="1:19" ht="18.95" customHeight="1">
      <c r="A177" s="204"/>
      <c r="B177" s="122"/>
      <c r="C177" s="1329" t="s">
        <v>1061</v>
      </c>
      <c r="D177" s="1330"/>
      <c r="E177" s="267"/>
      <c r="F177" s="430"/>
      <c r="G177" s="267"/>
      <c r="H177" s="267"/>
      <c r="I177" s="267"/>
      <c r="J177" s="267"/>
      <c r="K177" s="269"/>
      <c r="L177" s="267"/>
      <c r="M177" s="270"/>
      <c r="N177" s="268"/>
      <c r="O177" s="1163">
        <v>0.93490804699999996</v>
      </c>
      <c r="P177" s="973"/>
      <c r="Q177" s="252"/>
      <c r="R177" s="252"/>
      <c r="S177" s="252"/>
    </row>
    <row r="178" spans="1:19" ht="18.95" customHeight="1">
      <c r="A178" s="425">
        <v>1.79</v>
      </c>
      <c r="B178" s="122"/>
      <c r="C178" s="428" t="s">
        <v>1062</v>
      </c>
      <c r="D178" s="429"/>
      <c r="E178" s="267">
        <v>141.1</v>
      </c>
      <c r="F178" s="430" t="s">
        <v>218</v>
      </c>
      <c r="G178" s="267">
        <v>28.02</v>
      </c>
      <c r="H178" s="267">
        <f t="shared" si="19"/>
        <v>26.196123476939999</v>
      </c>
      <c r="I178" s="267">
        <f t="shared" si="20"/>
        <v>3696.2730225962337</v>
      </c>
      <c r="J178" s="267">
        <v>30</v>
      </c>
      <c r="K178" s="269">
        <f t="shared" si="16"/>
        <v>28.047241409999998</v>
      </c>
      <c r="L178" s="267">
        <f t="shared" si="17"/>
        <v>3957.4657629509998</v>
      </c>
      <c r="M178" s="270">
        <f t="shared" si="18"/>
        <v>7653.7387855472334</v>
      </c>
      <c r="N178" s="268"/>
      <c r="O178" s="1163">
        <v>0.93490804699999996</v>
      </c>
      <c r="P178" s="973"/>
      <c r="Q178" s="252"/>
      <c r="R178" s="252"/>
      <c r="S178" s="252"/>
    </row>
    <row r="179" spans="1:19" ht="18.95" customHeight="1">
      <c r="A179" s="425">
        <v>1.8</v>
      </c>
      <c r="B179" s="122"/>
      <c r="C179" s="428" t="s">
        <v>1063</v>
      </c>
      <c r="D179" s="429"/>
      <c r="E179" s="267">
        <v>141.1</v>
      </c>
      <c r="F179" s="430" t="s">
        <v>218</v>
      </c>
      <c r="G179" s="267">
        <v>32.32</v>
      </c>
      <c r="H179" s="267">
        <f t="shared" si="19"/>
        <v>30.21622807904</v>
      </c>
      <c r="I179" s="267">
        <f t="shared" si="20"/>
        <v>4263.5097819525436</v>
      </c>
      <c r="J179" s="267">
        <v>35</v>
      </c>
      <c r="K179" s="269">
        <f t="shared" si="16"/>
        <v>32.721781645</v>
      </c>
      <c r="L179" s="267">
        <f t="shared" si="17"/>
        <v>4617.0433901095003</v>
      </c>
      <c r="M179" s="270">
        <f t="shared" si="18"/>
        <v>8880.5531720620438</v>
      </c>
      <c r="N179" s="268"/>
      <c r="O179" s="1163">
        <v>0.93490804699999996</v>
      </c>
      <c r="P179" s="973"/>
      <c r="Q179" s="862" t="s">
        <v>1038</v>
      </c>
      <c r="R179" s="252"/>
      <c r="S179" s="252"/>
    </row>
    <row r="180" spans="1:19" ht="18.95" customHeight="1">
      <c r="A180" s="425"/>
      <c r="B180" s="596"/>
      <c r="C180" s="428"/>
      <c r="D180" s="429"/>
      <c r="E180" s="267"/>
      <c r="F180" s="427"/>
      <c r="G180" s="267"/>
      <c r="H180" s="267"/>
      <c r="I180" s="267"/>
      <c r="J180" s="267"/>
      <c r="K180" s="269"/>
      <c r="L180" s="267"/>
      <c r="M180" s="267"/>
      <c r="N180" s="268"/>
      <c r="O180" s="1163">
        <v>0.93490804699999996</v>
      </c>
      <c r="P180" s="973"/>
      <c r="Q180" s="252"/>
      <c r="R180" s="252"/>
      <c r="S180" s="252"/>
    </row>
    <row r="181" spans="1:19" ht="18.95" customHeight="1">
      <c r="A181" s="204"/>
      <c r="B181" s="871"/>
      <c r="D181" s="1257" t="s">
        <v>1070</v>
      </c>
      <c r="E181" s="267"/>
      <c r="F181" s="268"/>
      <c r="G181" s="267"/>
      <c r="H181" s="267"/>
      <c r="I181" s="267"/>
      <c r="J181" s="267"/>
      <c r="K181" s="269"/>
      <c r="L181" s="267"/>
      <c r="M181" s="288">
        <f>SUM(M30:M179)</f>
        <v>2841633.3698041015</v>
      </c>
      <c r="N181" s="268"/>
      <c r="O181" s="1163">
        <v>0.93490804699999996</v>
      </c>
      <c r="P181" s="973"/>
      <c r="Q181" s="252"/>
      <c r="R181" s="252"/>
      <c r="S181" s="252"/>
    </row>
    <row r="182" spans="1:19" ht="18.95" customHeight="1">
      <c r="A182" s="204"/>
      <c r="B182" s="139"/>
      <c r="C182" s="440"/>
      <c r="D182" s="441"/>
      <c r="E182" s="267"/>
      <c r="F182" s="268"/>
      <c r="G182" s="267"/>
      <c r="H182" s="267"/>
      <c r="I182" s="267"/>
      <c r="J182" s="267"/>
      <c r="K182" s="269"/>
      <c r="L182" s="267"/>
      <c r="M182" s="288"/>
      <c r="N182" s="268"/>
      <c r="O182" s="1163"/>
      <c r="P182" s="973"/>
      <c r="Q182" s="252"/>
      <c r="R182" s="252"/>
      <c r="S182" s="252"/>
    </row>
    <row r="183" spans="1:19" ht="18.95" customHeight="1">
      <c r="A183" s="385">
        <v>2</v>
      </c>
      <c r="B183" s="122"/>
      <c r="C183" s="1349" t="s">
        <v>1071</v>
      </c>
      <c r="D183" s="1350"/>
      <c r="E183" s="267"/>
      <c r="F183" s="268"/>
      <c r="G183" s="267"/>
      <c r="H183" s="267"/>
      <c r="I183" s="267"/>
      <c r="J183" s="269"/>
      <c r="K183" s="269"/>
      <c r="L183" s="267"/>
      <c r="M183" s="270"/>
      <c r="N183" s="268"/>
      <c r="O183" s="1163">
        <v>0.93490804699999996</v>
      </c>
      <c r="P183" s="973"/>
      <c r="Q183" s="252"/>
      <c r="R183" s="252"/>
      <c r="S183" s="252"/>
    </row>
    <row r="184" spans="1:19" ht="18.95" customHeight="1">
      <c r="A184" s="425"/>
      <c r="B184" s="122"/>
      <c r="C184" s="1347" t="s">
        <v>1026</v>
      </c>
      <c r="D184" s="1348"/>
      <c r="E184" s="267"/>
      <c r="F184" s="427"/>
      <c r="G184" s="267"/>
      <c r="H184" s="267"/>
      <c r="I184" s="267"/>
      <c r="J184" s="269"/>
      <c r="K184" s="269"/>
      <c r="L184" s="267"/>
      <c r="M184" s="270"/>
      <c r="N184" s="270"/>
      <c r="O184" s="1163">
        <v>0.93490804699999996</v>
      </c>
      <c r="P184" s="976"/>
      <c r="Q184" s="252"/>
      <c r="R184" s="252"/>
      <c r="S184" s="252"/>
    </row>
    <row r="185" spans="1:19" ht="18.95" customHeight="1">
      <c r="A185" s="442">
        <v>2.1</v>
      </c>
      <c r="B185" s="122"/>
      <c r="C185" s="1351" t="s">
        <v>1027</v>
      </c>
      <c r="D185" s="1352"/>
      <c r="E185" s="267">
        <v>8</v>
      </c>
      <c r="F185" s="268" t="s">
        <v>1028</v>
      </c>
      <c r="G185" s="267">
        <v>11500</v>
      </c>
      <c r="H185" s="267">
        <f>G185*O185</f>
        <v>10751.4425405</v>
      </c>
      <c r="I185" s="267">
        <f>E185*H185</f>
        <v>86011.540324000001</v>
      </c>
      <c r="J185" s="269">
        <v>0</v>
      </c>
      <c r="K185" s="269">
        <f t="shared" si="16"/>
        <v>0</v>
      </c>
      <c r="L185" s="267">
        <f t="shared" si="17"/>
        <v>0</v>
      </c>
      <c r="M185" s="270">
        <f t="shared" ref="M185:M215" si="21">I185+L185</f>
        <v>86011.540324000001</v>
      </c>
      <c r="N185" s="270"/>
      <c r="O185" s="1163">
        <v>0.93490804699999996</v>
      </c>
      <c r="P185" s="976"/>
      <c r="Q185" s="252"/>
      <c r="R185" s="252"/>
      <c r="S185" s="252"/>
    </row>
    <row r="186" spans="1:19" ht="18.95" customHeight="1">
      <c r="A186" s="442">
        <v>2.2000000000000002</v>
      </c>
      <c r="B186" s="122"/>
      <c r="C186" s="1351" t="s">
        <v>1029</v>
      </c>
      <c r="D186" s="1352"/>
      <c r="E186" s="267">
        <v>8</v>
      </c>
      <c r="F186" s="268" t="s">
        <v>1028</v>
      </c>
      <c r="G186" s="267">
        <v>0</v>
      </c>
      <c r="H186" s="267">
        <f t="shared" ref="H186:H247" si="22">G186*O186</f>
        <v>0</v>
      </c>
      <c r="I186" s="267">
        <f t="shared" ref="I186:I247" si="23">E186*H186</f>
        <v>0</v>
      </c>
      <c r="J186" s="269">
        <v>350</v>
      </c>
      <c r="K186" s="269">
        <f t="shared" si="16"/>
        <v>327.21781644999999</v>
      </c>
      <c r="L186" s="267">
        <f t="shared" si="17"/>
        <v>2617.7425315999999</v>
      </c>
      <c r="M186" s="270">
        <f t="shared" si="21"/>
        <v>2617.7425315999999</v>
      </c>
      <c r="N186" s="270"/>
      <c r="O186" s="1163">
        <v>0.93490804699999996</v>
      </c>
      <c r="P186" s="976"/>
      <c r="Q186" s="252"/>
      <c r="R186" s="252"/>
      <c r="S186" s="252"/>
    </row>
    <row r="187" spans="1:19" ht="18.95" customHeight="1">
      <c r="A187" s="442"/>
      <c r="B187" s="122"/>
      <c r="C187" s="1347" t="s">
        <v>1030</v>
      </c>
      <c r="D187" s="1348"/>
      <c r="E187" s="267"/>
      <c r="F187" s="427"/>
      <c r="G187" s="267"/>
      <c r="H187" s="267"/>
      <c r="I187" s="267"/>
      <c r="J187" s="269"/>
      <c r="K187" s="269"/>
      <c r="L187" s="267"/>
      <c r="M187" s="270"/>
      <c r="N187" s="270"/>
      <c r="O187" s="1163">
        <v>0.93490804699999996</v>
      </c>
      <c r="P187" s="976"/>
      <c r="Q187" s="252"/>
      <c r="R187" s="252"/>
      <c r="S187" s="252"/>
    </row>
    <row r="188" spans="1:19" ht="18.95" customHeight="1">
      <c r="A188" s="442">
        <v>2.2999999999999998</v>
      </c>
      <c r="B188" s="122"/>
      <c r="C188" s="1323" t="s">
        <v>1031</v>
      </c>
      <c r="D188" s="1324"/>
      <c r="E188" s="267">
        <v>11.3</v>
      </c>
      <c r="F188" s="430" t="s">
        <v>1032</v>
      </c>
      <c r="G188" s="267">
        <v>0</v>
      </c>
      <c r="H188" s="267">
        <f t="shared" si="22"/>
        <v>0</v>
      </c>
      <c r="I188" s="267">
        <f t="shared" si="23"/>
        <v>0</v>
      </c>
      <c r="J188" s="269">
        <v>112</v>
      </c>
      <c r="K188" s="269">
        <f t="shared" si="16"/>
        <v>104.70970126399999</v>
      </c>
      <c r="L188" s="267">
        <f t="shared" si="17"/>
        <v>1183.2196242831999</v>
      </c>
      <c r="M188" s="270">
        <f t="shared" si="21"/>
        <v>1183.2196242831999</v>
      </c>
      <c r="N188" s="270"/>
      <c r="O188" s="1163">
        <v>0.93490804699999996</v>
      </c>
      <c r="P188" s="976"/>
      <c r="Q188" s="252"/>
      <c r="R188" s="252"/>
      <c r="S188" s="252"/>
    </row>
    <row r="189" spans="1:19" ht="18.95" customHeight="1">
      <c r="A189" s="442">
        <v>2.4</v>
      </c>
      <c r="B189" s="122"/>
      <c r="C189" s="1323" t="s">
        <v>1033</v>
      </c>
      <c r="D189" s="1324"/>
      <c r="E189" s="267">
        <v>0.6</v>
      </c>
      <c r="F189" s="430" t="s">
        <v>1032</v>
      </c>
      <c r="G189" s="267">
        <v>508.33</v>
      </c>
      <c r="H189" s="267">
        <f t="shared" si="22"/>
        <v>475.24180753150995</v>
      </c>
      <c r="I189" s="267">
        <f t="shared" si="23"/>
        <v>285.14508451890595</v>
      </c>
      <c r="J189" s="269">
        <v>104</v>
      </c>
      <c r="K189" s="269">
        <f t="shared" si="16"/>
        <v>97.230436888</v>
      </c>
      <c r="L189" s="267">
        <f t="shared" si="17"/>
        <v>58.338262132799997</v>
      </c>
      <c r="M189" s="270">
        <f t="shared" si="21"/>
        <v>343.48334665170592</v>
      </c>
      <c r="N189" s="270"/>
      <c r="O189" s="1163">
        <v>0.93490804699999996</v>
      </c>
      <c r="P189" s="976"/>
      <c r="Q189" s="252"/>
      <c r="R189" s="252"/>
      <c r="S189" s="252"/>
    </row>
    <row r="190" spans="1:19" ht="18.95" customHeight="1">
      <c r="A190" s="442">
        <v>2.5</v>
      </c>
      <c r="B190" s="122"/>
      <c r="C190" s="1323" t="s">
        <v>1034</v>
      </c>
      <c r="D190" s="1324"/>
      <c r="E190" s="267">
        <v>0.6</v>
      </c>
      <c r="F190" s="430" t="s">
        <v>1032</v>
      </c>
      <c r="G190" s="267">
        <v>2460</v>
      </c>
      <c r="H190" s="267">
        <f t="shared" si="22"/>
        <v>2299.8737956199998</v>
      </c>
      <c r="I190" s="267">
        <f t="shared" si="23"/>
        <v>1379.9242773719998</v>
      </c>
      <c r="J190" s="269">
        <v>426</v>
      </c>
      <c r="K190" s="269">
        <f t="shared" si="16"/>
        <v>398.27082802199999</v>
      </c>
      <c r="L190" s="267">
        <f t="shared" si="17"/>
        <v>238.96249681319998</v>
      </c>
      <c r="M190" s="270">
        <f t="shared" si="21"/>
        <v>1618.8867741851998</v>
      </c>
      <c r="N190" s="270"/>
      <c r="O190" s="1163">
        <v>0.93490804699999996</v>
      </c>
      <c r="P190" s="976"/>
      <c r="Q190" s="252"/>
      <c r="R190" s="252"/>
      <c r="S190" s="252"/>
    </row>
    <row r="191" spans="1:19" ht="18.95" customHeight="1">
      <c r="A191" s="442">
        <v>2.6</v>
      </c>
      <c r="B191" s="122"/>
      <c r="C191" s="1331" t="s">
        <v>1035</v>
      </c>
      <c r="D191" s="1332"/>
      <c r="E191" s="267">
        <v>2.9</v>
      </c>
      <c r="F191" s="430" t="s">
        <v>1032</v>
      </c>
      <c r="G191" s="267">
        <v>2117.5</v>
      </c>
      <c r="H191" s="267">
        <f t="shared" si="22"/>
        <v>1979.6677895225</v>
      </c>
      <c r="I191" s="267">
        <f t="shared" si="23"/>
        <v>5741.0365896152498</v>
      </c>
      <c r="J191" s="269">
        <v>519</v>
      </c>
      <c r="K191" s="269">
        <f t="shared" si="16"/>
        <v>485.21727639299996</v>
      </c>
      <c r="L191" s="267">
        <f t="shared" si="17"/>
        <v>1407.1301015396998</v>
      </c>
      <c r="M191" s="270">
        <f t="shared" si="21"/>
        <v>7148.1666911549491</v>
      </c>
      <c r="N191" s="268"/>
      <c r="O191" s="1163">
        <v>0.93490804699999996</v>
      </c>
      <c r="P191" s="973"/>
      <c r="Q191" s="252"/>
      <c r="R191" s="252"/>
      <c r="S191" s="252"/>
    </row>
    <row r="192" spans="1:19" ht="18.95" customHeight="1">
      <c r="A192" s="442"/>
      <c r="B192" s="122"/>
      <c r="C192" s="1341" t="s">
        <v>1036</v>
      </c>
      <c r="D192" s="1342"/>
      <c r="E192" s="267"/>
      <c r="F192" s="430"/>
      <c r="G192" s="267"/>
      <c r="H192" s="267"/>
      <c r="I192" s="267"/>
      <c r="J192" s="269"/>
      <c r="K192" s="269"/>
      <c r="L192" s="267"/>
      <c r="M192" s="270"/>
      <c r="N192" s="268"/>
      <c r="O192" s="1163">
        <v>0.93490804699999996</v>
      </c>
      <c r="P192" s="973"/>
      <c r="Q192" s="252"/>
      <c r="R192" s="252"/>
      <c r="S192" s="252"/>
    </row>
    <row r="193" spans="1:19" ht="18.95" customHeight="1">
      <c r="A193" s="442">
        <v>2.7</v>
      </c>
      <c r="B193" s="122"/>
      <c r="C193" s="1323" t="s">
        <v>1037</v>
      </c>
      <c r="D193" s="1324"/>
      <c r="E193" s="267">
        <v>11.2</v>
      </c>
      <c r="F193" s="430" t="s">
        <v>348</v>
      </c>
      <c r="G193" s="267">
        <v>19.600000000000001</v>
      </c>
      <c r="H193" s="267">
        <f t="shared" si="22"/>
        <v>18.324197721200001</v>
      </c>
      <c r="I193" s="267">
        <f t="shared" si="23"/>
        <v>205.23101447744</v>
      </c>
      <c r="J193" s="269">
        <v>4.4000000000000004</v>
      </c>
      <c r="K193" s="269">
        <f t="shared" si="16"/>
        <v>4.1135954068</v>
      </c>
      <c r="L193" s="267">
        <f t="shared" si="17"/>
        <v>46.072268556159997</v>
      </c>
      <c r="M193" s="270">
        <f t="shared" si="21"/>
        <v>251.3032830336</v>
      </c>
      <c r="N193" s="268"/>
      <c r="O193" s="1163">
        <v>0.93490804699999996</v>
      </c>
      <c r="P193" s="973"/>
      <c r="Q193" s="862" t="s">
        <v>1038</v>
      </c>
      <c r="R193" s="252"/>
      <c r="S193" s="252"/>
    </row>
    <row r="194" spans="1:19" ht="18.95" customHeight="1">
      <c r="A194" s="442">
        <v>2.8</v>
      </c>
      <c r="B194" s="122"/>
      <c r="C194" s="1323" t="s">
        <v>1039</v>
      </c>
      <c r="D194" s="1324"/>
      <c r="E194" s="267">
        <v>82.8</v>
      </c>
      <c r="F194" s="430" t="s">
        <v>348</v>
      </c>
      <c r="G194" s="267">
        <v>19.7</v>
      </c>
      <c r="H194" s="267">
        <f t="shared" si="22"/>
        <v>18.417688525899997</v>
      </c>
      <c r="I194" s="267">
        <f t="shared" si="23"/>
        <v>1524.9846099445197</v>
      </c>
      <c r="J194" s="269">
        <v>3.6</v>
      </c>
      <c r="K194" s="269">
        <f t="shared" si="16"/>
        <v>3.3656689692000001</v>
      </c>
      <c r="L194" s="267">
        <f t="shared" si="17"/>
        <v>278.67739064976001</v>
      </c>
      <c r="M194" s="270">
        <f t="shared" si="21"/>
        <v>1803.6620005942796</v>
      </c>
      <c r="N194" s="268"/>
      <c r="O194" s="1163">
        <v>0.93490804699999996</v>
      </c>
      <c r="P194" s="973"/>
      <c r="Q194" s="862" t="s">
        <v>1038</v>
      </c>
      <c r="R194" s="252"/>
      <c r="S194" s="252"/>
    </row>
    <row r="195" spans="1:19" ht="18.95" customHeight="1">
      <c r="A195" s="442">
        <v>2.9</v>
      </c>
      <c r="B195" s="122"/>
      <c r="C195" s="1323" t="s">
        <v>1040</v>
      </c>
      <c r="D195" s="1324"/>
      <c r="E195" s="267">
        <v>115.4</v>
      </c>
      <c r="F195" s="430" t="s">
        <v>348</v>
      </c>
      <c r="G195" s="267">
        <v>19.5</v>
      </c>
      <c r="H195" s="267">
        <f t="shared" si="22"/>
        <v>18.230706916500001</v>
      </c>
      <c r="I195" s="267">
        <f t="shared" si="23"/>
        <v>2103.8235781641001</v>
      </c>
      <c r="J195" s="269">
        <v>3.6</v>
      </c>
      <c r="K195" s="269">
        <f t="shared" si="16"/>
        <v>3.3656689692000001</v>
      </c>
      <c r="L195" s="267">
        <f t="shared" si="17"/>
        <v>388.39819904568003</v>
      </c>
      <c r="M195" s="270">
        <f t="shared" si="21"/>
        <v>2492.2217772097802</v>
      </c>
      <c r="N195" s="268"/>
      <c r="O195" s="1163">
        <v>0.93490804699999996</v>
      </c>
      <c r="P195" s="973"/>
      <c r="Q195" s="862" t="s">
        <v>1038</v>
      </c>
      <c r="R195" s="252"/>
      <c r="S195" s="252"/>
    </row>
    <row r="196" spans="1:19" ht="18.95" customHeight="1">
      <c r="A196" s="425">
        <v>2.1</v>
      </c>
      <c r="B196" s="122"/>
      <c r="C196" s="1323" t="s">
        <v>1041</v>
      </c>
      <c r="D196" s="1324"/>
      <c r="E196" s="267">
        <v>3.8</v>
      </c>
      <c r="F196" s="430" t="s">
        <v>348</v>
      </c>
      <c r="G196" s="269">
        <v>27.1</v>
      </c>
      <c r="H196" s="267">
        <f t="shared" si="22"/>
        <v>25.3360080737</v>
      </c>
      <c r="I196" s="267">
        <f t="shared" si="23"/>
        <v>96.276830680060002</v>
      </c>
      <c r="J196" s="269">
        <v>0</v>
      </c>
      <c r="K196" s="269">
        <f t="shared" si="16"/>
        <v>0</v>
      </c>
      <c r="L196" s="267">
        <f t="shared" si="17"/>
        <v>0</v>
      </c>
      <c r="M196" s="270">
        <f t="shared" si="21"/>
        <v>96.276830680060002</v>
      </c>
      <c r="N196" s="268"/>
      <c r="O196" s="1163">
        <v>0.93490804699999996</v>
      </c>
      <c r="P196" s="973"/>
      <c r="Q196" s="862" t="s">
        <v>1038</v>
      </c>
      <c r="R196" s="252"/>
      <c r="S196" s="252"/>
    </row>
    <row r="197" spans="1:19" ht="18.95" customHeight="1">
      <c r="A197" s="314">
        <v>2.11</v>
      </c>
      <c r="B197" s="122"/>
      <c r="C197" s="1323" t="s">
        <v>1043</v>
      </c>
      <c r="D197" s="1324"/>
      <c r="E197" s="267"/>
      <c r="F197" s="430"/>
      <c r="G197" s="267"/>
      <c r="H197" s="267"/>
      <c r="I197" s="267"/>
      <c r="J197" s="269"/>
      <c r="K197" s="269"/>
      <c r="L197" s="267"/>
      <c r="M197" s="270"/>
      <c r="N197" s="268"/>
      <c r="O197" s="1163">
        <v>0.93490804699999996</v>
      </c>
      <c r="P197" s="973"/>
      <c r="Q197" s="252"/>
      <c r="R197" s="252"/>
      <c r="S197" s="252"/>
    </row>
    <row r="198" spans="1:19" ht="18.95" customHeight="1">
      <c r="A198" s="431"/>
      <c r="B198" s="329"/>
      <c r="C198" s="433" t="s">
        <v>1044</v>
      </c>
      <c r="E198" s="267">
        <v>8.4600000000000009</v>
      </c>
      <c r="F198" s="434" t="s">
        <v>218</v>
      </c>
      <c r="G198" s="434">
        <v>245.2</v>
      </c>
      <c r="H198" s="267">
        <f t="shared" si="22"/>
        <v>229.23945312439997</v>
      </c>
      <c r="I198" s="267">
        <f t="shared" si="23"/>
        <v>1939.365773432424</v>
      </c>
      <c r="J198" s="435">
        <v>0</v>
      </c>
      <c r="K198" s="269">
        <f t="shared" si="16"/>
        <v>0</v>
      </c>
      <c r="L198" s="267">
        <f t="shared" si="17"/>
        <v>0</v>
      </c>
      <c r="M198" s="270">
        <f t="shared" si="21"/>
        <v>1939.365773432424</v>
      </c>
      <c r="N198" s="436"/>
      <c r="O198" s="1163">
        <v>0.93490804699999996</v>
      </c>
      <c r="P198" s="765"/>
      <c r="Q198" s="252"/>
      <c r="R198" s="252"/>
      <c r="S198" s="252"/>
    </row>
    <row r="199" spans="1:19" ht="18.95" customHeight="1">
      <c r="A199" s="431"/>
      <c r="B199" s="329"/>
      <c r="C199" s="433" t="s">
        <v>1045</v>
      </c>
      <c r="E199" s="267">
        <v>14.1</v>
      </c>
      <c r="F199" s="434" t="s">
        <v>218</v>
      </c>
      <c r="G199" s="434">
        <v>0</v>
      </c>
      <c r="H199" s="267">
        <f t="shared" si="22"/>
        <v>0</v>
      </c>
      <c r="I199" s="267">
        <f t="shared" si="23"/>
        <v>0</v>
      </c>
      <c r="J199" s="435">
        <v>121</v>
      </c>
      <c r="K199" s="269">
        <f t="shared" si="16"/>
        <v>113.123873687</v>
      </c>
      <c r="L199" s="267">
        <f t="shared" si="17"/>
        <v>1595.0466189867</v>
      </c>
      <c r="M199" s="270">
        <f t="shared" si="21"/>
        <v>1595.0466189867</v>
      </c>
      <c r="N199" s="436"/>
      <c r="O199" s="1163">
        <v>0.93490804699999996</v>
      </c>
      <c r="P199" s="765"/>
      <c r="Q199" s="252"/>
      <c r="R199" s="252"/>
      <c r="S199" s="252"/>
    </row>
    <row r="200" spans="1:19" ht="18.95" customHeight="1">
      <c r="A200" s="431"/>
      <c r="B200" s="329"/>
      <c r="C200" s="433" t="s">
        <v>1046</v>
      </c>
      <c r="E200" s="267">
        <v>2.5399999999999996</v>
      </c>
      <c r="F200" s="434" t="s">
        <v>1047</v>
      </c>
      <c r="G200" s="434">
        <v>309.42</v>
      </c>
      <c r="H200" s="267">
        <f t="shared" si="22"/>
        <v>289.27924790274</v>
      </c>
      <c r="I200" s="267">
        <f t="shared" si="23"/>
        <v>734.76928967295942</v>
      </c>
      <c r="J200" s="435">
        <v>0</v>
      </c>
      <c r="K200" s="269">
        <f t="shared" si="16"/>
        <v>0</v>
      </c>
      <c r="L200" s="267">
        <f t="shared" si="17"/>
        <v>0</v>
      </c>
      <c r="M200" s="270">
        <f t="shared" si="21"/>
        <v>734.76928967295942</v>
      </c>
      <c r="N200" s="436"/>
      <c r="O200" s="1163">
        <v>0.93490804699999996</v>
      </c>
      <c r="P200" s="765"/>
      <c r="Q200" s="252"/>
      <c r="R200" s="252"/>
      <c r="S200" s="252"/>
    </row>
    <row r="201" spans="1:19" ht="18.95" customHeight="1">
      <c r="A201" s="431"/>
      <c r="B201" s="329"/>
      <c r="C201" s="433" t="s">
        <v>1048</v>
      </c>
      <c r="E201" s="269">
        <v>2.12</v>
      </c>
      <c r="F201" s="434" t="s">
        <v>348</v>
      </c>
      <c r="G201" s="434">
        <v>23.36</v>
      </c>
      <c r="H201" s="267">
        <f t="shared" si="22"/>
        <v>21.83945197792</v>
      </c>
      <c r="I201" s="267">
        <f t="shared" si="23"/>
        <v>46.299638193190404</v>
      </c>
      <c r="J201" s="435">
        <v>0</v>
      </c>
      <c r="K201" s="269">
        <f t="shared" si="16"/>
        <v>0</v>
      </c>
      <c r="L201" s="267">
        <f t="shared" si="17"/>
        <v>0</v>
      </c>
      <c r="M201" s="270">
        <f t="shared" si="21"/>
        <v>46.299638193190404</v>
      </c>
      <c r="N201" s="436"/>
      <c r="O201" s="1163">
        <v>0.93490804699999996</v>
      </c>
      <c r="P201" s="765"/>
      <c r="Q201" s="862" t="s">
        <v>1038</v>
      </c>
      <c r="R201" s="252"/>
      <c r="S201" s="252"/>
    </row>
    <row r="202" spans="1:19" ht="18.95" customHeight="1">
      <c r="A202" s="149"/>
      <c r="B202" s="122"/>
      <c r="C202" s="420"/>
      <c r="D202" s="140"/>
      <c r="E202" s="267"/>
      <c r="F202" s="268"/>
      <c r="G202" s="270"/>
      <c r="H202" s="267"/>
      <c r="I202" s="267"/>
      <c r="J202" s="267"/>
      <c r="K202" s="269"/>
      <c r="L202" s="267"/>
      <c r="M202" s="270"/>
      <c r="N202" s="268"/>
      <c r="O202" s="1163">
        <v>0.93490804699999996</v>
      </c>
      <c r="P202" s="973"/>
      <c r="Q202" s="252"/>
      <c r="R202" s="252"/>
      <c r="S202" s="252"/>
    </row>
    <row r="203" spans="1:19" ht="18.95" customHeight="1">
      <c r="A203" s="425"/>
      <c r="B203" s="122"/>
      <c r="C203" s="1347" t="s">
        <v>1072</v>
      </c>
      <c r="D203" s="1348"/>
      <c r="E203" s="267"/>
      <c r="F203" s="427"/>
      <c r="G203" s="267"/>
      <c r="H203" s="267"/>
      <c r="I203" s="267"/>
      <c r="J203" s="269"/>
      <c r="K203" s="269"/>
      <c r="L203" s="267"/>
      <c r="M203" s="270"/>
      <c r="N203" s="268"/>
      <c r="O203" s="1163">
        <v>0.93490804699999996</v>
      </c>
      <c r="P203" s="973"/>
      <c r="Q203" s="252"/>
      <c r="R203" s="252"/>
      <c r="S203" s="252"/>
    </row>
    <row r="204" spans="1:19" ht="18.95" customHeight="1">
      <c r="A204" s="425">
        <v>2.12</v>
      </c>
      <c r="B204" s="122"/>
      <c r="C204" s="1331" t="s">
        <v>1050</v>
      </c>
      <c r="D204" s="1332"/>
      <c r="E204" s="267">
        <v>7.1</v>
      </c>
      <c r="F204" s="430" t="s">
        <v>1032</v>
      </c>
      <c r="G204" s="434">
        <v>2117.5</v>
      </c>
      <c r="H204" s="267">
        <f t="shared" si="22"/>
        <v>1979.6677895225</v>
      </c>
      <c r="I204" s="267">
        <f t="shared" si="23"/>
        <v>14055.64130560975</v>
      </c>
      <c r="J204" s="269">
        <v>519</v>
      </c>
      <c r="K204" s="269">
        <f t="shared" si="16"/>
        <v>485.21727639299996</v>
      </c>
      <c r="L204" s="267">
        <f t="shared" si="17"/>
        <v>3445.0426623902995</v>
      </c>
      <c r="M204" s="270">
        <f t="shared" si="21"/>
        <v>17500.683968000048</v>
      </c>
      <c r="N204" s="268"/>
      <c r="O204" s="1163">
        <v>0.93490804699999996</v>
      </c>
      <c r="P204" s="973"/>
      <c r="Q204" s="252"/>
      <c r="R204" s="252"/>
      <c r="S204" s="252"/>
    </row>
    <row r="205" spans="1:19" ht="18.95" customHeight="1">
      <c r="A205" s="425">
        <v>2.13</v>
      </c>
      <c r="B205" s="122"/>
      <c r="C205" s="1331" t="s">
        <v>1053</v>
      </c>
      <c r="D205" s="1332"/>
      <c r="E205" s="267">
        <v>0.1</v>
      </c>
      <c r="F205" s="430" t="s">
        <v>1032</v>
      </c>
      <c r="G205" s="267">
        <v>1937.5</v>
      </c>
      <c r="H205" s="267">
        <f t="shared" si="22"/>
        <v>1811.3843410625</v>
      </c>
      <c r="I205" s="267">
        <f t="shared" si="23"/>
        <v>181.13843410625</v>
      </c>
      <c r="J205" s="269">
        <v>519</v>
      </c>
      <c r="K205" s="269">
        <f>J205*O205</f>
        <v>485.21727639299996</v>
      </c>
      <c r="L205" s="267">
        <f>E205*K205</f>
        <v>48.521727639299996</v>
      </c>
      <c r="M205" s="270">
        <f t="shared" si="21"/>
        <v>229.66016174555</v>
      </c>
      <c r="N205" s="268"/>
      <c r="O205" s="1163">
        <v>0.93490804699999996</v>
      </c>
      <c r="P205" s="973"/>
      <c r="Q205" s="252"/>
      <c r="R205" s="252"/>
      <c r="S205" s="252"/>
    </row>
    <row r="206" spans="1:19" ht="18.95" customHeight="1">
      <c r="A206" s="425"/>
      <c r="B206" s="122"/>
      <c r="C206" s="1341" t="s">
        <v>1036</v>
      </c>
      <c r="D206" s="1342"/>
      <c r="E206" s="267"/>
      <c r="F206" s="430"/>
      <c r="G206" s="267"/>
      <c r="H206" s="267"/>
      <c r="I206" s="267"/>
      <c r="J206" s="269"/>
      <c r="K206" s="269"/>
      <c r="L206" s="267"/>
      <c r="M206" s="270"/>
      <c r="N206" s="268"/>
      <c r="O206" s="1163">
        <v>0.93490804699999996</v>
      </c>
      <c r="P206" s="973"/>
      <c r="Q206" s="252"/>
      <c r="R206" s="252"/>
      <c r="S206" s="252"/>
    </row>
    <row r="207" spans="1:19" ht="18.95" customHeight="1">
      <c r="A207" s="425">
        <v>2.14</v>
      </c>
      <c r="B207" s="122"/>
      <c r="C207" s="1323" t="s">
        <v>1037</v>
      </c>
      <c r="D207" s="1324"/>
      <c r="E207" s="267">
        <v>22.3</v>
      </c>
      <c r="F207" s="430" t="s">
        <v>348</v>
      </c>
      <c r="G207" s="267">
        <v>19.600000000000001</v>
      </c>
      <c r="H207" s="267">
        <f t="shared" si="22"/>
        <v>18.324197721200001</v>
      </c>
      <c r="I207" s="267">
        <f t="shared" si="23"/>
        <v>408.62960918276002</v>
      </c>
      <c r="J207" s="269">
        <v>4.4000000000000004</v>
      </c>
      <c r="K207" s="269">
        <f t="shared" ref="K207:K260" si="24">J207*O207</f>
        <v>4.1135954068</v>
      </c>
      <c r="L207" s="267">
        <f t="shared" ref="L207:L260" si="25">E207*K207</f>
        <v>91.733177571639999</v>
      </c>
      <c r="M207" s="270">
        <f t="shared" si="21"/>
        <v>500.36278675440002</v>
      </c>
      <c r="N207" s="268"/>
      <c r="O207" s="1163">
        <v>0.93490804699999996</v>
      </c>
      <c r="P207" s="973"/>
      <c r="Q207" s="862" t="s">
        <v>1038</v>
      </c>
      <c r="R207" s="252"/>
      <c r="S207" s="252"/>
    </row>
    <row r="208" spans="1:19" ht="18.95" customHeight="1">
      <c r="A208" s="425">
        <v>2.15</v>
      </c>
      <c r="B208" s="122"/>
      <c r="C208" s="1323" t="s">
        <v>1039</v>
      </c>
      <c r="D208" s="1324"/>
      <c r="E208" s="267">
        <v>545</v>
      </c>
      <c r="F208" s="430" t="s">
        <v>348</v>
      </c>
      <c r="G208" s="267">
        <v>19.7</v>
      </c>
      <c r="H208" s="267">
        <f t="shared" si="22"/>
        <v>18.417688525899997</v>
      </c>
      <c r="I208" s="267">
        <f t="shared" si="23"/>
        <v>10037.640246615498</v>
      </c>
      <c r="J208" s="269">
        <v>3.6</v>
      </c>
      <c r="K208" s="269">
        <f t="shared" si="24"/>
        <v>3.3656689692000001</v>
      </c>
      <c r="L208" s="267">
        <f t="shared" si="25"/>
        <v>1834.2895882140001</v>
      </c>
      <c r="M208" s="270">
        <f t="shared" si="21"/>
        <v>11871.929834829498</v>
      </c>
      <c r="N208" s="268"/>
      <c r="O208" s="1163">
        <v>0.93490804699999996</v>
      </c>
      <c r="P208" s="973"/>
      <c r="Q208" s="862" t="s">
        <v>1038</v>
      </c>
      <c r="R208" s="252"/>
      <c r="S208" s="252"/>
    </row>
    <row r="209" spans="1:19" ht="18.95" customHeight="1">
      <c r="A209" s="425">
        <v>2.16</v>
      </c>
      <c r="B209" s="122"/>
      <c r="C209" s="1323" t="s">
        <v>1040</v>
      </c>
      <c r="D209" s="1324"/>
      <c r="E209" s="267">
        <v>56.1</v>
      </c>
      <c r="F209" s="430" t="s">
        <v>348</v>
      </c>
      <c r="G209" s="267">
        <v>19.5</v>
      </c>
      <c r="H209" s="267">
        <f t="shared" si="22"/>
        <v>18.230706916500001</v>
      </c>
      <c r="I209" s="267">
        <f t="shared" si="23"/>
        <v>1022.74265801565</v>
      </c>
      <c r="J209" s="269">
        <v>3.6</v>
      </c>
      <c r="K209" s="269">
        <f t="shared" si="24"/>
        <v>3.3656689692000001</v>
      </c>
      <c r="L209" s="267">
        <f t="shared" si="25"/>
        <v>188.81402917212</v>
      </c>
      <c r="M209" s="270">
        <f t="shared" si="21"/>
        <v>1211.55668718777</v>
      </c>
      <c r="N209" s="268"/>
      <c r="O209" s="1163">
        <v>0.93490804699999996</v>
      </c>
      <c r="P209" s="973"/>
      <c r="Q209" s="862" t="s">
        <v>1038</v>
      </c>
      <c r="R209" s="252"/>
      <c r="S209" s="252"/>
    </row>
    <row r="210" spans="1:19" ht="18.95" customHeight="1">
      <c r="A210" s="425">
        <v>2.17</v>
      </c>
      <c r="B210" s="122"/>
      <c r="C210" s="1323" t="s">
        <v>1041</v>
      </c>
      <c r="D210" s="1324"/>
      <c r="E210" s="267">
        <v>11.3</v>
      </c>
      <c r="F210" s="430" t="s">
        <v>348</v>
      </c>
      <c r="G210" s="269">
        <v>27.1</v>
      </c>
      <c r="H210" s="267">
        <f t="shared" si="22"/>
        <v>25.3360080737</v>
      </c>
      <c r="I210" s="267">
        <f t="shared" si="23"/>
        <v>286.29689123281003</v>
      </c>
      <c r="J210" s="267">
        <v>0</v>
      </c>
      <c r="K210" s="269">
        <f t="shared" si="24"/>
        <v>0</v>
      </c>
      <c r="L210" s="267">
        <f t="shared" si="25"/>
        <v>0</v>
      </c>
      <c r="M210" s="270">
        <f t="shared" si="21"/>
        <v>286.29689123281003</v>
      </c>
      <c r="N210" s="268"/>
      <c r="O210" s="1163">
        <v>0.93490804699999996</v>
      </c>
      <c r="P210" s="973"/>
      <c r="Q210" s="862" t="s">
        <v>1038</v>
      </c>
      <c r="R210" s="252"/>
      <c r="S210" s="252"/>
    </row>
    <row r="211" spans="1:19" ht="18.95" customHeight="1">
      <c r="A211" s="425">
        <v>2.1800000000000002</v>
      </c>
      <c r="B211" s="122"/>
      <c r="C211" s="1323" t="s">
        <v>1043</v>
      </c>
      <c r="D211" s="1324"/>
      <c r="E211" s="267"/>
      <c r="F211" s="430"/>
      <c r="G211" s="267"/>
      <c r="H211" s="267"/>
      <c r="I211" s="267"/>
      <c r="J211" s="269"/>
      <c r="K211" s="269"/>
      <c r="L211" s="267"/>
      <c r="M211" s="270"/>
      <c r="N211" s="268"/>
      <c r="O211" s="1163">
        <v>0.93490804699999996</v>
      </c>
      <c r="P211" s="973"/>
      <c r="Q211" s="252"/>
      <c r="R211" s="252"/>
      <c r="S211" s="252"/>
    </row>
    <row r="212" spans="1:19" ht="18.95" customHeight="1">
      <c r="A212" s="431"/>
      <c r="B212" s="329"/>
      <c r="C212" s="433" t="s">
        <v>1044</v>
      </c>
      <c r="E212" s="267">
        <v>16.98</v>
      </c>
      <c r="F212" s="434" t="s">
        <v>218</v>
      </c>
      <c r="G212" s="434">
        <v>245.2</v>
      </c>
      <c r="H212" s="267">
        <f t="shared" si="22"/>
        <v>229.23945312439997</v>
      </c>
      <c r="I212" s="267">
        <f t="shared" si="23"/>
        <v>3892.4859140523117</v>
      </c>
      <c r="J212" s="435">
        <v>0</v>
      </c>
      <c r="K212" s="269">
        <f t="shared" si="24"/>
        <v>0</v>
      </c>
      <c r="L212" s="267">
        <f t="shared" si="25"/>
        <v>0</v>
      </c>
      <c r="M212" s="270">
        <f t="shared" si="21"/>
        <v>3892.4859140523117</v>
      </c>
      <c r="N212" s="436"/>
      <c r="O212" s="1163">
        <v>0.93490804699999996</v>
      </c>
      <c r="P212" s="765"/>
      <c r="Q212" s="252"/>
      <c r="R212" s="252"/>
      <c r="S212" s="252"/>
    </row>
    <row r="213" spans="1:19" ht="18.95" customHeight="1">
      <c r="A213" s="431"/>
      <c r="B213" s="329"/>
      <c r="C213" s="433" t="s">
        <v>1045</v>
      </c>
      <c r="E213" s="267">
        <v>28.3</v>
      </c>
      <c r="F213" s="434" t="s">
        <v>218</v>
      </c>
      <c r="G213" s="434">
        <v>0</v>
      </c>
      <c r="H213" s="267">
        <f t="shared" si="22"/>
        <v>0</v>
      </c>
      <c r="I213" s="267">
        <f t="shared" si="23"/>
        <v>0</v>
      </c>
      <c r="J213" s="435">
        <v>121</v>
      </c>
      <c r="K213" s="269">
        <f t="shared" si="24"/>
        <v>113.123873687</v>
      </c>
      <c r="L213" s="267">
        <f t="shared" si="25"/>
        <v>3201.4056253420999</v>
      </c>
      <c r="M213" s="270">
        <f t="shared" si="21"/>
        <v>3201.4056253420999</v>
      </c>
      <c r="N213" s="436"/>
      <c r="O213" s="1163">
        <v>0.93490804699999996</v>
      </c>
      <c r="P213" s="765"/>
      <c r="Q213" s="252"/>
      <c r="R213" s="252"/>
      <c r="S213" s="252"/>
    </row>
    <row r="214" spans="1:19" ht="18.95" customHeight="1">
      <c r="A214" s="431"/>
      <c r="B214" s="329"/>
      <c r="C214" s="433" t="s">
        <v>1046</v>
      </c>
      <c r="E214" s="267">
        <v>5.0999999999999996</v>
      </c>
      <c r="F214" s="434" t="s">
        <v>1047</v>
      </c>
      <c r="G214" s="434">
        <v>309.42</v>
      </c>
      <c r="H214" s="267">
        <f t="shared" si="22"/>
        <v>289.27924790274</v>
      </c>
      <c r="I214" s="267">
        <f t="shared" si="23"/>
        <v>1475.3241643039739</v>
      </c>
      <c r="J214" s="435">
        <v>0</v>
      </c>
      <c r="K214" s="269">
        <f t="shared" si="24"/>
        <v>0</v>
      </c>
      <c r="L214" s="267">
        <f t="shared" si="25"/>
        <v>0</v>
      </c>
      <c r="M214" s="270">
        <f t="shared" si="21"/>
        <v>1475.3241643039739</v>
      </c>
      <c r="N214" s="436"/>
      <c r="O214" s="1163">
        <v>0.93490804699999996</v>
      </c>
      <c r="P214" s="765"/>
      <c r="Q214" s="252"/>
      <c r="R214" s="252"/>
      <c r="S214" s="252"/>
    </row>
    <row r="215" spans="1:19" ht="18.95" customHeight="1">
      <c r="A215" s="431"/>
      <c r="B215" s="329"/>
      <c r="C215" s="433" t="s">
        <v>1048</v>
      </c>
      <c r="E215" s="269">
        <v>4.25</v>
      </c>
      <c r="F215" s="434" t="s">
        <v>348</v>
      </c>
      <c r="G215" s="434">
        <v>23.36</v>
      </c>
      <c r="H215" s="267">
        <f t="shared" si="22"/>
        <v>21.83945197792</v>
      </c>
      <c r="I215" s="267">
        <f t="shared" si="23"/>
        <v>92.817670906160004</v>
      </c>
      <c r="J215" s="435">
        <v>0</v>
      </c>
      <c r="K215" s="269">
        <f t="shared" si="24"/>
        <v>0</v>
      </c>
      <c r="L215" s="267">
        <f t="shared" si="25"/>
        <v>0</v>
      </c>
      <c r="M215" s="270">
        <f t="shared" si="21"/>
        <v>92.817670906160004</v>
      </c>
      <c r="N215" s="436"/>
      <c r="O215" s="1163">
        <v>0.93490804699999996</v>
      </c>
      <c r="P215" s="765"/>
      <c r="Q215" s="862" t="s">
        <v>1038</v>
      </c>
      <c r="R215" s="252"/>
      <c r="S215" s="252"/>
    </row>
    <row r="216" spans="1:19" ht="18.95" customHeight="1">
      <c r="A216" s="425"/>
      <c r="B216" s="122"/>
      <c r="C216" s="1347" t="s">
        <v>1057</v>
      </c>
      <c r="D216" s="1348"/>
      <c r="E216" s="267"/>
      <c r="F216" s="427"/>
      <c r="G216" s="267"/>
      <c r="H216" s="267"/>
      <c r="I216" s="267"/>
      <c r="J216" s="269"/>
      <c r="K216" s="269"/>
      <c r="L216" s="267"/>
      <c r="M216" s="267"/>
      <c r="N216" s="268"/>
      <c r="O216" s="1163">
        <v>0.93490804699999996</v>
      </c>
      <c r="P216" s="973"/>
      <c r="Q216" s="252"/>
      <c r="R216" s="252"/>
      <c r="S216" s="252"/>
    </row>
    <row r="217" spans="1:19" ht="18.95" customHeight="1">
      <c r="A217" s="425">
        <v>2.19</v>
      </c>
      <c r="B217" s="122"/>
      <c r="C217" s="1331" t="s">
        <v>1073</v>
      </c>
      <c r="D217" s="1332"/>
      <c r="E217" s="267">
        <v>494</v>
      </c>
      <c r="F217" s="430" t="s">
        <v>348</v>
      </c>
      <c r="G217" s="267">
        <v>31.66</v>
      </c>
      <c r="H217" s="267">
        <f t="shared" si="22"/>
        <v>29.599188768019999</v>
      </c>
      <c r="I217" s="267">
        <f t="shared" si="23"/>
        <v>14621.99925140188</v>
      </c>
      <c r="J217" s="267">
        <v>14</v>
      </c>
      <c r="K217" s="269">
        <f t="shared" si="24"/>
        <v>13.088712657999999</v>
      </c>
      <c r="L217" s="267">
        <f t="shared" si="25"/>
        <v>6465.8240530519997</v>
      </c>
      <c r="M217" s="267">
        <f t="shared" ref="M217:M244" si="26">I217+L217</f>
        <v>21087.823304453879</v>
      </c>
      <c r="N217" s="270"/>
      <c r="O217" s="1163">
        <v>0.93490804699999996</v>
      </c>
      <c r="P217" s="976"/>
      <c r="Q217" s="252"/>
      <c r="R217" s="252"/>
      <c r="S217" s="252"/>
    </row>
    <row r="218" spans="1:19" ht="18.95" customHeight="1">
      <c r="A218" s="425">
        <v>2.2000000000000002</v>
      </c>
      <c r="B218" s="122"/>
      <c r="C218" s="1331" t="s">
        <v>1074</v>
      </c>
      <c r="D218" s="1332"/>
      <c r="E218" s="267">
        <v>16.600000000000001</v>
      </c>
      <c r="F218" s="430" t="s">
        <v>348</v>
      </c>
      <c r="G218" s="267">
        <v>24.97</v>
      </c>
      <c r="H218" s="267">
        <f t="shared" si="22"/>
        <v>23.344653933589999</v>
      </c>
      <c r="I218" s="267">
        <f t="shared" si="23"/>
        <v>387.521255297594</v>
      </c>
      <c r="J218" s="267">
        <v>14</v>
      </c>
      <c r="K218" s="269">
        <f t="shared" si="24"/>
        <v>13.088712657999999</v>
      </c>
      <c r="L218" s="267">
        <f t="shared" si="25"/>
        <v>217.2726301228</v>
      </c>
      <c r="M218" s="267">
        <f t="shared" si="26"/>
        <v>604.79388542039396</v>
      </c>
      <c r="N218" s="270"/>
      <c r="O218" s="1163">
        <v>0.93490804699999996</v>
      </c>
      <c r="P218" s="976"/>
      <c r="Q218" s="252"/>
      <c r="R218" s="252"/>
      <c r="S218" s="252"/>
    </row>
    <row r="219" spans="1:19" ht="18.95" customHeight="1">
      <c r="A219" s="425">
        <v>2.21</v>
      </c>
      <c r="B219" s="122"/>
      <c r="C219" s="1331" t="s">
        <v>1075</v>
      </c>
      <c r="D219" s="1332"/>
      <c r="E219" s="267">
        <v>41.4</v>
      </c>
      <c r="F219" s="430" t="s">
        <v>348</v>
      </c>
      <c r="G219" s="267">
        <v>27.45</v>
      </c>
      <c r="H219" s="267">
        <f t="shared" si="22"/>
        <v>25.663225890149999</v>
      </c>
      <c r="I219" s="267">
        <f t="shared" si="23"/>
        <v>1062.4575518522099</v>
      </c>
      <c r="J219" s="267">
        <v>14</v>
      </c>
      <c r="K219" s="269">
        <f t="shared" si="24"/>
        <v>13.088712657999999</v>
      </c>
      <c r="L219" s="267">
        <f t="shared" si="25"/>
        <v>541.87270404119988</v>
      </c>
      <c r="M219" s="267">
        <f t="shared" si="26"/>
        <v>1604.3302558934097</v>
      </c>
      <c r="N219" s="270"/>
      <c r="O219" s="1163">
        <v>0.93490804699999996</v>
      </c>
      <c r="P219" s="976"/>
      <c r="Q219" s="252"/>
      <c r="R219" s="252"/>
      <c r="S219" s="252"/>
    </row>
    <row r="220" spans="1:19" ht="18.95" customHeight="1">
      <c r="A220" s="425">
        <v>2.2200000000000002</v>
      </c>
      <c r="B220" s="122"/>
      <c r="C220" s="1323" t="s">
        <v>1076</v>
      </c>
      <c r="D220" s="1324"/>
      <c r="E220" s="267">
        <v>16</v>
      </c>
      <c r="F220" s="430" t="s">
        <v>402</v>
      </c>
      <c r="G220" s="267">
        <v>100.6</v>
      </c>
      <c r="H220" s="267">
        <f t="shared" si="22"/>
        <v>94.051749528199991</v>
      </c>
      <c r="I220" s="267">
        <f t="shared" si="23"/>
        <v>1504.8279924511999</v>
      </c>
      <c r="J220" s="267">
        <v>30.18</v>
      </c>
      <c r="K220" s="269">
        <f t="shared" si="24"/>
        <v>28.21552485846</v>
      </c>
      <c r="L220" s="267">
        <f t="shared" si="25"/>
        <v>451.44839773536</v>
      </c>
      <c r="M220" s="267">
        <f t="shared" si="26"/>
        <v>1956.2763901865599</v>
      </c>
      <c r="N220" s="270"/>
      <c r="O220" s="1163">
        <v>0.93490804699999996</v>
      </c>
      <c r="P220" s="976"/>
      <c r="Q220" s="252"/>
      <c r="R220" s="252"/>
      <c r="S220" s="252"/>
    </row>
    <row r="221" spans="1:19" ht="18.95" customHeight="1">
      <c r="A221" s="425">
        <v>2.23</v>
      </c>
      <c r="B221" s="122"/>
      <c r="C221" s="1323" t="s">
        <v>1077</v>
      </c>
      <c r="D221" s="1324"/>
      <c r="E221" s="267">
        <v>8</v>
      </c>
      <c r="F221" s="430" t="s">
        <v>402</v>
      </c>
      <c r="G221" s="267">
        <v>107.71</v>
      </c>
      <c r="H221" s="267">
        <f t="shared" si="22"/>
        <v>100.69894574236999</v>
      </c>
      <c r="I221" s="267">
        <f t="shared" si="23"/>
        <v>805.59156593895989</v>
      </c>
      <c r="J221" s="267">
        <v>32.31</v>
      </c>
      <c r="K221" s="269">
        <f t="shared" si="24"/>
        <v>30.206878998570001</v>
      </c>
      <c r="L221" s="267">
        <f t="shared" si="25"/>
        <v>241.65503198856001</v>
      </c>
      <c r="M221" s="267">
        <f t="shared" si="26"/>
        <v>1047.2465979275198</v>
      </c>
      <c r="N221" s="270"/>
      <c r="O221" s="1163">
        <v>0.93490804699999996</v>
      </c>
      <c r="P221" s="976"/>
      <c r="Q221" s="252"/>
      <c r="R221" s="252"/>
      <c r="S221" s="252"/>
    </row>
    <row r="222" spans="1:19" ht="18.95" customHeight="1">
      <c r="A222" s="204"/>
      <c r="B222" s="122"/>
      <c r="C222" s="1329" t="s">
        <v>1061</v>
      </c>
      <c r="D222" s="1330"/>
      <c r="E222" s="267"/>
      <c r="F222" s="430"/>
      <c r="G222" s="267"/>
      <c r="H222" s="267"/>
      <c r="I222" s="267"/>
      <c r="J222" s="267"/>
      <c r="K222" s="269"/>
      <c r="L222" s="267"/>
      <c r="M222" s="267"/>
      <c r="N222" s="270"/>
      <c r="O222" s="1163">
        <v>0.93490804699999996</v>
      </c>
      <c r="P222" s="976"/>
      <c r="Q222" s="252"/>
      <c r="R222" s="252"/>
      <c r="S222" s="252"/>
    </row>
    <row r="223" spans="1:19" ht="18.95" customHeight="1">
      <c r="A223" s="425">
        <v>2.2400000000000002</v>
      </c>
      <c r="B223" s="122"/>
      <c r="C223" s="428" t="s">
        <v>1062</v>
      </c>
      <c r="D223" s="429"/>
      <c r="E223" s="267">
        <v>13.8</v>
      </c>
      <c r="F223" s="430" t="s">
        <v>218</v>
      </c>
      <c r="G223" s="267">
        <v>28.02</v>
      </c>
      <c r="H223" s="267">
        <f t="shared" si="22"/>
        <v>26.196123476939999</v>
      </c>
      <c r="I223" s="267">
        <f t="shared" si="23"/>
        <v>361.50650398177203</v>
      </c>
      <c r="J223" s="267">
        <v>30</v>
      </c>
      <c r="K223" s="269">
        <f t="shared" si="24"/>
        <v>28.047241409999998</v>
      </c>
      <c r="L223" s="267">
        <f t="shared" si="25"/>
        <v>387.05193145800001</v>
      </c>
      <c r="M223" s="267">
        <f t="shared" si="26"/>
        <v>748.55843543977198</v>
      </c>
      <c r="N223" s="270"/>
      <c r="O223" s="1163">
        <v>0.93490804699999996</v>
      </c>
      <c r="P223" s="976"/>
      <c r="Q223" s="252"/>
      <c r="R223" s="252"/>
      <c r="S223" s="252"/>
    </row>
    <row r="224" spans="1:19" ht="18.95" customHeight="1">
      <c r="A224" s="425">
        <v>2.25</v>
      </c>
      <c r="B224" s="122"/>
      <c r="C224" s="428" t="s">
        <v>1063</v>
      </c>
      <c r="D224" s="429"/>
      <c r="E224" s="267">
        <v>13.8</v>
      </c>
      <c r="F224" s="430" t="s">
        <v>218</v>
      </c>
      <c r="G224" s="267">
        <v>32.32</v>
      </c>
      <c r="H224" s="267">
        <f t="shared" si="22"/>
        <v>30.21622807904</v>
      </c>
      <c r="I224" s="267">
        <f t="shared" si="23"/>
        <v>416.98394749075203</v>
      </c>
      <c r="J224" s="267">
        <v>35</v>
      </c>
      <c r="K224" s="269">
        <f t="shared" si="24"/>
        <v>32.721781645</v>
      </c>
      <c r="L224" s="267">
        <f t="shared" si="25"/>
        <v>451.56058670100003</v>
      </c>
      <c r="M224" s="267">
        <f t="shared" si="26"/>
        <v>868.54453419175206</v>
      </c>
      <c r="N224" s="270"/>
      <c r="O224" s="1163">
        <v>0.93490804699999996</v>
      </c>
      <c r="P224" s="976"/>
      <c r="Q224" s="862" t="s">
        <v>1038</v>
      </c>
      <c r="R224" s="252"/>
      <c r="S224" s="252"/>
    </row>
    <row r="225" spans="1:19" ht="18.95" customHeight="1">
      <c r="A225" s="425">
        <v>2.2599999999999998</v>
      </c>
      <c r="B225" s="122"/>
      <c r="C225" s="428" t="s">
        <v>1078</v>
      </c>
      <c r="D225" s="429"/>
      <c r="E225" s="267">
        <v>11.4</v>
      </c>
      <c r="F225" s="430" t="s">
        <v>1079</v>
      </c>
      <c r="G225" s="267">
        <v>183.6</v>
      </c>
      <c r="H225" s="267">
        <f t="shared" si="22"/>
        <v>171.64911742919998</v>
      </c>
      <c r="I225" s="267">
        <f t="shared" si="23"/>
        <v>1956.7999386928798</v>
      </c>
      <c r="J225" s="267">
        <v>55.08</v>
      </c>
      <c r="K225" s="269">
        <f t="shared" si="24"/>
        <v>51.49473522876</v>
      </c>
      <c r="L225" s="267">
        <f t="shared" si="25"/>
        <v>587.03998160786398</v>
      </c>
      <c r="M225" s="267">
        <f t="shared" si="26"/>
        <v>2543.8399203007439</v>
      </c>
      <c r="N225" s="268"/>
      <c r="O225" s="1163">
        <v>0.93490804699999996</v>
      </c>
      <c r="P225" s="973"/>
      <c r="Q225" s="252"/>
      <c r="R225" s="252"/>
      <c r="S225" s="252"/>
    </row>
    <row r="226" spans="1:19" ht="18.95" customHeight="1">
      <c r="A226" s="139"/>
      <c r="B226" s="139"/>
      <c r="C226" s="426"/>
      <c r="D226" s="443"/>
      <c r="E226" s="270"/>
      <c r="F226" s="268"/>
      <c r="G226" s="270"/>
      <c r="H226" s="267"/>
      <c r="I226" s="267"/>
      <c r="J226" s="270"/>
      <c r="K226" s="269"/>
      <c r="L226" s="267"/>
      <c r="M226" s="267"/>
      <c r="N226" s="268"/>
      <c r="O226" s="1163">
        <v>0.93490804699999996</v>
      </c>
      <c r="P226" s="973"/>
      <c r="Q226" s="252"/>
      <c r="R226" s="252"/>
      <c r="S226" s="252"/>
    </row>
    <row r="227" spans="1:19" ht="18.95" customHeight="1">
      <c r="A227" s="425"/>
      <c r="B227" s="596"/>
      <c r="C227" s="1347" t="s">
        <v>1051</v>
      </c>
      <c r="D227" s="1348"/>
      <c r="E227" s="267"/>
      <c r="F227" s="427"/>
      <c r="G227" s="267"/>
      <c r="H227" s="267"/>
      <c r="I227" s="267"/>
      <c r="J227" s="269"/>
      <c r="K227" s="269"/>
      <c r="L227" s="267"/>
      <c r="M227" s="267"/>
      <c r="N227" s="268"/>
      <c r="O227" s="1163">
        <v>0.93490804699999996</v>
      </c>
      <c r="P227" s="973"/>
      <c r="Q227" s="252"/>
      <c r="R227" s="252"/>
      <c r="S227" s="252"/>
    </row>
    <row r="228" spans="1:19" ht="18.95" customHeight="1">
      <c r="A228" s="425"/>
      <c r="B228" s="122"/>
      <c r="C228" s="1347" t="s">
        <v>1052</v>
      </c>
      <c r="D228" s="1348"/>
      <c r="E228" s="267"/>
      <c r="F228" s="427"/>
      <c r="G228" s="267"/>
      <c r="H228" s="267"/>
      <c r="I228" s="267"/>
      <c r="J228" s="269"/>
      <c r="K228" s="269"/>
      <c r="L228" s="267"/>
      <c r="M228" s="267"/>
      <c r="N228" s="268"/>
      <c r="O228" s="1163">
        <v>0.93490804699999996</v>
      </c>
      <c r="P228" s="973"/>
      <c r="Q228" s="252"/>
      <c r="R228" s="252"/>
      <c r="S228" s="252"/>
    </row>
    <row r="229" spans="1:19" ht="18.95" customHeight="1">
      <c r="A229" s="425">
        <v>2.27</v>
      </c>
      <c r="B229" s="122"/>
      <c r="C229" s="1331" t="s">
        <v>1073</v>
      </c>
      <c r="D229" s="1332"/>
      <c r="E229" s="267">
        <v>1361.3</v>
      </c>
      <c r="F229" s="430" t="s">
        <v>348</v>
      </c>
      <c r="G229" s="267">
        <v>31.66</v>
      </c>
      <c r="H229" s="267">
        <f t="shared" si="22"/>
        <v>29.599188768019999</v>
      </c>
      <c r="I229" s="267">
        <f t="shared" si="23"/>
        <v>40293.375669905625</v>
      </c>
      <c r="J229" s="267">
        <v>14</v>
      </c>
      <c r="K229" s="269">
        <f t="shared" si="24"/>
        <v>13.088712657999999</v>
      </c>
      <c r="L229" s="267">
        <f t="shared" si="25"/>
        <v>17817.664541335398</v>
      </c>
      <c r="M229" s="267">
        <f t="shared" si="26"/>
        <v>58111.040211241023</v>
      </c>
      <c r="N229" s="268"/>
      <c r="O229" s="1163">
        <v>0.93490804699999996</v>
      </c>
      <c r="P229" s="973"/>
      <c r="Q229" s="252"/>
      <c r="R229" s="252"/>
      <c r="S229" s="252"/>
    </row>
    <row r="230" spans="1:19" ht="18.95" customHeight="1">
      <c r="A230" s="425"/>
      <c r="B230" s="122"/>
      <c r="C230" s="1347" t="s">
        <v>1054</v>
      </c>
      <c r="D230" s="1348"/>
      <c r="E230" s="267"/>
      <c r="F230" s="427"/>
      <c r="G230" s="267"/>
      <c r="H230" s="267"/>
      <c r="I230" s="267"/>
      <c r="J230" s="269"/>
      <c r="K230" s="269"/>
      <c r="L230" s="267"/>
      <c r="M230" s="267"/>
      <c r="N230" s="268"/>
      <c r="O230" s="1163">
        <v>0.93490804699999996</v>
      </c>
      <c r="P230" s="973"/>
      <c r="Q230" s="252"/>
      <c r="R230" s="252"/>
      <c r="S230" s="252"/>
    </row>
    <row r="231" spans="1:19" ht="18.95" customHeight="1">
      <c r="A231" s="425">
        <v>2.2799999999999998</v>
      </c>
      <c r="B231" s="122"/>
      <c r="C231" s="1331" t="s">
        <v>1035</v>
      </c>
      <c r="D231" s="1332"/>
      <c r="E231" s="267">
        <v>3</v>
      </c>
      <c r="F231" s="430" t="s">
        <v>1032</v>
      </c>
      <c r="G231" s="434">
        <v>2117.5</v>
      </c>
      <c r="H231" s="267">
        <f t="shared" si="22"/>
        <v>1979.6677895225</v>
      </c>
      <c r="I231" s="267">
        <f t="shared" si="23"/>
        <v>5939.0033685674998</v>
      </c>
      <c r="J231" s="269">
        <v>519</v>
      </c>
      <c r="K231" s="269">
        <f t="shared" si="24"/>
        <v>485.21727639299996</v>
      </c>
      <c r="L231" s="267">
        <f t="shared" si="25"/>
        <v>1455.6518291789998</v>
      </c>
      <c r="M231" s="267">
        <f t="shared" si="26"/>
        <v>7394.6551977464997</v>
      </c>
      <c r="N231" s="268"/>
      <c r="O231" s="1163">
        <v>0.93490804699999996</v>
      </c>
      <c r="P231" s="973"/>
      <c r="Q231" s="252"/>
      <c r="R231" s="252"/>
      <c r="S231" s="252"/>
    </row>
    <row r="232" spans="1:19" ht="18.95" customHeight="1">
      <c r="A232" s="425"/>
      <c r="B232" s="122"/>
      <c r="C232" s="1341" t="s">
        <v>1036</v>
      </c>
      <c r="D232" s="1342"/>
      <c r="E232" s="267"/>
      <c r="F232" s="430"/>
      <c r="G232" s="267"/>
      <c r="H232" s="267"/>
      <c r="I232" s="267"/>
      <c r="J232" s="269"/>
      <c r="K232" s="269"/>
      <c r="L232" s="267"/>
      <c r="M232" s="267"/>
      <c r="N232" s="268"/>
      <c r="O232" s="1163">
        <v>0.93490804699999996</v>
      </c>
      <c r="P232" s="973"/>
      <c r="Q232" s="252"/>
      <c r="R232" s="252"/>
      <c r="S232" s="252"/>
    </row>
    <row r="233" spans="1:19" ht="18.95" customHeight="1">
      <c r="A233" s="425">
        <v>2.29</v>
      </c>
      <c r="B233" s="122"/>
      <c r="C233" s="1323" t="s">
        <v>1037</v>
      </c>
      <c r="D233" s="1324"/>
      <c r="E233" s="267">
        <v>0</v>
      </c>
      <c r="F233" s="430" t="s">
        <v>348</v>
      </c>
      <c r="G233" s="267">
        <v>19.600000000000001</v>
      </c>
      <c r="H233" s="267">
        <f t="shared" si="22"/>
        <v>18.324197721200001</v>
      </c>
      <c r="I233" s="267">
        <f t="shared" si="23"/>
        <v>0</v>
      </c>
      <c r="J233" s="269">
        <v>4.4000000000000004</v>
      </c>
      <c r="K233" s="269">
        <f t="shared" si="24"/>
        <v>4.1135954068</v>
      </c>
      <c r="L233" s="267">
        <f t="shared" si="25"/>
        <v>0</v>
      </c>
      <c r="M233" s="267">
        <f t="shared" si="26"/>
        <v>0</v>
      </c>
      <c r="N233" s="268"/>
      <c r="O233" s="1163">
        <v>0.93490804699999996</v>
      </c>
      <c r="P233" s="973"/>
      <c r="Q233" s="862" t="s">
        <v>1038</v>
      </c>
      <c r="R233" s="252"/>
      <c r="S233" s="252"/>
    </row>
    <row r="234" spans="1:19" ht="18.95" customHeight="1">
      <c r="A234" s="425">
        <v>2.2999999999999998</v>
      </c>
      <c r="B234" s="122"/>
      <c r="C234" s="1323" t="s">
        <v>1039</v>
      </c>
      <c r="D234" s="1324"/>
      <c r="E234" s="267">
        <v>319</v>
      </c>
      <c r="F234" s="430" t="s">
        <v>348</v>
      </c>
      <c r="G234" s="267">
        <v>19.7</v>
      </c>
      <c r="H234" s="267">
        <f t="shared" si="22"/>
        <v>18.417688525899997</v>
      </c>
      <c r="I234" s="267">
        <f t="shared" si="23"/>
        <v>5875.2426397620993</v>
      </c>
      <c r="J234" s="269">
        <v>3.6</v>
      </c>
      <c r="K234" s="269">
        <f t="shared" si="24"/>
        <v>3.3656689692000001</v>
      </c>
      <c r="L234" s="267">
        <f t="shared" si="25"/>
        <v>1073.6484011748</v>
      </c>
      <c r="M234" s="267">
        <f t="shared" si="26"/>
        <v>6948.8910409368991</v>
      </c>
      <c r="N234" s="268"/>
      <c r="O234" s="1163">
        <v>0.93490804699999996</v>
      </c>
      <c r="P234" s="973"/>
      <c r="Q234" s="862" t="s">
        <v>1038</v>
      </c>
      <c r="R234" s="252"/>
      <c r="S234" s="252"/>
    </row>
    <row r="235" spans="1:19" ht="18.95" customHeight="1">
      <c r="A235" s="425">
        <v>2.31</v>
      </c>
      <c r="B235" s="122"/>
      <c r="C235" s="1323" t="s">
        <v>1040</v>
      </c>
      <c r="D235" s="1324"/>
      <c r="E235" s="267">
        <v>0</v>
      </c>
      <c r="F235" s="430" t="s">
        <v>348</v>
      </c>
      <c r="G235" s="267">
        <v>19.5</v>
      </c>
      <c r="H235" s="267">
        <f t="shared" si="22"/>
        <v>18.230706916500001</v>
      </c>
      <c r="I235" s="267">
        <f t="shared" si="23"/>
        <v>0</v>
      </c>
      <c r="J235" s="269">
        <v>3.6</v>
      </c>
      <c r="K235" s="269">
        <f t="shared" si="24"/>
        <v>3.3656689692000001</v>
      </c>
      <c r="L235" s="267">
        <f t="shared" si="25"/>
        <v>0</v>
      </c>
      <c r="M235" s="267">
        <f t="shared" si="26"/>
        <v>0</v>
      </c>
      <c r="N235" s="268"/>
      <c r="O235" s="1163">
        <v>0.93490804699999996</v>
      </c>
      <c r="P235" s="973"/>
      <c r="Q235" s="862" t="s">
        <v>1038</v>
      </c>
      <c r="R235" s="252"/>
      <c r="S235" s="252"/>
    </row>
    <row r="236" spans="1:19" ht="18.95" customHeight="1">
      <c r="A236" s="425">
        <v>2.3199999999999998</v>
      </c>
      <c r="B236" s="122"/>
      <c r="C236" s="1323" t="s">
        <v>1041</v>
      </c>
      <c r="D236" s="1324"/>
      <c r="E236" s="267">
        <v>5.8</v>
      </c>
      <c r="F236" s="430" t="s">
        <v>348</v>
      </c>
      <c r="G236" s="269">
        <v>27.1</v>
      </c>
      <c r="H236" s="267">
        <f t="shared" si="22"/>
        <v>25.3360080737</v>
      </c>
      <c r="I236" s="267">
        <f t="shared" si="23"/>
        <v>146.94884682745999</v>
      </c>
      <c r="J236" s="267">
        <v>0</v>
      </c>
      <c r="K236" s="269">
        <f t="shared" si="24"/>
        <v>0</v>
      </c>
      <c r="L236" s="267">
        <f t="shared" si="25"/>
        <v>0</v>
      </c>
      <c r="M236" s="267">
        <f t="shared" si="26"/>
        <v>146.94884682745999</v>
      </c>
      <c r="N236" s="268"/>
      <c r="O236" s="1163">
        <v>0.93490804699999996</v>
      </c>
      <c r="P236" s="973"/>
      <c r="Q236" s="862" t="s">
        <v>1038</v>
      </c>
      <c r="R236" s="252"/>
      <c r="S236" s="252"/>
    </row>
    <row r="237" spans="1:19" ht="18.95" customHeight="1">
      <c r="A237" s="425">
        <v>2.33</v>
      </c>
      <c r="B237" s="122"/>
      <c r="C237" s="1323" t="s">
        <v>1043</v>
      </c>
      <c r="D237" s="1324"/>
      <c r="E237" s="267"/>
      <c r="F237" s="430"/>
      <c r="G237" s="267"/>
      <c r="H237" s="267"/>
      <c r="I237" s="267"/>
      <c r="J237" s="269"/>
      <c r="K237" s="269"/>
      <c r="L237" s="267"/>
      <c r="M237" s="267"/>
      <c r="N237" s="268"/>
      <c r="O237" s="1163">
        <v>0.93490804699999996</v>
      </c>
      <c r="P237" s="973"/>
      <c r="Q237" s="862" t="s">
        <v>1038</v>
      </c>
      <c r="R237" s="252"/>
      <c r="S237" s="252"/>
    </row>
    <row r="238" spans="1:19" ht="18.95" customHeight="1">
      <c r="A238" s="431"/>
      <c r="B238" s="329"/>
      <c r="C238" s="433" t="s">
        <v>1044</v>
      </c>
      <c r="E238" s="267">
        <v>6.78</v>
      </c>
      <c r="F238" s="434" t="s">
        <v>218</v>
      </c>
      <c r="G238" s="434">
        <v>245.2</v>
      </c>
      <c r="H238" s="267">
        <f t="shared" si="22"/>
        <v>229.23945312439997</v>
      </c>
      <c r="I238" s="267">
        <f t="shared" si="23"/>
        <v>1554.243492183432</v>
      </c>
      <c r="J238" s="435">
        <v>0</v>
      </c>
      <c r="K238" s="269">
        <f t="shared" si="24"/>
        <v>0</v>
      </c>
      <c r="L238" s="267">
        <f t="shared" si="25"/>
        <v>0</v>
      </c>
      <c r="M238" s="267">
        <f t="shared" si="26"/>
        <v>1554.243492183432</v>
      </c>
      <c r="N238" s="436"/>
      <c r="O238" s="1163">
        <v>0.93490804699999996</v>
      </c>
      <c r="P238" s="765"/>
      <c r="Q238" s="252"/>
      <c r="R238" s="252"/>
      <c r="S238" s="252"/>
    </row>
    <row r="239" spans="1:19" ht="18.95" customHeight="1">
      <c r="A239" s="431"/>
      <c r="B239" s="329"/>
      <c r="C239" s="433" t="s">
        <v>1045</v>
      </c>
      <c r="E239" s="267">
        <v>11.3</v>
      </c>
      <c r="F239" s="434" t="s">
        <v>218</v>
      </c>
      <c r="G239" s="434">
        <v>0</v>
      </c>
      <c r="H239" s="267">
        <f t="shared" si="22"/>
        <v>0</v>
      </c>
      <c r="I239" s="267">
        <f t="shared" si="23"/>
        <v>0</v>
      </c>
      <c r="J239" s="435">
        <v>121</v>
      </c>
      <c r="K239" s="269">
        <f t="shared" si="24"/>
        <v>113.123873687</v>
      </c>
      <c r="L239" s="267">
        <f t="shared" si="25"/>
        <v>1278.2997726631002</v>
      </c>
      <c r="M239" s="267">
        <f t="shared" si="26"/>
        <v>1278.2997726631002</v>
      </c>
      <c r="N239" s="436"/>
      <c r="O239" s="1163">
        <v>0.93490804699999996</v>
      </c>
      <c r="P239" s="765"/>
      <c r="Q239" s="252"/>
      <c r="R239" s="252"/>
      <c r="S239" s="252"/>
    </row>
    <row r="240" spans="1:19" ht="18.95" customHeight="1">
      <c r="A240" s="431"/>
      <c r="B240" s="329"/>
      <c r="C240" s="433" t="s">
        <v>1046</v>
      </c>
      <c r="E240" s="267">
        <v>2.0399999999999996</v>
      </c>
      <c r="F240" s="434" t="s">
        <v>1047</v>
      </c>
      <c r="G240" s="434">
        <v>309.42</v>
      </c>
      <c r="H240" s="267">
        <f t="shared" si="22"/>
        <v>289.27924790274</v>
      </c>
      <c r="I240" s="267">
        <f t="shared" si="23"/>
        <v>590.1296657215895</v>
      </c>
      <c r="J240" s="435">
        <v>0</v>
      </c>
      <c r="K240" s="269">
        <f t="shared" si="24"/>
        <v>0</v>
      </c>
      <c r="L240" s="267">
        <f t="shared" si="25"/>
        <v>0</v>
      </c>
      <c r="M240" s="267">
        <f t="shared" si="26"/>
        <v>590.1296657215895</v>
      </c>
      <c r="N240" s="436"/>
      <c r="O240" s="1163">
        <v>0.93490804699999996</v>
      </c>
      <c r="P240" s="765"/>
      <c r="Q240" s="252"/>
      <c r="R240" s="252"/>
      <c r="S240" s="252"/>
    </row>
    <row r="241" spans="1:19" ht="18.95" customHeight="1">
      <c r="A241" s="431"/>
      <c r="B241" s="329"/>
      <c r="C241" s="433" t="s">
        <v>1048</v>
      </c>
      <c r="E241" s="269">
        <v>1.7</v>
      </c>
      <c r="F241" s="434" t="s">
        <v>348</v>
      </c>
      <c r="G241" s="434">
        <v>23.36</v>
      </c>
      <c r="H241" s="267">
        <f t="shared" si="22"/>
        <v>21.83945197792</v>
      </c>
      <c r="I241" s="267">
        <f t="shared" si="23"/>
        <v>37.127068362464001</v>
      </c>
      <c r="J241" s="435">
        <v>0</v>
      </c>
      <c r="K241" s="269">
        <f t="shared" si="24"/>
        <v>0</v>
      </c>
      <c r="L241" s="267">
        <f t="shared" si="25"/>
        <v>0</v>
      </c>
      <c r="M241" s="267">
        <f t="shared" si="26"/>
        <v>37.127068362464001</v>
      </c>
      <c r="N241" s="436"/>
      <c r="O241" s="1163">
        <v>0.93490804699999996</v>
      </c>
      <c r="P241" s="765"/>
      <c r="Q241" s="862" t="s">
        <v>1038</v>
      </c>
      <c r="R241" s="252"/>
      <c r="S241" s="252"/>
    </row>
    <row r="242" spans="1:19" ht="18.95" customHeight="1">
      <c r="A242" s="425"/>
      <c r="B242" s="122"/>
      <c r="C242" s="1347" t="s">
        <v>1057</v>
      </c>
      <c r="D242" s="1348"/>
      <c r="E242" s="267"/>
      <c r="F242" s="427"/>
      <c r="G242" s="267"/>
      <c r="H242" s="267"/>
      <c r="I242" s="267"/>
      <c r="J242" s="269"/>
      <c r="K242" s="269"/>
      <c r="L242" s="267"/>
      <c r="M242" s="267"/>
      <c r="N242" s="268"/>
      <c r="O242" s="1163">
        <v>0.93490804699999996</v>
      </c>
      <c r="P242" s="973"/>
      <c r="Q242" s="252"/>
      <c r="R242" s="252"/>
      <c r="S242" s="252"/>
    </row>
    <row r="243" spans="1:19" ht="18.95" customHeight="1">
      <c r="A243" s="425">
        <v>2.34</v>
      </c>
      <c r="B243" s="122"/>
      <c r="C243" s="1331" t="s">
        <v>1073</v>
      </c>
      <c r="D243" s="1332"/>
      <c r="E243" s="267">
        <v>757.5</v>
      </c>
      <c r="F243" s="430" t="s">
        <v>348</v>
      </c>
      <c r="G243" s="267">
        <v>31.66</v>
      </c>
      <c r="H243" s="267">
        <f t="shared" si="22"/>
        <v>29.599188768019999</v>
      </c>
      <c r="I243" s="267">
        <f t="shared" si="23"/>
        <v>22421.385491775149</v>
      </c>
      <c r="J243" s="267">
        <v>14</v>
      </c>
      <c r="K243" s="269">
        <f t="shared" si="24"/>
        <v>13.088712657999999</v>
      </c>
      <c r="L243" s="267">
        <f t="shared" si="25"/>
        <v>9914.699838434999</v>
      </c>
      <c r="M243" s="267">
        <f t="shared" si="26"/>
        <v>32336.085330210146</v>
      </c>
      <c r="N243" s="268"/>
      <c r="O243" s="1163">
        <v>0.93490804699999996</v>
      </c>
      <c r="P243" s="973"/>
      <c r="Q243" s="252"/>
      <c r="R243" s="252"/>
      <c r="S243" s="252"/>
    </row>
    <row r="244" spans="1:19" ht="18.95" customHeight="1">
      <c r="A244" s="425">
        <v>2.35</v>
      </c>
      <c r="B244" s="122"/>
      <c r="C244" s="1331" t="s">
        <v>1074</v>
      </c>
      <c r="D244" s="1332"/>
      <c r="E244" s="267">
        <v>20.6</v>
      </c>
      <c r="F244" s="430" t="s">
        <v>348</v>
      </c>
      <c r="G244" s="267">
        <v>24.97</v>
      </c>
      <c r="H244" s="267">
        <f t="shared" si="22"/>
        <v>23.344653933589999</v>
      </c>
      <c r="I244" s="267">
        <f t="shared" si="23"/>
        <v>480.89987103195404</v>
      </c>
      <c r="J244" s="267">
        <v>14</v>
      </c>
      <c r="K244" s="269">
        <f t="shared" si="24"/>
        <v>13.088712657999999</v>
      </c>
      <c r="L244" s="267">
        <f t="shared" si="25"/>
        <v>269.62748075479999</v>
      </c>
      <c r="M244" s="267">
        <f t="shared" si="26"/>
        <v>750.52735178675402</v>
      </c>
      <c r="N244" s="268"/>
      <c r="O244" s="1163">
        <v>0.93490804699999996</v>
      </c>
      <c r="P244" s="973"/>
      <c r="Q244" s="252"/>
      <c r="R244" s="252"/>
      <c r="S244" s="252"/>
    </row>
    <row r="245" spans="1:19" ht="18.95" customHeight="1">
      <c r="A245" s="204"/>
      <c r="B245" s="122"/>
      <c r="C245" s="1329" t="s">
        <v>1061</v>
      </c>
      <c r="D245" s="1330"/>
      <c r="E245" s="267"/>
      <c r="F245" s="430"/>
      <c r="G245" s="267"/>
      <c r="H245" s="267"/>
      <c r="I245" s="267"/>
      <c r="J245" s="267"/>
      <c r="K245" s="269"/>
      <c r="L245" s="267"/>
      <c r="M245" s="270"/>
      <c r="N245" s="268"/>
      <c r="O245" s="1163">
        <v>0.93490804699999996</v>
      </c>
      <c r="P245" s="973"/>
      <c r="Q245" s="252"/>
      <c r="R245" s="252"/>
      <c r="S245" s="252"/>
    </row>
    <row r="246" spans="1:19" ht="18.95" customHeight="1">
      <c r="A246" s="425">
        <v>2.36</v>
      </c>
      <c r="B246" s="122"/>
      <c r="C246" s="428" t="s">
        <v>1062</v>
      </c>
      <c r="D246" s="429"/>
      <c r="E246" s="267">
        <v>53.5</v>
      </c>
      <c r="F246" s="430" t="s">
        <v>218</v>
      </c>
      <c r="G246" s="267">
        <v>28.02</v>
      </c>
      <c r="H246" s="267">
        <f t="shared" si="22"/>
        <v>26.196123476939999</v>
      </c>
      <c r="I246" s="267">
        <f t="shared" si="23"/>
        <v>1401.49260601629</v>
      </c>
      <c r="J246" s="267">
        <v>30</v>
      </c>
      <c r="K246" s="269">
        <f t="shared" si="24"/>
        <v>28.047241409999998</v>
      </c>
      <c r="L246" s="267">
        <f t="shared" si="25"/>
        <v>1500.527415435</v>
      </c>
      <c r="M246" s="267">
        <f t="shared" ref="M246:M272" si="27">I246+L246</f>
        <v>2902.0200214512897</v>
      </c>
      <c r="N246" s="270"/>
      <c r="O246" s="1163">
        <v>0.93490804699999996</v>
      </c>
      <c r="P246" s="976"/>
      <c r="Q246" s="252"/>
      <c r="R246" s="252"/>
      <c r="S246" s="252"/>
    </row>
    <row r="247" spans="1:19" ht="18.95" customHeight="1">
      <c r="A247" s="425">
        <v>2.37</v>
      </c>
      <c r="B247" s="122"/>
      <c r="C247" s="428" t="s">
        <v>1063</v>
      </c>
      <c r="D247" s="429"/>
      <c r="E247" s="267">
        <v>53.5</v>
      </c>
      <c r="F247" s="430" t="s">
        <v>218</v>
      </c>
      <c r="G247" s="267">
        <v>32.32</v>
      </c>
      <c r="H247" s="267">
        <f t="shared" si="22"/>
        <v>30.21622807904</v>
      </c>
      <c r="I247" s="267">
        <f t="shared" si="23"/>
        <v>1616.5682022286401</v>
      </c>
      <c r="J247" s="267">
        <v>35</v>
      </c>
      <c r="K247" s="269">
        <f t="shared" si="24"/>
        <v>32.721781645</v>
      </c>
      <c r="L247" s="267">
        <f t="shared" si="25"/>
        <v>1750.6153180075</v>
      </c>
      <c r="M247" s="267">
        <f t="shared" si="27"/>
        <v>3367.1835202361399</v>
      </c>
      <c r="N247" s="270"/>
      <c r="O247" s="1163">
        <v>0.93490804699999996</v>
      </c>
      <c r="P247" s="976"/>
      <c r="Q247" s="862" t="s">
        <v>1038</v>
      </c>
      <c r="R247" s="252"/>
      <c r="S247" s="252"/>
    </row>
    <row r="248" spans="1:19" ht="18.95" customHeight="1">
      <c r="A248" s="425"/>
      <c r="B248" s="122"/>
      <c r="C248" s="428"/>
      <c r="D248" s="429"/>
      <c r="E248" s="267"/>
      <c r="F248" s="427"/>
      <c r="G248" s="267"/>
      <c r="H248" s="267"/>
      <c r="I248" s="267"/>
      <c r="J248" s="267"/>
      <c r="K248" s="269"/>
      <c r="L248" s="267"/>
      <c r="M248" s="267"/>
      <c r="N248" s="270"/>
      <c r="O248" s="1163">
        <v>0.93490804699999996</v>
      </c>
      <c r="P248" s="976"/>
      <c r="Q248" s="252"/>
      <c r="R248" s="252"/>
      <c r="S248" s="252"/>
    </row>
    <row r="249" spans="1:19" ht="18.95" customHeight="1">
      <c r="A249" s="425"/>
      <c r="B249" s="122"/>
      <c r="C249" s="1347" t="s">
        <v>1064</v>
      </c>
      <c r="D249" s="1348"/>
      <c r="E249" s="267"/>
      <c r="F249" s="427"/>
      <c r="G249" s="267"/>
      <c r="H249" s="267"/>
      <c r="I249" s="267"/>
      <c r="J249" s="269"/>
      <c r="K249" s="269"/>
      <c r="L249" s="267"/>
      <c r="M249" s="267"/>
      <c r="N249" s="270"/>
      <c r="O249" s="1163">
        <v>0.93490804699999996</v>
      </c>
      <c r="P249" s="976"/>
      <c r="Q249" s="252"/>
      <c r="R249" s="252"/>
      <c r="S249" s="252"/>
    </row>
    <row r="250" spans="1:19" ht="18.95" customHeight="1">
      <c r="A250" s="425"/>
      <c r="B250" s="122"/>
      <c r="C250" s="1347" t="s">
        <v>1052</v>
      </c>
      <c r="D250" s="1348"/>
      <c r="E250" s="267"/>
      <c r="F250" s="427"/>
      <c r="G250" s="267"/>
      <c r="H250" s="267"/>
      <c r="I250" s="267"/>
      <c r="J250" s="269"/>
      <c r="K250" s="269"/>
      <c r="L250" s="267"/>
      <c r="M250" s="267"/>
      <c r="N250" s="270"/>
      <c r="O250" s="1163">
        <v>0.93490804699999996</v>
      </c>
      <c r="P250" s="976"/>
      <c r="Q250" s="252"/>
      <c r="R250" s="252"/>
      <c r="S250" s="252"/>
    </row>
    <row r="251" spans="1:19" ht="18.95" customHeight="1">
      <c r="A251" s="425">
        <v>2.38</v>
      </c>
      <c r="B251" s="122"/>
      <c r="C251" s="1331" t="s">
        <v>1073</v>
      </c>
      <c r="D251" s="1332"/>
      <c r="E251" s="267">
        <v>988</v>
      </c>
      <c r="F251" s="430" t="s">
        <v>348</v>
      </c>
      <c r="G251" s="267">
        <v>31.66</v>
      </c>
      <c r="H251" s="267">
        <f t="shared" ref="H251:H312" si="28">G251*O251</f>
        <v>29.599188768019999</v>
      </c>
      <c r="I251" s="267">
        <f t="shared" ref="I251:I312" si="29">E251*H251</f>
        <v>29243.998502803759</v>
      </c>
      <c r="J251" s="267">
        <v>14</v>
      </c>
      <c r="K251" s="269">
        <f t="shared" si="24"/>
        <v>13.088712657999999</v>
      </c>
      <c r="L251" s="267">
        <f t="shared" si="25"/>
        <v>12931.648106103999</v>
      </c>
      <c r="M251" s="267">
        <f t="shared" si="27"/>
        <v>42175.646608907758</v>
      </c>
      <c r="N251" s="270"/>
      <c r="O251" s="1163">
        <v>0.93490804699999996</v>
      </c>
      <c r="P251" s="976"/>
      <c r="Q251" s="252"/>
      <c r="R251" s="252"/>
      <c r="S251" s="252"/>
    </row>
    <row r="252" spans="1:19" ht="18.95" customHeight="1">
      <c r="A252" s="425"/>
      <c r="B252" s="122"/>
      <c r="C252" s="1347" t="s">
        <v>1057</v>
      </c>
      <c r="D252" s="1348"/>
      <c r="E252" s="267"/>
      <c r="F252" s="427"/>
      <c r="G252" s="267"/>
      <c r="H252" s="267"/>
      <c r="I252" s="267"/>
      <c r="J252" s="269"/>
      <c r="K252" s="269"/>
      <c r="L252" s="267"/>
      <c r="M252" s="267"/>
      <c r="N252" s="270"/>
      <c r="O252" s="1163">
        <v>0.93490804699999996</v>
      </c>
      <c r="P252" s="976"/>
      <c r="Q252" s="252"/>
      <c r="R252" s="252"/>
      <c r="S252" s="252"/>
    </row>
    <row r="253" spans="1:19" ht="18.95" customHeight="1">
      <c r="A253" s="425">
        <v>2.39</v>
      </c>
      <c r="B253" s="122"/>
      <c r="C253" s="1331" t="s">
        <v>1080</v>
      </c>
      <c r="D253" s="1332"/>
      <c r="E253" s="267">
        <v>1218.5999999999999</v>
      </c>
      <c r="F253" s="430" t="s">
        <v>348</v>
      </c>
      <c r="G253" s="267">
        <v>31.66</v>
      </c>
      <c r="H253" s="267">
        <f t="shared" si="28"/>
        <v>29.599188768019999</v>
      </c>
      <c r="I253" s="267">
        <f t="shared" si="29"/>
        <v>36069.57143270917</v>
      </c>
      <c r="J253" s="267">
        <v>14</v>
      </c>
      <c r="K253" s="269">
        <f t="shared" si="24"/>
        <v>13.088712657999999</v>
      </c>
      <c r="L253" s="267">
        <f t="shared" si="25"/>
        <v>15949.905245038797</v>
      </c>
      <c r="M253" s="267">
        <f t="shared" si="27"/>
        <v>52019.476677747967</v>
      </c>
      <c r="N253" s="268"/>
      <c r="O253" s="1163">
        <v>0.93490804699999996</v>
      </c>
      <c r="P253" s="973"/>
      <c r="Q253" s="252"/>
      <c r="R253" s="252"/>
      <c r="S253" s="252"/>
    </row>
    <row r="254" spans="1:19" ht="18.95" customHeight="1">
      <c r="A254" s="425">
        <v>2.4</v>
      </c>
      <c r="B254" s="122"/>
      <c r="C254" s="1331" t="s">
        <v>1074</v>
      </c>
      <c r="D254" s="1332"/>
      <c r="E254" s="267">
        <v>20.6</v>
      </c>
      <c r="F254" s="430" t="s">
        <v>348</v>
      </c>
      <c r="G254" s="267">
        <v>24.97</v>
      </c>
      <c r="H254" s="267">
        <f t="shared" si="28"/>
        <v>23.344653933589999</v>
      </c>
      <c r="I254" s="267">
        <f t="shared" si="29"/>
        <v>480.89987103195404</v>
      </c>
      <c r="J254" s="267">
        <v>14</v>
      </c>
      <c r="K254" s="269">
        <f t="shared" si="24"/>
        <v>13.088712657999999</v>
      </c>
      <c r="L254" s="267">
        <f t="shared" si="25"/>
        <v>269.62748075479999</v>
      </c>
      <c r="M254" s="267">
        <f t="shared" si="27"/>
        <v>750.52735178675402</v>
      </c>
      <c r="N254" s="268"/>
      <c r="O254" s="1163">
        <v>0.93490804699999996</v>
      </c>
      <c r="P254" s="973"/>
      <c r="Q254" s="252"/>
      <c r="R254" s="252"/>
      <c r="S254" s="252"/>
    </row>
    <row r="255" spans="1:19" ht="18.95" customHeight="1">
      <c r="A255" s="204"/>
      <c r="B255" s="122"/>
      <c r="C255" s="1329" t="s">
        <v>1061</v>
      </c>
      <c r="D255" s="1330"/>
      <c r="E255" s="267"/>
      <c r="F255" s="430"/>
      <c r="G255" s="267"/>
      <c r="H255" s="267"/>
      <c r="I255" s="267"/>
      <c r="J255" s="267"/>
      <c r="K255" s="269"/>
      <c r="L255" s="267"/>
      <c r="M255" s="267"/>
      <c r="N255" s="268"/>
      <c r="O255" s="1163">
        <v>0.93490804699999996</v>
      </c>
      <c r="P255" s="973"/>
      <c r="Q255" s="252"/>
      <c r="R255" s="252"/>
      <c r="S255" s="252"/>
    </row>
    <row r="256" spans="1:19" ht="18.95" customHeight="1">
      <c r="A256" s="425">
        <v>2.41</v>
      </c>
      <c r="B256" s="122"/>
      <c r="C256" s="428" t="s">
        <v>1062</v>
      </c>
      <c r="D256" s="429"/>
      <c r="E256" s="267">
        <v>55.7</v>
      </c>
      <c r="F256" s="430" t="s">
        <v>218</v>
      </c>
      <c r="G256" s="267">
        <v>28.02</v>
      </c>
      <c r="H256" s="267">
        <f t="shared" si="28"/>
        <v>26.196123476939999</v>
      </c>
      <c r="I256" s="267">
        <f t="shared" si="29"/>
        <v>1459.1240776655579</v>
      </c>
      <c r="J256" s="267">
        <v>30</v>
      </c>
      <c r="K256" s="269">
        <f t="shared" si="24"/>
        <v>28.047241409999998</v>
      </c>
      <c r="L256" s="267">
        <f t="shared" si="25"/>
        <v>1562.231346537</v>
      </c>
      <c r="M256" s="267">
        <f t="shared" si="27"/>
        <v>3021.355424202558</v>
      </c>
      <c r="N256" s="268"/>
      <c r="O256" s="1163">
        <v>0.93490804699999996</v>
      </c>
      <c r="P256" s="973"/>
      <c r="Q256" s="252"/>
      <c r="R256" s="252"/>
      <c r="S256" s="252"/>
    </row>
    <row r="257" spans="1:19" ht="18.95" customHeight="1">
      <c r="A257" s="425">
        <v>2.42</v>
      </c>
      <c r="B257" s="122"/>
      <c r="C257" s="428" t="s">
        <v>1063</v>
      </c>
      <c r="D257" s="429"/>
      <c r="E257" s="267">
        <v>55.7</v>
      </c>
      <c r="F257" s="430" t="s">
        <v>218</v>
      </c>
      <c r="G257" s="267">
        <v>32.32</v>
      </c>
      <c r="H257" s="267">
        <f t="shared" si="28"/>
        <v>30.21622807904</v>
      </c>
      <c r="I257" s="267">
        <f t="shared" si="29"/>
        <v>1683.0439040025281</v>
      </c>
      <c r="J257" s="267">
        <v>35</v>
      </c>
      <c r="K257" s="269">
        <f t="shared" si="24"/>
        <v>32.721781645</v>
      </c>
      <c r="L257" s="267">
        <f t="shared" si="25"/>
        <v>1822.6032376265</v>
      </c>
      <c r="M257" s="267">
        <f t="shared" si="27"/>
        <v>3505.6471416290278</v>
      </c>
      <c r="N257" s="268"/>
      <c r="O257" s="1163">
        <v>0.93490804699999996</v>
      </c>
      <c r="P257" s="973"/>
      <c r="Q257" s="862" t="s">
        <v>1038</v>
      </c>
      <c r="R257" s="252"/>
      <c r="S257" s="252"/>
    </row>
    <row r="258" spans="1:19" ht="18.95" customHeight="1">
      <c r="A258" s="425"/>
      <c r="B258" s="122"/>
      <c r="C258" s="1347" t="s">
        <v>1067</v>
      </c>
      <c r="D258" s="1348"/>
      <c r="E258" s="267"/>
      <c r="F258" s="427"/>
      <c r="G258" s="267"/>
      <c r="H258" s="267"/>
      <c r="I258" s="267"/>
      <c r="J258" s="269"/>
      <c r="K258" s="269"/>
      <c r="L258" s="267"/>
      <c r="M258" s="267"/>
      <c r="N258" s="268"/>
      <c r="O258" s="1163">
        <v>0.93490804699999996</v>
      </c>
      <c r="P258" s="973"/>
      <c r="Q258" s="252"/>
      <c r="R258" s="252"/>
      <c r="S258" s="252"/>
    </row>
    <row r="259" spans="1:19" ht="18.95" customHeight="1">
      <c r="A259" s="425"/>
      <c r="B259" s="122"/>
      <c r="C259" s="1347" t="s">
        <v>1052</v>
      </c>
      <c r="D259" s="1348"/>
      <c r="E259" s="267"/>
      <c r="F259" s="427"/>
      <c r="G259" s="267"/>
      <c r="H259" s="267"/>
      <c r="I259" s="267"/>
      <c r="J259" s="269"/>
      <c r="K259" s="269"/>
      <c r="L259" s="267"/>
      <c r="M259" s="267"/>
      <c r="N259" s="268"/>
      <c r="O259" s="1163">
        <v>0.93490804699999996</v>
      </c>
      <c r="P259" s="973"/>
      <c r="Q259" s="252"/>
      <c r="R259" s="252"/>
      <c r="S259" s="252"/>
    </row>
    <row r="260" spans="1:19" ht="18.95" customHeight="1">
      <c r="A260" s="425">
        <v>2.4300000000000002</v>
      </c>
      <c r="B260" s="122"/>
      <c r="C260" s="1331" t="s">
        <v>1073</v>
      </c>
      <c r="D260" s="1332"/>
      <c r="E260" s="267">
        <v>1361.3</v>
      </c>
      <c r="F260" s="430" t="s">
        <v>348</v>
      </c>
      <c r="G260" s="267">
        <v>31.66</v>
      </c>
      <c r="H260" s="267">
        <f t="shared" si="28"/>
        <v>29.599188768019999</v>
      </c>
      <c r="I260" s="267">
        <f t="shared" si="29"/>
        <v>40293.375669905625</v>
      </c>
      <c r="J260" s="267">
        <v>14</v>
      </c>
      <c r="K260" s="269">
        <f t="shared" si="24"/>
        <v>13.088712657999999</v>
      </c>
      <c r="L260" s="267">
        <f t="shared" si="25"/>
        <v>17817.664541335398</v>
      </c>
      <c r="M260" s="267">
        <f t="shared" si="27"/>
        <v>58111.040211241023</v>
      </c>
      <c r="N260" s="268"/>
      <c r="O260" s="1163">
        <v>0.93490804699999996</v>
      </c>
      <c r="P260" s="973"/>
      <c r="Q260" s="252"/>
      <c r="R260" s="252"/>
      <c r="S260" s="252"/>
    </row>
    <row r="261" spans="1:19" ht="18.95" customHeight="1">
      <c r="A261" s="425"/>
      <c r="B261" s="122"/>
      <c r="C261" s="1347" t="s">
        <v>1054</v>
      </c>
      <c r="D261" s="1348"/>
      <c r="E261" s="267"/>
      <c r="F261" s="427"/>
      <c r="G261" s="267"/>
      <c r="H261" s="267"/>
      <c r="I261" s="267"/>
      <c r="J261" s="269"/>
      <c r="K261" s="269"/>
      <c r="L261" s="267"/>
      <c r="M261" s="267"/>
      <c r="N261" s="268"/>
      <c r="O261" s="1163">
        <v>0.93490804699999996</v>
      </c>
      <c r="P261" s="973"/>
      <c r="Q261" s="252"/>
      <c r="R261" s="252"/>
      <c r="S261" s="252"/>
    </row>
    <row r="262" spans="1:19" ht="18.95" customHeight="1">
      <c r="A262" s="425">
        <v>2.44</v>
      </c>
      <c r="B262" s="122"/>
      <c r="C262" s="1331" t="s">
        <v>1081</v>
      </c>
      <c r="D262" s="1332"/>
      <c r="E262" s="267">
        <v>3</v>
      </c>
      <c r="F262" s="430" t="s">
        <v>1032</v>
      </c>
      <c r="G262" s="267">
        <v>2507</v>
      </c>
      <c r="H262" s="267">
        <f t="shared" si="28"/>
        <v>2343.8144738289998</v>
      </c>
      <c r="I262" s="267">
        <f t="shared" si="29"/>
        <v>7031.4434214869998</v>
      </c>
      <c r="J262" s="267">
        <v>519</v>
      </c>
      <c r="K262" s="269">
        <f>J262*O262</f>
        <v>485.21727639299996</v>
      </c>
      <c r="L262" s="267">
        <f>E262*K262</f>
        <v>1455.6518291789998</v>
      </c>
      <c r="M262" s="267">
        <f t="shared" si="27"/>
        <v>8487.0952506659996</v>
      </c>
      <c r="N262" s="268"/>
      <c r="O262" s="1163">
        <v>0.93490804699999996</v>
      </c>
      <c r="P262" s="973"/>
      <c r="Q262" s="252"/>
      <c r="R262" s="252"/>
      <c r="S262" s="252"/>
    </row>
    <row r="263" spans="1:19" ht="18.95" customHeight="1">
      <c r="A263" s="425"/>
      <c r="B263" s="122"/>
      <c r="C263" s="1341" t="s">
        <v>1036</v>
      </c>
      <c r="D263" s="1342"/>
      <c r="E263" s="267"/>
      <c r="F263" s="430"/>
      <c r="G263" s="267"/>
      <c r="H263" s="267"/>
      <c r="I263" s="267"/>
      <c r="J263" s="269"/>
      <c r="K263" s="269"/>
      <c r="L263" s="267"/>
      <c r="M263" s="267"/>
      <c r="N263" s="268"/>
      <c r="O263" s="1163">
        <v>0.93490804699999996</v>
      </c>
      <c r="P263" s="973"/>
      <c r="Q263" s="252"/>
      <c r="R263" s="252"/>
      <c r="S263" s="252"/>
    </row>
    <row r="264" spans="1:19" ht="18.95" customHeight="1">
      <c r="A264" s="425">
        <v>2.4500000000000002</v>
      </c>
      <c r="B264" s="122"/>
      <c r="C264" s="1323" t="s">
        <v>1037</v>
      </c>
      <c r="D264" s="1324"/>
      <c r="E264" s="267">
        <v>0</v>
      </c>
      <c r="F264" s="430" t="s">
        <v>348</v>
      </c>
      <c r="G264" s="267">
        <v>19.600000000000001</v>
      </c>
      <c r="H264" s="267">
        <f t="shared" si="28"/>
        <v>18.324197721200001</v>
      </c>
      <c r="I264" s="267">
        <f t="shared" si="29"/>
        <v>0</v>
      </c>
      <c r="J264" s="269">
        <v>4.4000000000000004</v>
      </c>
      <c r="K264" s="269">
        <f t="shared" ref="K264:K319" si="30">J264*O264</f>
        <v>4.1135954068</v>
      </c>
      <c r="L264" s="267">
        <f t="shared" ref="L264:L319" si="31">E264*K264</f>
        <v>0</v>
      </c>
      <c r="M264" s="267">
        <f t="shared" si="27"/>
        <v>0</v>
      </c>
      <c r="N264" s="268"/>
      <c r="O264" s="1163">
        <v>0.93490804699999996</v>
      </c>
      <c r="P264" s="973"/>
      <c r="Q264" s="862" t="s">
        <v>1038</v>
      </c>
      <c r="R264" s="252"/>
      <c r="S264" s="252"/>
    </row>
    <row r="265" spans="1:19" ht="18.95" customHeight="1">
      <c r="A265" s="425">
        <v>2.46</v>
      </c>
      <c r="B265" s="122"/>
      <c r="C265" s="1323" t="s">
        <v>1039</v>
      </c>
      <c r="D265" s="1324"/>
      <c r="E265" s="267">
        <v>319</v>
      </c>
      <c r="F265" s="430" t="s">
        <v>348</v>
      </c>
      <c r="G265" s="267">
        <v>19.7</v>
      </c>
      <c r="H265" s="267">
        <f t="shared" si="28"/>
        <v>18.417688525899997</v>
      </c>
      <c r="I265" s="267">
        <f t="shared" si="29"/>
        <v>5875.2426397620993</v>
      </c>
      <c r="J265" s="269">
        <v>3.6</v>
      </c>
      <c r="K265" s="269">
        <f t="shared" si="30"/>
        <v>3.3656689692000001</v>
      </c>
      <c r="L265" s="267">
        <f t="shared" si="31"/>
        <v>1073.6484011748</v>
      </c>
      <c r="M265" s="267">
        <f t="shared" si="27"/>
        <v>6948.8910409368991</v>
      </c>
      <c r="N265" s="268"/>
      <c r="O265" s="1163">
        <v>0.93490804699999996</v>
      </c>
      <c r="P265" s="973"/>
      <c r="Q265" s="862" t="s">
        <v>1038</v>
      </c>
      <c r="R265" s="252"/>
      <c r="S265" s="252"/>
    </row>
    <row r="266" spans="1:19" ht="18.95" customHeight="1">
      <c r="A266" s="425">
        <v>2.4700000000000002</v>
      </c>
      <c r="B266" s="122"/>
      <c r="C266" s="1323" t="s">
        <v>1040</v>
      </c>
      <c r="D266" s="1324"/>
      <c r="E266" s="267">
        <v>0</v>
      </c>
      <c r="F266" s="430" t="s">
        <v>348</v>
      </c>
      <c r="G266" s="267">
        <v>19.5</v>
      </c>
      <c r="H266" s="267">
        <f t="shared" si="28"/>
        <v>18.230706916500001</v>
      </c>
      <c r="I266" s="267">
        <f t="shared" si="29"/>
        <v>0</v>
      </c>
      <c r="J266" s="269">
        <v>3.6</v>
      </c>
      <c r="K266" s="269">
        <f t="shared" si="30"/>
        <v>3.3656689692000001</v>
      </c>
      <c r="L266" s="267">
        <f t="shared" si="31"/>
        <v>0</v>
      </c>
      <c r="M266" s="267">
        <f t="shared" si="27"/>
        <v>0</v>
      </c>
      <c r="N266" s="268"/>
      <c r="O266" s="1163">
        <v>0.93490804699999996</v>
      </c>
      <c r="P266" s="973"/>
      <c r="Q266" s="862" t="s">
        <v>1038</v>
      </c>
      <c r="R266" s="252"/>
      <c r="S266" s="252"/>
    </row>
    <row r="267" spans="1:19" ht="18.95" customHeight="1">
      <c r="A267" s="425">
        <v>2.48</v>
      </c>
      <c r="B267" s="122"/>
      <c r="C267" s="1323" t="s">
        <v>1041</v>
      </c>
      <c r="D267" s="1324"/>
      <c r="E267" s="267">
        <v>5.8</v>
      </c>
      <c r="F267" s="430" t="s">
        <v>348</v>
      </c>
      <c r="G267" s="269">
        <v>27.1</v>
      </c>
      <c r="H267" s="267">
        <f t="shared" si="28"/>
        <v>25.3360080737</v>
      </c>
      <c r="I267" s="267">
        <f t="shared" si="29"/>
        <v>146.94884682745999</v>
      </c>
      <c r="J267" s="267">
        <v>0</v>
      </c>
      <c r="K267" s="269">
        <f t="shared" si="30"/>
        <v>0</v>
      </c>
      <c r="L267" s="267">
        <f t="shared" si="31"/>
        <v>0</v>
      </c>
      <c r="M267" s="267">
        <f t="shared" si="27"/>
        <v>146.94884682745999</v>
      </c>
      <c r="N267" s="268"/>
      <c r="O267" s="1163">
        <v>0.93490804699999996</v>
      </c>
      <c r="P267" s="973"/>
      <c r="Q267" s="862" t="s">
        <v>1038</v>
      </c>
      <c r="R267" s="252"/>
      <c r="S267" s="252"/>
    </row>
    <row r="268" spans="1:19" ht="18.95" customHeight="1">
      <c r="A268" s="425">
        <v>2.4900000000000002</v>
      </c>
      <c r="B268" s="122"/>
      <c r="C268" s="1323" t="s">
        <v>1043</v>
      </c>
      <c r="D268" s="1324"/>
      <c r="E268" s="267"/>
      <c r="F268" s="430"/>
      <c r="G268" s="267"/>
      <c r="H268" s="267"/>
      <c r="I268" s="267"/>
      <c r="J268" s="269"/>
      <c r="K268" s="269"/>
      <c r="L268" s="267"/>
      <c r="M268" s="267"/>
      <c r="N268" s="268"/>
      <c r="O268" s="1163">
        <v>0.93490804699999996</v>
      </c>
      <c r="P268" s="973"/>
      <c r="Q268" s="252"/>
      <c r="R268" s="252"/>
      <c r="S268" s="252"/>
    </row>
    <row r="269" spans="1:19" ht="18.95" customHeight="1">
      <c r="A269" s="431"/>
      <c r="B269" s="329"/>
      <c r="C269" s="433" t="s">
        <v>1044</v>
      </c>
      <c r="E269" s="267">
        <v>9.06</v>
      </c>
      <c r="F269" s="434" t="s">
        <v>218</v>
      </c>
      <c r="G269" s="434">
        <v>245.2</v>
      </c>
      <c r="H269" s="267">
        <f t="shared" si="28"/>
        <v>229.23945312439997</v>
      </c>
      <c r="I269" s="267">
        <f t="shared" si="29"/>
        <v>2076.9094453070638</v>
      </c>
      <c r="J269" s="435">
        <v>0</v>
      </c>
      <c r="K269" s="269">
        <f t="shared" si="30"/>
        <v>0</v>
      </c>
      <c r="L269" s="267">
        <f t="shared" si="31"/>
        <v>0</v>
      </c>
      <c r="M269" s="267">
        <f t="shared" si="27"/>
        <v>2076.9094453070638</v>
      </c>
      <c r="N269" s="436"/>
      <c r="O269" s="1163">
        <v>0.93490804699999996</v>
      </c>
      <c r="P269" s="765"/>
      <c r="Q269" s="252"/>
      <c r="R269" s="252"/>
      <c r="S269" s="252"/>
    </row>
    <row r="270" spans="1:19" ht="18.95" customHeight="1">
      <c r="A270" s="431"/>
      <c r="B270" s="329"/>
      <c r="C270" s="433" t="s">
        <v>1045</v>
      </c>
      <c r="E270" s="267">
        <v>15.1</v>
      </c>
      <c r="F270" s="434" t="s">
        <v>218</v>
      </c>
      <c r="G270" s="434">
        <v>0</v>
      </c>
      <c r="H270" s="267">
        <f t="shared" si="28"/>
        <v>0</v>
      </c>
      <c r="I270" s="267">
        <f t="shared" si="29"/>
        <v>0</v>
      </c>
      <c r="J270" s="435">
        <v>121</v>
      </c>
      <c r="K270" s="269">
        <f t="shared" si="30"/>
        <v>113.123873687</v>
      </c>
      <c r="L270" s="267">
        <f t="shared" si="31"/>
        <v>1708.1704926737</v>
      </c>
      <c r="M270" s="267">
        <f t="shared" si="27"/>
        <v>1708.1704926737</v>
      </c>
      <c r="N270" s="436"/>
      <c r="O270" s="1163">
        <v>0.93490804699999996</v>
      </c>
      <c r="P270" s="765"/>
      <c r="Q270" s="252"/>
      <c r="R270" s="252"/>
      <c r="S270" s="252"/>
    </row>
    <row r="271" spans="1:19" ht="18.95" customHeight="1">
      <c r="A271" s="431"/>
      <c r="B271" s="329"/>
      <c r="C271" s="433" t="s">
        <v>1046</v>
      </c>
      <c r="E271" s="267">
        <v>2.7199999999999998</v>
      </c>
      <c r="F271" s="434" t="s">
        <v>1047</v>
      </c>
      <c r="G271" s="434">
        <v>309.42</v>
      </c>
      <c r="H271" s="267">
        <f t="shared" si="28"/>
        <v>289.27924790274</v>
      </c>
      <c r="I271" s="267">
        <f t="shared" si="29"/>
        <v>786.83955429545267</v>
      </c>
      <c r="J271" s="435">
        <v>0</v>
      </c>
      <c r="K271" s="269">
        <f t="shared" si="30"/>
        <v>0</v>
      </c>
      <c r="L271" s="267">
        <f t="shared" si="31"/>
        <v>0</v>
      </c>
      <c r="M271" s="267">
        <f t="shared" si="27"/>
        <v>786.83955429545267</v>
      </c>
      <c r="N271" s="436"/>
      <c r="O271" s="1163">
        <v>0.93490804699999996</v>
      </c>
      <c r="P271" s="765"/>
      <c r="Q271" s="252"/>
      <c r="R271" s="252"/>
      <c r="S271" s="252"/>
    </row>
    <row r="272" spans="1:19" ht="18.95" customHeight="1">
      <c r="A272" s="431"/>
      <c r="B272" s="329"/>
      <c r="C272" s="433" t="s">
        <v>1048</v>
      </c>
      <c r="E272" s="269">
        <v>2.27</v>
      </c>
      <c r="F272" s="434" t="s">
        <v>348</v>
      </c>
      <c r="G272" s="434">
        <v>23.36</v>
      </c>
      <c r="H272" s="267">
        <f t="shared" si="28"/>
        <v>21.83945197792</v>
      </c>
      <c r="I272" s="267">
        <f t="shared" si="29"/>
        <v>49.575555989878403</v>
      </c>
      <c r="J272" s="435">
        <v>0</v>
      </c>
      <c r="K272" s="269">
        <f t="shared" si="30"/>
        <v>0</v>
      </c>
      <c r="L272" s="267">
        <f t="shared" si="31"/>
        <v>0</v>
      </c>
      <c r="M272" s="267">
        <f t="shared" si="27"/>
        <v>49.575555989878403</v>
      </c>
      <c r="N272" s="436"/>
      <c r="O272" s="1163">
        <v>0.93490804699999996</v>
      </c>
      <c r="P272" s="765"/>
      <c r="Q272" s="862" t="s">
        <v>1038</v>
      </c>
      <c r="R272" s="252"/>
      <c r="S272" s="252"/>
    </row>
    <row r="273" spans="1:19" ht="18.95" customHeight="1">
      <c r="A273" s="425"/>
      <c r="B273" s="122"/>
      <c r="C273" s="1347" t="s">
        <v>1057</v>
      </c>
      <c r="D273" s="1348"/>
      <c r="E273" s="267"/>
      <c r="F273" s="427"/>
      <c r="G273" s="267"/>
      <c r="H273" s="267"/>
      <c r="I273" s="267"/>
      <c r="J273" s="269"/>
      <c r="K273" s="269"/>
      <c r="L273" s="267"/>
      <c r="M273" s="267"/>
      <c r="N273" s="268"/>
      <c r="O273" s="1163">
        <v>0.93490804699999996</v>
      </c>
      <c r="P273" s="973"/>
      <c r="Q273" s="252"/>
      <c r="R273" s="252"/>
      <c r="S273" s="252"/>
    </row>
    <row r="274" spans="1:19" ht="18.95" customHeight="1">
      <c r="A274" s="425">
        <v>2.5</v>
      </c>
      <c r="B274" s="122"/>
      <c r="C274" s="1331" t="s">
        <v>1073</v>
      </c>
      <c r="D274" s="1332"/>
      <c r="E274" s="267">
        <v>1317.4</v>
      </c>
      <c r="F274" s="430" t="s">
        <v>348</v>
      </c>
      <c r="G274" s="267">
        <v>31.66</v>
      </c>
      <c r="H274" s="267">
        <f t="shared" si="28"/>
        <v>29.599188768019999</v>
      </c>
      <c r="I274" s="267">
        <f t="shared" si="29"/>
        <v>38993.971282989551</v>
      </c>
      <c r="J274" s="267">
        <v>14</v>
      </c>
      <c r="K274" s="269">
        <f t="shared" si="30"/>
        <v>13.088712657999999</v>
      </c>
      <c r="L274" s="267">
        <f t="shared" si="31"/>
        <v>17243.070055649201</v>
      </c>
      <c r="M274" s="267">
        <f t="shared" ref="M274:M300" si="32">I274+L274</f>
        <v>56237.041338638752</v>
      </c>
      <c r="N274" s="268"/>
      <c r="O274" s="1163">
        <v>0.93490804699999996</v>
      </c>
      <c r="P274" s="973"/>
      <c r="Q274" s="252"/>
      <c r="R274" s="252"/>
      <c r="S274" s="252"/>
    </row>
    <row r="275" spans="1:19" ht="18.95" customHeight="1">
      <c r="A275" s="425">
        <v>2.5099999999999998</v>
      </c>
      <c r="B275" s="122"/>
      <c r="C275" s="1331" t="s">
        <v>1074</v>
      </c>
      <c r="D275" s="1332"/>
      <c r="E275" s="267">
        <v>20.6</v>
      </c>
      <c r="F275" s="430" t="s">
        <v>348</v>
      </c>
      <c r="G275" s="267">
        <v>24.97</v>
      </c>
      <c r="H275" s="267">
        <f t="shared" si="28"/>
        <v>23.344653933589999</v>
      </c>
      <c r="I275" s="267">
        <f t="shared" si="29"/>
        <v>480.89987103195404</v>
      </c>
      <c r="J275" s="267">
        <v>14</v>
      </c>
      <c r="K275" s="269">
        <f t="shared" si="30"/>
        <v>13.088712657999999</v>
      </c>
      <c r="L275" s="267">
        <f t="shared" si="31"/>
        <v>269.62748075479999</v>
      </c>
      <c r="M275" s="267">
        <f t="shared" si="32"/>
        <v>750.52735178675402</v>
      </c>
      <c r="N275" s="268"/>
      <c r="O275" s="1163">
        <v>0.93490804699999996</v>
      </c>
      <c r="P275" s="973"/>
      <c r="Q275" s="252"/>
      <c r="R275" s="252"/>
      <c r="S275" s="252"/>
    </row>
    <row r="276" spans="1:19" ht="18.95" customHeight="1">
      <c r="A276" s="204"/>
      <c r="B276" s="122"/>
      <c r="C276" s="1329" t="s">
        <v>1061</v>
      </c>
      <c r="D276" s="1330"/>
      <c r="E276" s="267"/>
      <c r="F276" s="430"/>
      <c r="G276" s="267"/>
      <c r="H276" s="267"/>
      <c r="I276" s="267"/>
      <c r="J276" s="267"/>
      <c r="K276" s="269"/>
      <c r="L276" s="267"/>
      <c r="M276" s="267"/>
      <c r="N276" s="270"/>
      <c r="O276" s="1163">
        <v>0.93490804699999996</v>
      </c>
      <c r="P276" s="976"/>
      <c r="Q276" s="252"/>
      <c r="R276" s="252"/>
      <c r="S276" s="252"/>
    </row>
    <row r="277" spans="1:19" ht="18.95" customHeight="1">
      <c r="A277" s="425">
        <v>2.52</v>
      </c>
      <c r="B277" s="122"/>
      <c r="C277" s="428" t="s">
        <v>1062</v>
      </c>
      <c r="D277" s="429"/>
      <c r="E277" s="267">
        <v>67.5</v>
      </c>
      <c r="F277" s="430" t="s">
        <v>218</v>
      </c>
      <c r="G277" s="267">
        <v>28.02</v>
      </c>
      <c r="H277" s="267">
        <f t="shared" si="28"/>
        <v>26.196123476939999</v>
      </c>
      <c r="I277" s="267">
        <f t="shared" si="29"/>
        <v>1768.2383346934498</v>
      </c>
      <c r="J277" s="267">
        <v>30</v>
      </c>
      <c r="K277" s="269">
        <f t="shared" si="30"/>
        <v>28.047241409999998</v>
      </c>
      <c r="L277" s="267">
        <f t="shared" si="31"/>
        <v>1893.1887951749998</v>
      </c>
      <c r="M277" s="267">
        <f t="shared" si="32"/>
        <v>3661.4271298684498</v>
      </c>
      <c r="N277" s="270"/>
      <c r="O277" s="1163">
        <v>0.93490804699999996</v>
      </c>
      <c r="P277" s="976"/>
      <c r="Q277" s="252"/>
      <c r="R277" s="252"/>
      <c r="S277" s="252"/>
    </row>
    <row r="278" spans="1:19" ht="18.95" customHeight="1">
      <c r="A278" s="425">
        <v>2.5299999999999998</v>
      </c>
      <c r="B278" s="122"/>
      <c r="C278" s="428" t="s">
        <v>1063</v>
      </c>
      <c r="D278" s="429"/>
      <c r="E278" s="267">
        <v>67.5</v>
      </c>
      <c r="F278" s="430" t="s">
        <v>218</v>
      </c>
      <c r="G278" s="267">
        <v>32.32</v>
      </c>
      <c r="H278" s="267">
        <f t="shared" si="28"/>
        <v>30.21622807904</v>
      </c>
      <c r="I278" s="267">
        <f t="shared" si="29"/>
        <v>2039.5953953352</v>
      </c>
      <c r="J278" s="267">
        <v>35</v>
      </c>
      <c r="K278" s="269">
        <f t="shared" si="30"/>
        <v>32.721781645</v>
      </c>
      <c r="L278" s="267">
        <f t="shared" si="31"/>
        <v>2208.7202610375002</v>
      </c>
      <c r="M278" s="267">
        <f t="shared" si="32"/>
        <v>4248.3156563727007</v>
      </c>
      <c r="N278" s="270"/>
      <c r="O278" s="1163">
        <v>0.93490804699999996</v>
      </c>
      <c r="P278" s="976"/>
      <c r="Q278" s="862" t="s">
        <v>1038</v>
      </c>
      <c r="R278" s="252"/>
      <c r="S278" s="252"/>
    </row>
    <row r="279" spans="1:19" ht="18.95" customHeight="1">
      <c r="A279" s="425"/>
      <c r="B279" s="122"/>
      <c r="C279" s="428"/>
      <c r="D279" s="429"/>
      <c r="E279" s="267"/>
      <c r="F279" s="427"/>
      <c r="G279" s="267"/>
      <c r="H279" s="267"/>
      <c r="I279" s="267"/>
      <c r="J279" s="267"/>
      <c r="K279" s="269"/>
      <c r="L279" s="267"/>
      <c r="M279" s="267"/>
      <c r="N279" s="270"/>
      <c r="O279" s="1163">
        <v>0.93490804699999996</v>
      </c>
      <c r="P279" s="976"/>
      <c r="Q279" s="252"/>
      <c r="R279" s="252"/>
      <c r="S279" s="252"/>
    </row>
    <row r="280" spans="1:19" ht="18.95" customHeight="1">
      <c r="A280" s="425"/>
      <c r="B280" s="122"/>
      <c r="C280" s="1347" t="s">
        <v>1068</v>
      </c>
      <c r="D280" s="1348"/>
      <c r="E280" s="267"/>
      <c r="F280" s="427"/>
      <c r="G280" s="267"/>
      <c r="H280" s="267"/>
      <c r="I280" s="267"/>
      <c r="J280" s="269"/>
      <c r="K280" s="269"/>
      <c r="L280" s="267"/>
      <c r="M280" s="267"/>
      <c r="N280" s="270"/>
      <c r="O280" s="1163">
        <v>0.93490804699999996</v>
      </c>
      <c r="P280" s="976"/>
      <c r="Q280" s="252"/>
      <c r="R280" s="252"/>
      <c r="S280" s="252"/>
    </row>
    <row r="281" spans="1:19" ht="18.95" customHeight="1">
      <c r="A281" s="425"/>
      <c r="B281" s="122"/>
      <c r="C281" s="1347" t="s">
        <v>1052</v>
      </c>
      <c r="D281" s="1348"/>
      <c r="E281" s="267"/>
      <c r="F281" s="427"/>
      <c r="G281" s="267"/>
      <c r="H281" s="267"/>
      <c r="I281" s="267"/>
      <c r="J281" s="269"/>
      <c r="K281" s="269"/>
      <c r="L281" s="267"/>
      <c r="M281" s="267"/>
      <c r="N281" s="270"/>
      <c r="O281" s="1163">
        <v>0.93490804699999996</v>
      </c>
      <c r="P281" s="976"/>
      <c r="Q281" s="252"/>
      <c r="R281" s="252"/>
      <c r="S281" s="252"/>
    </row>
    <row r="282" spans="1:19" ht="18.95" customHeight="1">
      <c r="A282" s="425">
        <v>2.54</v>
      </c>
      <c r="B282" s="122"/>
      <c r="C282" s="1331" t="s">
        <v>1073</v>
      </c>
      <c r="D282" s="1332"/>
      <c r="E282" s="267">
        <v>1361.3</v>
      </c>
      <c r="F282" s="430" t="s">
        <v>348</v>
      </c>
      <c r="G282" s="267">
        <v>31.66</v>
      </c>
      <c r="H282" s="267">
        <f t="shared" si="28"/>
        <v>29.599188768019999</v>
      </c>
      <c r="I282" s="267">
        <f t="shared" si="29"/>
        <v>40293.375669905625</v>
      </c>
      <c r="J282" s="267">
        <v>14</v>
      </c>
      <c r="K282" s="269">
        <f t="shared" si="30"/>
        <v>13.088712657999999</v>
      </c>
      <c r="L282" s="267">
        <f t="shared" si="31"/>
        <v>17817.664541335398</v>
      </c>
      <c r="M282" s="267">
        <f t="shared" si="32"/>
        <v>58111.040211241023</v>
      </c>
      <c r="N282" s="270"/>
      <c r="O282" s="1163">
        <v>0.93490804699999996</v>
      </c>
      <c r="P282" s="976"/>
      <c r="Q282" s="252"/>
      <c r="R282" s="252"/>
      <c r="S282" s="252"/>
    </row>
    <row r="283" spans="1:19" ht="18.95" customHeight="1">
      <c r="A283" s="425"/>
      <c r="B283" s="122"/>
      <c r="C283" s="1347" t="s">
        <v>1054</v>
      </c>
      <c r="D283" s="1348"/>
      <c r="E283" s="267"/>
      <c r="F283" s="427"/>
      <c r="G283" s="267"/>
      <c r="H283" s="267"/>
      <c r="I283" s="267"/>
      <c r="J283" s="269"/>
      <c r="K283" s="269"/>
      <c r="L283" s="267"/>
      <c r="M283" s="267"/>
      <c r="N283" s="268"/>
      <c r="O283" s="1163">
        <v>0.93490804699999996</v>
      </c>
      <c r="P283" s="973"/>
      <c r="Q283" s="252"/>
      <c r="R283" s="252"/>
      <c r="S283" s="252"/>
    </row>
    <row r="284" spans="1:19" ht="18.95" customHeight="1">
      <c r="A284" s="425">
        <v>2.5499999999999998</v>
      </c>
      <c r="B284" s="122"/>
      <c r="C284" s="1331" t="s">
        <v>1081</v>
      </c>
      <c r="D284" s="1332"/>
      <c r="E284" s="267">
        <v>3</v>
      </c>
      <c r="F284" s="430" t="s">
        <v>1032</v>
      </c>
      <c r="G284" s="267">
        <v>2507</v>
      </c>
      <c r="H284" s="267">
        <f t="shared" si="28"/>
        <v>2343.8144738289998</v>
      </c>
      <c r="I284" s="267">
        <f t="shared" si="29"/>
        <v>7031.4434214869998</v>
      </c>
      <c r="J284" s="267">
        <v>519</v>
      </c>
      <c r="K284" s="269">
        <f t="shared" si="30"/>
        <v>485.21727639299996</v>
      </c>
      <c r="L284" s="267">
        <f t="shared" si="31"/>
        <v>1455.6518291789998</v>
      </c>
      <c r="M284" s="267">
        <f t="shared" si="32"/>
        <v>8487.0952506659996</v>
      </c>
      <c r="N284" s="268"/>
      <c r="O284" s="1163">
        <v>0.93490804699999996</v>
      </c>
      <c r="P284" s="973"/>
      <c r="Q284" s="252"/>
      <c r="R284" s="252"/>
      <c r="S284" s="252"/>
    </row>
    <row r="285" spans="1:19" ht="18.95" customHeight="1">
      <c r="A285" s="425"/>
      <c r="B285" s="122"/>
      <c r="C285" s="1341" t="s">
        <v>1036</v>
      </c>
      <c r="D285" s="1342"/>
      <c r="E285" s="267"/>
      <c r="F285" s="430"/>
      <c r="G285" s="267"/>
      <c r="H285" s="267"/>
      <c r="I285" s="267"/>
      <c r="J285" s="269"/>
      <c r="K285" s="269"/>
      <c r="L285" s="267"/>
      <c r="M285" s="267"/>
      <c r="N285" s="268"/>
      <c r="O285" s="1163">
        <v>0.93490804699999996</v>
      </c>
      <c r="P285" s="973"/>
      <c r="Q285" s="252"/>
      <c r="R285" s="252"/>
      <c r="S285" s="252"/>
    </row>
    <row r="286" spans="1:19" ht="18.95" customHeight="1">
      <c r="A286" s="425">
        <v>2.56</v>
      </c>
      <c r="B286" s="122"/>
      <c r="C286" s="1323" t="s">
        <v>1037</v>
      </c>
      <c r="D286" s="1324"/>
      <c r="E286" s="267">
        <v>0</v>
      </c>
      <c r="F286" s="430" t="s">
        <v>348</v>
      </c>
      <c r="G286" s="267">
        <v>19.600000000000001</v>
      </c>
      <c r="H286" s="267">
        <f t="shared" si="28"/>
        <v>18.324197721200001</v>
      </c>
      <c r="I286" s="267">
        <f t="shared" si="29"/>
        <v>0</v>
      </c>
      <c r="J286" s="269">
        <v>4.4000000000000004</v>
      </c>
      <c r="K286" s="269">
        <f t="shared" si="30"/>
        <v>4.1135954068</v>
      </c>
      <c r="L286" s="267">
        <f t="shared" si="31"/>
        <v>0</v>
      </c>
      <c r="M286" s="267">
        <f t="shared" si="32"/>
        <v>0</v>
      </c>
      <c r="N286" s="268"/>
      <c r="O286" s="1163">
        <v>0.93490804699999996</v>
      </c>
      <c r="P286" s="973"/>
      <c r="Q286" s="862" t="s">
        <v>1038</v>
      </c>
      <c r="R286" s="252"/>
      <c r="S286" s="252"/>
    </row>
    <row r="287" spans="1:19" ht="18.95" customHeight="1">
      <c r="A287" s="425">
        <v>2.57</v>
      </c>
      <c r="B287" s="122"/>
      <c r="C287" s="1323" t="s">
        <v>1039</v>
      </c>
      <c r="D287" s="1324"/>
      <c r="E287" s="267">
        <v>319</v>
      </c>
      <c r="F287" s="430" t="s">
        <v>348</v>
      </c>
      <c r="G287" s="267">
        <v>19.7</v>
      </c>
      <c r="H287" s="267">
        <f t="shared" si="28"/>
        <v>18.417688525899997</v>
      </c>
      <c r="I287" s="267">
        <f t="shared" si="29"/>
        <v>5875.2426397620993</v>
      </c>
      <c r="J287" s="269">
        <v>3.6</v>
      </c>
      <c r="K287" s="269">
        <f t="shared" si="30"/>
        <v>3.3656689692000001</v>
      </c>
      <c r="L287" s="267">
        <f t="shared" si="31"/>
        <v>1073.6484011748</v>
      </c>
      <c r="M287" s="267">
        <f t="shared" si="32"/>
        <v>6948.8910409368991</v>
      </c>
      <c r="N287" s="268"/>
      <c r="O287" s="1163">
        <v>0.93490804699999996</v>
      </c>
      <c r="P287" s="973"/>
      <c r="Q287" s="862" t="s">
        <v>1038</v>
      </c>
      <c r="R287" s="252"/>
      <c r="S287" s="252"/>
    </row>
    <row r="288" spans="1:19" ht="18.95" customHeight="1">
      <c r="A288" s="425">
        <v>2.58</v>
      </c>
      <c r="B288" s="122"/>
      <c r="C288" s="1323" t="s">
        <v>1040</v>
      </c>
      <c r="D288" s="1324"/>
      <c r="E288" s="267">
        <v>0</v>
      </c>
      <c r="F288" s="430" t="s">
        <v>348</v>
      </c>
      <c r="G288" s="267">
        <v>19.5</v>
      </c>
      <c r="H288" s="267">
        <f t="shared" si="28"/>
        <v>18.230706916500001</v>
      </c>
      <c r="I288" s="267">
        <f t="shared" si="29"/>
        <v>0</v>
      </c>
      <c r="J288" s="269">
        <v>3.6</v>
      </c>
      <c r="K288" s="269">
        <f t="shared" si="30"/>
        <v>3.3656689692000001</v>
      </c>
      <c r="L288" s="267">
        <f t="shared" si="31"/>
        <v>0</v>
      </c>
      <c r="M288" s="267">
        <f t="shared" si="32"/>
        <v>0</v>
      </c>
      <c r="N288" s="268"/>
      <c r="O288" s="1163">
        <v>0.93490804699999996</v>
      </c>
      <c r="P288" s="973"/>
      <c r="Q288" s="862" t="s">
        <v>1038</v>
      </c>
      <c r="R288" s="252"/>
      <c r="S288" s="252"/>
    </row>
    <row r="289" spans="1:19" ht="18.95" customHeight="1">
      <c r="A289" s="425">
        <v>2.59</v>
      </c>
      <c r="B289" s="122"/>
      <c r="C289" s="1323" t="s">
        <v>1041</v>
      </c>
      <c r="D289" s="1324"/>
      <c r="E289" s="267">
        <v>5.8</v>
      </c>
      <c r="F289" s="430" t="s">
        <v>348</v>
      </c>
      <c r="G289" s="269">
        <v>27.1</v>
      </c>
      <c r="H289" s="267">
        <f t="shared" si="28"/>
        <v>25.3360080737</v>
      </c>
      <c r="I289" s="267">
        <f t="shared" si="29"/>
        <v>146.94884682745999</v>
      </c>
      <c r="J289" s="267">
        <v>0</v>
      </c>
      <c r="K289" s="269">
        <f t="shared" si="30"/>
        <v>0</v>
      </c>
      <c r="L289" s="267">
        <f t="shared" si="31"/>
        <v>0</v>
      </c>
      <c r="M289" s="267">
        <f t="shared" si="32"/>
        <v>146.94884682745999</v>
      </c>
      <c r="N289" s="268"/>
      <c r="O289" s="1163">
        <v>0.93490804699999996</v>
      </c>
      <c r="P289" s="973"/>
      <c r="Q289" s="862" t="s">
        <v>1038</v>
      </c>
      <c r="R289" s="252"/>
      <c r="S289" s="252"/>
    </row>
    <row r="290" spans="1:19" ht="18.95" customHeight="1">
      <c r="A290" s="425">
        <v>2.6</v>
      </c>
      <c r="B290" s="122"/>
      <c r="C290" s="1323" t="s">
        <v>1043</v>
      </c>
      <c r="D290" s="1324"/>
      <c r="E290" s="267"/>
      <c r="F290" s="430"/>
      <c r="G290" s="267"/>
      <c r="H290" s="267"/>
      <c r="I290" s="267"/>
      <c r="J290" s="269"/>
      <c r="K290" s="269"/>
      <c r="L290" s="267"/>
      <c r="M290" s="267"/>
      <c r="N290" s="268"/>
      <c r="O290" s="1163">
        <v>0.93490804699999996</v>
      </c>
      <c r="P290" s="973"/>
      <c r="Q290" s="862"/>
      <c r="R290" s="252"/>
      <c r="S290" s="252"/>
    </row>
    <row r="291" spans="1:19" ht="18.95" customHeight="1">
      <c r="A291" s="431"/>
      <c r="B291" s="329"/>
      <c r="C291" s="433" t="s">
        <v>1044</v>
      </c>
      <c r="E291" s="267">
        <v>9.06</v>
      </c>
      <c r="F291" s="434" t="s">
        <v>218</v>
      </c>
      <c r="G291" s="434">
        <v>245.2</v>
      </c>
      <c r="H291" s="267">
        <f t="shared" si="28"/>
        <v>229.23945312439997</v>
      </c>
      <c r="I291" s="267">
        <f t="shared" si="29"/>
        <v>2076.9094453070638</v>
      </c>
      <c r="J291" s="435">
        <v>0</v>
      </c>
      <c r="K291" s="269">
        <f t="shared" si="30"/>
        <v>0</v>
      </c>
      <c r="L291" s="267">
        <f t="shared" si="31"/>
        <v>0</v>
      </c>
      <c r="M291" s="267">
        <f t="shared" si="32"/>
        <v>2076.9094453070638</v>
      </c>
      <c r="N291" s="436"/>
      <c r="O291" s="1163">
        <v>0.93490804699999996</v>
      </c>
      <c r="P291" s="765"/>
      <c r="Q291" s="252"/>
      <c r="R291" s="252"/>
      <c r="S291" s="252"/>
    </row>
    <row r="292" spans="1:19" ht="18.95" customHeight="1">
      <c r="A292" s="431"/>
      <c r="B292" s="329"/>
      <c r="C292" s="433" t="s">
        <v>1045</v>
      </c>
      <c r="E292" s="267">
        <v>15.1</v>
      </c>
      <c r="F292" s="434" t="s">
        <v>218</v>
      </c>
      <c r="G292" s="434">
        <v>0</v>
      </c>
      <c r="H292" s="267">
        <f t="shared" si="28"/>
        <v>0</v>
      </c>
      <c r="I292" s="267">
        <f t="shared" si="29"/>
        <v>0</v>
      </c>
      <c r="J292" s="435">
        <v>121</v>
      </c>
      <c r="K292" s="269">
        <f t="shared" si="30"/>
        <v>113.123873687</v>
      </c>
      <c r="L292" s="267">
        <f t="shared" si="31"/>
        <v>1708.1704926737</v>
      </c>
      <c r="M292" s="267">
        <f t="shared" si="32"/>
        <v>1708.1704926737</v>
      </c>
      <c r="N292" s="436"/>
      <c r="O292" s="1163">
        <v>0.93490804699999996</v>
      </c>
      <c r="P292" s="765"/>
      <c r="Q292" s="252"/>
      <c r="R292" s="252"/>
      <c r="S292" s="252"/>
    </row>
    <row r="293" spans="1:19" ht="18.95" customHeight="1">
      <c r="A293" s="431"/>
      <c r="B293" s="329"/>
      <c r="C293" s="433" t="s">
        <v>1046</v>
      </c>
      <c r="E293" s="267">
        <v>2.7199999999999998</v>
      </c>
      <c r="F293" s="434" t="s">
        <v>1047</v>
      </c>
      <c r="G293" s="434">
        <v>309.42</v>
      </c>
      <c r="H293" s="267">
        <f t="shared" si="28"/>
        <v>289.27924790274</v>
      </c>
      <c r="I293" s="267">
        <f t="shared" si="29"/>
        <v>786.83955429545267</v>
      </c>
      <c r="J293" s="435">
        <v>0</v>
      </c>
      <c r="K293" s="269">
        <f t="shared" si="30"/>
        <v>0</v>
      </c>
      <c r="L293" s="267">
        <f t="shared" si="31"/>
        <v>0</v>
      </c>
      <c r="M293" s="267">
        <f t="shared" si="32"/>
        <v>786.83955429545267</v>
      </c>
      <c r="N293" s="436"/>
      <c r="O293" s="1163">
        <v>0.93490804699999996</v>
      </c>
      <c r="P293" s="765"/>
      <c r="Q293" s="252"/>
      <c r="R293" s="252"/>
      <c r="S293" s="252"/>
    </row>
    <row r="294" spans="1:19" ht="18.95" customHeight="1">
      <c r="A294" s="431"/>
      <c r="B294" s="329"/>
      <c r="C294" s="433" t="s">
        <v>1048</v>
      </c>
      <c r="E294" s="269">
        <v>2.27</v>
      </c>
      <c r="F294" s="434" t="s">
        <v>348</v>
      </c>
      <c r="G294" s="434">
        <v>23.36</v>
      </c>
      <c r="H294" s="267">
        <f t="shared" si="28"/>
        <v>21.83945197792</v>
      </c>
      <c r="I294" s="267">
        <f t="shared" si="29"/>
        <v>49.575555989878403</v>
      </c>
      <c r="J294" s="435">
        <v>0</v>
      </c>
      <c r="K294" s="269">
        <f t="shared" si="30"/>
        <v>0</v>
      </c>
      <c r="L294" s="267">
        <f t="shared" si="31"/>
        <v>0</v>
      </c>
      <c r="M294" s="267">
        <f t="shared" si="32"/>
        <v>49.575555989878403</v>
      </c>
      <c r="N294" s="436"/>
      <c r="O294" s="1163">
        <v>0.93490804699999996</v>
      </c>
      <c r="P294" s="765"/>
      <c r="Q294" s="862" t="s">
        <v>1038</v>
      </c>
      <c r="R294" s="252"/>
      <c r="S294" s="252"/>
    </row>
    <row r="295" spans="1:19" ht="18.95" customHeight="1">
      <c r="A295" s="425"/>
      <c r="B295" s="122"/>
      <c r="C295" s="1347" t="s">
        <v>1057</v>
      </c>
      <c r="D295" s="1348"/>
      <c r="E295" s="267"/>
      <c r="F295" s="427"/>
      <c r="G295" s="267"/>
      <c r="H295" s="267"/>
      <c r="I295" s="267"/>
      <c r="J295" s="269"/>
      <c r="K295" s="269"/>
      <c r="L295" s="267"/>
      <c r="M295" s="267"/>
      <c r="N295" s="268"/>
      <c r="O295" s="1163">
        <v>0.93490804699999996</v>
      </c>
      <c r="P295" s="973"/>
      <c r="Q295" s="252"/>
      <c r="R295" s="252"/>
      <c r="S295" s="252"/>
    </row>
    <row r="296" spans="1:19" ht="18.95" customHeight="1">
      <c r="A296" s="425">
        <v>2.61</v>
      </c>
      <c r="B296" s="122"/>
      <c r="C296" s="1331" t="s">
        <v>1073</v>
      </c>
      <c r="D296" s="1332"/>
      <c r="E296" s="267">
        <v>1284.4000000000001</v>
      </c>
      <c r="F296" s="430" t="s">
        <v>348</v>
      </c>
      <c r="G296" s="267">
        <v>31.66</v>
      </c>
      <c r="H296" s="267">
        <f t="shared" si="28"/>
        <v>29.599188768019999</v>
      </c>
      <c r="I296" s="267">
        <f t="shared" si="29"/>
        <v>38017.19805364489</v>
      </c>
      <c r="J296" s="267">
        <v>14</v>
      </c>
      <c r="K296" s="269">
        <f t="shared" si="30"/>
        <v>13.088712657999999</v>
      </c>
      <c r="L296" s="267">
        <f t="shared" si="31"/>
        <v>16811.1425379352</v>
      </c>
      <c r="M296" s="267">
        <f t="shared" si="32"/>
        <v>54828.34059158009</v>
      </c>
      <c r="N296" s="268"/>
      <c r="O296" s="1163">
        <v>0.93490804699999996</v>
      </c>
      <c r="P296" s="973"/>
      <c r="Q296" s="252"/>
      <c r="R296" s="252"/>
      <c r="S296" s="252"/>
    </row>
    <row r="297" spans="1:19" ht="18.95" customHeight="1">
      <c r="A297" s="425">
        <v>2.62</v>
      </c>
      <c r="B297" s="122"/>
      <c r="C297" s="1331" t="s">
        <v>1074</v>
      </c>
      <c r="D297" s="1332"/>
      <c r="E297" s="267">
        <v>20.6</v>
      </c>
      <c r="F297" s="430" t="s">
        <v>348</v>
      </c>
      <c r="G297" s="267">
        <v>24.97</v>
      </c>
      <c r="H297" s="267">
        <f t="shared" si="28"/>
        <v>23.344653933589999</v>
      </c>
      <c r="I297" s="267">
        <f t="shared" si="29"/>
        <v>480.89987103195404</v>
      </c>
      <c r="J297" s="267">
        <v>14</v>
      </c>
      <c r="K297" s="269">
        <f t="shared" si="30"/>
        <v>13.088712657999999</v>
      </c>
      <c r="L297" s="267">
        <f t="shared" si="31"/>
        <v>269.62748075479999</v>
      </c>
      <c r="M297" s="267">
        <f t="shared" si="32"/>
        <v>750.52735178675402</v>
      </c>
      <c r="N297" s="268"/>
      <c r="O297" s="1163">
        <v>0.93490804699999996</v>
      </c>
      <c r="P297" s="973"/>
      <c r="Q297" s="252"/>
      <c r="R297" s="252"/>
      <c r="S297" s="252"/>
    </row>
    <row r="298" spans="1:19" ht="18.95" customHeight="1">
      <c r="A298" s="204"/>
      <c r="B298" s="122"/>
      <c r="C298" s="1329" t="s">
        <v>1061</v>
      </c>
      <c r="D298" s="1330"/>
      <c r="E298" s="267"/>
      <c r="F298" s="430"/>
      <c r="G298" s="267"/>
      <c r="H298" s="267"/>
      <c r="I298" s="267"/>
      <c r="J298" s="267"/>
      <c r="K298" s="269"/>
      <c r="L298" s="267"/>
      <c r="M298" s="267"/>
      <c r="N298" s="268"/>
      <c r="O298" s="1163">
        <v>0.93490804699999996</v>
      </c>
      <c r="P298" s="973"/>
      <c r="Q298" s="252"/>
      <c r="R298" s="252"/>
      <c r="S298" s="252"/>
    </row>
    <row r="299" spans="1:19" ht="18.95" customHeight="1">
      <c r="A299" s="425">
        <v>2.63</v>
      </c>
      <c r="B299" s="122"/>
      <c r="C299" s="428" t="s">
        <v>1062</v>
      </c>
      <c r="D299" s="429"/>
      <c r="E299" s="267">
        <v>66.7</v>
      </c>
      <c r="F299" s="430" t="s">
        <v>218</v>
      </c>
      <c r="G299" s="267">
        <v>28.02</v>
      </c>
      <c r="H299" s="267">
        <f t="shared" si="28"/>
        <v>26.196123476939999</v>
      </c>
      <c r="I299" s="267">
        <f t="shared" si="29"/>
        <v>1747.2814359118979</v>
      </c>
      <c r="J299" s="267">
        <v>30</v>
      </c>
      <c r="K299" s="269">
        <f t="shared" si="30"/>
        <v>28.047241409999998</v>
      </c>
      <c r="L299" s="267">
        <f t="shared" si="31"/>
        <v>1870.7510020469999</v>
      </c>
      <c r="M299" s="267">
        <f t="shared" si="32"/>
        <v>3618.0324379588978</v>
      </c>
      <c r="N299" s="268"/>
      <c r="O299" s="1163">
        <v>0.93490804699999996</v>
      </c>
      <c r="P299" s="973"/>
      <c r="Q299" s="252"/>
      <c r="R299" s="252"/>
      <c r="S299" s="252"/>
    </row>
    <row r="300" spans="1:19" ht="18.95" customHeight="1">
      <c r="A300" s="425">
        <v>2.64</v>
      </c>
      <c r="B300" s="122"/>
      <c r="C300" s="428" t="s">
        <v>1063</v>
      </c>
      <c r="D300" s="429"/>
      <c r="E300" s="267">
        <v>66.7</v>
      </c>
      <c r="F300" s="430" t="s">
        <v>218</v>
      </c>
      <c r="G300" s="267">
        <v>32.32</v>
      </c>
      <c r="H300" s="267">
        <f t="shared" si="28"/>
        <v>30.21622807904</v>
      </c>
      <c r="I300" s="267">
        <f t="shared" si="29"/>
        <v>2015.4224128719682</v>
      </c>
      <c r="J300" s="267">
        <v>35</v>
      </c>
      <c r="K300" s="269">
        <f t="shared" si="30"/>
        <v>32.721781645</v>
      </c>
      <c r="L300" s="267">
        <f t="shared" si="31"/>
        <v>2182.5428357215001</v>
      </c>
      <c r="M300" s="267">
        <f t="shared" si="32"/>
        <v>4197.9652485934685</v>
      </c>
      <c r="N300" s="268"/>
      <c r="O300" s="1163">
        <v>0.93490804699999996</v>
      </c>
      <c r="P300" s="973"/>
      <c r="Q300" s="862" t="s">
        <v>1038</v>
      </c>
      <c r="R300" s="252"/>
      <c r="S300" s="252"/>
    </row>
    <row r="301" spans="1:19" ht="18.95" customHeight="1">
      <c r="A301" s="425"/>
      <c r="B301" s="122"/>
      <c r="C301" s="1347" t="s">
        <v>1069</v>
      </c>
      <c r="D301" s="1348"/>
      <c r="E301" s="267"/>
      <c r="F301" s="427"/>
      <c r="G301" s="267"/>
      <c r="H301" s="267"/>
      <c r="I301" s="267"/>
      <c r="J301" s="269"/>
      <c r="K301" s="269"/>
      <c r="L301" s="267"/>
      <c r="M301" s="270"/>
      <c r="N301" s="268"/>
      <c r="O301" s="1163">
        <v>0.93490804699999996</v>
      </c>
      <c r="P301" s="973"/>
      <c r="Q301" s="252"/>
      <c r="R301" s="252"/>
      <c r="S301" s="252"/>
    </row>
    <row r="302" spans="1:19" ht="18.95" customHeight="1">
      <c r="A302" s="425"/>
      <c r="B302" s="122"/>
      <c r="C302" s="1347" t="s">
        <v>1052</v>
      </c>
      <c r="D302" s="1348"/>
      <c r="E302" s="267"/>
      <c r="F302" s="427"/>
      <c r="G302" s="267"/>
      <c r="H302" s="267"/>
      <c r="I302" s="267"/>
      <c r="J302" s="269"/>
      <c r="K302" s="269"/>
      <c r="L302" s="267"/>
      <c r="M302" s="270"/>
      <c r="N302" s="270"/>
      <c r="O302" s="1163">
        <v>0.93490804699999996</v>
      </c>
      <c r="P302" s="976"/>
      <c r="Q302" s="252"/>
      <c r="R302" s="252"/>
      <c r="S302" s="252"/>
    </row>
    <row r="303" spans="1:19" ht="18.95" customHeight="1">
      <c r="A303" s="425">
        <v>2.65</v>
      </c>
      <c r="B303" s="122"/>
      <c r="C303" s="1331" t="s">
        <v>1073</v>
      </c>
      <c r="D303" s="1332"/>
      <c r="E303" s="267">
        <v>988</v>
      </c>
      <c r="F303" s="430" t="s">
        <v>348</v>
      </c>
      <c r="G303" s="267">
        <v>31.66</v>
      </c>
      <c r="H303" s="267">
        <f t="shared" si="28"/>
        <v>29.599188768019999</v>
      </c>
      <c r="I303" s="267">
        <f t="shared" si="29"/>
        <v>29243.998502803759</v>
      </c>
      <c r="J303" s="267">
        <v>14</v>
      </c>
      <c r="K303" s="269">
        <f t="shared" si="30"/>
        <v>13.088712657999999</v>
      </c>
      <c r="L303" s="267">
        <f t="shared" si="31"/>
        <v>12931.648106103999</v>
      </c>
      <c r="M303" s="270">
        <f>I303+L303</f>
        <v>42175.646608907758</v>
      </c>
      <c r="N303" s="270"/>
      <c r="O303" s="1163">
        <v>0.93490804699999996</v>
      </c>
      <c r="P303" s="976"/>
      <c r="Q303" s="252"/>
      <c r="R303" s="252"/>
      <c r="S303" s="252"/>
    </row>
    <row r="304" spans="1:19" ht="18.95" customHeight="1">
      <c r="A304" s="204"/>
      <c r="B304" s="122"/>
      <c r="C304" s="1329" t="s">
        <v>1061</v>
      </c>
      <c r="D304" s="1330"/>
      <c r="E304" s="267"/>
      <c r="F304" s="430"/>
      <c r="G304" s="267">
        <v>0</v>
      </c>
      <c r="H304" s="267">
        <f t="shared" si="28"/>
        <v>0</v>
      </c>
      <c r="I304" s="267">
        <f t="shared" si="29"/>
        <v>0</v>
      </c>
      <c r="J304" s="267">
        <v>0</v>
      </c>
      <c r="K304" s="269">
        <f t="shared" si="30"/>
        <v>0</v>
      </c>
      <c r="L304" s="267">
        <f t="shared" si="31"/>
        <v>0</v>
      </c>
      <c r="M304" s="270">
        <f>I304+L304</f>
        <v>0</v>
      </c>
      <c r="N304" s="270"/>
      <c r="O304" s="1163">
        <v>0.93490804699999996</v>
      </c>
      <c r="P304" s="976"/>
      <c r="Q304" s="252"/>
      <c r="R304" s="252"/>
      <c r="S304" s="252"/>
    </row>
    <row r="305" spans="1:19" ht="18.95" customHeight="1">
      <c r="A305" s="425">
        <v>2.66</v>
      </c>
      <c r="B305" s="122"/>
      <c r="C305" s="428" t="s">
        <v>1062</v>
      </c>
      <c r="D305" s="429"/>
      <c r="E305" s="267">
        <v>24.7</v>
      </c>
      <c r="F305" s="430" t="s">
        <v>218</v>
      </c>
      <c r="G305" s="267">
        <v>28.02</v>
      </c>
      <c r="H305" s="267">
        <f t="shared" si="28"/>
        <v>26.196123476939999</v>
      </c>
      <c r="I305" s="267">
        <f t="shared" si="29"/>
        <v>647.04424988041796</v>
      </c>
      <c r="J305" s="267">
        <v>30</v>
      </c>
      <c r="K305" s="269">
        <f t="shared" si="30"/>
        <v>28.047241409999998</v>
      </c>
      <c r="L305" s="267">
        <f t="shared" si="31"/>
        <v>692.76686282699995</v>
      </c>
      <c r="M305" s="270">
        <f>I305+L305</f>
        <v>1339.811112707418</v>
      </c>
      <c r="N305" s="270"/>
      <c r="O305" s="1163">
        <v>0.93490804699999996</v>
      </c>
      <c r="P305" s="976"/>
      <c r="Q305" s="252"/>
      <c r="R305" s="252"/>
      <c r="S305" s="252"/>
    </row>
    <row r="306" spans="1:19" ht="18.95" customHeight="1">
      <c r="A306" s="425">
        <v>2.67</v>
      </c>
      <c r="B306" s="122"/>
      <c r="C306" s="428" t="s">
        <v>1063</v>
      </c>
      <c r="D306" s="429"/>
      <c r="E306" s="267">
        <v>24.7</v>
      </c>
      <c r="F306" s="430" t="s">
        <v>218</v>
      </c>
      <c r="G306" s="267">
        <v>32.32</v>
      </c>
      <c r="H306" s="267">
        <f t="shared" si="28"/>
        <v>30.21622807904</v>
      </c>
      <c r="I306" s="267">
        <f t="shared" si="29"/>
        <v>746.34083355228802</v>
      </c>
      <c r="J306" s="267">
        <v>35</v>
      </c>
      <c r="K306" s="269">
        <f t="shared" si="30"/>
        <v>32.721781645</v>
      </c>
      <c r="L306" s="267">
        <f t="shared" si="31"/>
        <v>808.22800663149997</v>
      </c>
      <c r="M306" s="270">
        <f>I306+L306</f>
        <v>1554.5688401837879</v>
      </c>
      <c r="N306" s="270"/>
      <c r="O306" s="1163">
        <v>0.93490804699999996</v>
      </c>
      <c r="P306" s="976"/>
      <c r="Q306" s="862" t="s">
        <v>1038</v>
      </c>
      <c r="R306" s="252"/>
      <c r="S306" s="252"/>
    </row>
    <row r="307" spans="1:19" ht="18.95" customHeight="1">
      <c r="A307" s="425"/>
      <c r="B307" s="122"/>
      <c r="C307" s="428"/>
      <c r="D307" s="429"/>
      <c r="E307" s="267"/>
      <c r="F307" s="427"/>
      <c r="G307" s="267"/>
      <c r="H307" s="267"/>
      <c r="I307" s="267"/>
      <c r="J307" s="267"/>
      <c r="K307" s="269"/>
      <c r="L307" s="267"/>
      <c r="M307" s="267"/>
      <c r="N307" s="270"/>
      <c r="O307" s="1163">
        <v>0.93490804699999996</v>
      </c>
      <c r="P307" s="976"/>
      <c r="Q307" s="252"/>
      <c r="R307" s="252"/>
      <c r="S307" s="252"/>
    </row>
    <row r="308" spans="1:19" ht="18.95" customHeight="1">
      <c r="A308" s="204"/>
      <c r="B308" s="407"/>
      <c r="D308" s="1257" t="s">
        <v>1082</v>
      </c>
      <c r="E308" s="267"/>
      <c r="F308" s="268"/>
      <c r="G308" s="267"/>
      <c r="H308" s="267"/>
      <c r="I308" s="267"/>
      <c r="J308" s="267"/>
      <c r="K308" s="269"/>
      <c r="L308" s="267"/>
      <c r="M308" s="288">
        <f>SUM(M185:M306)</f>
        <v>725488.87071974715</v>
      </c>
      <c r="N308" s="270"/>
      <c r="O308" s="1163">
        <v>0.93490804699999996</v>
      </c>
      <c r="P308" s="976"/>
      <c r="Q308" s="252"/>
      <c r="R308" s="252"/>
      <c r="S308" s="252"/>
    </row>
    <row r="309" spans="1:19" ht="18.95" customHeight="1">
      <c r="A309" s="202"/>
      <c r="B309" s="122"/>
      <c r="C309" s="444"/>
      <c r="D309" s="443"/>
      <c r="E309" s="267"/>
      <c r="F309" s="268"/>
      <c r="G309" s="270"/>
      <c r="H309" s="267"/>
      <c r="I309" s="267"/>
      <c r="J309" s="270"/>
      <c r="K309" s="269"/>
      <c r="L309" s="267"/>
      <c r="M309" s="270"/>
      <c r="N309" s="270"/>
      <c r="O309" s="1163">
        <v>0.93490804699999996</v>
      </c>
      <c r="P309" s="976"/>
      <c r="Q309" s="252"/>
      <c r="R309" s="252"/>
      <c r="S309" s="252"/>
    </row>
    <row r="310" spans="1:19" ht="18.95" customHeight="1">
      <c r="A310" s="371">
        <v>3</v>
      </c>
      <c r="B310" s="122"/>
      <c r="C310" s="1349" t="s">
        <v>1083</v>
      </c>
      <c r="D310" s="1350"/>
      <c r="E310" s="267"/>
      <c r="F310" s="268"/>
      <c r="G310" s="267"/>
      <c r="H310" s="267"/>
      <c r="I310" s="267"/>
      <c r="J310" s="267"/>
      <c r="K310" s="269"/>
      <c r="L310" s="267"/>
      <c r="M310" s="267"/>
      <c r="N310" s="270"/>
      <c r="O310" s="1163">
        <v>0.93490804699999996</v>
      </c>
      <c r="P310" s="976"/>
      <c r="Q310" s="252"/>
      <c r="R310" s="252"/>
      <c r="S310" s="252"/>
    </row>
    <row r="311" spans="1:19" ht="18.95" customHeight="1">
      <c r="A311" s="445">
        <v>3.1</v>
      </c>
      <c r="B311" s="122"/>
      <c r="C311" s="1335" t="s">
        <v>1084</v>
      </c>
      <c r="D311" s="1336"/>
      <c r="E311" s="267">
        <v>428.5</v>
      </c>
      <c r="F311" s="268" t="s">
        <v>348</v>
      </c>
      <c r="G311" s="267">
        <v>23</v>
      </c>
      <c r="H311" s="267">
        <f t="shared" si="28"/>
        <v>21.502885080999999</v>
      </c>
      <c r="I311" s="267">
        <f t="shared" si="29"/>
        <v>9213.9862572085003</v>
      </c>
      <c r="J311" s="267">
        <v>14</v>
      </c>
      <c r="K311" s="269">
        <f t="shared" si="30"/>
        <v>13.088712657999999</v>
      </c>
      <c r="L311" s="267">
        <f t="shared" si="31"/>
        <v>5608.5133739529992</v>
      </c>
      <c r="M311" s="270">
        <f t="shared" ref="M311:M320" si="33">I311+L311</f>
        <v>14822.4996311615</v>
      </c>
      <c r="N311" s="270"/>
      <c r="O311" s="1163">
        <v>0.93490804699999996</v>
      </c>
      <c r="P311" s="976"/>
      <c r="Q311" s="862" t="s">
        <v>1038</v>
      </c>
      <c r="R311" s="252"/>
      <c r="S311" s="252"/>
    </row>
    <row r="312" spans="1:19" ht="18.95" customHeight="1">
      <c r="A312" s="445">
        <v>3.2</v>
      </c>
      <c r="B312" s="122"/>
      <c r="C312" s="1335" t="s">
        <v>1085</v>
      </c>
      <c r="D312" s="1336"/>
      <c r="E312" s="267">
        <v>157.5</v>
      </c>
      <c r="F312" s="268" t="s">
        <v>348</v>
      </c>
      <c r="G312" s="267">
        <v>30.7</v>
      </c>
      <c r="H312" s="267">
        <f t="shared" si="28"/>
        <v>28.701677042899998</v>
      </c>
      <c r="I312" s="267">
        <f t="shared" si="29"/>
        <v>4520.5141342567495</v>
      </c>
      <c r="J312" s="267">
        <v>14</v>
      </c>
      <c r="K312" s="269">
        <f t="shared" si="30"/>
        <v>13.088712657999999</v>
      </c>
      <c r="L312" s="267">
        <f t="shared" si="31"/>
        <v>2061.4722436349998</v>
      </c>
      <c r="M312" s="270">
        <f t="shared" si="33"/>
        <v>6581.9863778917497</v>
      </c>
      <c r="N312" s="268"/>
      <c r="O312" s="1163">
        <v>0.93490804699999996</v>
      </c>
      <c r="P312" s="973"/>
      <c r="Q312" s="252"/>
      <c r="R312" s="252"/>
      <c r="S312" s="252"/>
    </row>
    <row r="313" spans="1:19" ht="18.95" customHeight="1">
      <c r="A313" s="445">
        <v>3.3</v>
      </c>
      <c r="B313" s="122"/>
      <c r="C313" s="446" t="s">
        <v>1086</v>
      </c>
      <c r="D313" s="131"/>
      <c r="E313" s="267">
        <v>414.4</v>
      </c>
      <c r="F313" s="268" t="s">
        <v>348</v>
      </c>
      <c r="G313" s="267">
        <v>27.45</v>
      </c>
      <c r="H313" s="267">
        <f t="shared" ref="H313:H332" si="34">G313*O313</f>
        <v>25.663225890149999</v>
      </c>
      <c r="I313" s="267">
        <f t="shared" ref="I313:I332" si="35">E313*H313</f>
        <v>10634.84080887816</v>
      </c>
      <c r="J313" s="267">
        <v>14</v>
      </c>
      <c r="K313" s="269">
        <f t="shared" si="30"/>
        <v>13.088712657999999</v>
      </c>
      <c r="L313" s="267">
        <f t="shared" si="31"/>
        <v>5423.9625254751991</v>
      </c>
      <c r="M313" s="270">
        <f t="shared" si="33"/>
        <v>16058.803334353359</v>
      </c>
      <c r="N313" s="268"/>
      <c r="O313" s="1163">
        <v>0.93490804699999996</v>
      </c>
      <c r="P313" s="973"/>
      <c r="Q313" s="252"/>
      <c r="R313" s="252"/>
      <c r="S313" s="252"/>
    </row>
    <row r="314" spans="1:19" ht="18.95" customHeight="1">
      <c r="A314" s="445"/>
      <c r="B314" s="122"/>
      <c r="C314" s="1329" t="s">
        <v>1087</v>
      </c>
      <c r="D314" s="1330"/>
      <c r="E314" s="267"/>
      <c r="F314" s="268"/>
      <c r="G314" s="267"/>
      <c r="H314" s="267"/>
      <c r="I314" s="267"/>
      <c r="J314" s="269"/>
      <c r="K314" s="269"/>
      <c r="L314" s="267"/>
      <c r="M314" s="270"/>
      <c r="N314" s="268"/>
      <c r="O314" s="1163">
        <v>0.93490804699999996</v>
      </c>
      <c r="P314" s="973"/>
      <c r="Q314" s="252"/>
      <c r="R314" s="252"/>
      <c r="S314" s="252"/>
    </row>
    <row r="315" spans="1:19" ht="18.95" customHeight="1">
      <c r="A315" s="445">
        <v>3.4</v>
      </c>
      <c r="B315" s="122"/>
      <c r="C315" s="1335" t="s">
        <v>1086</v>
      </c>
      <c r="D315" s="1336"/>
      <c r="E315" s="267">
        <v>34.200000000000003</v>
      </c>
      <c r="F315" s="268" t="s">
        <v>348</v>
      </c>
      <c r="G315" s="267">
        <v>27.45</v>
      </c>
      <c r="H315" s="267">
        <f t="shared" si="34"/>
        <v>25.663225890149999</v>
      </c>
      <c r="I315" s="267">
        <f t="shared" si="35"/>
        <v>877.68232544313003</v>
      </c>
      <c r="J315" s="267">
        <v>14</v>
      </c>
      <c r="K315" s="269">
        <f t="shared" si="30"/>
        <v>13.088712657999999</v>
      </c>
      <c r="L315" s="267">
        <f t="shared" si="31"/>
        <v>447.63397290360001</v>
      </c>
      <c r="M315" s="270">
        <f t="shared" si="33"/>
        <v>1325.31629834673</v>
      </c>
      <c r="N315" s="268"/>
      <c r="O315" s="1163">
        <v>0.93490804699999996</v>
      </c>
      <c r="P315" s="973"/>
      <c r="Q315" s="252"/>
      <c r="R315" s="252"/>
      <c r="S315" s="252"/>
    </row>
    <row r="316" spans="1:19" ht="18.95" customHeight="1">
      <c r="A316" s="445"/>
      <c r="B316" s="329"/>
      <c r="C316" s="439" t="s">
        <v>1088</v>
      </c>
      <c r="D316" s="441"/>
      <c r="E316" s="267"/>
      <c r="F316" s="268"/>
      <c r="G316" s="267"/>
      <c r="H316" s="267"/>
      <c r="I316" s="267"/>
      <c r="J316" s="269"/>
      <c r="K316" s="269"/>
      <c r="L316" s="267"/>
      <c r="M316" s="270"/>
      <c r="N316" s="268"/>
      <c r="O316" s="1163">
        <v>0.93490804699999996</v>
      </c>
      <c r="P316" s="973"/>
      <c r="Q316" s="252"/>
      <c r="R316" s="252"/>
      <c r="S316" s="252"/>
    </row>
    <row r="317" spans="1:19" ht="18.95" customHeight="1">
      <c r="A317" s="445">
        <v>3.5</v>
      </c>
      <c r="B317" s="122"/>
      <c r="C317" s="1335" t="s">
        <v>1089</v>
      </c>
      <c r="D317" s="1336"/>
      <c r="E317" s="267">
        <v>12</v>
      </c>
      <c r="F317" s="268" t="s">
        <v>402</v>
      </c>
      <c r="G317" s="267">
        <v>86.5</v>
      </c>
      <c r="H317" s="267">
        <f t="shared" si="34"/>
        <v>80.869546065500003</v>
      </c>
      <c r="I317" s="267">
        <f t="shared" si="35"/>
        <v>970.43455278600004</v>
      </c>
      <c r="J317" s="267">
        <v>25.95</v>
      </c>
      <c r="K317" s="269">
        <f t="shared" si="30"/>
        <v>24.260863819649998</v>
      </c>
      <c r="L317" s="267">
        <f t="shared" si="31"/>
        <v>291.13036583579998</v>
      </c>
      <c r="M317" s="270">
        <f t="shared" si="33"/>
        <v>1261.5649186218</v>
      </c>
      <c r="N317" s="268"/>
      <c r="O317" s="1163">
        <v>0.93490804699999996</v>
      </c>
      <c r="P317" s="973"/>
      <c r="Q317" s="252"/>
      <c r="R317" s="252"/>
      <c r="S317" s="252"/>
    </row>
    <row r="318" spans="1:19" ht="18.95" customHeight="1">
      <c r="A318" s="445"/>
      <c r="B318" s="122"/>
      <c r="C318" s="1329" t="s">
        <v>1061</v>
      </c>
      <c r="D318" s="1330"/>
      <c r="E318" s="267"/>
      <c r="F318" s="430"/>
      <c r="G318" s="267"/>
      <c r="H318" s="267"/>
      <c r="I318" s="267"/>
      <c r="J318" s="267"/>
      <c r="K318" s="269"/>
      <c r="L318" s="267"/>
      <c r="M318" s="270"/>
      <c r="N318" s="268"/>
      <c r="O318" s="1163">
        <v>0.93490804699999996</v>
      </c>
      <c r="P318" s="973"/>
      <c r="Q318" s="252"/>
      <c r="R318" s="252"/>
      <c r="S318" s="252"/>
    </row>
    <row r="319" spans="1:19" ht="18.95" customHeight="1">
      <c r="A319" s="442">
        <v>3.6</v>
      </c>
      <c r="B319" s="122"/>
      <c r="C319" s="428" t="s">
        <v>1062</v>
      </c>
      <c r="D319" s="429"/>
      <c r="E319" s="267">
        <v>25.9</v>
      </c>
      <c r="F319" s="430" t="s">
        <v>218</v>
      </c>
      <c r="G319" s="267">
        <v>28.02</v>
      </c>
      <c r="H319" s="267">
        <f t="shared" si="34"/>
        <v>26.196123476939999</v>
      </c>
      <c r="I319" s="267">
        <f t="shared" si="35"/>
        <v>678.47959805274593</v>
      </c>
      <c r="J319" s="267">
        <v>30</v>
      </c>
      <c r="K319" s="269">
        <f t="shared" si="30"/>
        <v>28.047241409999998</v>
      </c>
      <c r="L319" s="267">
        <f t="shared" si="31"/>
        <v>726.42355251899994</v>
      </c>
      <c r="M319" s="270">
        <f t="shared" si="33"/>
        <v>1404.9031505717458</v>
      </c>
      <c r="N319" s="268"/>
      <c r="O319" s="1163">
        <v>0.93490804699999996</v>
      </c>
      <c r="P319" s="973"/>
      <c r="Q319" s="252"/>
      <c r="R319" s="252"/>
      <c r="S319" s="252"/>
    </row>
    <row r="320" spans="1:19" ht="18.95" customHeight="1">
      <c r="A320" s="442">
        <v>3.7</v>
      </c>
      <c r="B320" s="122"/>
      <c r="C320" s="428" t="s">
        <v>1063</v>
      </c>
      <c r="D320" s="429"/>
      <c r="E320" s="267">
        <v>25.9</v>
      </c>
      <c r="F320" s="430" t="s">
        <v>218</v>
      </c>
      <c r="G320" s="267">
        <v>32.32</v>
      </c>
      <c r="H320" s="267">
        <f t="shared" si="34"/>
        <v>30.21622807904</v>
      </c>
      <c r="I320" s="267">
        <f t="shared" si="35"/>
        <v>782.60030724713602</v>
      </c>
      <c r="J320" s="267">
        <v>35</v>
      </c>
      <c r="K320" s="269">
        <f>J320*O320</f>
        <v>32.721781645</v>
      </c>
      <c r="L320" s="267">
        <f>E320*K320</f>
        <v>847.49414460549997</v>
      </c>
      <c r="M320" s="270">
        <f t="shared" si="33"/>
        <v>1630.094451852636</v>
      </c>
      <c r="N320" s="268"/>
      <c r="O320" s="1163">
        <v>0.93490804699999996</v>
      </c>
      <c r="P320" s="973"/>
      <c r="Q320" s="862" t="s">
        <v>1038</v>
      </c>
      <c r="R320" s="252"/>
      <c r="S320" s="252"/>
    </row>
    <row r="321" spans="1:19" ht="18.95" customHeight="1">
      <c r="A321" s="425"/>
      <c r="B321" s="122"/>
      <c r="C321" s="428"/>
      <c r="D321" s="429"/>
      <c r="E321" s="267"/>
      <c r="F321" s="427"/>
      <c r="G321" s="267"/>
      <c r="H321" s="267"/>
      <c r="I321" s="267"/>
      <c r="J321" s="267"/>
      <c r="K321" s="269"/>
      <c r="L321" s="267"/>
      <c r="M321" s="267"/>
      <c r="N321" s="268"/>
      <c r="O321" s="1163">
        <v>0.93490804699999996</v>
      </c>
      <c r="P321" s="973"/>
      <c r="Q321" s="252"/>
      <c r="R321" s="252"/>
      <c r="S321" s="252"/>
    </row>
    <row r="322" spans="1:19" ht="18.95" customHeight="1">
      <c r="A322" s="204"/>
      <c r="B322" s="407"/>
      <c r="D322" s="1257" t="s">
        <v>1090</v>
      </c>
      <c r="E322" s="267"/>
      <c r="F322" s="268"/>
      <c r="G322" s="267"/>
      <c r="H322" s="267"/>
      <c r="I322" s="267"/>
      <c r="J322" s="267"/>
      <c r="K322" s="269"/>
      <c r="L322" s="267"/>
      <c r="M322" s="288">
        <f>SUM(M311:M320)</f>
        <v>43085.16816279952</v>
      </c>
      <c r="N322" s="268"/>
      <c r="O322" s="1163">
        <v>0.93490804699999996</v>
      </c>
      <c r="P322" s="973"/>
      <c r="Q322" s="252"/>
      <c r="R322" s="252"/>
      <c r="S322" s="252"/>
    </row>
    <row r="323" spans="1:19" ht="18.95" customHeight="1">
      <c r="A323" s="149"/>
      <c r="B323" s="122"/>
      <c r="C323" s="426"/>
      <c r="D323" s="443"/>
      <c r="E323" s="267"/>
      <c r="F323" s="268"/>
      <c r="G323" s="270"/>
      <c r="H323" s="267"/>
      <c r="I323" s="267"/>
      <c r="J323" s="270"/>
      <c r="K323" s="269"/>
      <c r="L323" s="267"/>
      <c r="M323" s="270"/>
      <c r="N323" s="268"/>
      <c r="O323" s="1163">
        <v>0.93490804699999996</v>
      </c>
      <c r="P323" s="973"/>
      <c r="Q323" s="252"/>
      <c r="R323" s="252"/>
      <c r="S323" s="252"/>
    </row>
    <row r="324" spans="1:19" ht="18.95" customHeight="1">
      <c r="A324" s="371">
        <v>4</v>
      </c>
      <c r="B324" s="122"/>
      <c r="C324" s="1349" t="s">
        <v>1016</v>
      </c>
      <c r="D324" s="1350"/>
      <c r="E324" s="267"/>
      <c r="F324" s="268"/>
      <c r="G324" s="267"/>
      <c r="H324" s="267"/>
      <c r="I324" s="267"/>
      <c r="J324" s="267"/>
      <c r="K324" s="269"/>
      <c r="L324" s="267"/>
      <c r="M324" s="267"/>
      <c r="N324" s="268"/>
      <c r="O324" s="1163">
        <v>0.93490804699999996</v>
      </c>
      <c r="P324" s="973"/>
      <c r="Q324" s="252"/>
      <c r="R324" s="252"/>
      <c r="S324" s="252"/>
    </row>
    <row r="325" spans="1:19" ht="18.95" customHeight="1">
      <c r="A325" s="204"/>
      <c r="B325" s="122"/>
      <c r="C325" s="438" t="s">
        <v>1091</v>
      </c>
      <c r="D325" s="131"/>
      <c r="E325" s="270"/>
      <c r="F325" s="268"/>
      <c r="G325" s="267"/>
      <c r="H325" s="267"/>
      <c r="I325" s="267"/>
      <c r="J325" s="267"/>
      <c r="K325" s="269"/>
      <c r="L325" s="267"/>
      <c r="M325" s="270"/>
      <c r="N325" s="268"/>
      <c r="O325" s="1163">
        <v>0.93490804699999996</v>
      </c>
      <c r="P325" s="973"/>
      <c r="Q325" s="252"/>
      <c r="R325" s="252"/>
      <c r="S325" s="252"/>
    </row>
    <row r="326" spans="1:19" ht="18.95" customHeight="1">
      <c r="A326" s="442">
        <v>4.0999999999999996</v>
      </c>
      <c r="B326" s="122"/>
      <c r="C326" s="1331" t="s">
        <v>1092</v>
      </c>
      <c r="D326" s="1332"/>
      <c r="E326" s="267">
        <v>0.9</v>
      </c>
      <c r="F326" s="430" t="s">
        <v>1032</v>
      </c>
      <c r="G326" s="434">
        <v>2117.5</v>
      </c>
      <c r="H326" s="267">
        <f t="shared" si="34"/>
        <v>1979.6677895225</v>
      </c>
      <c r="I326" s="267">
        <f t="shared" si="35"/>
        <v>1781.70101057025</v>
      </c>
      <c r="J326" s="269">
        <v>519</v>
      </c>
      <c r="K326" s="269">
        <f t="shared" ref="K326:K374" si="36">J326*O326</f>
        <v>485.21727639299996</v>
      </c>
      <c r="L326" s="267">
        <f t="shared" ref="L326:L374" si="37">E326*K326</f>
        <v>436.6955487537</v>
      </c>
      <c r="M326" s="267">
        <f t="shared" ref="M326:M339" si="38">I326+L326</f>
        <v>2218.39655932395</v>
      </c>
      <c r="N326" s="270"/>
      <c r="O326" s="1163">
        <v>0.93490804699999996</v>
      </c>
      <c r="P326" s="976"/>
      <c r="Q326" s="252"/>
      <c r="R326" s="252"/>
      <c r="S326" s="252"/>
    </row>
    <row r="327" spans="1:19" ht="18.95" customHeight="1">
      <c r="A327" s="442">
        <v>4.2</v>
      </c>
      <c r="B327" s="122"/>
      <c r="C327" s="1331" t="s">
        <v>1093</v>
      </c>
      <c r="D327" s="1332"/>
      <c r="E327" s="267">
        <v>0.25</v>
      </c>
      <c r="F327" s="430" t="s">
        <v>1032</v>
      </c>
      <c r="G327" s="267">
        <v>1937.5</v>
      </c>
      <c r="H327" s="267">
        <f t="shared" si="34"/>
        <v>1811.3843410625</v>
      </c>
      <c r="I327" s="267">
        <f t="shared" si="35"/>
        <v>452.84608526562499</v>
      </c>
      <c r="J327" s="269">
        <v>519</v>
      </c>
      <c r="K327" s="269">
        <f t="shared" si="36"/>
        <v>485.21727639299996</v>
      </c>
      <c r="L327" s="267">
        <f t="shared" si="37"/>
        <v>121.30431909824999</v>
      </c>
      <c r="M327" s="267">
        <f t="shared" si="38"/>
        <v>574.15040436387494</v>
      </c>
      <c r="N327" s="270"/>
      <c r="O327" s="1163">
        <v>0.93490804699999996</v>
      </c>
      <c r="P327" s="976"/>
      <c r="Q327" s="252"/>
      <c r="R327" s="252"/>
      <c r="S327" s="252"/>
    </row>
    <row r="328" spans="1:19" ht="18.95" customHeight="1">
      <c r="A328" s="442">
        <v>4.3</v>
      </c>
      <c r="B328" s="122"/>
      <c r="C328" s="1323" t="s">
        <v>1033</v>
      </c>
      <c r="D328" s="1324"/>
      <c r="E328" s="267">
        <v>0.25</v>
      </c>
      <c r="F328" s="430" t="s">
        <v>1032</v>
      </c>
      <c r="G328" s="267">
        <v>508.33</v>
      </c>
      <c r="H328" s="267">
        <f t="shared" si="34"/>
        <v>475.24180753150995</v>
      </c>
      <c r="I328" s="267">
        <f t="shared" si="35"/>
        <v>118.81045188287749</v>
      </c>
      <c r="J328" s="269">
        <v>104</v>
      </c>
      <c r="K328" s="269">
        <f t="shared" si="36"/>
        <v>97.230436888</v>
      </c>
      <c r="L328" s="267">
        <f t="shared" si="37"/>
        <v>24.307609222</v>
      </c>
      <c r="M328" s="267">
        <f t="shared" si="38"/>
        <v>143.11806110487748</v>
      </c>
      <c r="N328" s="270"/>
      <c r="O328" s="1163">
        <v>0.93490804699999996</v>
      </c>
      <c r="P328" s="976"/>
      <c r="Q328" s="252"/>
      <c r="R328" s="252"/>
      <c r="S328" s="252"/>
    </row>
    <row r="329" spans="1:19" ht="18.95" customHeight="1">
      <c r="A329" s="442">
        <v>4.4000000000000004</v>
      </c>
      <c r="B329" s="122"/>
      <c r="C329" s="1323" t="s">
        <v>1031</v>
      </c>
      <c r="D329" s="1324"/>
      <c r="E329" s="267">
        <v>20</v>
      </c>
      <c r="F329" s="430" t="s">
        <v>1032</v>
      </c>
      <c r="G329" s="267">
        <v>0</v>
      </c>
      <c r="H329" s="267">
        <f t="shared" si="34"/>
        <v>0</v>
      </c>
      <c r="I329" s="267">
        <f t="shared" si="35"/>
        <v>0</v>
      </c>
      <c r="J329" s="269">
        <v>112</v>
      </c>
      <c r="K329" s="269">
        <f t="shared" si="36"/>
        <v>104.70970126399999</v>
      </c>
      <c r="L329" s="267">
        <f t="shared" si="37"/>
        <v>2094.1940252799996</v>
      </c>
      <c r="M329" s="267">
        <f t="shared" si="38"/>
        <v>2094.1940252799996</v>
      </c>
      <c r="N329" s="270"/>
      <c r="O329" s="1163">
        <v>0.93490804699999996</v>
      </c>
      <c r="P329" s="976"/>
      <c r="Q329" s="252"/>
      <c r="R329" s="252"/>
      <c r="S329" s="252"/>
    </row>
    <row r="330" spans="1:19" ht="18.95" customHeight="1">
      <c r="A330" s="442"/>
      <c r="B330" s="122"/>
      <c r="C330" s="1341" t="s">
        <v>1036</v>
      </c>
      <c r="D330" s="1342"/>
      <c r="E330" s="267"/>
      <c r="F330" s="430"/>
      <c r="G330" s="267"/>
      <c r="H330" s="267"/>
      <c r="I330" s="267"/>
      <c r="J330" s="267"/>
      <c r="K330" s="269"/>
      <c r="L330" s="267"/>
      <c r="M330" s="267"/>
      <c r="N330" s="270"/>
      <c r="O330" s="1163">
        <v>0.93490804699999996</v>
      </c>
      <c r="P330" s="976"/>
      <c r="Q330" s="252"/>
      <c r="R330" s="252"/>
      <c r="S330" s="252"/>
    </row>
    <row r="331" spans="1:19" ht="18.95" customHeight="1">
      <c r="A331" s="442">
        <v>4.5</v>
      </c>
      <c r="B331" s="122"/>
      <c r="C331" s="1323" t="s">
        <v>1037</v>
      </c>
      <c r="D331" s="1324"/>
      <c r="E331" s="267">
        <v>90</v>
      </c>
      <c r="F331" s="430" t="s">
        <v>348</v>
      </c>
      <c r="G331" s="267">
        <v>19.600000000000001</v>
      </c>
      <c r="H331" s="267">
        <f t="shared" si="34"/>
        <v>18.324197721200001</v>
      </c>
      <c r="I331" s="267">
        <f t="shared" si="35"/>
        <v>1649.1777949080001</v>
      </c>
      <c r="J331" s="269">
        <v>4.4000000000000004</v>
      </c>
      <c r="K331" s="269">
        <f t="shared" si="36"/>
        <v>4.1135954068</v>
      </c>
      <c r="L331" s="267">
        <f t="shared" si="37"/>
        <v>370.22358661200002</v>
      </c>
      <c r="M331" s="267">
        <f t="shared" si="38"/>
        <v>2019.4013815200001</v>
      </c>
      <c r="N331" s="270"/>
      <c r="O331" s="1163">
        <v>0.93490804699999996</v>
      </c>
      <c r="P331" s="976"/>
      <c r="Q331" s="862" t="s">
        <v>1038</v>
      </c>
      <c r="R331" s="252"/>
      <c r="S331" s="252"/>
    </row>
    <row r="332" spans="1:19" ht="18.95" customHeight="1">
      <c r="A332" s="442">
        <v>4.5999999999999996</v>
      </c>
      <c r="B332" s="122"/>
      <c r="C332" s="1323" t="s">
        <v>1039</v>
      </c>
      <c r="D332" s="1324"/>
      <c r="E332" s="267">
        <v>26</v>
      </c>
      <c r="F332" s="430" t="s">
        <v>348</v>
      </c>
      <c r="G332" s="267">
        <v>19.7</v>
      </c>
      <c r="H332" s="267">
        <f t="shared" si="34"/>
        <v>18.417688525899997</v>
      </c>
      <c r="I332" s="267">
        <f t="shared" si="35"/>
        <v>478.85990167339992</v>
      </c>
      <c r="J332" s="269">
        <v>3.6</v>
      </c>
      <c r="K332" s="269">
        <f t="shared" si="36"/>
        <v>3.3656689692000001</v>
      </c>
      <c r="L332" s="267">
        <f t="shared" si="37"/>
        <v>87.50739319920001</v>
      </c>
      <c r="M332" s="267">
        <f t="shared" si="38"/>
        <v>566.36729487259993</v>
      </c>
      <c r="N332" s="270"/>
      <c r="O332" s="1163">
        <v>0.93490804699999996</v>
      </c>
      <c r="P332" s="976"/>
      <c r="Q332" s="862" t="s">
        <v>1038</v>
      </c>
      <c r="R332" s="252"/>
      <c r="S332" s="252"/>
    </row>
    <row r="333" spans="1:19" ht="18.95" customHeight="1">
      <c r="A333" s="442">
        <v>4.7</v>
      </c>
      <c r="B333" s="122"/>
      <c r="C333" s="1323" t="s">
        <v>1040</v>
      </c>
      <c r="D333" s="1324"/>
      <c r="E333" s="267">
        <v>0</v>
      </c>
      <c r="F333" s="430" t="s">
        <v>348</v>
      </c>
      <c r="G333" s="267">
        <v>19.5</v>
      </c>
      <c r="H333" s="267">
        <f t="shared" ref="H333:H339" si="39">G333*O333</f>
        <v>18.230706916500001</v>
      </c>
      <c r="I333" s="267">
        <f t="shared" ref="I333:I339" si="40">E333*H333</f>
        <v>0</v>
      </c>
      <c r="J333" s="269">
        <v>3.6</v>
      </c>
      <c r="K333" s="269">
        <f t="shared" si="36"/>
        <v>3.3656689692000001</v>
      </c>
      <c r="L333" s="267">
        <f t="shared" si="37"/>
        <v>0</v>
      </c>
      <c r="M333" s="267">
        <f t="shared" si="38"/>
        <v>0</v>
      </c>
      <c r="N333" s="270"/>
      <c r="O333" s="1163">
        <v>0.93490804699999996</v>
      </c>
      <c r="P333" s="976"/>
      <c r="Q333" s="862" t="s">
        <v>1038</v>
      </c>
      <c r="R333" s="252"/>
      <c r="S333" s="252"/>
    </row>
    <row r="334" spans="1:19" ht="18.95" customHeight="1">
      <c r="A334" s="442">
        <v>4.8</v>
      </c>
      <c r="B334" s="122"/>
      <c r="C334" s="1323" t="s">
        <v>1041</v>
      </c>
      <c r="D334" s="1324"/>
      <c r="E334" s="267">
        <v>2.9000000000000004</v>
      </c>
      <c r="F334" s="430" t="s">
        <v>348</v>
      </c>
      <c r="G334" s="269">
        <v>27.1</v>
      </c>
      <c r="H334" s="267">
        <f t="shared" si="39"/>
        <v>25.3360080737</v>
      </c>
      <c r="I334" s="267">
        <f t="shared" si="40"/>
        <v>73.474423413730008</v>
      </c>
      <c r="J334" s="269">
        <v>0</v>
      </c>
      <c r="K334" s="269">
        <f t="shared" si="36"/>
        <v>0</v>
      </c>
      <c r="L334" s="267">
        <f t="shared" si="37"/>
        <v>0</v>
      </c>
      <c r="M334" s="267">
        <f t="shared" si="38"/>
        <v>73.474423413730008</v>
      </c>
      <c r="N334" s="268"/>
      <c r="O334" s="1163">
        <v>0.93490804699999996</v>
      </c>
      <c r="P334" s="973"/>
      <c r="Q334" s="862" t="s">
        <v>1038</v>
      </c>
      <c r="R334" s="252"/>
      <c r="S334" s="252"/>
    </row>
    <row r="335" spans="1:19" ht="18.95" customHeight="1">
      <c r="A335" s="314">
        <v>4.9000000000000004</v>
      </c>
      <c r="B335" s="122"/>
      <c r="C335" s="1323" t="s">
        <v>1043</v>
      </c>
      <c r="D335" s="1324"/>
      <c r="E335" s="267"/>
      <c r="F335" s="430"/>
      <c r="G335" s="267"/>
      <c r="H335" s="267"/>
      <c r="I335" s="267"/>
      <c r="J335" s="269"/>
      <c r="K335" s="269"/>
      <c r="L335" s="267"/>
      <c r="M335" s="267"/>
      <c r="N335" s="268"/>
      <c r="O335" s="1163">
        <v>0.93490804699999996</v>
      </c>
      <c r="P335" s="973"/>
      <c r="Q335" s="252"/>
      <c r="R335" s="252"/>
      <c r="S335" s="252"/>
    </row>
    <row r="336" spans="1:19" ht="18.95" customHeight="1">
      <c r="A336" s="431"/>
      <c r="B336" s="329"/>
      <c r="C336" s="433" t="s">
        <v>1044</v>
      </c>
      <c r="E336" s="267">
        <v>1.2</v>
      </c>
      <c r="F336" s="434" t="s">
        <v>218</v>
      </c>
      <c r="G336" s="434">
        <v>245.2</v>
      </c>
      <c r="H336" s="267">
        <f t="shared" si="39"/>
        <v>229.23945312439997</v>
      </c>
      <c r="I336" s="267">
        <f t="shared" si="40"/>
        <v>275.08734374927997</v>
      </c>
      <c r="J336" s="435">
        <v>0</v>
      </c>
      <c r="K336" s="269">
        <f t="shared" si="36"/>
        <v>0</v>
      </c>
      <c r="L336" s="267">
        <f t="shared" si="37"/>
        <v>0</v>
      </c>
      <c r="M336" s="267">
        <f t="shared" si="38"/>
        <v>275.08734374927997</v>
      </c>
      <c r="N336" s="436"/>
      <c r="O336" s="1163">
        <v>0.93490804699999996</v>
      </c>
      <c r="P336" s="765"/>
      <c r="Q336" s="252"/>
      <c r="R336" s="252"/>
      <c r="S336" s="252"/>
    </row>
    <row r="337" spans="1:19" ht="18.95" customHeight="1">
      <c r="A337" s="431"/>
      <c r="B337" s="329"/>
      <c r="C337" s="433" t="s">
        <v>1045</v>
      </c>
      <c r="E337" s="267">
        <v>2</v>
      </c>
      <c r="F337" s="434" t="s">
        <v>218</v>
      </c>
      <c r="G337" s="434">
        <v>0</v>
      </c>
      <c r="H337" s="267">
        <f t="shared" si="39"/>
        <v>0</v>
      </c>
      <c r="I337" s="267">
        <f t="shared" si="40"/>
        <v>0</v>
      </c>
      <c r="J337" s="435">
        <v>121</v>
      </c>
      <c r="K337" s="269">
        <f t="shared" si="36"/>
        <v>113.123873687</v>
      </c>
      <c r="L337" s="267">
        <f t="shared" si="37"/>
        <v>226.247747374</v>
      </c>
      <c r="M337" s="267">
        <f t="shared" si="38"/>
        <v>226.247747374</v>
      </c>
      <c r="N337" s="436"/>
      <c r="O337" s="1163">
        <v>0.93490804699999996</v>
      </c>
      <c r="P337" s="765"/>
      <c r="Q337" s="252"/>
      <c r="R337" s="252"/>
      <c r="S337" s="252"/>
    </row>
    <row r="338" spans="1:19" ht="18.95" customHeight="1">
      <c r="A338" s="431"/>
      <c r="B338" s="329"/>
      <c r="C338" s="433" t="s">
        <v>1046</v>
      </c>
      <c r="E338" s="267">
        <v>0.36</v>
      </c>
      <c r="F338" s="434" t="s">
        <v>1047</v>
      </c>
      <c r="G338" s="434">
        <v>309.42</v>
      </c>
      <c r="H338" s="267">
        <f t="shared" si="39"/>
        <v>289.27924790274</v>
      </c>
      <c r="I338" s="267">
        <f t="shared" si="40"/>
        <v>104.1405292449864</v>
      </c>
      <c r="J338" s="435">
        <v>0</v>
      </c>
      <c r="K338" s="269">
        <f t="shared" si="36"/>
        <v>0</v>
      </c>
      <c r="L338" s="267">
        <f t="shared" si="37"/>
        <v>0</v>
      </c>
      <c r="M338" s="267">
        <f t="shared" si="38"/>
        <v>104.1405292449864</v>
      </c>
      <c r="N338" s="436"/>
      <c r="O338" s="1163">
        <v>0.93490804699999996</v>
      </c>
      <c r="P338" s="765"/>
      <c r="Q338" s="252"/>
      <c r="R338" s="252"/>
      <c r="S338" s="252"/>
    </row>
    <row r="339" spans="1:19" ht="18.95" customHeight="1">
      <c r="A339" s="431"/>
      <c r="B339" s="329"/>
      <c r="C339" s="433" t="s">
        <v>1048</v>
      </c>
      <c r="E339" s="269">
        <v>0.3</v>
      </c>
      <c r="F339" s="434" t="s">
        <v>348</v>
      </c>
      <c r="G339" s="434">
        <v>23.36</v>
      </c>
      <c r="H339" s="267">
        <f t="shared" si="39"/>
        <v>21.83945197792</v>
      </c>
      <c r="I339" s="267">
        <f t="shared" si="40"/>
        <v>6.5518355933759995</v>
      </c>
      <c r="J339" s="435">
        <v>0</v>
      </c>
      <c r="K339" s="269">
        <f t="shared" si="36"/>
        <v>0</v>
      </c>
      <c r="L339" s="267">
        <f t="shared" si="37"/>
        <v>0</v>
      </c>
      <c r="M339" s="267">
        <f t="shared" si="38"/>
        <v>6.5518355933759995</v>
      </c>
      <c r="N339" s="436"/>
      <c r="O339" s="1163">
        <v>0.93490804699999996</v>
      </c>
      <c r="P339" s="765"/>
      <c r="Q339" s="862" t="s">
        <v>1038</v>
      </c>
      <c r="R339" s="252"/>
      <c r="S339" s="252"/>
    </row>
    <row r="340" spans="1:19" ht="18.95" customHeight="1">
      <c r="A340" s="204"/>
      <c r="B340" s="407"/>
      <c r="D340" s="1257" t="s">
        <v>1094</v>
      </c>
      <c r="E340" s="267"/>
      <c r="F340" s="268"/>
      <c r="G340" s="267"/>
      <c r="H340" s="267"/>
      <c r="I340" s="267"/>
      <c r="J340" s="267"/>
      <c r="K340" s="269"/>
      <c r="L340" s="267"/>
      <c r="M340" s="288">
        <f>SUM(M325:M339)</f>
        <v>8301.1296058406751</v>
      </c>
      <c r="N340" s="268"/>
      <c r="O340" s="1163">
        <v>0.93490804699999996</v>
      </c>
      <c r="P340" s="973"/>
      <c r="Q340" s="252"/>
      <c r="R340" s="252"/>
      <c r="S340" s="252"/>
    </row>
    <row r="341" spans="1:19" ht="18.95" customHeight="1">
      <c r="A341" s="204"/>
      <c r="B341" s="122"/>
      <c r="C341" s="440"/>
      <c r="D341" s="441"/>
      <c r="E341" s="267"/>
      <c r="F341" s="268"/>
      <c r="G341" s="267"/>
      <c r="H341" s="267"/>
      <c r="I341" s="267"/>
      <c r="J341" s="267"/>
      <c r="K341" s="269"/>
      <c r="L341" s="267"/>
      <c r="M341" s="288"/>
      <c r="N341" s="268"/>
      <c r="O341" s="1163">
        <v>0.93490804699999996</v>
      </c>
      <c r="P341" s="973"/>
      <c r="Q341" s="252"/>
      <c r="R341" s="252"/>
      <c r="S341" s="252"/>
    </row>
    <row r="342" spans="1:19" ht="18.95" customHeight="1">
      <c r="A342" s="204"/>
      <c r="B342" s="122"/>
      <c r="C342" s="438" t="s">
        <v>1095</v>
      </c>
      <c r="D342" s="131"/>
      <c r="E342" s="270"/>
      <c r="F342" s="268"/>
      <c r="G342" s="267"/>
      <c r="H342" s="267"/>
      <c r="I342" s="267"/>
      <c r="J342" s="267"/>
      <c r="K342" s="269"/>
      <c r="L342" s="267"/>
      <c r="M342" s="270"/>
      <c r="N342" s="268"/>
      <c r="O342" s="1163">
        <v>0.93490804699999996</v>
      </c>
      <c r="P342" s="973"/>
      <c r="Q342" s="252"/>
      <c r="R342" s="252"/>
      <c r="S342" s="252"/>
    </row>
    <row r="343" spans="1:19" ht="18.95" customHeight="1">
      <c r="A343" s="425">
        <v>4.0999999999999996</v>
      </c>
      <c r="B343" s="122"/>
      <c r="C343" s="1331" t="s">
        <v>1092</v>
      </c>
      <c r="D343" s="1332"/>
      <c r="E343" s="267">
        <v>0.9</v>
      </c>
      <c r="F343" s="430" t="s">
        <v>1032</v>
      </c>
      <c r="G343" s="434">
        <v>2117.5</v>
      </c>
      <c r="H343" s="267">
        <f t="shared" ref="H343:H403" si="41">G343*O343</f>
        <v>1979.6677895225</v>
      </c>
      <c r="I343" s="267">
        <f t="shared" ref="I343:I403" si="42">E343*H343</f>
        <v>1781.70101057025</v>
      </c>
      <c r="J343" s="269">
        <v>519</v>
      </c>
      <c r="K343" s="269">
        <f t="shared" si="36"/>
        <v>485.21727639299996</v>
      </c>
      <c r="L343" s="267">
        <f t="shared" si="37"/>
        <v>436.6955487537</v>
      </c>
      <c r="M343" s="267">
        <f t="shared" ref="M343:M356" si="43">I343+L343</f>
        <v>2218.39655932395</v>
      </c>
      <c r="N343" s="270"/>
      <c r="O343" s="1163">
        <v>0.93490804699999996</v>
      </c>
      <c r="P343" s="976"/>
      <c r="Q343" s="252"/>
      <c r="R343" s="252"/>
      <c r="S343" s="252"/>
    </row>
    <row r="344" spans="1:19" ht="18.95" customHeight="1">
      <c r="A344" s="425">
        <v>4.1100000000000003</v>
      </c>
      <c r="B344" s="122"/>
      <c r="C344" s="1331" t="s">
        <v>1093</v>
      </c>
      <c r="D344" s="1332"/>
      <c r="E344" s="267">
        <v>0.25</v>
      </c>
      <c r="F344" s="430" t="s">
        <v>1032</v>
      </c>
      <c r="G344" s="267">
        <v>1937.5</v>
      </c>
      <c r="H344" s="267">
        <f t="shared" si="41"/>
        <v>1811.3843410625</v>
      </c>
      <c r="I344" s="267">
        <f t="shared" si="42"/>
        <v>452.84608526562499</v>
      </c>
      <c r="J344" s="269">
        <v>519</v>
      </c>
      <c r="K344" s="269">
        <f t="shared" si="36"/>
        <v>485.21727639299996</v>
      </c>
      <c r="L344" s="267">
        <f t="shared" si="37"/>
        <v>121.30431909824999</v>
      </c>
      <c r="M344" s="267">
        <f t="shared" si="43"/>
        <v>574.15040436387494</v>
      </c>
      <c r="N344" s="270"/>
      <c r="O344" s="1163">
        <v>0.93490804699999996</v>
      </c>
      <c r="P344" s="976"/>
      <c r="Q344" s="252"/>
      <c r="R344" s="252"/>
      <c r="S344" s="252"/>
    </row>
    <row r="345" spans="1:19" ht="18.95" customHeight="1">
      <c r="A345" s="425">
        <v>4.12</v>
      </c>
      <c r="B345" s="122"/>
      <c r="C345" s="1323" t="s">
        <v>1033</v>
      </c>
      <c r="D345" s="1324"/>
      <c r="E345" s="267">
        <v>0.25</v>
      </c>
      <c r="F345" s="430" t="s">
        <v>1032</v>
      </c>
      <c r="G345" s="267">
        <v>508.33</v>
      </c>
      <c r="H345" s="267">
        <f t="shared" si="41"/>
        <v>475.24180753150995</v>
      </c>
      <c r="I345" s="267">
        <f t="shared" si="42"/>
        <v>118.81045188287749</v>
      </c>
      <c r="J345" s="269">
        <v>104</v>
      </c>
      <c r="K345" s="269">
        <f t="shared" si="36"/>
        <v>97.230436888</v>
      </c>
      <c r="L345" s="267">
        <f t="shared" si="37"/>
        <v>24.307609222</v>
      </c>
      <c r="M345" s="267">
        <f t="shared" si="43"/>
        <v>143.11806110487748</v>
      </c>
      <c r="N345" s="270"/>
      <c r="O345" s="1163">
        <v>0.93490804699999996</v>
      </c>
      <c r="P345" s="976"/>
      <c r="Q345" s="252"/>
      <c r="R345" s="252"/>
      <c r="S345" s="252"/>
    </row>
    <row r="346" spans="1:19" ht="18.95" customHeight="1">
      <c r="A346" s="425">
        <v>4.13</v>
      </c>
      <c r="B346" s="122"/>
      <c r="C346" s="1323" t="s">
        <v>1031</v>
      </c>
      <c r="D346" s="1324"/>
      <c r="E346" s="267">
        <v>20</v>
      </c>
      <c r="F346" s="430" t="s">
        <v>1032</v>
      </c>
      <c r="G346" s="267">
        <v>0</v>
      </c>
      <c r="H346" s="267">
        <f t="shared" si="41"/>
        <v>0</v>
      </c>
      <c r="I346" s="267">
        <f t="shared" si="42"/>
        <v>0</v>
      </c>
      <c r="J346" s="269">
        <v>112</v>
      </c>
      <c r="K346" s="269">
        <f t="shared" si="36"/>
        <v>104.70970126399999</v>
      </c>
      <c r="L346" s="267">
        <f t="shared" si="37"/>
        <v>2094.1940252799996</v>
      </c>
      <c r="M346" s="267">
        <f t="shared" si="43"/>
        <v>2094.1940252799996</v>
      </c>
      <c r="N346" s="270"/>
      <c r="O346" s="1163">
        <v>0.93490804699999996</v>
      </c>
      <c r="P346" s="976"/>
      <c r="Q346" s="252"/>
      <c r="R346" s="252"/>
      <c r="S346" s="252"/>
    </row>
    <row r="347" spans="1:19" ht="18.95" customHeight="1">
      <c r="A347" s="425"/>
      <c r="B347" s="122"/>
      <c r="C347" s="1341" t="s">
        <v>1036</v>
      </c>
      <c r="D347" s="1342"/>
      <c r="E347" s="267">
        <v>0</v>
      </c>
      <c r="F347" s="430"/>
      <c r="G347" s="267"/>
      <c r="H347" s="267"/>
      <c r="I347" s="267"/>
      <c r="J347" s="267"/>
      <c r="K347" s="269"/>
      <c r="L347" s="267"/>
      <c r="M347" s="267"/>
      <c r="N347" s="270"/>
      <c r="O347" s="1163">
        <v>0.93490804699999996</v>
      </c>
      <c r="P347" s="976"/>
      <c r="Q347" s="252"/>
      <c r="R347" s="252"/>
      <c r="S347" s="252"/>
    </row>
    <row r="348" spans="1:19" ht="18.95" customHeight="1">
      <c r="A348" s="425">
        <v>4.1399999999999997</v>
      </c>
      <c r="B348" s="122"/>
      <c r="C348" s="1323" t="s">
        <v>1037</v>
      </c>
      <c r="D348" s="1324"/>
      <c r="E348" s="267">
        <v>90</v>
      </c>
      <c r="F348" s="430" t="s">
        <v>348</v>
      </c>
      <c r="G348" s="267">
        <v>19.600000000000001</v>
      </c>
      <c r="H348" s="267">
        <f t="shared" si="41"/>
        <v>18.324197721200001</v>
      </c>
      <c r="I348" s="267">
        <f t="shared" si="42"/>
        <v>1649.1777949080001</v>
      </c>
      <c r="J348" s="269">
        <v>4.4000000000000004</v>
      </c>
      <c r="K348" s="269">
        <f t="shared" si="36"/>
        <v>4.1135954068</v>
      </c>
      <c r="L348" s="267">
        <f t="shared" si="37"/>
        <v>370.22358661200002</v>
      </c>
      <c r="M348" s="267">
        <f t="shared" si="43"/>
        <v>2019.4013815200001</v>
      </c>
      <c r="N348" s="270"/>
      <c r="O348" s="1163">
        <v>0.93490804699999996</v>
      </c>
      <c r="P348" s="976"/>
      <c r="Q348" s="862" t="s">
        <v>1038</v>
      </c>
      <c r="R348" s="252"/>
      <c r="S348" s="252"/>
    </row>
    <row r="349" spans="1:19" ht="18.95" customHeight="1">
      <c r="A349" s="425">
        <v>4.1500000000000004</v>
      </c>
      <c r="B349" s="122"/>
      <c r="C349" s="1323" t="s">
        <v>1039</v>
      </c>
      <c r="D349" s="1324"/>
      <c r="E349" s="267">
        <v>26</v>
      </c>
      <c r="F349" s="430" t="s">
        <v>348</v>
      </c>
      <c r="G349" s="267">
        <v>19.7</v>
      </c>
      <c r="H349" s="267">
        <f t="shared" si="41"/>
        <v>18.417688525899997</v>
      </c>
      <c r="I349" s="267">
        <f t="shared" si="42"/>
        <v>478.85990167339992</v>
      </c>
      <c r="J349" s="269">
        <v>3.6</v>
      </c>
      <c r="K349" s="269">
        <f t="shared" si="36"/>
        <v>3.3656689692000001</v>
      </c>
      <c r="L349" s="267">
        <f t="shared" si="37"/>
        <v>87.50739319920001</v>
      </c>
      <c r="M349" s="267">
        <f t="shared" si="43"/>
        <v>566.36729487259993</v>
      </c>
      <c r="N349" s="270"/>
      <c r="O349" s="1163">
        <v>0.93490804699999996</v>
      </c>
      <c r="P349" s="976"/>
      <c r="Q349" s="862" t="s">
        <v>1038</v>
      </c>
      <c r="R349" s="252"/>
      <c r="S349" s="252"/>
    </row>
    <row r="350" spans="1:19" ht="18.95" customHeight="1">
      <c r="A350" s="425">
        <v>4.16</v>
      </c>
      <c r="B350" s="122"/>
      <c r="C350" s="1323" t="s">
        <v>1040</v>
      </c>
      <c r="D350" s="1324"/>
      <c r="E350" s="267">
        <v>0</v>
      </c>
      <c r="F350" s="430" t="s">
        <v>348</v>
      </c>
      <c r="G350" s="267">
        <v>19.5</v>
      </c>
      <c r="H350" s="267">
        <f t="shared" si="41"/>
        <v>18.230706916500001</v>
      </c>
      <c r="I350" s="267">
        <f t="shared" si="42"/>
        <v>0</v>
      </c>
      <c r="J350" s="269">
        <v>3.6</v>
      </c>
      <c r="K350" s="269">
        <f t="shared" si="36"/>
        <v>3.3656689692000001</v>
      </c>
      <c r="L350" s="267">
        <f t="shared" si="37"/>
        <v>0</v>
      </c>
      <c r="M350" s="267">
        <f t="shared" si="43"/>
        <v>0</v>
      </c>
      <c r="N350" s="270"/>
      <c r="O350" s="1163">
        <v>0.93490804699999996</v>
      </c>
      <c r="P350" s="976"/>
      <c r="Q350" s="862" t="s">
        <v>1038</v>
      </c>
      <c r="R350" s="252"/>
      <c r="S350" s="252"/>
    </row>
    <row r="351" spans="1:19" ht="18.95" customHeight="1">
      <c r="A351" s="425">
        <v>4.17</v>
      </c>
      <c r="B351" s="122"/>
      <c r="C351" s="1323" t="s">
        <v>1041</v>
      </c>
      <c r="D351" s="1324"/>
      <c r="E351" s="267">
        <v>2.9000000000000004</v>
      </c>
      <c r="F351" s="430" t="s">
        <v>348</v>
      </c>
      <c r="G351" s="269">
        <v>27.1</v>
      </c>
      <c r="H351" s="267">
        <f t="shared" si="41"/>
        <v>25.3360080737</v>
      </c>
      <c r="I351" s="267">
        <f t="shared" si="42"/>
        <v>73.474423413730008</v>
      </c>
      <c r="J351" s="269">
        <v>0</v>
      </c>
      <c r="K351" s="269">
        <f t="shared" si="36"/>
        <v>0</v>
      </c>
      <c r="L351" s="267">
        <f t="shared" si="37"/>
        <v>0</v>
      </c>
      <c r="M351" s="267">
        <f t="shared" si="43"/>
        <v>73.474423413730008</v>
      </c>
      <c r="N351" s="268"/>
      <c r="O351" s="1163">
        <v>0.93490804699999996</v>
      </c>
      <c r="P351" s="973"/>
      <c r="Q351" s="862" t="s">
        <v>1038</v>
      </c>
      <c r="R351" s="252"/>
      <c r="S351" s="252"/>
    </row>
    <row r="352" spans="1:19" ht="18.95" customHeight="1">
      <c r="A352" s="425">
        <v>4.18</v>
      </c>
      <c r="B352" s="122"/>
      <c r="C352" s="1323" t="s">
        <v>1043</v>
      </c>
      <c r="D352" s="1324"/>
      <c r="E352" s="267"/>
      <c r="F352" s="430"/>
      <c r="G352" s="267"/>
      <c r="H352" s="267"/>
      <c r="I352" s="267"/>
      <c r="J352" s="269"/>
      <c r="K352" s="269"/>
      <c r="L352" s="267"/>
      <c r="M352" s="267"/>
      <c r="N352" s="268"/>
      <c r="O352" s="1163">
        <v>0.93490804699999996</v>
      </c>
      <c r="P352" s="973"/>
      <c r="Q352" s="252"/>
      <c r="R352" s="252"/>
      <c r="S352" s="252"/>
    </row>
    <row r="353" spans="1:19" ht="18.95" customHeight="1">
      <c r="A353" s="431"/>
      <c r="B353" s="329"/>
      <c r="C353" s="433" t="s">
        <v>1044</v>
      </c>
      <c r="E353" s="267">
        <v>1.2</v>
      </c>
      <c r="F353" s="434" t="s">
        <v>218</v>
      </c>
      <c r="G353" s="434">
        <v>245.2</v>
      </c>
      <c r="H353" s="267">
        <f t="shared" si="41"/>
        <v>229.23945312439997</v>
      </c>
      <c r="I353" s="267">
        <f t="shared" si="42"/>
        <v>275.08734374927997</v>
      </c>
      <c r="J353" s="435">
        <v>0</v>
      </c>
      <c r="K353" s="269">
        <f t="shared" si="36"/>
        <v>0</v>
      </c>
      <c r="L353" s="267">
        <f t="shared" si="37"/>
        <v>0</v>
      </c>
      <c r="M353" s="267">
        <f t="shared" si="43"/>
        <v>275.08734374927997</v>
      </c>
      <c r="N353" s="436"/>
      <c r="O353" s="1163">
        <v>0.93490804699999996</v>
      </c>
      <c r="P353" s="765"/>
      <c r="Q353" s="252"/>
      <c r="R353" s="252"/>
      <c r="S353" s="252"/>
    </row>
    <row r="354" spans="1:19" ht="18.95" customHeight="1">
      <c r="A354" s="431"/>
      <c r="B354" s="329"/>
      <c r="C354" s="433" t="s">
        <v>1045</v>
      </c>
      <c r="E354" s="267">
        <v>2</v>
      </c>
      <c r="F354" s="434" t="s">
        <v>218</v>
      </c>
      <c r="G354" s="434">
        <v>0</v>
      </c>
      <c r="H354" s="267">
        <f t="shared" si="41"/>
        <v>0</v>
      </c>
      <c r="I354" s="267">
        <f t="shared" si="42"/>
        <v>0</v>
      </c>
      <c r="J354" s="435">
        <v>121</v>
      </c>
      <c r="K354" s="269">
        <f t="shared" si="36"/>
        <v>113.123873687</v>
      </c>
      <c r="L354" s="267">
        <f t="shared" si="37"/>
        <v>226.247747374</v>
      </c>
      <c r="M354" s="267">
        <f t="shared" si="43"/>
        <v>226.247747374</v>
      </c>
      <c r="N354" s="436"/>
      <c r="O354" s="1163">
        <v>0.93490804699999996</v>
      </c>
      <c r="P354" s="765"/>
      <c r="Q354" s="252"/>
      <c r="R354" s="252"/>
      <c r="S354" s="252"/>
    </row>
    <row r="355" spans="1:19" ht="18.95" customHeight="1">
      <c r="A355" s="431"/>
      <c r="B355" s="329"/>
      <c r="C355" s="433" t="s">
        <v>1046</v>
      </c>
      <c r="E355" s="267">
        <v>0.36</v>
      </c>
      <c r="F355" s="434" t="s">
        <v>1047</v>
      </c>
      <c r="G355" s="434">
        <v>309.42</v>
      </c>
      <c r="H355" s="267">
        <f t="shared" si="41"/>
        <v>289.27924790274</v>
      </c>
      <c r="I355" s="267">
        <f t="shared" si="42"/>
        <v>104.1405292449864</v>
      </c>
      <c r="J355" s="435">
        <v>0</v>
      </c>
      <c r="K355" s="269">
        <f t="shared" si="36"/>
        <v>0</v>
      </c>
      <c r="L355" s="267">
        <f t="shared" si="37"/>
        <v>0</v>
      </c>
      <c r="M355" s="267">
        <f t="shared" si="43"/>
        <v>104.1405292449864</v>
      </c>
      <c r="N355" s="436"/>
      <c r="O355" s="1163">
        <v>0.93490804699999996</v>
      </c>
      <c r="P355" s="765"/>
      <c r="Q355" s="252"/>
      <c r="R355" s="252"/>
      <c r="S355" s="252"/>
    </row>
    <row r="356" spans="1:19" ht="18.95" customHeight="1">
      <c r="A356" s="431"/>
      <c r="B356" s="329"/>
      <c r="C356" s="433" t="s">
        <v>1048</v>
      </c>
      <c r="E356" s="269">
        <v>0.3</v>
      </c>
      <c r="F356" s="434" t="s">
        <v>348</v>
      </c>
      <c r="G356" s="434">
        <v>23.36</v>
      </c>
      <c r="H356" s="267">
        <f t="shared" si="41"/>
        <v>21.83945197792</v>
      </c>
      <c r="I356" s="267">
        <f t="shared" si="42"/>
        <v>6.5518355933759995</v>
      </c>
      <c r="J356" s="435">
        <v>0</v>
      </c>
      <c r="K356" s="269">
        <f t="shared" si="36"/>
        <v>0</v>
      </c>
      <c r="L356" s="267">
        <f t="shared" si="37"/>
        <v>0</v>
      </c>
      <c r="M356" s="267">
        <f t="shared" si="43"/>
        <v>6.5518355933759995</v>
      </c>
      <c r="N356" s="436"/>
      <c r="O356" s="1163">
        <v>0.93490804699999996</v>
      </c>
      <c r="P356" s="765"/>
      <c r="Q356" s="862" t="s">
        <v>1038</v>
      </c>
      <c r="R356" s="252"/>
      <c r="S356" s="252"/>
    </row>
    <row r="357" spans="1:19" ht="18.95" customHeight="1">
      <c r="A357" s="204"/>
      <c r="B357" s="407"/>
      <c r="D357" s="1257" t="s">
        <v>1096</v>
      </c>
      <c r="E357" s="267"/>
      <c r="F357" s="268"/>
      <c r="G357" s="267"/>
      <c r="H357" s="267"/>
      <c r="I357" s="267"/>
      <c r="J357" s="267"/>
      <c r="K357" s="269"/>
      <c r="L357" s="267"/>
      <c r="M357" s="288">
        <f>SUM(M342:M356)</f>
        <v>8301.1296058406751</v>
      </c>
      <c r="N357" s="268"/>
      <c r="O357" s="1163">
        <v>0.93490804699999996</v>
      </c>
      <c r="P357" s="973"/>
      <c r="Q357" s="252"/>
      <c r="R357" s="252"/>
      <c r="S357" s="252"/>
    </row>
    <row r="358" spans="1:19" ht="18.95" customHeight="1">
      <c r="A358" s="204"/>
      <c r="B358" s="122"/>
      <c r="C358" s="440"/>
      <c r="D358" s="441"/>
      <c r="E358" s="267"/>
      <c r="F358" s="268"/>
      <c r="G358" s="267"/>
      <c r="H358" s="267"/>
      <c r="I358" s="267"/>
      <c r="J358" s="267"/>
      <c r="K358" s="269"/>
      <c r="L358" s="267"/>
      <c r="M358" s="288"/>
      <c r="N358" s="268"/>
      <c r="O358" s="1163">
        <v>0.93490804699999996</v>
      </c>
      <c r="P358" s="973"/>
      <c r="Q358" s="252"/>
      <c r="R358" s="252"/>
      <c r="S358" s="252"/>
    </row>
    <row r="359" spans="1:19" ht="18.95" customHeight="1">
      <c r="A359" s="204"/>
      <c r="B359" s="122"/>
      <c r="C359" s="438" t="s">
        <v>1097</v>
      </c>
      <c r="D359" s="131"/>
      <c r="E359" s="270"/>
      <c r="F359" s="268"/>
      <c r="G359" s="267"/>
      <c r="H359" s="267"/>
      <c r="I359" s="267"/>
      <c r="J359" s="267"/>
      <c r="K359" s="269"/>
      <c r="L359" s="267"/>
      <c r="M359" s="270"/>
      <c r="N359" s="268"/>
      <c r="O359" s="1163">
        <v>0.93490804699999996</v>
      </c>
      <c r="P359" s="973"/>
      <c r="Q359" s="252"/>
      <c r="R359" s="252"/>
      <c r="S359" s="252"/>
    </row>
    <row r="360" spans="1:19" ht="18.95" customHeight="1">
      <c r="A360" s="425">
        <v>4.1900000000000004</v>
      </c>
      <c r="B360" s="122"/>
      <c r="C360" s="1331" t="s">
        <v>1092</v>
      </c>
      <c r="D360" s="1332"/>
      <c r="E360" s="267">
        <v>4.7</v>
      </c>
      <c r="F360" s="430" t="s">
        <v>1032</v>
      </c>
      <c r="G360" s="267">
        <v>2117.5</v>
      </c>
      <c r="H360" s="267">
        <f t="shared" si="41"/>
        <v>1979.6677895225</v>
      </c>
      <c r="I360" s="267">
        <f t="shared" si="42"/>
        <v>9304.4386107557511</v>
      </c>
      <c r="J360" s="269">
        <v>519</v>
      </c>
      <c r="K360" s="269">
        <f t="shared" si="36"/>
        <v>485.21727639299996</v>
      </c>
      <c r="L360" s="267">
        <f t="shared" si="37"/>
        <v>2280.5211990470998</v>
      </c>
      <c r="M360" s="267">
        <f t="shared" ref="M360:M374" si="44">I360+L360</f>
        <v>11584.959809802851</v>
      </c>
      <c r="N360" s="270"/>
      <c r="O360" s="1163">
        <v>0.93490804699999996</v>
      </c>
      <c r="P360" s="976"/>
      <c r="Q360" s="252"/>
      <c r="R360" s="252"/>
      <c r="S360" s="252"/>
    </row>
    <row r="361" spans="1:19" ht="18.95" customHeight="1">
      <c r="A361" s="425">
        <v>4.2</v>
      </c>
      <c r="B361" s="122"/>
      <c r="C361" s="1331" t="s">
        <v>1093</v>
      </c>
      <c r="D361" s="1332"/>
      <c r="E361" s="267">
        <v>1.3</v>
      </c>
      <c r="F361" s="430" t="s">
        <v>1032</v>
      </c>
      <c r="G361" s="267">
        <v>1937.5</v>
      </c>
      <c r="H361" s="267">
        <f t="shared" si="41"/>
        <v>1811.3843410625</v>
      </c>
      <c r="I361" s="267">
        <f t="shared" si="42"/>
        <v>2354.79964338125</v>
      </c>
      <c r="J361" s="269">
        <v>519</v>
      </c>
      <c r="K361" s="269">
        <f t="shared" si="36"/>
        <v>485.21727639299996</v>
      </c>
      <c r="L361" s="267">
        <f t="shared" si="37"/>
        <v>630.78245931089998</v>
      </c>
      <c r="M361" s="267">
        <f t="shared" si="44"/>
        <v>2985.5821026921499</v>
      </c>
      <c r="N361" s="270"/>
      <c r="O361" s="1163">
        <v>0.93490804699999996</v>
      </c>
      <c r="P361" s="976"/>
      <c r="Q361" s="252"/>
      <c r="R361" s="252"/>
      <c r="S361" s="252"/>
    </row>
    <row r="362" spans="1:19" ht="18.95" customHeight="1">
      <c r="A362" s="425">
        <v>4.21</v>
      </c>
      <c r="B362" s="122"/>
      <c r="C362" s="1323" t="s">
        <v>1098</v>
      </c>
      <c r="D362" s="1324"/>
      <c r="E362" s="267">
        <v>1.3</v>
      </c>
      <c r="F362" s="430" t="s">
        <v>1032</v>
      </c>
      <c r="G362" s="267">
        <v>508.33</v>
      </c>
      <c r="H362" s="267">
        <f t="shared" si="41"/>
        <v>475.24180753150995</v>
      </c>
      <c r="I362" s="267">
        <f t="shared" si="42"/>
        <v>617.81434979096298</v>
      </c>
      <c r="J362" s="269">
        <v>104</v>
      </c>
      <c r="K362" s="269">
        <f t="shared" si="36"/>
        <v>97.230436888</v>
      </c>
      <c r="L362" s="267">
        <f t="shared" si="37"/>
        <v>126.3995679544</v>
      </c>
      <c r="M362" s="267">
        <f t="shared" si="44"/>
        <v>744.21391774536301</v>
      </c>
      <c r="N362" s="270"/>
      <c r="O362" s="1163">
        <v>0.93490804699999996</v>
      </c>
      <c r="P362" s="976"/>
      <c r="Q362" s="252"/>
      <c r="R362" s="252"/>
      <c r="S362" s="252"/>
    </row>
    <row r="363" spans="1:19" ht="18.95" customHeight="1">
      <c r="A363" s="425">
        <v>4.22</v>
      </c>
      <c r="B363" s="122"/>
      <c r="C363" s="1323" t="s">
        <v>1031</v>
      </c>
      <c r="D363" s="1324"/>
      <c r="E363" s="267">
        <v>60</v>
      </c>
      <c r="F363" s="430" t="s">
        <v>1032</v>
      </c>
      <c r="G363" s="267">
        <v>0</v>
      </c>
      <c r="H363" s="267">
        <f t="shared" si="41"/>
        <v>0</v>
      </c>
      <c r="I363" s="267">
        <f t="shared" si="42"/>
        <v>0</v>
      </c>
      <c r="J363" s="269">
        <v>112</v>
      </c>
      <c r="K363" s="269">
        <f t="shared" si="36"/>
        <v>104.70970126399999</v>
      </c>
      <c r="L363" s="267">
        <f t="shared" si="37"/>
        <v>6282.5820758399996</v>
      </c>
      <c r="M363" s="267">
        <f t="shared" si="44"/>
        <v>6282.5820758399996</v>
      </c>
      <c r="N363" s="270"/>
      <c r="O363" s="1163">
        <v>0.93490804699999996</v>
      </c>
      <c r="P363" s="976"/>
      <c r="Q363" s="252"/>
      <c r="R363" s="252"/>
      <c r="S363" s="252"/>
    </row>
    <row r="364" spans="1:19" ht="18.95" customHeight="1">
      <c r="A364" s="425">
        <v>4.2300000000000004</v>
      </c>
      <c r="B364" s="122"/>
      <c r="C364" s="1323" t="s">
        <v>1099</v>
      </c>
      <c r="D364" s="1324"/>
      <c r="E364" s="267">
        <v>16</v>
      </c>
      <c r="F364" s="430" t="s">
        <v>1028</v>
      </c>
      <c r="G364" s="267">
        <v>585</v>
      </c>
      <c r="H364" s="267">
        <f t="shared" si="41"/>
        <v>546.92120749499998</v>
      </c>
      <c r="I364" s="267">
        <f t="shared" si="42"/>
        <v>8750.7393199199996</v>
      </c>
      <c r="J364" s="269">
        <v>262.67</v>
      </c>
      <c r="K364" s="269">
        <f t="shared" si="36"/>
        <v>245.57229670549</v>
      </c>
      <c r="L364" s="267">
        <f t="shared" si="37"/>
        <v>3929.1567472878401</v>
      </c>
      <c r="M364" s="267">
        <f t="shared" si="44"/>
        <v>12679.896067207839</v>
      </c>
      <c r="N364" s="270"/>
      <c r="O364" s="1163">
        <v>0.93490804699999996</v>
      </c>
      <c r="P364" s="976"/>
      <c r="Q364" s="252"/>
      <c r="R364" s="252"/>
      <c r="S364" s="252"/>
    </row>
    <row r="365" spans="1:19" ht="18.95" customHeight="1">
      <c r="A365" s="425"/>
      <c r="B365" s="122"/>
      <c r="C365" s="1341" t="s">
        <v>1036</v>
      </c>
      <c r="D365" s="1342"/>
      <c r="E365" s="267"/>
      <c r="F365" s="430"/>
      <c r="G365" s="267"/>
      <c r="H365" s="267"/>
      <c r="I365" s="267"/>
      <c r="J365" s="267"/>
      <c r="K365" s="269"/>
      <c r="L365" s="267"/>
      <c r="M365" s="267"/>
      <c r="N365" s="270"/>
      <c r="O365" s="1163">
        <v>0.93490804699999996</v>
      </c>
      <c r="P365" s="976"/>
      <c r="Q365" s="252"/>
      <c r="R365" s="252"/>
      <c r="S365" s="252"/>
    </row>
    <row r="366" spans="1:19" ht="18.95" customHeight="1">
      <c r="A366" s="425">
        <v>4.24</v>
      </c>
      <c r="B366" s="122"/>
      <c r="C366" s="1323" t="s">
        <v>1037</v>
      </c>
      <c r="D366" s="1324"/>
      <c r="E366" s="267">
        <v>286</v>
      </c>
      <c r="F366" s="430" t="s">
        <v>348</v>
      </c>
      <c r="G366" s="267">
        <v>19.600000000000001</v>
      </c>
      <c r="H366" s="267">
        <f t="shared" si="41"/>
        <v>18.324197721200001</v>
      </c>
      <c r="I366" s="267">
        <f t="shared" si="42"/>
        <v>5240.7205482631998</v>
      </c>
      <c r="J366" s="269">
        <v>4.4000000000000004</v>
      </c>
      <c r="K366" s="269">
        <f t="shared" si="36"/>
        <v>4.1135954068</v>
      </c>
      <c r="L366" s="267">
        <f t="shared" si="37"/>
        <v>1176.4882863447999</v>
      </c>
      <c r="M366" s="267">
        <f t="shared" si="44"/>
        <v>6417.208834608</v>
      </c>
      <c r="N366" s="270"/>
      <c r="O366" s="1163">
        <v>0.93490804699999996</v>
      </c>
      <c r="P366" s="976"/>
      <c r="Q366" s="862" t="s">
        <v>1038</v>
      </c>
      <c r="R366" s="252"/>
      <c r="S366" s="252"/>
    </row>
    <row r="367" spans="1:19" ht="18.95" customHeight="1">
      <c r="A367" s="425">
        <v>4.25</v>
      </c>
      <c r="B367" s="122"/>
      <c r="C367" s="1323" t="s">
        <v>1039</v>
      </c>
      <c r="D367" s="1324"/>
      <c r="E367" s="267">
        <v>20</v>
      </c>
      <c r="F367" s="430" t="s">
        <v>348</v>
      </c>
      <c r="G367" s="267">
        <v>19.7</v>
      </c>
      <c r="H367" s="267">
        <f t="shared" si="41"/>
        <v>18.417688525899997</v>
      </c>
      <c r="I367" s="267">
        <f t="shared" si="42"/>
        <v>368.35377051799992</v>
      </c>
      <c r="J367" s="269">
        <v>3.6</v>
      </c>
      <c r="K367" s="269">
        <f t="shared" si="36"/>
        <v>3.3656689692000001</v>
      </c>
      <c r="L367" s="267">
        <f t="shared" si="37"/>
        <v>67.313379384000001</v>
      </c>
      <c r="M367" s="267">
        <f t="shared" si="44"/>
        <v>435.66714990199989</v>
      </c>
      <c r="N367" s="270"/>
      <c r="O367" s="1163">
        <v>0.93490804699999996</v>
      </c>
      <c r="P367" s="976"/>
      <c r="Q367" s="862" t="s">
        <v>1038</v>
      </c>
      <c r="R367" s="252"/>
      <c r="S367" s="252"/>
    </row>
    <row r="368" spans="1:19" ht="18.95" customHeight="1">
      <c r="A368" s="425">
        <v>4.26</v>
      </c>
      <c r="B368" s="122"/>
      <c r="C368" s="1323" t="s">
        <v>1040</v>
      </c>
      <c r="D368" s="1324"/>
      <c r="E368" s="267">
        <v>58</v>
      </c>
      <c r="F368" s="430" t="s">
        <v>348</v>
      </c>
      <c r="G368" s="267">
        <v>19.5</v>
      </c>
      <c r="H368" s="267">
        <f t="shared" si="41"/>
        <v>18.230706916500001</v>
      </c>
      <c r="I368" s="267">
        <f t="shared" si="42"/>
        <v>1057.3810011570001</v>
      </c>
      <c r="J368" s="269">
        <v>3.6</v>
      </c>
      <c r="K368" s="269">
        <f t="shared" si="36"/>
        <v>3.3656689692000001</v>
      </c>
      <c r="L368" s="267">
        <f t="shared" si="37"/>
        <v>195.2088002136</v>
      </c>
      <c r="M368" s="267">
        <f t="shared" si="44"/>
        <v>1252.5898013706001</v>
      </c>
      <c r="N368" s="270"/>
      <c r="O368" s="1163">
        <v>0.93490804699999996</v>
      </c>
      <c r="P368" s="976"/>
      <c r="Q368" s="862" t="s">
        <v>1038</v>
      </c>
      <c r="R368" s="252"/>
      <c r="S368" s="252"/>
    </row>
    <row r="369" spans="1:19" ht="18.95" customHeight="1">
      <c r="A369" s="425">
        <v>4.2699999999999996</v>
      </c>
      <c r="B369" s="122"/>
      <c r="C369" s="1323" t="s">
        <v>1041</v>
      </c>
      <c r="D369" s="1324"/>
      <c r="E369" s="267">
        <v>9.1</v>
      </c>
      <c r="F369" s="430" t="s">
        <v>348</v>
      </c>
      <c r="G369" s="269">
        <v>27.1</v>
      </c>
      <c r="H369" s="267">
        <f t="shared" si="41"/>
        <v>25.3360080737</v>
      </c>
      <c r="I369" s="267">
        <f t="shared" si="42"/>
        <v>230.55767347066998</v>
      </c>
      <c r="J369" s="269">
        <v>0</v>
      </c>
      <c r="K369" s="269">
        <f t="shared" si="36"/>
        <v>0</v>
      </c>
      <c r="L369" s="267">
        <f t="shared" si="37"/>
        <v>0</v>
      </c>
      <c r="M369" s="267">
        <f t="shared" si="44"/>
        <v>230.55767347066998</v>
      </c>
      <c r="N369" s="268"/>
      <c r="O369" s="1163">
        <v>0.93490804699999996</v>
      </c>
      <c r="P369" s="973"/>
      <c r="Q369" s="862" t="s">
        <v>1038</v>
      </c>
      <c r="R369" s="252"/>
      <c r="S369" s="252"/>
    </row>
    <row r="370" spans="1:19" ht="18.95" customHeight="1">
      <c r="A370" s="425">
        <v>4.28</v>
      </c>
      <c r="B370" s="122"/>
      <c r="C370" s="1323" t="s">
        <v>1043</v>
      </c>
      <c r="D370" s="1324"/>
      <c r="E370" s="267"/>
      <c r="F370" s="430"/>
      <c r="G370" s="267"/>
      <c r="H370" s="267"/>
      <c r="I370" s="267"/>
      <c r="J370" s="269"/>
      <c r="K370" s="269"/>
      <c r="L370" s="267"/>
      <c r="M370" s="267"/>
      <c r="N370" s="268"/>
      <c r="O370" s="1163">
        <v>0.93490804699999996</v>
      </c>
      <c r="P370" s="973"/>
      <c r="Q370" s="252"/>
      <c r="R370" s="252"/>
      <c r="S370" s="252"/>
    </row>
    <row r="371" spans="1:19" ht="18.95" customHeight="1">
      <c r="A371" s="431"/>
      <c r="B371" s="329"/>
      <c r="C371" s="433" t="s">
        <v>1044</v>
      </c>
      <c r="E371" s="267">
        <v>2.4</v>
      </c>
      <c r="F371" s="434" t="s">
        <v>218</v>
      </c>
      <c r="G371" s="434">
        <v>245.2</v>
      </c>
      <c r="H371" s="267">
        <f t="shared" si="41"/>
        <v>229.23945312439997</v>
      </c>
      <c r="I371" s="267">
        <f t="shared" si="42"/>
        <v>550.17468749855993</v>
      </c>
      <c r="J371" s="435">
        <v>0</v>
      </c>
      <c r="K371" s="269">
        <f t="shared" si="36"/>
        <v>0</v>
      </c>
      <c r="L371" s="267">
        <f t="shared" si="37"/>
        <v>0</v>
      </c>
      <c r="M371" s="267">
        <f t="shared" si="44"/>
        <v>550.17468749855993</v>
      </c>
      <c r="N371" s="436"/>
      <c r="O371" s="1163">
        <v>0.93490804699999996</v>
      </c>
      <c r="P371" s="765"/>
      <c r="Q371" s="252"/>
      <c r="R371" s="252"/>
      <c r="S371" s="252"/>
    </row>
    <row r="372" spans="1:19" ht="18.95" customHeight="1">
      <c r="A372" s="431"/>
      <c r="B372" s="329"/>
      <c r="C372" s="433" t="s">
        <v>1045</v>
      </c>
      <c r="E372" s="267">
        <v>4</v>
      </c>
      <c r="F372" s="434" t="s">
        <v>218</v>
      </c>
      <c r="G372" s="434">
        <v>0</v>
      </c>
      <c r="H372" s="267">
        <f t="shared" si="41"/>
        <v>0</v>
      </c>
      <c r="I372" s="267">
        <f t="shared" si="42"/>
        <v>0</v>
      </c>
      <c r="J372" s="435">
        <v>121</v>
      </c>
      <c r="K372" s="269">
        <f t="shared" si="36"/>
        <v>113.123873687</v>
      </c>
      <c r="L372" s="267">
        <f t="shared" si="37"/>
        <v>452.495494748</v>
      </c>
      <c r="M372" s="267">
        <f t="shared" si="44"/>
        <v>452.495494748</v>
      </c>
      <c r="N372" s="436"/>
      <c r="O372" s="1163">
        <v>0.93490804699999996</v>
      </c>
      <c r="P372" s="765"/>
      <c r="Q372" s="252"/>
      <c r="R372" s="252"/>
      <c r="S372" s="252"/>
    </row>
    <row r="373" spans="1:19" ht="18.95" customHeight="1">
      <c r="A373" s="431"/>
      <c r="B373" s="329"/>
      <c r="C373" s="433" t="s">
        <v>1046</v>
      </c>
      <c r="E373" s="267">
        <v>0.72</v>
      </c>
      <c r="F373" s="434" t="s">
        <v>1047</v>
      </c>
      <c r="G373" s="434">
        <v>309.42</v>
      </c>
      <c r="H373" s="267">
        <f t="shared" si="41"/>
        <v>289.27924790274</v>
      </c>
      <c r="I373" s="267">
        <f t="shared" si="42"/>
        <v>208.28105848997279</v>
      </c>
      <c r="J373" s="435">
        <v>0</v>
      </c>
      <c r="K373" s="269">
        <f t="shared" si="36"/>
        <v>0</v>
      </c>
      <c r="L373" s="267">
        <f t="shared" si="37"/>
        <v>0</v>
      </c>
      <c r="M373" s="267">
        <f t="shared" si="44"/>
        <v>208.28105848997279</v>
      </c>
      <c r="N373" s="436"/>
      <c r="O373" s="1163">
        <v>0.93490804699999996</v>
      </c>
      <c r="P373" s="765"/>
      <c r="Q373" s="252"/>
      <c r="R373" s="252"/>
      <c r="S373" s="252"/>
    </row>
    <row r="374" spans="1:19" ht="18.95" customHeight="1">
      <c r="A374" s="431"/>
      <c r="B374" s="329"/>
      <c r="C374" s="433" t="s">
        <v>1048</v>
      </c>
      <c r="E374" s="269">
        <v>0.6</v>
      </c>
      <c r="F374" s="434" t="s">
        <v>348</v>
      </c>
      <c r="G374" s="434">
        <v>23.36</v>
      </c>
      <c r="H374" s="267">
        <f t="shared" si="41"/>
        <v>21.83945197792</v>
      </c>
      <c r="I374" s="267">
        <f t="shared" si="42"/>
        <v>13.103671186751999</v>
      </c>
      <c r="J374" s="435">
        <v>0</v>
      </c>
      <c r="K374" s="269">
        <f t="shared" si="36"/>
        <v>0</v>
      </c>
      <c r="L374" s="267">
        <f t="shared" si="37"/>
        <v>0</v>
      </c>
      <c r="M374" s="267">
        <f t="shared" si="44"/>
        <v>13.103671186751999</v>
      </c>
      <c r="N374" s="436"/>
      <c r="O374" s="1163">
        <v>0.93490804699999996</v>
      </c>
      <c r="P374" s="765"/>
      <c r="Q374" s="862" t="s">
        <v>1038</v>
      </c>
      <c r="R374" s="252"/>
      <c r="S374" s="252"/>
    </row>
    <row r="375" spans="1:19" ht="18.95" customHeight="1">
      <c r="A375" s="204"/>
      <c r="B375" s="407"/>
      <c r="D375" s="1257" t="s">
        <v>1100</v>
      </c>
      <c r="E375" s="267"/>
      <c r="F375" s="268"/>
      <c r="G375" s="267"/>
      <c r="H375" s="267"/>
      <c r="I375" s="267"/>
      <c r="J375" s="267"/>
      <c r="K375" s="269"/>
      <c r="L375" s="267"/>
      <c r="M375" s="288">
        <f>SUM(M359:M374)</f>
        <v>43837.312344562757</v>
      </c>
      <c r="N375" s="268"/>
      <c r="O375" s="1163">
        <v>0.93490804699999996</v>
      </c>
      <c r="P375" s="973"/>
      <c r="Q375" s="252"/>
      <c r="R375" s="252"/>
      <c r="S375" s="252"/>
    </row>
    <row r="376" spans="1:19" ht="18.95" customHeight="1">
      <c r="A376" s="204"/>
      <c r="B376" s="122"/>
      <c r="C376" s="440"/>
      <c r="D376" s="441"/>
      <c r="E376" s="267"/>
      <c r="F376" s="268"/>
      <c r="G376" s="267"/>
      <c r="H376" s="267"/>
      <c r="I376" s="267"/>
      <c r="J376" s="267"/>
      <c r="K376" s="269"/>
      <c r="L376" s="267"/>
      <c r="M376" s="288"/>
      <c r="N376" s="268"/>
      <c r="O376" s="1163">
        <v>0.93490804699999996</v>
      </c>
      <c r="P376" s="973"/>
      <c r="Q376" s="252"/>
      <c r="R376" s="252"/>
      <c r="S376" s="252"/>
    </row>
    <row r="377" spans="1:19" ht="18.95" customHeight="1">
      <c r="A377" s="204"/>
      <c r="B377" s="122"/>
      <c r="C377" s="438" t="s">
        <v>1101</v>
      </c>
      <c r="D377" s="131"/>
      <c r="E377" s="270"/>
      <c r="F377" s="268"/>
      <c r="G377" s="267"/>
      <c r="H377" s="267"/>
      <c r="I377" s="267"/>
      <c r="J377" s="267"/>
      <c r="K377" s="269"/>
      <c r="L377" s="267"/>
      <c r="M377" s="270"/>
      <c r="N377" s="268"/>
      <c r="O377" s="1163">
        <v>0.93490804699999996</v>
      </c>
      <c r="P377" s="973"/>
      <c r="Q377" s="252"/>
      <c r="R377" s="252"/>
      <c r="S377" s="252"/>
    </row>
    <row r="378" spans="1:19" ht="18.95" customHeight="1">
      <c r="A378" s="425">
        <v>4.29</v>
      </c>
      <c r="B378" s="122"/>
      <c r="C378" s="1331" t="s">
        <v>1092</v>
      </c>
      <c r="D378" s="1332"/>
      <c r="E378" s="267">
        <v>4.7</v>
      </c>
      <c r="F378" s="430" t="s">
        <v>1032</v>
      </c>
      <c r="G378" s="267">
        <v>2117.5</v>
      </c>
      <c r="H378" s="267">
        <f t="shared" si="41"/>
        <v>1979.6677895225</v>
      </c>
      <c r="I378" s="267">
        <f t="shared" si="42"/>
        <v>9304.4386107557511</v>
      </c>
      <c r="J378" s="269">
        <v>519</v>
      </c>
      <c r="K378" s="269">
        <f>J378*O378</f>
        <v>485.21727639299996</v>
      </c>
      <c r="L378" s="267">
        <f>E378*K378</f>
        <v>2280.5211990470998</v>
      </c>
      <c r="M378" s="267">
        <f t="shared" ref="M378:M392" si="45">I378+L378</f>
        <v>11584.959809802851</v>
      </c>
      <c r="N378" s="270"/>
      <c r="O378" s="1163">
        <v>0.93490804699999996</v>
      </c>
      <c r="P378" s="976"/>
      <c r="Q378" s="252"/>
      <c r="R378" s="252"/>
      <c r="S378" s="252"/>
    </row>
    <row r="379" spans="1:19" ht="18.95" customHeight="1">
      <c r="A379" s="425">
        <v>4.3</v>
      </c>
      <c r="B379" s="122"/>
      <c r="C379" s="1331" t="s">
        <v>1093</v>
      </c>
      <c r="D379" s="1332"/>
      <c r="E379" s="267">
        <v>1.3</v>
      </c>
      <c r="F379" s="430" t="s">
        <v>1032</v>
      </c>
      <c r="G379" s="267">
        <v>1937.5</v>
      </c>
      <c r="H379" s="267">
        <f t="shared" si="41"/>
        <v>1811.3843410625</v>
      </c>
      <c r="I379" s="267">
        <f t="shared" si="42"/>
        <v>2354.79964338125</v>
      </c>
      <c r="J379" s="269">
        <v>519</v>
      </c>
      <c r="K379" s="269">
        <f t="shared" ref="K379:K435" si="46">J379*O379</f>
        <v>485.21727639299996</v>
      </c>
      <c r="L379" s="267">
        <f t="shared" ref="L379:L435" si="47">E379*K379</f>
        <v>630.78245931089998</v>
      </c>
      <c r="M379" s="267">
        <f t="shared" si="45"/>
        <v>2985.5821026921499</v>
      </c>
      <c r="N379" s="270"/>
      <c r="O379" s="1163">
        <v>0.93490804699999996</v>
      </c>
      <c r="P379" s="976"/>
      <c r="Q379" s="252"/>
      <c r="R379" s="252"/>
      <c r="S379" s="252"/>
    </row>
    <row r="380" spans="1:19" ht="18.95" customHeight="1">
      <c r="A380" s="425">
        <v>4.3099999999999996</v>
      </c>
      <c r="B380" s="122"/>
      <c r="C380" s="1323" t="s">
        <v>1098</v>
      </c>
      <c r="D380" s="1324"/>
      <c r="E380" s="267">
        <v>1.3</v>
      </c>
      <c r="F380" s="430" t="s">
        <v>1032</v>
      </c>
      <c r="G380" s="267">
        <v>508.33</v>
      </c>
      <c r="H380" s="267">
        <f t="shared" si="41"/>
        <v>475.24180753150995</v>
      </c>
      <c r="I380" s="267">
        <f t="shared" si="42"/>
        <v>617.81434979096298</v>
      </c>
      <c r="J380" s="269">
        <v>104</v>
      </c>
      <c r="K380" s="269">
        <f t="shared" si="46"/>
        <v>97.230436888</v>
      </c>
      <c r="L380" s="267">
        <f t="shared" si="47"/>
        <v>126.3995679544</v>
      </c>
      <c r="M380" s="267">
        <f t="shared" si="45"/>
        <v>744.21391774536301</v>
      </c>
      <c r="N380" s="270"/>
      <c r="O380" s="1163">
        <v>0.93490804699999996</v>
      </c>
      <c r="P380" s="976"/>
      <c r="Q380" s="252"/>
      <c r="R380" s="252"/>
      <c r="S380" s="252"/>
    </row>
    <row r="381" spans="1:19" ht="18.95" customHeight="1">
      <c r="A381" s="425">
        <v>4.32</v>
      </c>
      <c r="B381" s="122"/>
      <c r="C381" s="1323" t="s">
        <v>1031</v>
      </c>
      <c r="D381" s="1324"/>
      <c r="E381" s="267">
        <v>60</v>
      </c>
      <c r="F381" s="430" t="s">
        <v>1032</v>
      </c>
      <c r="G381" s="267">
        <v>0</v>
      </c>
      <c r="H381" s="267">
        <f t="shared" si="41"/>
        <v>0</v>
      </c>
      <c r="I381" s="267">
        <f t="shared" si="42"/>
        <v>0</v>
      </c>
      <c r="J381" s="269">
        <v>112</v>
      </c>
      <c r="K381" s="269">
        <f t="shared" si="46"/>
        <v>104.70970126399999</v>
      </c>
      <c r="L381" s="267">
        <f t="shared" si="47"/>
        <v>6282.5820758399996</v>
      </c>
      <c r="M381" s="267">
        <f t="shared" si="45"/>
        <v>6282.5820758399996</v>
      </c>
      <c r="N381" s="270"/>
      <c r="O381" s="1163">
        <v>0.93490804699999996</v>
      </c>
      <c r="P381" s="976"/>
      <c r="Q381" s="252"/>
      <c r="R381" s="252"/>
      <c r="S381" s="252"/>
    </row>
    <row r="382" spans="1:19" ht="18.95" customHeight="1">
      <c r="A382" s="425">
        <v>4.33</v>
      </c>
      <c r="B382" s="122"/>
      <c r="C382" s="1323" t="s">
        <v>1099</v>
      </c>
      <c r="D382" s="1324"/>
      <c r="E382" s="267">
        <v>34</v>
      </c>
      <c r="F382" s="430" t="s">
        <v>1028</v>
      </c>
      <c r="G382" s="267">
        <v>585</v>
      </c>
      <c r="H382" s="267">
        <f t="shared" si="41"/>
        <v>546.92120749499998</v>
      </c>
      <c r="I382" s="267">
        <f t="shared" si="42"/>
        <v>18595.321054829998</v>
      </c>
      <c r="J382" s="269">
        <v>262.67</v>
      </c>
      <c r="K382" s="269">
        <f t="shared" si="46"/>
        <v>245.57229670549</v>
      </c>
      <c r="L382" s="267">
        <f t="shared" si="47"/>
        <v>8349.4580879866608</v>
      </c>
      <c r="M382" s="267">
        <f t="shared" si="45"/>
        <v>26944.77914281666</v>
      </c>
      <c r="N382" s="270"/>
      <c r="O382" s="1163">
        <v>0.93490804699999996</v>
      </c>
      <c r="P382" s="976"/>
      <c r="Q382" s="252"/>
      <c r="R382" s="252"/>
      <c r="S382" s="252"/>
    </row>
    <row r="383" spans="1:19" ht="18.95" customHeight="1">
      <c r="A383" s="425"/>
      <c r="B383" s="122"/>
      <c r="C383" s="1341" t="s">
        <v>1036</v>
      </c>
      <c r="D383" s="1342"/>
      <c r="E383" s="267"/>
      <c r="F383" s="430"/>
      <c r="G383" s="267"/>
      <c r="H383" s="267"/>
      <c r="I383" s="267"/>
      <c r="J383" s="267"/>
      <c r="K383" s="269"/>
      <c r="L383" s="267"/>
      <c r="M383" s="267"/>
      <c r="N383" s="270"/>
      <c r="O383" s="1163">
        <v>0.93490804699999996</v>
      </c>
      <c r="P383" s="976"/>
      <c r="Q383" s="252"/>
      <c r="R383" s="252"/>
      <c r="S383" s="252"/>
    </row>
    <row r="384" spans="1:19" ht="18.95" customHeight="1">
      <c r="A384" s="425">
        <v>4.34</v>
      </c>
      <c r="B384" s="122"/>
      <c r="C384" s="1323" t="s">
        <v>1037</v>
      </c>
      <c r="D384" s="1324"/>
      <c r="E384" s="267">
        <v>286</v>
      </c>
      <c r="F384" s="430" t="s">
        <v>348</v>
      </c>
      <c r="G384" s="267">
        <v>19.600000000000001</v>
      </c>
      <c r="H384" s="267">
        <f t="shared" si="41"/>
        <v>18.324197721200001</v>
      </c>
      <c r="I384" s="267">
        <f t="shared" si="42"/>
        <v>5240.7205482631998</v>
      </c>
      <c r="J384" s="269">
        <v>4.4000000000000004</v>
      </c>
      <c r="K384" s="269">
        <f t="shared" si="46"/>
        <v>4.1135954068</v>
      </c>
      <c r="L384" s="267">
        <f t="shared" si="47"/>
        <v>1176.4882863447999</v>
      </c>
      <c r="M384" s="267">
        <f t="shared" si="45"/>
        <v>6417.208834608</v>
      </c>
      <c r="N384" s="270"/>
      <c r="O384" s="1163">
        <v>0.93490804699999996</v>
      </c>
      <c r="P384" s="976"/>
      <c r="Q384" s="862" t="s">
        <v>1038</v>
      </c>
      <c r="R384" s="252"/>
      <c r="S384" s="252"/>
    </row>
    <row r="385" spans="1:19" ht="18.95" customHeight="1">
      <c r="A385" s="425">
        <v>4.3499999999999996</v>
      </c>
      <c r="B385" s="122"/>
      <c r="C385" s="1323" t="s">
        <v>1039</v>
      </c>
      <c r="D385" s="1324"/>
      <c r="E385" s="267">
        <v>20</v>
      </c>
      <c r="F385" s="430" t="s">
        <v>348</v>
      </c>
      <c r="G385" s="267">
        <v>19.7</v>
      </c>
      <c r="H385" s="267">
        <f t="shared" si="41"/>
        <v>18.417688525899997</v>
      </c>
      <c r="I385" s="267">
        <f t="shared" si="42"/>
        <v>368.35377051799992</v>
      </c>
      <c r="J385" s="269">
        <v>3.6</v>
      </c>
      <c r="K385" s="269">
        <f t="shared" si="46"/>
        <v>3.3656689692000001</v>
      </c>
      <c r="L385" s="267">
        <f t="shared" si="47"/>
        <v>67.313379384000001</v>
      </c>
      <c r="M385" s="267">
        <f t="shared" si="45"/>
        <v>435.66714990199989</v>
      </c>
      <c r="N385" s="270"/>
      <c r="O385" s="1163">
        <v>0.93490804699999996</v>
      </c>
      <c r="P385" s="976"/>
      <c r="Q385" s="862" t="s">
        <v>1038</v>
      </c>
      <c r="R385" s="252"/>
      <c r="S385" s="252"/>
    </row>
    <row r="386" spans="1:19" ht="18.95" customHeight="1">
      <c r="A386" s="425">
        <v>4.3600000000000003</v>
      </c>
      <c r="B386" s="122"/>
      <c r="C386" s="1323" t="s">
        <v>1040</v>
      </c>
      <c r="D386" s="1324"/>
      <c r="E386" s="267">
        <v>58</v>
      </c>
      <c r="F386" s="430" t="s">
        <v>348</v>
      </c>
      <c r="G386" s="267">
        <v>19.5</v>
      </c>
      <c r="H386" s="267">
        <f t="shared" si="41"/>
        <v>18.230706916500001</v>
      </c>
      <c r="I386" s="267">
        <f t="shared" si="42"/>
        <v>1057.3810011570001</v>
      </c>
      <c r="J386" s="269">
        <v>3.6</v>
      </c>
      <c r="K386" s="269">
        <f t="shared" si="46"/>
        <v>3.3656689692000001</v>
      </c>
      <c r="L386" s="267">
        <f t="shared" si="47"/>
        <v>195.2088002136</v>
      </c>
      <c r="M386" s="267">
        <f t="shared" si="45"/>
        <v>1252.5898013706001</v>
      </c>
      <c r="N386" s="270"/>
      <c r="O386" s="1163">
        <v>0.93490804699999996</v>
      </c>
      <c r="P386" s="976"/>
      <c r="Q386" s="862" t="s">
        <v>1038</v>
      </c>
      <c r="R386" s="252"/>
      <c r="S386" s="252"/>
    </row>
    <row r="387" spans="1:19" ht="18.95" customHeight="1">
      <c r="A387" s="425">
        <v>4.37</v>
      </c>
      <c r="B387" s="122"/>
      <c r="C387" s="1323" t="s">
        <v>1041</v>
      </c>
      <c r="D387" s="1324"/>
      <c r="E387" s="267">
        <v>9.1</v>
      </c>
      <c r="F387" s="430" t="s">
        <v>348</v>
      </c>
      <c r="G387" s="269">
        <v>27.1</v>
      </c>
      <c r="H387" s="267">
        <f t="shared" si="41"/>
        <v>25.3360080737</v>
      </c>
      <c r="I387" s="267">
        <f t="shared" si="42"/>
        <v>230.55767347066998</v>
      </c>
      <c r="J387" s="269">
        <v>0</v>
      </c>
      <c r="K387" s="269">
        <f t="shared" si="46"/>
        <v>0</v>
      </c>
      <c r="L387" s="267">
        <f t="shared" si="47"/>
        <v>0</v>
      </c>
      <c r="M387" s="267">
        <f t="shared" si="45"/>
        <v>230.55767347066998</v>
      </c>
      <c r="N387" s="268"/>
      <c r="O387" s="1163">
        <v>0.93490804699999996</v>
      </c>
      <c r="P387" s="973"/>
      <c r="Q387" s="862" t="s">
        <v>1038</v>
      </c>
      <c r="R387" s="252"/>
      <c r="S387" s="252"/>
    </row>
    <row r="388" spans="1:19" ht="18.95" customHeight="1">
      <c r="A388" s="425">
        <v>4.38</v>
      </c>
      <c r="B388" s="122"/>
      <c r="C388" s="1323" t="s">
        <v>1043</v>
      </c>
      <c r="D388" s="1324"/>
      <c r="E388" s="267"/>
      <c r="F388" s="430"/>
      <c r="G388" s="267"/>
      <c r="H388" s="267"/>
      <c r="I388" s="267"/>
      <c r="J388" s="269"/>
      <c r="K388" s="269"/>
      <c r="L388" s="267"/>
      <c r="M388" s="267"/>
      <c r="N388" s="268"/>
      <c r="O388" s="1163">
        <v>0.93490804699999996</v>
      </c>
      <c r="P388" s="973"/>
      <c r="Q388" s="252"/>
      <c r="R388" s="252"/>
      <c r="S388" s="252"/>
    </row>
    <row r="389" spans="1:19" ht="18.95" customHeight="1">
      <c r="A389" s="431"/>
      <c r="B389" s="329"/>
      <c r="C389" s="433" t="s">
        <v>1044</v>
      </c>
      <c r="E389" s="267">
        <v>2.4</v>
      </c>
      <c r="F389" s="434" t="s">
        <v>218</v>
      </c>
      <c r="G389" s="434">
        <v>245.2</v>
      </c>
      <c r="H389" s="267">
        <f t="shared" si="41"/>
        <v>229.23945312439997</v>
      </c>
      <c r="I389" s="267">
        <f t="shared" si="42"/>
        <v>550.17468749855993</v>
      </c>
      <c r="J389" s="435">
        <v>0</v>
      </c>
      <c r="K389" s="269">
        <f t="shared" si="46"/>
        <v>0</v>
      </c>
      <c r="L389" s="267">
        <f t="shared" si="47"/>
        <v>0</v>
      </c>
      <c r="M389" s="267">
        <f t="shared" si="45"/>
        <v>550.17468749855993</v>
      </c>
      <c r="N389" s="436"/>
      <c r="O389" s="1163">
        <v>0.93490804699999996</v>
      </c>
      <c r="P389" s="765"/>
      <c r="Q389" s="252"/>
      <c r="R389" s="252"/>
      <c r="S389" s="252"/>
    </row>
    <row r="390" spans="1:19" ht="18.95" customHeight="1">
      <c r="A390" s="431"/>
      <c r="B390" s="329"/>
      <c r="C390" s="433" t="s">
        <v>1045</v>
      </c>
      <c r="E390" s="267">
        <v>4</v>
      </c>
      <c r="F390" s="434" t="s">
        <v>218</v>
      </c>
      <c r="G390" s="434">
        <v>0</v>
      </c>
      <c r="H390" s="267">
        <f t="shared" si="41"/>
        <v>0</v>
      </c>
      <c r="I390" s="267">
        <f t="shared" si="42"/>
        <v>0</v>
      </c>
      <c r="J390" s="435">
        <v>121</v>
      </c>
      <c r="K390" s="269">
        <f t="shared" si="46"/>
        <v>113.123873687</v>
      </c>
      <c r="L390" s="267">
        <f t="shared" si="47"/>
        <v>452.495494748</v>
      </c>
      <c r="M390" s="267">
        <f t="shared" si="45"/>
        <v>452.495494748</v>
      </c>
      <c r="N390" s="436"/>
      <c r="O390" s="1163">
        <v>0.93490804699999996</v>
      </c>
      <c r="P390" s="765"/>
      <c r="Q390" s="252"/>
      <c r="R390" s="252"/>
      <c r="S390" s="252"/>
    </row>
    <row r="391" spans="1:19" ht="18.95" customHeight="1">
      <c r="A391" s="431"/>
      <c r="B391" s="329"/>
      <c r="C391" s="433" t="s">
        <v>1046</v>
      </c>
      <c r="E391" s="267">
        <v>0.72</v>
      </c>
      <c r="F391" s="434" t="s">
        <v>1047</v>
      </c>
      <c r="G391" s="434">
        <v>309.42</v>
      </c>
      <c r="H391" s="267">
        <f t="shared" si="41"/>
        <v>289.27924790274</v>
      </c>
      <c r="I391" s="267">
        <f t="shared" si="42"/>
        <v>208.28105848997279</v>
      </c>
      <c r="J391" s="435">
        <v>0</v>
      </c>
      <c r="K391" s="269">
        <f t="shared" si="46"/>
        <v>0</v>
      </c>
      <c r="L391" s="267">
        <f t="shared" si="47"/>
        <v>0</v>
      </c>
      <c r="M391" s="267">
        <f t="shared" si="45"/>
        <v>208.28105848997279</v>
      </c>
      <c r="N391" s="436"/>
      <c r="O391" s="1163">
        <v>0.93490804699999996</v>
      </c>
      <c r="P391" s="765"/>
      <c r="Q391" s="252"/>
      <c r="R391" s="252"/>
      <c r="S391" s="252"/>
    </row>
    <row r="392" spans="1:19" ht="18.95" customHeight="1">
      <c r="A392" s="431"/>
      <c r="B392" s="329"/>
      <c r="C392" s="433" t="s">
        <v>1048</v>
      </c>
      <c r="E392" s="269">
        <v>0.6</v>
      </c>
      <c r="F392" s="434" t="s">
        <v>348</v>
      </c>
      <c r="G392" s="434">
        <v>23.36</v>
      </c>
      <c r="H392" s="267">
        <f t="shared" si="41"/>
        <v>21.83945197792</v>
      </c>
      <c r="I392" s="267">
        <f t="shared" si="42"/>
        <v>13.103671186751999</v>
      </c>
      <c r="J392" s="435">
        <v>0</v>
      </c>
      <c r="K392" s="269">
        <f t="shared" si="46"/>
        <v>0</v>
      </c>
      <c r="L392" s="267">
        <f t="shared" si="47"/>
        <v>0</v>
      </c>
      <c r="M392" s="267">
        <f t="shared" si="45"/>
        <v>13.103671186751999</v>
      </c>
      <c r="N392" s="436"/>
      <c r="O392" s="1163">
        <v>0.93490804699999996</v>
      </c>
      <c r="P392" s="765"/>
      <c r="Q392" s="862" t="s">
        <v>1038</v>
      </c>
      <c r="R392" s="252"/>
      <c r="S392" s="252"/>
    </row>
    <row r="393" spans="1:19" ht="18.95" customHeight="1">
      <c r="A393" s="204"/>
      <c r="B393" s="407"/>
      <c r="D393" s="1257" t="s">
        <v>1102</v>
      </c>
      <c r="E393" s="267"/>
      <c r="F393" s="268"/>
      <c r="G393" s="267"/>
      <c r="H393" s="267"/>
      <c r="I393" s="267"/>
      <c r="J393" s="267"/>
      <c r="K393" s="269"/>
      <c r="L393" s="267"/>
      <c r="M393" s="288">
        <f>SUM(M377:M392)</f>
        <v>58102.195420171578</v>
      </c>
      <c r="N393" s="268"/>
      <c r="O393" s="1163">
        <v>0.93490804699999996</v>
      </c>
      <c r="P393" s="973"/>
      <c r="Q393" s="252"/>
      <c r="R393" s="252"/>
      <c r="S393" s="252"/>
    </row>
    <row r="394" spans="1:19" ht="18.95" customHeight="1">
      <c r="A394" s="204"/>
      <c r="B394" s="122"/>
      <c r="C394" s="440"/>
      <c r="D394" s="441"/>
      <c r="E394" s="267"/>
      <c r="F394" s="268"/>
      <c r="G394" s="267"/>
      <c r="H394" s="267"/>
      <c r="I394" s="267"/>
      <c r="J394" s="267"/>
      <c r="K394" s="269"/>
      <c r="L394" s="267"/>
      <c r="M394" s="288"/>
      <c r="N394" s="268"/>
      <c r="O394" s="1163">
        <v>0.93490804699999996</v>
      </c>
      <c r="P394" s="973"/>
      <c r="Q394" s="252"/>
      <c r="R394" s="252"/>
      <c r="S394" s="252"/>
    </row>
    <row r="395" spans="1:19" ht="18.95" customHeight="1">
      <c r="A395" s="204"/>
      <c r="B395" s="122"/>
      <c r="C395" s="438" t="s">
        <v>1103</v>
      </c>
      <c r="D395" s="131"/>
      <c r="E395" s="270"/>
      <c r="F395" s="268"/>
      <c r="G395" s="267"/>
      <c r="H395" s="267"/>
      <c r="I395" s="267"/>
      <c r="J395" s="267"/>
      <c r="K395" s="269"/>
      <c r="L395" s="267"/>
      <c r="M395" s="270"/>
      <c r="N395" s="268"/>
      <c r="O395" s="1163">
        <v>0.93490804699999996</v>
      </c>
      <c r="P395" s="973"/>
      <c r="Q395" s="252"/>
      <c r="R395" s="252"/>
      <c r="S395" s="252"/>
    </row>
    <row r="396" spans="1:19" ht="18.95" customHeight="1">
      <c r="A396" s="425">
        <v>4.3899999999999997</v>
      </c>
      <c r="B396" s="122"/>
      <c r="C396" s="1331" t="s">
        <v>1092</v>
      </c>
      <c r="D396" s="1332"/>
      <c r="E396" s="267">
        <v>0.9</v>
      </c>
      <c r="F396" s="430" t="s">
        <v>1032</v>
      </c>
      <c r="G396" s="267">
        <v>2117.5</v>
      </c>
      <c r="H396" s="267">
        <f t="shared" si="41"/>
        <v>1979.6677895225</v>
      </c>
      <c r="I396" s="267">
        <f t="shared" si="42"/>
        <v>1781.70101057025</v>
      </c>
      <c r="J396" s="269">
        <v>519</v>
      </c>
      <c r="K396" s="269">
        <f t="shared" si="46"/>
        <v>485.21727639299996</v>
      </c>
      <c r="L396" s="267">
        <f t="shared" si="47"/>
        <v>436.6955487537</v>
      </c>
      <c r="M396" s="267">
        <f t="shared" ref="M396:M409" si="48">I396+L396</f>
        <v>2218.39655932395</v>
      </c>
      <c r="N396" s="270"/>
      <c r="O396" s="1163">
        <v>0.93490804699999996</v>
      </c>
      <c r="P396" s="976"/>
      <c r="Q396" s="252"/>
      <c r="R396" s="252"/>
      <c r="S396" s="252"/>
    </row>
    <row r="397" spans="1:19" ht="18.95" customHeight="1">
      <c r="A397" s="425">
        <v>4.4000000000000004</v>
      </c>
      <c r="B397" s="122"/>
      <c r="C397" s="1331" t="s">
        <v>1093</v>
      </c>
      <c r="D397" s="1332"/>
      <c r="E397" s="267">
        <v>0.25</v>
      </c>
      <c r="F397" s="430" t="s">
        <v>1032</v>
      </c>
      <c r="G397" s="267">
        <v>1937.5</v>
      </c>
      <c r="H397" s="267">
        <f t="shared" si="41"/>
        <v>1811.3843410625</v>
      </c>
      <c r="I397" s="267">
        <f t="shared" si="42"/>
        <v>452.84608526562499</v>
      </c>
      <c r="J397" s="269">
        <v>519</v>
      </c>
      <c r="K397" s="269">
        <f t="shared" si="46"/>
        <v>485.21727639299996</v>
      </c>
      <c r="L397" s="267">
        <f t="shared" si="47"/>
        <v>121.30431909824999</v>
      </c>
      <c r="M397" s="267">
        <f t="shared" si="48"/>
        <v>574.15040436387494</v>
      </c>
      <c r="N397" s="270"/>
      <c r="O397" s="1163">
        <v>0.93490804699999996</v>
      </c>
      <c r="P397" s="976"/>
      <c r="Q397" s="252"/>
      <c r="R397" s="252"/>
      <c r="S397" s="252"/>
    </row>
    <row r="398" spans="1:19" ht="18.95" customHeight="1">
      <c r="A398" s="425">
        <v>4.41</v>
      </c>
      <c r="B398" s="122"/>
      <c r="C398" s="1323" t="s">
        <v>1104</v>
      </c>
      <c r="D398" s="1324"/>
      <c r="E398" s="267">
        <v>0.25</v>
      </c>
      <c r="F398" s="430" t="s">
        <v>1032</v>
      </c>
      <c r="G398" s="267">
        <v>508.33</v>
      </c>
      <c r="H398" s="267">
        <f t="shared" si="41"/>
        <v>475.24180753150995</v>
      </c>
      <c r="I398" s="267">
        <f t="shared" si="42"/>
        <v>118.81045188287749</v>
      </c>
      <c r="J398" s="269">
        <v>104</v>
      </c>
      <c r="K398" s="269">
        <f t="shared" si="46"/>
        <v>97.230436888</v>
      </c>
      <c r="L398" s="267">
        <f t="shared" si="47"/>
        <v>24.307609222</v>
      </c>
      <c r="M398" s="267">
        <f t="shared" si="48"/>
        <v>143.11806110487748</v>
      </c>
      <c r="N398" s="270"/>
      <c r="O398" s="1163">
        <v>0.93490804699999996</v>
      </c>
      <c r="P398" s="976"/>
      <c r="Q398" s="252"/>
      <c r="R398" s="252"/>
      <c r="S398" s="252"/>
    </row>
    <row r="399" spans="1:19" ht="18.95" customHeight="1">
      <c r="A399" s="425">
        <v>4.42</v>
      </c>
      <c r="B399" s="122"/>
      <c r="C399" s="1323" t="s">
        <v>1031</v>
      </c>
      <c r="D399" s="1324"/>
      <c r="E399" s="267">
        <v>20</v>
      </c>
      <c r="F399" s="430" t="s">
        <v>1032</v>
      </c>
      <c r="G399" s="267">
        <v>0</v>
      </c>
      <c r="H399" s="267">
        <f t="shared" si="41"/>
        <v>0</v>
      </c>
      <c r="I399" s="267">
        <f t="shared" si="42"/>
        <v>0</v>
      </c>
      <c r="J399" s="269">
        <v>112</v>
      </c>
      <c r="K399" s="269">
        <f t="shared" si="46"/>
        <v>104.70970126399999</v>
      </c>
      <c r="L399" s="267">
        <f t="shared" si="47"/>
        <v>2094.1940252799996</v>
      </c>
      <c r="M399" s="267">
        <f t="shared" si="48"/>
        <v>2094.1940252799996</v>
      </c>
      <c r="N399" s="270"/>
      <c r="O399" s="1163">
        <v>0.93490804699999996</v>
      </c>
      <c r="P399" s="976"/>
      <c r="Q399" s="252"/>
      <c r="R399" s="252"/>
      <c r="S399" s="252"/>
    </row>
    <row r="400" spans="1:19" ht="18.95" customHeight="1">
      <c r="A400" s="425"/>
      <c r="B400" s="122"/>
      <c r="C400" s="1341" t="s">
        <v>1036</v>
      </c>
      <c r="D400" s="1342"/>
      <c r="E400" s="267">
        <v>0</v>
      </c>
      <c r="F400" s="430"/>
      <c r="G400" s="267"/>
      <c r="H400" s="267"/>
      <c r="I400" s="267"/>
      <c r="J400" s="267"/>
      <c r="K400" s="269"/>
      <c r="L400" s="267"/>
      <c r="M400" s="267"/>
      <c r="N400" s="270"/>
      <c r="O400" s="1163">
        <v>0.93490804699999996</v>
      </c>
      <c r="P400" s="976"/>
      <c r="Q400" s="252"/>
      <c r="R400" s="252"/>
      <c r="S400" s="252"/>
    </row>
    <row r="401" spans="1:19" ht="18.95" customHeight="1">
      <c r="A401" s="425">
        <v>4.43</v>
      </c>
      <c r="B401" s="122"/>
      <c r="C401" s="1323" t="s">
        <v>1037</v>
      </c>
      <c r="D401" s="1324"/>
      <c r="E401" s="267">
        <v>90</v>
      </c>
      <c r="F401" s="430" t="s">
        <v>348</v>
      </c>
      <c r="G401" s="267">
        <v>19.600000000000001</v>
      </c>
      <c r="H401" s="267">
        <f t="shared" si="41"/>
        <v>18.324197721200001</v>
      </c>
      <c r="I401" s="267">
        <f t="shared" si="42"/>
        <v>1649.1777949080001</v>
      </c>
      <c r="J401" s="269">
        <v>4.4000000000000004</v>
      </c>
      <c r="K401" s="269">
        <f t="shared" si="46"/>
        <v>4.1135954068</v>
      </c>
      <c r="L401" s="267">
        <f t="shared" si="47"/>
        <v>370.22358661200002</v>
      </c>
      <c r="M401" s="267">
        <f t="shared" si="48"/>
        <v>2019.4013815200001</v>
      </c>
      <c r="N401" s="270"/>
      <c r="O401" s="1163">
        <v>0.93490804699999996</v>
      </c>
      <c r="P401" s="976"/>
      <c r="Q401" s="862" t="s">
        <v>1038</v>
      </c>
      <c r="R401" s="252"/>
      <c r="S401" s="252"/>
    </row>
    <row r="402" spans="1:19" ht="18.95" customHeight="1">
      <c r="A402" s="425">
        <v>4.4400000000000004</v>
      </c>
      <c r="B402" s="122"/>
      <c r="C402" s="1323" t="s">
        <v>1039</v>
      </c>
      <c r="D402" s="1324"/>
      <c r="E402" s="267">
        <v>26</v>
      </c>
      <c r="F402" s="430" t="s">
        <v>348</v>
      </c>
      <c r="G402" s="267">
        <v>19.7</v>
      </c>
      <c r="H402" s="267">
        <f t="shared" si="41"/>
        <v>18.417688525899997</v>
      </c>
      <c r="I402" s="267">
        <f t="shared" si="42"/>
        <v>478.85990167339992</v>
      </c>
      <c r="J402" s="269">
        <v>3.6</v>
      </c>
      <c r="K402" s="269">
        <f t="shared" si="46"/>
        <v>3.3656689692000001</v>
      </c>
      <c r="L402" s="267">
        <f t="shared" si="47"/>
        <v>87.50739319920001</v>
      </c>
      <c r="M402" s="267">
        <f t="shared" si="48"/>
        <v>566.36729487259993</v>
      </c>
      <c r="N402" s="270"/>
      <c r="O402" s="1163">
        <v>0.93490804699999996</v>
      </c>
      <c r="P402" s="976"/>
      <c r="Q402" s="862" t="s">
        <v>1038</v>
      </c>
      <c r="R402" s="252"/>
      <c r="S402" s="252"/>
    </row>
    <row r="403" spans="1:19" ht="18.95" customHeight="1">
      <c r="A403" s="425">
        <v>4.45</v>
      </c>
      <c r="B403" s="122"/>
      <c r="C403" s="1323" t="s">
        <v>1040</v>
      </c>
      <c r="D403" s="1324"/>
      <c r="E403" s="267">
        <v>0</v>
      </c>
      <c r="F403" s="430" t="s">
        <v>348</v>
      </c>
      <c r="G403" s="267">
        <v>19.5</v>
      </c>
      <c r="H403" s="267">
        <f t="shared" si="41"/>
        <v>18.230706916500001</v>
      </c>
      <c r="I403" s="267">
        <f t="shared" si="42"/>
        <v>0</v>
      </c>
      <c r="J403" s="269">
        <v>3.6</v>
      </c>
      <c r="K403" s="269">
        <f t="shared" si="46"/>
        <v>3.3656689692000001</v>
      </c>
      <c r="L403" s="267">
        <f t="shared" si="47"/>
        <v>0</v>
      </c>
      <c r="M403" s="267">
        <f t="shared" si="48"/>
        <v>0</v>
      </c>
      <c r="N403" s="270"/>
      <c r="O403" s="1163">
        <v>0.93490804699999996</v>
      </c>
      <c r="P403" s="976"/>
      <c r="Q403" s="862" t="s">
        <v>1038</v>
      </c>
      <c r="R403" s="252"/>
      <c r="S403" s="252"/>
    </row>
    <row r="404" spans="1:19" ht="18.95" customHeight="1">
      <c r="A404" s="425">
        <v>4.46</v>
      </c>
      <c r="B404" s="122"/>
      <c r="C404" s="1323" t="s">
        <v>1041</v>
      </c>
      <c r="D404" s="1324"/>
      <c r="E404" s="267">
        <v>2.9000000000000004</v>
      </c>
      <c r="F404" s="430" t="s">
        <v>348</v>
      </c>
      <c r="G404" s="269">
        <v>27.1</v>
      </c>
      <c r="H404" s="267">
        <f t="shared" ref="H404:H467" si="49">G404*O404</f>
        <v>25.3360080737</v>
      </c>
      <c r="I404" s="267">
        <f t="shared" ref="I404:I467" si="50">E404*H404</f>
        <v>73.474423413730008</v>
      </c>
      <c r="J404" s="269">
        <v>0</v>
      </c>
      <c r="K404" s="269">
        <f t="shared" si="46"/>
        <v>0</v>
      </c>
      <c r="L404" s="267">
        <f t="shared" si="47"/>
        <v>0</v>
      </c>
      <c r="M404" s="267">
        <f t="shared" si="48"/>
        <v>73.474423413730008</v>
      </c>
      <c r="N404" s="268"/>
      <c r="O404" s="1163">
        <v>0.93490804699999996</v>
      </c>
      <c r="P404" s="973"/>
      <c r="Q404" s="862" t="s">
        <v>1038</v>
      </c>
      <c r="R404" s="252"/>
      <c r="S404" s="252"/>
    </row>
    <row r="405" spans="1:19" ht="18.95" customHeight="1">
      <c r="A405" s="425">
        <v>4.47</v>
      </c>
      <c r="B405" s="122"/>
      <c r="C405" s="1323" t="s">
        <v>1043</v>
      </c>
      <c r="D405" s="1324"/>
      <c r="E405" s="267"/>
      <c r="F405" s="430"/>
      <c r="G405" s="267"/>
      <c r="H405" s="267"/>
      <c r="I405" s="267"/>
      <c r="J405" s="269"/>
      <c r="K405" s="269"/>
      <c r="L405" s="267"/>
      <c r="M405" s="267"/>
      <c r="N405" s="268"/>
      <c r="O405" s="1163">
        <v>0.93490804699999996</v>
      </c>
      <c r="P405" s="973"/>
      <c r="Q405" s="252"/>
      <c r="R405" s="252"/>
      <c r="S405" s="252"/>
    </row>
    <row r="406" spans="1:19" ht="18.95" customHeight="1">
      <c r="A406" s="431"/>
      <c r="B406" s="329"/>
      <c r="C406" s="433" t="s">
        <v>1044</v>
      </c>
      <c r="E406" s="267">
        <v>1.2</v>
      </c>
      <c r="F406" s="434" t="s">
        <v>218</v>
      </c>
      <c r="G406" s="434">
        <v>245.2</v>
      </c>
      <c r="H406" s="267">
        <f t="shared" si="49"/>
        <v>229.23945312439997</v>
      </c>
      <c r="I406" s="267">
        <f t="shared" si="50"/>
        <v>275.08734374927997</v>
      </c>
      <c r="J406" s="435">
        <v>0</v>
      </c>
      <c r="K406" s="269">
        <f t="shared" si="46"/>
        <v>0</v>
      </c>
      <c r="L406" s="267">
        <f t="shared" si="47"/>
        <v>0</v>
      </c>
      <c r="M406" s="267">
        <f t="shared" si="48"/>
        <v>275.08734374927997</v>
      </c>
      <c r="N406" s="436"/>
      <c r="O406" s="1163">
        <v>0.93490804699999996</v>
      </c>
      <c r="P406" s="765"/>
      <c r="Q406" s="252"/>
      <c r="R406" s="252"/>
      <c r="S406" s="252"/>
    </row>
    <row r="407" spans="1:19" ht="18.95" customHeight="1">
      <c r="A407" s="431"/>
      <c r="B407" s="329"/>
      <c r="C407" s="433" t="s">
        <v>1045</v>
      </c>
      <c r="E407" s="267">
        <v>2</v>
      </c>
      <c r="F407" s="434" t="s">
        <v>218</v>
      </c>
      <c r="G407" s="434">
        <v>0</v>
      </c>
      <c r="H407" s="267">
        <f t="shared" si="49"/>
        <v>0</v>
      </c>
      <c r="I407" s="267">
        <f t="shared" si="50"/>
        <v>0</v>
      </c>
      <c r="J407" s="435">
        <v>121</v>
      </c>
      <c r="K407" s="269">
        <f t="shared" si="46"/>
        <v>113.123873687</v>
      </c>
      <c r="L407" s="267">
        <f t="shared" si="47"/>
        <v>226.247747374</v>
      </c>
      <c r="M407" s="267">
        <f t="shared" si="48"/>
        <v>226.247747374</v>
      </c>
      <c r="N407" s="436"/>
      <c r="O407" s="1163">
        <v>0.93490804699999996</v>
      </c>
      <c r="P407" s="765"/>
      <c r="Q407" s="252"/>
      <c r="R407" s="252"/>
      <c r="S407" s="252"/>
    </row>
    <row r="408" spans="1:19" ht="18.95" customHeight="1">
      <c r="A408" s="431"/>
      <c r="B408" s="329"/>
      <c r="C408" s="433" t="s">
        <v>1046</v>
      </c>
      <c r="E408" s="267">
        <v>0.36</v>
      </c>
      <c r="F408" s="434" t="s">
        <v>1047</v>
      </c>
      <c r="G408" s="434">
        <v>309.42</v>
      </c>
      <c r="H408" s="267">
        <f t="shared" si="49"/>
        <v>289.27924790274</v>
      </c>
      <c r="I408" s="267">
        <f t="shared" si="50"/>
        <v>104.1405292449864</v>
      </c>
      <c r="J408" s="435">
        <v>0</v>
      </c>
      <c r="K408" s="269">
        <f t="shared" si="46"/>
        <v>0</v>
      </c>
      <c r="L408" s="267">
        <f t="shared" si="47"/>
        <v>0</v>
      </c>
      <c r="M408" s="267">
        <f t="shared" si="48"/>
        <v>104.1405292449864</v>
      </c>
      <c r="N408" s="436"/>
      <c r="O408" s="1163">
        <v>0.93490804699999996</v>
      </c>
      <c r="P408" s="765"/>
      <c r="Q408" s="252"/>
      <c r="R408" s="252"/>
      <c r="S408" s="252"/>
    </row>
    <row r="409" spans="1:19" ht="18.95" customHeight="1">
      <c r="A409" s="431"/>
      <c r="B409" s="329"/>
      <c r="C409" s="433" t="s">
        <v>1048</v>
      </c>
      <c r="E409" s="269">
        <v>0.3</v>
      </c>
      <c r="F409" s="434" t="s">
        <v>348</v>
      </c>
      <c r="G409" s="434">
        <v>23.36</v>
      </c>
      <c r="H409" s="267">
        <f t="shared" si="49"/>
        <v>21.83945197792</v>
      </c>
      <c r="I409" s="267">
        <f t="shared" si="50"/>
        <v>6.5518355933759995</v>
      </c>
      <c r="J409" s="435">
        <v>0</v>
      </c>
      <c r="K409" s="269">
        <f t="shared" si="46"/>
        <v>0</v>
      </c>
      <c r="L409" s="267">
        <f t="shared" si="47"/>
        <v>0</v>
      </c>
      <c r="M409" s="267">
        <f t="shared" si="48"/>
        <v>6.5518355933759995</v>
      </c>
      <c r="N409" s="436"/>
      <c r="O409" s="1163">
        <v>0.93490804699999996</v>
      </c>
      <c r="P409" s="765"/>
      <c r="Q409" s="862" t="s">
        <v>1038</v>
      </c>
      <c r="R409" s="252"/>
      <c r="S409" s="252"/>
    </row>
    <row r="410" spans="1:19" ht="18.95" customHeight="1">
      <c r="A410" s="204"/>
      <c r="B410" s="407"/>
      <c r="D410" s="1257" t="s">
        <v>1105</v>
      </c>
      <c r="E410" s="267"/>
      <c r="F410" s="268"/>
      <c r="G410" s="267"/>
      <c r="H410" s="267"/>
      <c r="I410" s="267"/>
      <c r="J410" s="267"/>
      <c r="K410" s="269"/>
      <c r="L410" s="267"/>
      <c r="M410" s="288">
        <f>SUM(M395:M409)</f>
        <v>8301.1296058406751</v>
      </c>
      <c r="N410" s="268"/>
      <c r="O410" s="1163">
        <v>0.93490804699999996</v>
      </c>
      <c r="P410" s="973"/>
      <c r="Q410" s="252"/>
      <c r="R410" s="252"/>
      <c r="S410" s="252"/>
    </row>
    <row r="411" spans="1:19" ht="18.95" customHeight="1">
      <c r="A411" s="204"/>
      <c r="B411" s="122"/>
      <c r="C411" s="440"/>
      <c r="D411" s="441"/>
      <c r="E411" s="267"/>
      <c r="F411" s="268"/>
      <c r="G411" s="267"/>
      <c r="H411" s="267"/>
      <c r="I411" s="267"/>
      <c r="J411" s="267"/>
      <c r="K411" s="269"/>
      <c r="L411" s="267"/>
      <c r="M411" s="288"/>
      <c r="N411" s="268"/>
      <c r="O411" s="1163">
        <v>0.93490804699999996</v>
      </c>
      <c r="P411" s="973"/>
      <c r="Q411" s="252"/>
      <c r="R411" s="252"/>
      <c r="S411" s="252"/>
    </row>
    <row r="412" spans="1:19" ht="18.95" customHeight="1">
      <c r="A412" s="204"/>
      <c r="B412" s="122"/>
      <c r="C412" s="438" t="s">
        <v>1106</v>
      </c>
      <c r="D412" s="131"/>
      <c r="E412" s="270"/>
      <c r="F412" s="268"/>
      <c r="G412" s="267"/>
      <c r="H412" s="267"/>
      <c r="I412" s="267"/>
      <c r="J412" s="267"/>
      <c r="K412" s="269"/>
      <c r="L412" s="267"/>
      <c r="M412" s="270"/>
      <c r="N412" s="268"/>
      <c r="O412" s="1163">
        <v>0.93490804699999996</v>
      </c>
      <c r="P412" s="973"/>
      <c r="Q412" s="252"/>
      <c r="R412" s="252"/>
      <c r="S412" s="252"/>
    </row>
    <row r="413" spans="1:19" ht="18.95" customHeight="1">
      <c r="A413" s="425">
        <v>4.4800000000000004</v>
      </c>
      <c r="B413" s="122"/>
      <c r="C413" s="1331" t="s">
        <v>1092</v>
      </c>
      <c r="D413" s="1332"/>
      <c r="E413" s="267">
        <v>0.4</v>
      </c>
      <c r="F413" s="430" t="s">
        <v>1032</v>
      </c>
      <c r="G413" s="267">
        <v>2117.5</v>
      </c>
      <c r="H413" s="267">
        <f t="shared" si="49"/>
        <v>1979.6677895225</v>
      </c>
      <c r="I413" s="267">
        <f t="shared" si="50"/>
        <v>791.8671158090001</v>
      </c>
      <c r="J413" s="269">
        <v>519</v>
      </c>
      <c r="K413" s="269">
        <f t="shared" si="46"/>
        <v>485.21727639299996</v>
      </c>
      <c r="L413" s="267">
        <f t="shared" si="47"/>
        <v>194.08691055719999</v>
      </c>
      <c r="M413" s="267">
        <f t="shared" ref="M413:M426" si="51">I413+L413</f>
        <v>985.95402636620008</v>
      </c>
      <c r="N413" s="270"/>
      <c r="O413" s="1163">
        <v>0.93490804699999996</v>
      </c>
      <c r="P413" s="976"/>
      <c r="Q413" s="252"/>
      <c r="R413" s="252"/>
      <c r="S413" s="252"/>
    </row>
    <row r="414" spans="1:19" ht="18.95" customHeight="1">
      <c r="A414" s="425">
        <v>4.49</v>
      </c>
      <c r="B414" s="122"/>
      <c r="C414" s="1331" t="s">
        <v>1093</v>
      </c>
      <c r="D414" s="1332"/>
      <c r="E414" s="267">
        <v>0.2</v>
      </c>
      <c r="F414" s="430" t="s">
        <v>1032</v>
      </c>
      <c r="G414" s="267">
        <v>1937.5</v>
      </c>
      <c r="H414" s="267">
        <f t="shared" si="49"/>
        <v>1811.3843410625</v>
      </c>
      <c r="I414" s="267">
        <f t="shared" si="50"/>
        <v>362.27686821250001</v>
      </c>
      <c r="J414" s="269">
        <v>519</v>
      </c>
      <c r="K414" s="269">
        <f t="shared" si="46"/>
        <v>485.21727639299996</v>
      </c>
      <c r="L414" s="267">
        <f t="shared" si="47"/>
        <v>97.043455278599993</v>
      </c>
      <c r="M414" s="267">
        <f t="shared" si="51"/>
        <v>459.3203234911</v>
      </c>
      <c r="N414" s="270"/>
      <c r="O414" s="1163">
        <v>0.93490804699999996</v>
      </c>
      <c r="P414" s="976"/>
      <c r="Q414" s="252"/>
      <c r="R414" s="252"/>
      <c r="S414" s="252"/>
    </row>
    <row r="415" spans="1:19" ht="18.95" customHeight="1">
      <c r="A415" s="425">
        <v>4.5</v>
      </c>
      <c r="B415" s="122"/>
      <c r="C415" s="1323" t="s">
        <v>1104</v>
      </c>
      <c r="D415" s="1324"/>
      <c r="E415" s="267">
        <v>0.2</v>
      </c>
      <c r="F415" s="430" t="s">
        <v>1032</v>
      </c>
      <c r="G415" s="267">
        <v>508.33</v>
      </c>
      <c r="H415" s="267">
        <f t="shared" si="49"/>
        <v>475.24180753150995</v>
      </c>
      <c r="I415" s="267">
        <f t="shared" si="50"/>
        <v>95.048361506302001</v>
      </c>
      <c r="J415" s="269">
        <v>104</v>
      </c>
      <c r="K415" s="269">
        <f t="shared" si="46"/>
        <v>97.230436888</v>
      </c>
      <c r="L415" s="267">
        <f t="shared" si="47"/>
        <v>19.446087377600001</v>
      </c>
      <c r="M415" s="267">
        <f t="shared" si="51"/>
        <v>114.49444888390201</v>
      </c>
      <c r="N415" s="270"/>
      <c r="O415" s="1163">
        <v>0.93490804699999996</v>
      </c>
      <c r="P415" s="976"/>
      <c r="Q415" s="252"/>
      <c r="R415" s="252"/>
      <c r="S415" s="252"/>
    </row>
    <row r="416" spans="1:19" ht="18.95" customHeight="1">
      <c r="A416" s="425">
        <v>4.51</v>
      </c>
      <c r="B416" s="122"/>
      <c r="C416" s="1323" t="s">
        <v>1031</v>
      </c>
      <c r="D416" s="1324"/>
      <c r="E416" s="267">
        <v>2.2999999999999998</v>
      </c>
      <c r="F416" s="430" t="s">
        <v>1032</v>
      </c>
      <c r="G416" s="267">
        <v>0</v>
      </c>
      <c r="H416" s="267">
        <f t="shared" si="49"/>
        <v>0</v>
      </c>
      <c r="I416" s="267">
        <f t="shared" si="50"/>
        <v>0</v>
      </c>
      <c r="J416" s="269">
        <v>112</v>
      </c>
      <c r="K416" s="269">
        <f t="shared" si="46"/>
        <v>104.70970126399999</v>
      </c>
      <c r="L416" s="267">
        <f t="shared" si="47"/>
        <v>240.83231290719996</v>
      </c>
      <c r="M416" s="267">
        <f t="shared" si="51"/>
        <v>240.83231290719996</v>
      </c>
      <c r="N416" s="270"/>
      <c r="O416" s="1163">
        <v>0.93490804699999996</v>
      </c>
      <c r="P416" s="976"/>
      <c r="Q416" s="252"/>
      <c r="R416" s="252"/>
      <c r="S416" s="252"/>
    </row>
    <row r="417" spans="1:19" ht="18.95" customHeight="1">
      <c r="A417" s="425"/>
      <c r="B417" s="122"/>
      <c r="C417" s="1341" t="s">
        <v>1036</v>
      </c>
      <c r="D417" s="1342"/>
      <c r="E417" s="267"/>
      <c r="F417" s="430"/>
      <c r="G417" s="267"/>
      <c r="H417" s="267"/>
      <c r="I417" s="267"/>
      <c r="J417" s="267"/>
      <c r="K417" s="269"/>
      <c r="L417" s="267"/>
      <c r="M417" s="267"/>
      <c r="N417" s="270"/>
      <c r="O417" s="1163">
        <v>0.93490804699999996</v>
      </c>
      <c r="P417" s="976"/>
      <c r="Q417" s="252"/>
      <c r="R417" s="252"/>
      <c r="S417" s="252"/>
    </row>
    <row r="418" spans="1:19" ht="18.95" customHeight="1">
      <c r="A418" s="425">
        <v>4.5199999999999996</v>
      </c>
      <c r="B418" s="122"/>
      <c r="C418" s="1323" t="s">
        <v>1037</v>
      </c>
      <c r="D418" s="1324"/>
      <c r="E418" s="267">
        <v>21</v>
      </c>
      <c r="F418" s="430" t="s">
        <v>348</v>
      </c>
      <c r="G418" s="267">
        <v>19.600000000000001</v>
      </c>
      <c r="H418" s="267">
        <f t="shared" si="49"/>
        <v>18.324197721200001</v>
      </c>
      <c r="I418" s="267">
        <f t="shared" si="50"/>
        <v>384.80815214520004</v>
      </c>
      <c r="J418" s="269">
        <v>4.4000000000000004</v>
      </c>
      <c r="K418" s="269">
        <f t="shared" si="46"/>
        <v>4.1135954068</v>
      </c>
      <c r="L418" s="267">
        <f t="shared" si="47"/>
        <v>86.385503542799995</v>
      </c>
      <c r="M418" s="267">
        <f t="shared" si="51"/>
        <v>471.19365568800004</v>
      </c>
      <c r="N418" s="270"/>
      <c r="O418" s="1163">
        <v>0.93490804699999996</v>
      </c>
      <c r="P418" s="976"/>
      <c r="Q418" s="862" t="s">
        <v>1038</v>
      </c>
      <c r="R418" s="252"/>
      <c r="S418" s="252"/>
    </row>
    <row r="419" spans="1:19" ht="18.95" customHeight="1">
      <c r="A419" s="425">
        <v>4.53</v>
      </c>
      <c r="B419" s="122"/>
      <c r="C419" s="1323" t="s">
        <v>1039</v>
      </c>
      <c r="D419" s="1324"/>
      <c r="E419" s="267">
        <v>14</v>
      </c>
      <c r="F419" s="430" t="s">
        <v>348</v>
      </c>
      <c r="G419" s="267">
        <v>19.7</v>
      </c>
      <c r="H419" s="267">
        <f t="shared" si="49"/>
        <v>18.417688525899997</v>
      </c>
      <c r="I419" s="267">
        <f t="shared" si="50"/>
        <v>257.84763936259998</v>
      </c>
      <c r="J419" s="269">
        <v>3.6</v>
      </c>
      <c r="K419" s="269">
        <f t="shared" si="46"/>
        <v>3.3656689692000001</v>
      </c>
      <c r="L419" s="267">
        <f t="shared" si="47"/>
        <v>47.119365568799999</v>
      </c>
      <c r="M419" s="267">
        <f t="shared" si="51"/>
        <v>304.96700493139997</v>
      </c>
      <c r="N419" s="270"/>
      <c r="O419" s="1163">
        <v>0.93490804699999996</v>
      </c>
      <c r="P419" s="976"/>
      <c r="Q419" s="862" t="s">
        <v>1038</v>
      </c>
      <c r="R419" s="252"/>
      <c r="S419" s="252"/>
    </row>
    <row r="420" spans="1:19" ht="18.95" customHeight="1">
      <c r="A420" s="425">
        <v>4.54</v>
      </c>
      <c r="B420" s="122"/>
      <c r="C420" s="1323" t="s">
        <v>1040</v>
      </c>
      <c r="D420" s="1324"/>
      <c r="E420" s="267">
        <v>0</v>
      </c>
      <c r="F420" s="430" t="s">
        <v>348</v>
      </c>
      <c r="G420" s="267">
        <v>19.5</v>
      </c>
      <c r="H420" s="267">
        <f t="shared" si="49"/>
        <v>18.230706916500001</v>
      </c>
      <c r="I420" s="267">
        <f t="shared" si="50"/>
        <v>0</v>
      </c>
      <c r="J420" s="269">
        <v>3.6</v>
      </c>
      <c r="K420" s="269">
        <f t="shared" si="46"/>
        <v>3.3656689692000001</v>
      </c>
      <c r="L420" s="267">
        <f t="shared" si="47"/>
        <v>0</v>
      </c>
      <c r="M420" s="267">
        <f t="shared" si="51"/>
        <v>0</v>
      </c>
      <c r="N420" s="270"/>
      <c r="O420" s="1163">
        <v>0.93490804699999996</v>
      </c>
      <c r="P420" s="976"/>
      <c r="Q420" s="862" t="s">
        <v>1038</v>
      </c>
      <c r="R420" s="252"/>
      <c r="S420" s="252"/>
    </row>
    <row r="421" spans="1:19" ht="18.95" customHeight="1">
      <c r="A421" s="425">
        <v>4.55</v>
      </c>
      <c r="B421" s="122"/>
      <c r="C421" s="1323" t="s">
        <v>1041</v>
      </c>
      <c r="D421" s="1324"/>
      <c r="E421" s="267">
        <v>0.875</v>
      </c>
      <c r="F421" s="430" t="s">
        <v>348</v>
      </c>
      <c r="G421" s="269">
        <v>27.1</v>
      </c>
      <c r="H421" s="267">
        <f t="shared" si="49"/>
        <v>25.3360080737</v>
      </c>
      <c r="I421" s="267">
        <f t="shared" si="50"/>
        <v>22.169007064487502</v>
      </c>
      <c r="J421" s="269">
        <v>0</v>
      </c>
      <c r="K421" s="269">
        <f t="shared" si="46"/>
        <v>0</v>
      </c>
      <c r="L421" s="267">
        <f t="shared" si="47"/>
        <v>0</v>
      </c>
      <c r="M421" s="267">
        <f t="shared" si="51"/>
        <v>22.169007064487502</v>
      </c>
      <c r="N421" s="268"/>
      <c r="O421" s="1163">
        <v>0.93490804699999996</v>
      </c>
      <c r="P421" s="973"/>
      <c r="Q421" s="862" t="s">
        <v>1038</v>
      </c>
      <c r="R421" s="252"/>
      <c r="S421" s="252"/>
    </row>
    <row r="422" spans="1:19" ht="18.95" customHeight="1">
      <c r="A422" s="425">
        <v>4.5599999999999996</v>
      </c>
      <c r="B422" s="122"/>
      <c r="C422" s="1323" t="s">
        <v>1043</v>
      </c>
      <c r="D422" s="1324"/>
      <c r="E422" s="267"/>
      <c r="F422" s="430"/>
      <c r="G422" s="267"/>
      <c r="H422" s="267"/>
      <c r="I422" s="267"/>
      <c r="J422" s="269"/>
      <c r="K422" s="269"/>
      <c r="L422" s="267"/>
      <c r="M422" s="267"/>
      <c r="N422" s="268"/>
      <c r="O422" s="1163">
        <v>0.93490804699999996</v>
      </c>
      <c r="P422" s="973"/>
      <c r="Q422" s="252"/>
      <c r="R422" s="252"/>
      <c r="S422" s="252"/>
    </row>
    <row r="423" spans="1:19" ht="18.95" customHeight="1">
      <c r="A423" s="431"/>
      <c r="B423" s="329"/>
      <c r="C423" s="433" t="s">
        <v>1044</v>
      </c>
      <c r="E423" s="267">
        <v>0.9</v>
      </c>
      <c r="F423" s="434" t="s">
        <v>218</v>
      </c>
      <c r="G423" s="434">
        <v>245.2</v>
      </c>
      <c r="H423" s="267">
        <f t="shared" si="49"/>
        <v>229.23945312439997</v>
      </c>
      <c r="I423" s="267">
        <f t="shared" si="50"/>
        <v>206.31550781195998</v>
      </c>
      <c r="J423" s="435">
        <v>0</v>
      </c>
      <c r="K423" s="269">
        <f t="shared" si="46"/>
        <v>0</v>
      </c>
      <c r="L423" s="267">
        <f t="shared" si="47"/>
        <v>0</v>
      </c>
      <c r="M423" s="267">
        <f t="shared" si="51"/>
        <v>206.31550781195998</v>
      </c>
      <c r="N423" s="436"/>
      <c r="O423" s="1163">
        <v>0.93490804699999996</v>
      </c>
      <c r="P423" s="765"/>
      <c r="Q423" s="252"/>
      <c r="R423" s="252"/>
      <c r="S423" s="252"/>
    </row>
    <row r="424" spans="1:19" ht="18.95" customHeight="1">
      <c r="A424" s="431"/>
      <c r="B424" s="329"/>
      <c r="C424" s="433" t="s">
        <v>1045</v>
      </c>
      <c r="E424" s="267">
        <v>1.5</v>
      </c>
      <c r="F424" s="434" t="s">
        <v>218</v>
      </c>
      <c r="G424" s="434">
        <v>0</v>
      </c>
      <c r="H424" s="267">
        <f t="shared" si="49"/>
        <v>0</v>
      </c>
      <c r="I424" s="267">
        <f t="shared" si="50"/>
        <v>0</v>
      </c>
      <c r="J424" s="435">
        <v>121</v>
      </c>
      <c r="K424" s="269">
        <f t="shared" si="46"/>
        <v>113.123873687</v>
      </c>
      <c r="L424" s="267">
        <f t="shared" si="47"/>
        <v>169.68581053049999</v>
      </c>
      <c r="M424" s="267">
        <f t="shared" si="51"/>
        <v>169.68581053049999</v>
      </c>
      <c r="N424" s="436"/>
      <c r="O424" s="1163">
        <v>0.93490804699999996</v>
      </c>
      <c r="P424" s="765"/>
      <c r="Q424" s="252"/>
      <c r="R424" s="252"/>
      <c r="S424" s="252"/>
    </row>
    <row r="425" spans="1:19" ht="18.95" customHeight="1">
      <c r="A425" s="431"/>
      <c r="B425" s="329"/>
      <c r="C425" s="433" t="s">
        <v>1046</v>
      </c>
      <c r="E425" s="267">
        <v>0.27</v>
      </c>
      <c r="F425" s="434" t="s">
        <v>1047</v>
      </c>
      <c r="G425" s="434">
        <v>309.42</v>
      </c>
      <c r="H425" s="267">
        <f t="shared" si="49"/>
        <v>289.27924790274</v>
      </c>
      <c r="I425" s="267">
        <f t="shared" si="50"/>
        <v>78.105396933739797</v>
      </c>
      <c r="J425" s="435">
        <v>0</v>
      </c>
      <c r="K425" s="269">
        <f t="shared" si="46"/>
        <v>0</v>
      </c>
      <c r="L425" s="267">
        <f t="shared" si="47"/>
        <v>0</v>
      </c>
      <c r="M425" s="267">
        <f t="shared" si="51"/>
        <v>78.105396933739797</v>
      </c>
      <c r="N425" s="436"/>
      <c r="O425" s="1163">
        <v>0.93490804699999996</v>
      </c>
      <c r="P425" s="765"/>
      <c r="Q425" s="252"/>
      <c r="R425" s="252"/>
      <c r="S425" s="252"/>
    </row>
    <row r="426" spans="1:19" ht="18.95" customHeight="1">
      <c r="A426" s="431"/>
      <c r="B426" s="329"/>
      <c r="C426" s="433" t="s">
        <v>1048</v>
      </c>
      <c r="E426" s="269">
        <v>0.23</v>
      </c>
      <c r="F426" s="434" t="s">
        <v>348</v>
      </c>
      <c r="G426" s="434">
        <v>23.36</v>
      </c>
      <c r="H426" s="267">
        <f t="shared" si="49"/>
        <v>21.83945197792</v>
      </c>
      <c r="I426" s="267">
        <f t="shared" si="50"/>
        <v>5.0230739549215997</v>
      </c>
      <c r="J426" s="435">
        <v>0</v>
      </c>
      <c r="K426" s="269">
        <f t="shared" si="46"/>
        <v>0</v>
      </c>
      <c r="L426" s="267">
        <f t="shared" si="47"/>
        <v>0</v>
      </c>
      <c r="M426" s="267">
        <f t="shared" si="51"/>
        <v>5.0230739549215997</v>
      </c>
      <c r="N426" s="436"/>
      <c r="O426" s="1163">
        <v>0.93490804699999996</v>
      </c>
      <c r="P426" s="765"/>
      <c r="Q426" s="862" t="s">
        <v>1038</v>
      </c>
      <c r="R426" s="252"/>
      <c r="S426" s="252"/>
    </row>
    <row r="427" spans="1:19" ht="18.95" customHeight="1">
      <c r="A427" s="204"/>
      <c r="B427" s="407"/>
      <c r="D427" s="1257" t="s">
        <v>1107</v>
      </c>
      <c r="E427" s="267"/>
      <c r="F427" s="268"/>
      <c r="G427" s="267"/>
      <c r="H427" s="267"/>
      <c r="I427" s="267"/>
      <c r="J427" s="267"/>
      <c r="K427" s="269"/>
      <c r="L427" s="267"/>
      <c r="M427" s="288">
        <f>SUM(M412:M426)</f>
        <v>3058.0605685634109</v>
      </c>
      <c r="N427" s="268"/>
      <c r="O427" s="1163">
        <v>0.93490804699999996</v>
      </c>
      <c r="P427" s="973"/>
      <c r="Q427" s="252"/>
      <c r="R427" s="252"/>
      <c r="S427" s="252"/>
    </row>
    <row r="428" spans="1:19" ht="18.95" customHeight="1">
      <c r="A428" s="204"/>
      <c r="B428" s="122"/>
      <c r="C428" s="440"/>
      <c r="D428" s="441"/>
      <c r="E428" s="267"/>
      <c r="F428" s="268"/>
      <c r="G428" s="267"/>
      <c r="H428" s="267"/>
      <c r="I428" s="267"/>
      <c r="J428" s="267"/>
      <c r="K428" s="269"/>
      <c r="L428" s="267"/>
      <c r="M428" s="288"/>
      <c r="N428" s="268"/>
      <c r="O428" s="1163">
        <v>0.93490804699999996</v>
      </c>
      <c r="P428" s="973"/>
      <c r="Q428" s="252"/>
      <c r="R428" s="252"/>
      <c r="S428" s="252"/>
    </row>
    <row r="429" spans="1:19" ht="18.95" customHeight="1">
      <c r="A429" s="204"/>
      <c r="B429" s="122"/>
      <c r="C429" s="438" t="s">
        <v>1108</v>
      </c>
      <c r="D429" s="131"/>
      <c r="E429" s="270"/>
      <c r="F429" s="268"/>
      <c r="G429" s="267"/>
      <c r="H429" s="267"/>
      <c r="I429" s="267"/>
      <c r="J429" s="267"/>
      <c r="K429" s="269"/>
      <c r="L429" s="267"/>
      <c r="M429" s="270"/>
      <c r="N429" s="268"/>
      <c r="O429" s="1163">
        <v>0.93490804699999996</v>
      </c>
      <c r="P429" s="973"/>
      <c r="Q429" s="252"/>
      <c r="R429" s="252"/>
      <c r="S429" s="252"/>
    </row>
    <row r="430" spans="1:19" ht="18.95" customHeight="1">
      <c r="A430" s="425">
        <v>4.57</v>
      </c>
      <c r="B430" s="122"/>
      <c r="C430" s="1331" t="s">
        <v>1092</v>
      </c>
      <c r="D430" s="1332"/>
      <c r="E430" s="267">
        <v>0.4</v>
      </c>
      <c r="F430" s="430" t="s">
        <v>1032</v>
      </c>
      <c r="G430" s="267">
        <v>2117.5</v>
      </c>
      <c r="H430" s="267">
        <f t="shared" si="49"/>
        <v>1979.6677895225</v>
      </c>
      <c r="I430" s="267">
        <f t="shared" si="50"/>
        <v>791.8671158090001</v>
      </c>
      <c r="J430" s="269">
        <v>519</v>
      </c>
      <c r="K430" s="269">
        <f t="shared" si="46"/>
        <v>485.21727639299996</v>
      </c>
      <c r="L430" s="267">
        <f t="shared" si="47"/>
        <v>194.08691055719999</v>
      </c>
      <c r="M430" s="267">
        <f t="shared" ref="M430:M443" si="52">I430+L430</f>
        <v>985.95402636620008</v>
      </c>
      <c r="N430" s="270"/>
      <c r="O430" s="1163">
        <v>0.93490804699999996</v>
      </c>
      <c r="P430" s="976"/>
      <c r="Q430" s="252"/>
      <c r="R430" s="252"/>
      <c r="S430" s="252"/>
    </row>
    <row r="431" spans="1:19" ht="18.95" customHeight="1">
      <c r="A431" s="425">
        <v>4.58</v>
      </c>
      <c r="B431" s="122"/>
      <c r="C431" s="1331" t="s">
        <v>1093</v>
      </c>
      <c r="D431" s="1332"/>
      <c r="E431" s="267">
        <v>0.2</v>
      </c>
      <c r="F431" s="430" t="s">
        <v>1032</v>
      </c>
      <c r="G431" s="267">
        <v>1937.5</v>
      </c>
      <c r="H431" s="267">
        <f t="shared" si="49"/>
        <v>1811.3843410625</v>
      </c>
      <c r="I431" s="267">
        <f t="shared" si="50"/>
        <v>362.27686821250001</v>
      </c>
      <c r="J431" s="269">
        <v>519</v>
      </c>
      <c r="K431" s="269">
        <f t="shared" si="46"/>
        <v>485.21727639299996</v>
      </c>
      <c r="L431" s="267">
        <f t="shared" si="47"/>
        <v>97.043455278599993</v>
      </c>
      <c r="M431" s="267">
        <f t="shared" si="52"/>
        <v>459.3203234911</v>
      </c>
      <c r="N431" s="270"/>
      <c r="O431" s="1163">
        <v>0.93490804699999996</v>
      </c>
      <c r="P431" s="976"/>
      <c r="Q431" s="252"/>
      <c r="R431" s="252"/>
      <c r="S431" s="252"/>
    </row>
    <row r="432" spans="1:19" ht="18.95" customHeight="1">
      <c r="A432" s="425">
        <v>4.59</v>
      </c>
      <c r="B432" s="122"/>
      <c r="C432" s="1323" t="s">
        <v>1104</v>
      </c>
      <c r="D432" s="1324"/>
      <c r="E432" s="267">
        <v>0.2</v>
      </c>
      <c r="F432" s="430" t="s">
        <v>1032</v>
      </c>
      <c r="G432" s="267">
        <v>508.33</v>
      </c>
      <c r="H432" s="267">
        <f t="shared" si="49"/>
        <v>475.24180753150995</v>
      </c>
      <c r="I432" s="267">
        <f t="shared" si="50"/>
        <v>95.048361506302001</v>
      </c>
      <c r="J432" s="269">
        <v>104</v>
      </c>
      <c r="K432" s="269">
        <f t="shared" si="46"/>
        <v>97.230436888</v>
      </c>
      <c r="L432" s="267">
        <f t="shared" si="47"/>
        <v>19.446087377600001</v>
      </c>
      <c r="M432" s="267">
        <f t="shared" si="52"/>
        <v>114.49444888390201</v>
      </c>
      <c r="N432" s="270"/>
      <c r="O432" s="1163">
        <v>0.93490804699999996</v>
      </c>
      <c r="P432" s="976"/>
      <c r="Q432" s="252"/>
      <c r="R432" s="252"/>
      <c r="S432" s="252"/>
    </row>
    <row r="433" spans="1:19" ht="18.95" customHeight="1">
      <c r="A433" s="425">
        <v>4.5999999999999996</v>
      </c>
      <c r="B433" s="122"/>
      <c r="C433" s="1323" t="s">
        <v>1031</v>
      </c>
      <c r="D433" s="1324"/>
      <c r="E433" s="267">
        <v>2.2999999999999998</v>
      </c>
      <c r="F433" s="430" t="s">
        <v>1032</v>
      </c>
      <c r="G433" s="267">
        <v>0</v>
      </c>
      <c r="H433" s="267">
        <f t="shared" si="49"/>
        <v>0</v>
      </c>
      <c r="I433" s="267">
        <f t="shared" si="50"/>
        <v>0</v>
      </c>
      <c r="J433" s="269">
        <v>112</v>
      </c>
      <c r="K433" s="269">
        <f t="shared" si="46"/>
        <v>104.70970126399999</v>
      </c>
      <c r="L433" s="267">
        <f t="shared" si="47"/>
        <v>240.83231290719996</v>
      </c>
      <c r="M433" s="267">
        <f t="shared" si="52"/>
        <v>240.83231290719996</v>
      </c>
      <c r="N433" s="270"/>
      <c r="O433" s="1163">
        <v>0.93490804699999996</v>
      </c>
      <c r="P433" s="976"/>
      <c r="Q433" s="252"/>
      <c r="R433" s="252"/>
      <c r="S433" s="252"/>
    </row>
    <row r="434" spans="1:19" ht="18.95" customHeight="1">
      <c r="A434" s="425"/>
      <c r="B434" s="122"/>
      <c r="C434" s="1341" t="s">
        <v>1036</v>
      </c>
      <c r="D434" s="1342"/>
      <c r="E434" s="267"/>
      <c r="F434" s="430"/>
      <c r="G434" s="267"/>
      <c r="H434" s="267"/>
      <c r="I434" s="267"/>
      <c r="J434" s="267"/>
      <c r="K434" s="269"/>
      <c r="L434" s="267"/>
      <c r="M434" s="267"/>
      <c r="N434" s="270"/>
      <c r="O434" s="1163">
        <v>0.93490804699999996</v>
      </c>
      <c r="P434" s="976"/>
      <c r="Q434" s="252"/>
      <c r="R434" s="252"/>
      <c r="S434" s="252"/>
    </row>
    <row r="435" spans="1:19" ht="18.95" customHeight="1">
      <c r="A435" s="425">
        <v>4.6100000000000003</v>
      </c>
      <c r="B435" s="122"/>
      <c r="C435" s="1323" t="s">
        <v>1037</v>
      </c>
      <c r="D435" s="1324"/>
      <c r="E435" s="267">
        <v>21</v>
      </c>
      <c r="F435" s="430" t="s">
        <v>348</v>
      </c>
      <c r="G435" s="267">
        <v>19.600000000000001</v>
      </c>
      <c r="H435" s="267">
        <f t="shared" si="49"/>
        <v>18.324197721200001</v>
      </c>
      <c r="I435" s="267">
        <f t="shared" si="50"/>
        <v>384.80815214520004</v>
      </c>
      <c r="J435" s="269">
        <v>4.4000000000000004</v>
      </c>
      <c r="K435" s="269">
        <f t="shared" si="46"/>
        <v>4.1135954068</v>
      </c>
      <c r="L435" s="267">
        <f t="shared" si="47"/>
        <v>86.385503542799995</v>
      </c>
      <c r="M435" s="267">
        <f t="shared" si="52"/>
        <v>471.19365568800004</v>
      </c>
      <c r="N435" s="270"/>
      <c r="O435" s="1163">
        <v>0.93490804699999996</v>
      </c>
      <c r="P435" s="976"/>
      <c r="Q435" s="862" t="s">
        <v>1038</v>
      </c>
      <c r="R435" s="252"/>
      <c r="S435" s="252"/>
    </row>
    <row r="436" spans="1:19" ht="18.95" customHeight="1">
      <c r="A436" s="425">
        <v>4.62</v>
      </c>
      <c r="B436" s="122"/>
      <c r="C436" s="1323" t="s">
        <v>1039</v>
      </c>
      <c r="D436" s="1324"/>
      <c r="E436" s="267">
        <v>14</v>
      </c>
      <c r="F436" s="430" t="s">
        <v>348</v>
      </c>
      <c r="G436" s="267">
        <v>19.7</v>
      </c>
      <c r="H436" s="267">
        <f t="shared" si="49"/>
        <v>18.417688525899997</v>
      </c>
      <c r="I436" s="267">
        <f t="shared" si="50"/>
        <v>257.84763936259998</v>
      </c>
      <c r="J436" s="269">
        <v>3.6</v>
      </c>
      <c r="K436" s="269">
        <f>J436*O436</f>
        <v>3.3656689692000001</v>
      </c>
      <c r="L436" s="267">
        <f>E436*K436</f>
        <v>47.119365568799999</v>
      </c>
      <c r="M436" s="267">
        <f t="shared" si="52"/>
        <v>304.96700493139997</v>
      </c>
      <c r="N436" s="270"/>
      <c r="O436" s="1163">
        <v>0.93490804699999996</v>
      </c>
      <c r="P436" s="976"/>
      <c r="Q436" s="862" t="s">
        <v>1038</v>
      </c>
      <c r="R436" s="252"/>
      <c r="S436" s="252"/>
    </row>
    <row r="437" spans="1:19" ht="18.95" customHeight="1">
      <c r="A437" s="425">
        <v>4.63</v>
      </c>
      <c r="B437" s="122"/>
      <c r="C437" s="1323" t="s">
        <v>1040</v>
      </c>
      <c r="D437" s="1324"/>
      <c r="E437" s="267">
        <v>0</v>
      </c>
      <c r="F437" s="430" t="s">
        <v>348</v>
      </c>
      <c r="G437" s="267">
        <v>19.5</v>
      </c>
      <c r="H437" s="267">
        <f t="shared" si="49"/>
        <v>18.230706916500001</v>
      </c>
      <c r="I437" s="267">
        <f t="shared" si="50"/>
        <v>0</v>
      </c>
      <c r="J437" s="269">
        <v>3.6</v>
      </c>
      <c r="K437" s="269">
        <f t="shared" ref="K437:K492" si="53">J437*O437</f>
        <v>3.3656689692000001</v>
      </c>
      <c r="L437" s="267">
        <f t="shared" ref="L437:L492" si="54">E437*K437</f>
        <v>0</v>
      </c>
      <c r="M437" s="267">
        <f t="shared" si="52"/>
        <v>0</v>
      </c>
      <c r="N437" s="270"/>
      <c r="O437" s="1163">
        <v>0.93490804699999996</v>
      </c>
      <c r="P437" s="976"/>
      <c r="Q437" s="862" t="s">
        <v>1038</v>
      </c>
      <c r="R437" s="252"/>
      <c r="S437" s="252"/>
    </row>
    <row r="438" spans="1:19" ht="18.95" customHeight="1">
      <c r="A438" s="425">
        <v>4.6399999999999997</v>
      </c>
      <c r="B438" s="122"/>
      <c r="C438" s="1323" t="s">
        <v>1041</v>
      </c>
      <c r="D438" s="1324"/>
      <c r="E438" s="267">
        <v>0.875</v>
      </c>
      <c r="F438" s="430" t="s">
        <v>348</v>
      </c>
      <c r="G438" s="269">
        <v>27.1</v>
      </c>
      <c r="H438" s="267">
        <f t="shared" si="49"/>
        <v>25.3360080737</v>
      </c>
      <c r="I438" s="267">
        <f t="shared" si="50"/>
        <v>22.169007064487502</v>
      </c>
      <c r="J438" s="269">
        <v>0</v>
      </c>
      <c r="K438" s="269">
        <f t="shared" si="53"/>
        <v>0</v>
      </c>
      <c r="L438" s="267">
        <f t="shared" si="54"/>
        <v>0</v>
      </c>
      <c r="M438" s="267">
        <f t="shared" si="52"/>
        <v>22.169007064487502</v>
      </c>
      <c r="N438" s="268"/>
      <c r="O438" s="1163">
        <v>0.93490804699999996</v>
      </c>
      <c r="P438" s="973"/>
      <c r="Q438" s="862" t="s">
        <v>1038</v>
      </c>
      <c r="R438" s="252"/>
      <c r="S438" s="252"/>
    </row>
    <row r="439" spans="1:19" ht="18.95" customHeight="1">
      <c r="A439" s="425">
        <v>4.6500000000000004</v>
      </c>
      <c r="B439" s="122"/>
      <c r="C439" s="1323" t="s">
        <v>1043</v>
      </c>
      <c r="D439" s="1324"/>
      <c r="E439" s="267"/>
      <c r="F439" s="430"/>
      <c r="G439" s="267"/>
      <c r="H439" s="267"/>
      <c r="I439" s="267"/>
      <c r="J439" s="269"/>
      <c r="K439" s="269"/>
      <c r="L439" s="267"/>
      <c r="M439" s="267"/>
      <c r="N439" s="268"/>
      <c r="O439" s="1163">
        <v>0.93490804699999996</v>
      </c>
      <c r="P439" s="973"/>
      <c r="Q439" s="252"/>
      <c r="R439" s="252"/>
      <c r="S439" s="252"/>
    </row>
    <row r="440" spans="1:19" ht="18.95" customHeight="1">
      <c r="A440" s="431"/>
      <c r="B440" s="329"/>
      <c r="C440" s="433" t="s">
        <v>1044</v>
      </c>
      <c r="E440" s="267">
        <v>0.9</v>
      </c>
      <c r="F440" s="434" t="s">
        <v>218</v>
      </c>
      <c r="G440" s="434">
        <v>245.2</v>
      </c>
      <c r="H440" s="267">
        <f t="shared" si="49"/>
        <v>229.23945312439997</v>
      </c>
      <c r="I440" s="267">
        <f t="shared" si="50"/>
        <v>206.31550781195998</v>
      </c>
      <c r="J440" s="435">
        <v>0</v>
      </c>
      <c r="K440" s="269">
        <f t="shared" si="53"/>
        <v>0</v>
      </c>
      <c r="L440" s="267">
        <f t="shared" si="54"/>
        <v>0</v>
      </c>
      <c r="M440" s="267">
        <f t="shared" si="52"/>
        <v>206.31550781195998</v>
      </c>
      <c r="N440" s="436"/>
      <c r="O440" s="1163">
        <v>0.93490804699999996</v>
      </c>
      <c r="P440" s="765"/>
      <c r="Q440" s="252"/>
      <c r="R440" s="252"/>
      <c r="S440" s="252"/>
    </row>
    <row r="441" spans="1:19" ht="18.95" customHeight="1">
      <c r="A441" s="431"/>
      <c r="B441" s="329"/>
      <c r="C441" s="433" t="s">
        <v>1045</v>
      </c>
      <c r="E441" s="267">
        <v>1.5</v>
      </c>
      <c r="F441" s="434" t="s">
        <v>218</v>
      </c>
      <c r="G441" s="434">
        <v>0</v>
      </c>
      <c r="H441" s="267">
        <f t="shared" si="49"/>
        <v>0</v>
      </c>
      <c r="I441" s="267">
        <f t="shared" si="50"/>
        <v>0</v>
      </c>
      <c r="J441" s="435">
        <v>121</v>
      </c>
      <c r="K441" s="269">
        <f t="shared" si="53"/>
        <v>113.123873687</v>
      </c>
      <c r="L441" s="267">
        <f t="shared" si="54"/>
        <v>169.68581053049999</v>
      </c>
      <c r="M441" s="267">
        <f t="shared" si="52"/>
        <v>169.68581053049999</v>
      </c>
      <c r="N441" s="436"/>
      <c r="O441" s="1163">
        <v>0.93490804699999996</v>
      </c>
      <c r="P441" s="765"/>
      <c r="Q441" s="252"/>
      <c r="R441" s="252"/>
      <c r="S441" s="252"/>
    </row>
    <row r="442" spans="1:19" ht="18.95" customHeight="1">
      <c r="A442" s="431"/>
      <c r="B442" s="329"/>
      <c r="C442" s="433" t="s">
        <v>1046</v>
      </c>
      <c r="E442" s="267">
        <v>0.27</v>
      </c>
      <c r="F442" s="434" t="s">
        <v>1047</v>
      </c>
      <c r="G442" s="434">
        <v>309.42</v>
      </c>
      <c r="H442" s="267">
        <f t="shared" si="49"/>
        <v>289.27924790274</v>
      </c>
      <c r="I442" s="267">
        <f t="shared" si="50"/>
        <v>78.105396933739797</v>
      </c>
      <c r="J442" s="435">
        <v>0</v>
      </c>
      <c r="K442" s="269">
        <f t="shared" si="53"/>
        <v>0</v>
      </c>
      <c r="L442" s="267">
        <f t="shared" si="54"/>
        <v>0</v>
      </c>
      <c r="M442" s="267">
        <f t="shared" si="52"/>
        <v>78.105396933739797</v>
      </c>
      <c r="N442" s="436"/>
      <c r="O442" s="1163">
        <v>0.93490804699999996</v>
      </c>
      <c r="P442" s="765"/>
      <c r="Q442" s="252"/>
      <c r="R442" s="252"/>
      <c r="S442" s="252"/>
    </row>
    <row r="443" spans="1:19" ht="18.95" customHeight="1">
      <c r="A443" s="431"/>
      <c r="B443" s="329"/>
      <c r="C443" s="433" t="s">
        <v>1048</v>
      </c>
      <c r="E443" s="269">
        <v>0.23</v>
      </c>
      <c r="F443" s="434" t="s">
        <v>348</v>
      </c>
      <c r="G443" s="434">
        <v>23.36</v>
      </c>
      <c r="H443" s="267">
        <f t="shared" si="49"/>
        <v>21.83945197792</v>
      </c>
      <c r="I443" s="267">
        <f t="shared" si="50"/>
        <v>5.0230739549215997</v>
      </c>
      <c r="J443" s="435">
        <v>0</v>
      </c>
      <c r="K443" s="269">
        <f t="shared" si="53"/>
        <v>0</v>
      </c>
      <c r="L443" s="267">
        <f t="shared" si="54"/>
        <v>0</v>
      </c>
      <c r="M443" s="267">
        <f t="shared" si="52"/>
        <v>5.0230739549215997</v>
      </c>
      <c r="N443" s="436"/>
      <c r="O443" s="1163">
        <v>0.93490804699999996</v>
      </c>
      <c r="P443" s="765"/>
      <c r="Q443" s="862" t="s">
        <v>1038</v>
      </c>
      <c r="R443" s="252"/>
      <c r="S443" s="252"/>
    </row>
    <row r="444" spans="1:19" ht="18.95" customHeight="1">
      <c r="A444" s="204"/>
      <c r="B444" s="407"/>
      <c r="D444" s="1257" t="s">
        <v>1109</v>
      </c>
      <c r="E444" s="267"/>
      <c r="F444" s="268"/>
      <c r="G444" s="267"/>
      <c r="H444" s="267"/>
      <c r="I444" s="267"/>
      <c r="J444" s="267"/>
      <c r="K444" s="269"/>
      <c r="L444" s="267"/>
      <c r="M444" s="288">
        <f>SUM(M429:M443)</f>
        <v>3058.0605685634109</v>
      </c>
      <c r="N444" s="268"/>
      <c r="O444" s="1163">
        <v>0.93490804699999996</v>
      </c>
      <c r="P444" s="973"/>
      <c r="Q444" s="252"/>
      <c r="R444" s="252"/>
      <c r="S444" s="252"/>
    </row>
    <row r="445" spans="1:19" ht="18.95" customHeight="1">
      <c r="A445" s="204"/>
      <c r="B445" s="122"/>
      <c r="C445" s="440"/>
      <c r="D445" s="441"/>
      <c r="E445" s="267"/>
      <c r="F445" s="268"/>
      <c r="G445" s="267"/>
      <c r="H445" s="267"/>
      <c r="I445" s="267"/>
      <c r="J445" s="267"/>
      <c r="K445" s="269"/>
      <c r="L445" s="267"/>
      <c r="M445" s="288"/>
      <c r="N445" s="268"/>
      <c r="O445" s="1163">
        <v>0.93490804699999996</v>
      </c>
      <c r="P445" s="973"/>
      <c r="Q445" s="252"/>
      <c r="R445" s="252"/>
      <c r="S445" s="252"/>
    </row>
    <row r="446" spans="1:19" ht="18.95" customHeight="1">
      <c r="A446" s="204"/>
      <c r="B446" s="407"/>
      <c r="D446" s="1257" t="s">
        <v>1110</v>
      </c>
      <c r="E446" s="267"/>
      <c r="F446" s="268"/>
      <c r="G446" s="267"/>
      <c r="H446" s="267"/>
      <c r="I446" s="267"/>
      <c r="J446" s="267"/>
      <c r="K446" s="269"/>
      <c r="L446" s="267"/>
      <c r="M446" s="288">
        <f>SUM(M340,M357,M375,M393,M410,M427,M444)</f>
        <v>132959.01771938318</v>
      </c>
      <c r="N446" s="268"/>
      <c r="O446" s="1163">
        <v>0.93490804699999996</v>
      </c>
      <c r="P446" s="973"/>
      <c r="Q446" s="252"/>
      <c r="R446" s="252"/>
      <c r="S446" s="252"/>
    </row>
    <row r="447" spans="1:19" ht="18.95" customHeight="1">
      <c r="A447" s="141"/>
      <c r="B447" s="122"/>
      <c r="C447" s="447"/>
      <c r="D447" s="443"/>
      <c r="E447" s="267"/>
      <c r="F447" s="268"/>
      <c r="G447" s="270"/>
      <c r="H447" s="267"/>
      <c r="I447" s="267"/>
      <c r="J447" s="270"/>
      <c r="K447" s="269"/>
      <c r="L447" s="267"/>
      <c r="M447" s="270"/>
      <c r="N447" s="268"/>
      <c r="O447" s="1163">
        <v>0.93490804699999996</v>
      </c>
      <c r="P447" s="973"/>
      <c r="Q447" s="252"/>
      <c r="R447" s="252"/>
      <c r="S447" s="252"/>
    </row>
    <row r="448" spans="1:19" ht="18.95" customHeight="1">
      <c r="A448" s="371">
        <v>5</v>
      </c>
      <c r="B448" s="122"/>
      <c r="C448" s="1349" t="s">
        <v>1111</v>
      </c>
      <c r="D448" s="1350"/>
      <c r="E448" s="267"/>
      <c r="F448" s="268"/>
      <c r="G448" s="267"/>
      <c r="H448" s="267"/>
      <c r="I448" s="267"/>
      <c r="J448" s="267"/>
      <c r="K448" s="269"/>
      <c r="L448" s="267"/>
      <c r="M448" s="267"/>
      <c r="N448" s="268"/>
      <c r="O448" s="1163">
        <v>0.93490804699999996</v>
      </c>
      <c r="P448" s="973"/>
      <c r="Q448" s="252"/>
      <c r="R448" s="252"/>
      <c r="S448" s="252"/>
    </row>
    <row r="449" spans="1:19" ht="18.95" customHeight="1">
      <c r="A449" s="204"/>
      <c r="B449" s="122"/>
      <c r="C449" s="1329" t="s">
        <v>1057</v>
      </c>
      <c r="D449" s="1330"/>
      <c r="E449" s="267"/>
      <c r="F449" s="268"/>
      <c r="G449" s="267"/>
      <c r="H449" s="267"/>
      <c r="I449" s="267"/>
      <c r="J449" s="269"/>
      <c r="K449" s="269"/>
      <c r="L449" s="267"/>
      <c r="M449" s="270"/>
      <c r="N449" s="268"/>
      <c r="O449" s="1163">
        <v>0.93490804699999996</v>
      </c>
      <c r="P449" s="973"/>
      <c r="Q449" s="252"/>
      <c r="R449" s="252"/>
      <c r="S449" s="252"/>
    </row>
    <row r="450" spans="1:19" ht="18.95" customHeight="1">
      <c r="A450" s="445">
        <v>5.0999999999999996</v>
      </c>
      <c r="B450" s="122"/>
      <c r="C450" s="1335" t="s">
        <v>1112</v>
      </c>
      <c r="D450" s="1336"/>
      <c r="E450" s="267">
        <v>320.7</v>
      </c>
      <c r="F450" s="430" t="s">
        <v>348</v>
      </c>
      <c r="G450" s="434">
        <v>31.66</v>
      </c>
      <c r="H450" s="267">
        <f t="shared" si="49"/>
        <v>29.599188768019999</v>
      </c>
      <c r="I450" s="267">
        <f t="shared" si="50"/>
        <v>9492.4598379040126</v>
      </c>
      <c r="J450" s="434">
        <v>14</v>
      </c>
      <c r="K450" s="269">
        <f t="shared" si="53"/>
        <v>13.088712657999999</v>
      </c>
      <c r="L450" s="267">
        <f t="shared" si="54"/>
        <v>4197.5501494205992</v>
      </c>
      <c r="M450" s="270">
        <f t="shared" ref="M450:M474" si="55">I450+L450</f>
        <v>13690.009987324611</v>
      </c>
      <c r="N450" s="270"/>
      <c r="O450" s="1163">
        <v>0.93490804699999996</v>
      </c>
      <c r="P450" s="976"/>
      <c r="Q450" s="252"/>
      <c r="R450" s="252"/>
      <c r="S450" s="252"/>
    </row>
    <row r="451" spans="1:19" ht="18.95" customHeight="1">
      <c r="A451" s="445">
        <v>5.2</v>
      </c>
      <c r="B451" s="122"/>
      <c r="C451" s="1335" t="s">
        <v>1113</v>
      </c>
      <c r="D451" s="1336"/>
      <c r="E451" s="267">
        <v>186.6</v>
      </c>
      <c r="F451" s="430" t="s">
        <v>348</v>
      </c>
      <c r="G451" s="267">
        <v>32.78</v>
      </c>
      <c r="H451" s="267">
        <f t="shared" si="49"/>
        <v>30.646285780660001</v>
      </c>
      <c r="I451" s="267">
        <f t="shared" si="50"/>
        <v>5718.5969266711563</v>
      </c>
      <c r="J451" s="267">
        <v>14</v>
      </c>
      <c r="K451" s="269">
        <f t="shared" si="53"/>
        <v>13.088712657999999</v>
      </c>
      <c r="L451" s="267">
        <f t="shared" si="54"/>
        <v>2442.3537819827998</v>
      </c>
      <c r="M451" s="270">
        <f t="shared" si="55"/>
        <v>8160.9507086539561</v>
      </c>
      <c r="N451" s="268"/>
      <c r="O451" s="1163">
        <v>0.93490804699999996</v>
      </c>
      <c r="P451" s="973"/>
      <c r="Q451" s="252"/>
      <c r="R451" s="252"/>
      <c r="S451" s="252"/>
    </row>
    <row r="452" spans="1:19" ht="18.95" customHeight="1">
      <c r="A452" s="445">
        <v>5.3</v>
      </c>
      <c r="B452" s="122"/>
      <c r="C452" s="1335" t="s">
        <v>1114</v>
      </c>
      <c r="D452" s="1336"/>
      <c r="E452" s="267">
        <v>215</v>
      </c>
      <c r="F452" s="430" t="s">
        <v>348</v>
      </c>
      <c r="G452" s="267">
        <v>31.66</v>
      </c>
      <c r="H452" s="267">
        <f t="shared" si="49"/>
        <v>29.599188768019999</v>
      </c>
      <c r="I452" s="267">
        <f t="shared" si="50"/>
        <v>6363.8255851243002</v>
      </c>
      <c r="J452" s="267">
        <v>14</v>
      </c>
      <c r="K452" s="269">
        <f t="shared" si="53"/>
        <v>13.088712657999999</v>
      </c>
      <c r="L452" s="267">
        <f t="shared" si="54"/>
        <v>2814.0732214699997</v>
      </c>
      <c r="M452" s="270">
        <f t="shared" si="55"/>
        <v>9177.8988065942995</v>
      </c>
      <c r="N452" s="270"/>
      <c r="O452" s="1163">
        <v>0.93490804699999996</v>
      </c>
      <c r="P452" s="976"/>
      <c r="Q452" s="252"/>
      <c r="R452" s="252"/>
      <c r="S452" s="252"/>
    </row>
    <row r="453" spans="1:19" ht="18.95" customHeight="1">
      <c r="A453" s="445">
        <v>5.4</v>
      </c>
      <c r="B453" s="122"/>
      <c r="C453" s="1331" t="s">
        <v>1115</v>
      </c>
      <c r="D453" s="1332"/>
      <c r="E453" s="267">
        <v>17.3</v>
      </c>
      <c r="F453" s="430" t="s">
        <v>348</v>
      </c>
      <c r="G453" s="267">
        <v>24.97</v>
      </c>
      <c r="H453" s="267">
        <f t="shared" si="49"/>
        <v>23.344653933589999</v>
      </c>
      <c r="I453" s="267">
        <f t="shared" si="50"/>
        <v>403.86251305110699</v>
      </c>
      <c r="J453" s="267">
        <v>14</v>
      </c>
      <c r="K453" s="269">
        <f t="shared" si="53"/>
        <v>13.088712657999999</v>
      </c>
      <c r="L453" s="267">
        <f t="shared" si="54"/>
        <v>226.43472898339999</v>
      </c>
      <c r="M453" s="270">
        <f t="shared" si="55"/>
        <v>630.29724203450701</v>
      </c>
      <c r="N453" s="268"/>
      <c r="O453" s="1163">
        <v>0.93490804699999996</v>
      </c>
      <c r="P453" s="973"/>
      <c r="Q453" s="252"/>
      <c r="R453" s="252"/>
      <c r="S453" s="252"/>
    </row>
    <row r="454" spans="1:19" ht="18.95" customHeight="1">
      <c r="A454" s="445">
        <v>5.5</v>
      </c>
      <c r="B454" s="122"/>
      <c r="C454" s="1331" t="s">
        <v>1075</v>
      </c>
      <c r="D454" s="1332"/>
      <c r="E454" s="267">
        <v>62.2</v>
      </c>
      <c r="F454" s="430" t="s">
        <v>348</v>
      </c>
      <c r="G454" s="267">
        <v>27.45</v>
      </c>
      <c r="H454" s="267">
        <f t="shared" si="49"/>
        <v>25.663225890149999</v>
      </c>
      <c r="I454" s="267">
        <f t="shared" si="50"/>
        <v>1596.25265036733</v>
      </c>
      <c r="J454" s="267">
        <v>14</v>
      </c>
      <c r="K454" s="269">
        <f t="shared" si="53"/>
        <v>13.088712657999999</v>
      </c>
      <c r="L454" s="267">
        <f t="shared" si="54"/>
        <v>814.1179273276</v>
      </c>
      <c r="M454" s="270">
        <f t="shared" si="55"/>
        <v>2410.37057769493</v>
      </c>
      <c r="N454" s="270"/>
      <c r="O454" s="1163">
        <v>0.93490804699999996</v>
      </c>
      <c r="P454" s="976"/>
      <c r="Q454" s="252"/>
      <c r="R454" s="252"/>
      <c r="S454" s="252"/>
    </row>
    <row r="455" spans="1:19" ht="18.95" customHeight="1">
      <c r="A455" s="445"/>
      <c r="B455" s="122"/>
      <c r="C455" s="1333" t="s">
        <v>1088</v>
      </c>
      <c r="D455" s="1334"/>
      <c r="E455" s="267"/>
      <c r="F455" s="430"/>
      <c r="G455" s="267"/>
      <c r="H455" s="267"/>
      <c r="I455" s="267"/>
      <c r="J455" s="269"/>
      <c r="K455" s="269"/>
      <c r="L455" s="267"/>
      <c r="M455" s="270"/>
      <c r="N455" s="268"/>
      <c r="O455" s="1163">
        <v>0.93490804699999996</v>
      </c>
      <c r="P455" s="973"/>
      <c r="Q455" s="252"/>
      <c r="R455" s="252"/>
      <c r="S455" s="252"/>
    </row>
    <row r="456" spans="1:19" ht="18.95" customHeight="1">
      <c r="A456" s="445">
        <v>5.6</v>
      </c>
      <c r="B456" s="122"/>
      <c r="C456" s="1335" t="s">
        <v>1089</v>
      </c>
      <c r="D456" s="1336"/>
      <c r="E456" s="267">
        <v>32</v>
      </c>
      <c r="F456" s="268" t="s">
        <v>402</v>
      </c>
      <c r="G456" s="267">
        <v>86.5</v>
      </c>
      <c r="H456" s="267">
        <f t="shared" si="49"/>
        <v>80.869546065500003</v>
      </c>
      <c r="I456" s="267">
        <f t="shared" si="50"/>
        <v>2587.8254740960001</v>
      </c>
      <c r="J456" s="267">
        <v>25.95</v>
      </c>
      <c r="K456" s="269">
        <f t="shared" si="53"/>
        <v>24.260863819649998</v>
      </c>
      <c r="L456" s="267">
        <f t="shared" si="54"/>
        <v>776.34764222879994</v>
      </c>
      <c r="M456" s="270">
        <f t="shared" si="55"/>
        <v>3364.1731163248</v>
      </c>
      <c r="N456" s="270"/>
      <c r="O456" s="1163">
        <v>0.93490804699999996</v>
      </c>
      <c r="P456" s="976"/>
      <c r="Q456" s="252"/>
      <c r="R456" s="252"/>
      <c r="S456" s="252"/>
    </row>
    <row r="457" spans="1:19" ht="18.95" customHeight="1">
      <c r="A457" s="445"/>
      <c r="B457" s="122"/>
      <c r="C457" s="1329" t="s">
        <v>1052</v>
      </c>
      <c r="D457" s="1330"/>
      <c r="E457" s="267"/>
      <c r="F457" s="268"/>
      <c r="G457" s="267"/>
      <c r="H457" s="267"/>
      <c r="I457" s="267"/>
      <c r="J457" s="269"/>
      <c r="K457" s="269"/>
      <c r="L457" s="267"/>
      <c r="M457" s="270"/>
      <c r="N457" s="268"/>
      <c r="O457" s="1163">
        <v>0.93490804699999996</v>
      </c>
      <c r="P457" s="973"/>
      <c r="Q457" s="252"/>
      <c r="R457" s="252"/>
      <c r="S457" s="252"/>
    </row>
    <row r="458" spans="1:19" ht="18.95" customHeight="1">
      <c r="A458" s="445">
        <v>5.7</v>
      </c>
      <c r="B458" s="122"/>
      <c r="C458" s="1335" t="s">
        <v>1116</v>
      </c>
      <c r="D458" s="1336"/>
      <c r="E458" s="267">
        <v>12859</v>
      </c>
      <c r="F458" s="430" t="s">
        <v>348</v>
      </c>
      <c r="G458" s="267">
        <v>30.7</v>
      </c>
      <c r="H458" s="267">
        <f t="shared" si="49"/>
        <v>28.701677042899998</v>
      </c>
      <c r="I458" s="267">
        <f t="shared" si="50"/>
        <v>369074.86509465106</v>
      </c>
      <c r="J458" s="267">
        <v>14</v>
      </c>
      <c r="K458" s="269">
        <f t="shared" si="53"/>
        <v>13.088712657999999</v>
      </c>
      <c r="L458" s="267">
        <f t="shared" si="54"/>
        <v>168307.75606922197</v>
      </c>
      <c r="M458" s="270">
        <f t="shared" si="55"/>
        <v>537382.621163873</v>
      </c>
      <c r="N458" s="268"/>
      <c r="O458" s="1163">
        <v>0.93490804699999996</v>
      </c>
      <c r="P458" s="973"/>
      <c r="Q458" s="252"/>
      <c r="R458" s="252"/>
      <c r="S458" s="252"/>
    </row>
    <row r="459" spans="1:19" ht="18.95" customHeight="1">
      <c r="A459" s="445">
        <v>5.8</v>
      </c>
      <c r="B459" s="122"/>
      <c r="C459" s="1335" t="s">
        <v>1117</v>
      </c>
      <c r="D459" s="1336"/>
      <c r="E459" s="267">
        <v>25043</v>
      </c>
      <c r="F459" s="430" t="s">
        <v>348</v>
      </c>
      <c r="G459" s="267">
        <v>27.45</v>
      </c>
      <c r="H459" s="267">
        <f t="shared" si="49"/>
        <v>25.663225890149999</v>
      </c>
      <c r="I459" s="267">
        <f t="shared" si="50"/>
        <v>642684.16596702638</v>
      </c>
      <c r="J459" s="267">
        <v>14</v>
      </c>
      <c r="K459" s="269">
        <f t="shared" si="53"/>
        <v>13.088712657999999</v>
      </c>
      <c r="L459" s="267">
        <f t="shared" si="54"/>
        <v>327780.63109429396</v>
      </c>
      <c r="M459" s="270">
        <f t="shared" si="55"/>
        <v>970464.79706132039</v>
      </c>
      <c r="N459" s="268"/>
      <c r="O459" s="1163">
        <v>0.93490804699999996</v>
      </c>
      <c r="P459" s="973"/>
      <c r="Q459" s="252"/>
      <c r="R459" s="252"/>
      <c r="S459" s="252"/>
    </row>
    <row r="460" spans="1:19" ht="18.95" customHeight="1">
      <c r="A460" s="445">
        <v>5.9</v>
      </c>
      <c r="B460" s="122"/>
      <c r="C460" s="1335" t="s">
        <v>1118</v>
      </c>
      <c r="D460" s="1336"/>
      <c r="E460" s="267">
        <v>11303.2</v>
      </c>
      <c r="F460" s="430" t="s">
        <v>348</v>
      </c>
      <c r="G460" s="267">
        <v>27.45</v>
      </c>
      <c r="H460" s="267">
        <f t="shared" si="49"/>
        <v>25.663225890149999</v>
      </c>
      <c r="I460" s="267">
        <f t="shared" si="50"/>
        <v>290076.57488154346</v>
      </c>
      <c r="J460" s="267">
        <v>14</v>
      </c>
      <c r="K460" s="269">
        <f t="shared" si="53"/>
        <v>13.088712657999999</v>
      </c>
      <c r="L460" s="267">
        <f t="shared" si="54"/>
        <v>147944.33691590559</v>
      </c>
      <c r="M460" s="270">
        <f t="shared" si="55"/>
        <v>438020.91179744905</v>
      </c>
      <c r="N460" s="270"/>
      <c r="O460" s="1163">
        <v>0.93490804699999996</v>
      </c>
      <c r="P460" s="976"/>
      <c r="Q460" s="252"/>
      <c r="R460" s="252"/>
      <c r="S460" s="252"/>
    </row>
    <row r="461" spans="1:19" ht="18.95" customHeight="1">
      <c r="A461" s="204"/>
      <c r="B461" s="122"/>
      <c r="C461" s="438" t="s">
        <v>1119</v>
      </c>
      <c r="D461" s="131"/>
      <c r="E461" s="267"/>
      <c r="F461" s="430"/>
      <c r="G461" s="267"/>
      <c r="H461" s="267"/>
      <c r="I461" s="267"/>
      <c r="J461" s="269"/>
      <c r="K461" s="269"/>
      <c r="L461" s="267"/>
      <c r="M461" s="270"/>
      <c r="N461" s="268"/>
      <c r="O461" s="1163">
        <v>0.93490804699999996</v>
      </c>
      <c r="P461" s="973"/>
      <c r="Q461" s="252"/>
      <c r="R461" s="252"/>
      <c r="S461" s="252"/>
    </row>
    <row r="462" spans="1:19" ht="18.95" customHeight="1">
      <c r="A462" s="204">
        <v>5.0999999999999996</v>
      </c>
      <c r="B462" s="122"/>
      <c r="C462" s="1335" t="s">
        <v>1120</v>
      </c>
      <c r="D462" s="1336"/>
      <c r="E462" s="267">
        <v>17.100000000000001</v>
      </c>
      <c r="F462" s="430" t="s">
        <v>348</v>
      </c>
      <c r="G462" s="267">
        <v>23</v>
      </c>
      <c r="H462" s="267">
        <f t="shared" si="49"/>
        <v>21.502885080999999</v>
      </c>
      <c r="I462" s="267">
        <f t="shared" si="50"/>
        <v>367.69933488510003</v>
      </c>
      <c r="J462" s="267">
        <v>14</v>
      </c>
      <c r="K462" s="269">
        <f t="shared" si="53"/>
        <v>13.088712657999999</v>
      </c>
      <c r="L462" s="267">
        <f t="shared" si="54"/>
        <v>223.81698645180001</v>
      </c>
      <c r="M462" s="270">
        <f t="shared" si="55"/>
        <v>591.51632133690009</v>
      </c>
      <c r="N462" s="270"/>
      <c r="O462" s="1163">
        <v>0.93490804699999996</v>
      </c>
      <c r="P462" s="976"/>
      <c r="Q462" s="862" t="s">
        <v>1038</v>
      </c>
      <c r="R462" s="252"/>
      <c r="S462" s="252"/>
    </row>
    <row r="463" spans="1:19" ht="18.95" customHeight="1">
      <c r="A463" s="204">
        <v>5.1100000000000003</v>
      </c>
      <c r="B463" s="122"/>
      <c r="C463" s="1335" t="s">
        <v>1121</v>
      </c>
      <c r="D463" s="1336"/>
      <c r="E463" s="267">
        <v>559.5</v>
      </c>
      <c r="F463" s="430" t="s">
        <v>348</v>
      </c>
      <c r="G463" s="267">
        <v>24.97</v>
      </c>
      <c r="H463" s="267">
        <f t="shared" si="49"/>
        <v>23.344653933589999</v>
      </c>
      <c r="I463" s="267">
        <f t="shared" si="50"/>
        <v>13061.333875843604</v>
      </c>
      <c r="J463" s="267">
        <v>14</v>
      </c>
      <c r="K463" s="269">
        <f t="shared" si="53"/>
        <v>13.088712657999999</v>
      </c>
      <c r="L463" s="267">
        <f t="shared" si="54"/>
        <v>7323.1347321509993</v>
      </c>
      <c r="M463" s="270">
        <f t="shared" si="55"/>
        <v>20384.468607994604</v>
      </c>
      <c r="N463" s="268"/>
      <c r="O463" s="1163">
        <v>0.93490804699999996</v>
      </c>
      <c r="P463" s="973"/>
      <c r="Q463" s="252"/>
      <c r="R463" s="252"/>
      <c r="S463" s="252"/>
    </row>
    <row r="464" spans="1:19" ht="18.95" customHeight="1">
      <c r="A464" s="204"/>
      <c r="B464" s="122"/>
      <c r="C464" s="1329" t="s">
        <v>1122</v>
      </c>
      <c r="D464" s="1330"/>
      <c r="E464" s="267"/>
      <c r="F464" s="430"/>
      <c r="G464" s="267"/>
      <c r="H464" s="267"/>
      <c r="I464" s="267"/>
      <c r="J464" s="269"/>
      <c r="K464" s="269"/>
      <c r="L464" s="267"/>
      <c r="M464" s="270"/>
      <c r="N464" s="270"/>
      <c r="O464" s="1163">
        <v>0.93490804699999996</v>
      </c>
      <c r="P464" s="976"/>
      <c r="Q464" s="252"/>
      <c r="R464" s="252"/>
      <c r="S464" s="252"/>
    </row>
    <row r="465" spans="1:19" ht="18.95" customHeight="1">
      <c r="A465" s="204">
        <v>5.12</v>
      </c>
      <c r="B465" s="122"/>
      <c r="C465" s="1335" t="s">
        <v>1089</v>
      </c>
      <c r="D465" s="1336"/>
      <c r="E465" s="267">
        <v>300</v>
      </c>
      <c r="F465" s="268" t="s">
        <v>402</v>
      </c>
      <c r="G465" s="267">
        <v>86.5</v>
      </c>
      <c r="H465" s="267">
        <f t="shared" si="49"/>
        <v>80.869546065500003</v>
      </c>
      <c r="I465" s="267">
        <f t="shared" si="50"/>
        <v>24260.86381965</v>
      </c>
      <c r="J465" s="267">
        <v>25.95</v>
      </c>
      <c r="K465" s="269">
        <f t="shared" si="53"/>
        <v>24.260863819649998</v>
      </c>
      <c r="L465" s="267">
        <f t="shared" si="54"/>
        <v>7278.2591458949992</v>
      </c>
      <c r="M465" s="270">
        <f t="shared" si="55"/>
        <v>31539.122965545001</v>
      </c>
      <c r="N465" s="268"/>
      <c r="O465" s="1163">
        <v>0.93490804699999996</v>
      </c>
      <c r="P465" s="973"/>
      <c r="Q465" s="252"/>
      <c r="R465" s="252"/>
      <c r="S465" s="252"/>
    </row>
    <row r="466" spans="1:19" ht="18.95" customHeight="1">
      <c r="A466" s="204"/>
      <c r="B466" s="122"/>
      <c r="C466" s="1329" t="s">
        <v>1054</v>
      </c>
      <c r="D466" s="1330"/>
      <c r="E466" s="267"/>
      <c r="F466" s="268"/>
      <c r="G466" s="267"/>
      <c r="H466" s="267"/>
      <c r="I466" s="267"/>
      <c r="J466" s="269"/>
      <c r="K466" s="269"/>
      <c r="L466" s="267"/>
      <c r="M466" s="270"/>
      <c r="N466" s="270"/>
      <c r="O466" s="1163">
        <v>0.93490804699999996</v>
      </c>
      <c r="P466" s="976"/>
      <c r="Q466" s="252"/>
      <c r="R466" s="252"/>
      <c r="S466" s="252"/>
    </row>
    <row r="467" spans="1:19" ht="18.95" customHeight="1">
      <c r="A467" s="204">
        <v>5.13</v>
      </c>
      <c r="B467" s="122"/>
      <c r="C467" s="1335" t="s">
        <v>1084</v>
      </c>
      <c r="D467" s="1336"/>
      <c r="E467" s="267">
        <v>22796.400000000001</v>
      </c>
      <c r="F467" s="430" t="s">
        <v>348</v>
      </c>
      <c r="G467" s="267">
        <v>23</v>
      </c>
      <c r="H467" s="267">
        <f t="shared" si="49"/>
        <v>21.502885080999999</v>
      </c>
      <c r="I467" s="267">
        <f t="shared" si="50"/>
        <v>490188.3694605084</v>
      </c>
      <c r="J467" s="267">
        <v>14</v>
      </c>
      <c r="K467" s="269">
        <f t="shared" si="53"/>
        <v>13.088712657999999</v>
      </c>
      <c r="L467" s="267">
        <f t="shared" si="54"/>
        <v>298375.52923683118</v>
      </c>
      <c r="M467" s="270">
        <f t="shared" si="55"/>
        <v>788563.89869733958</v>
      </c>
      <c r="N467" s="268"/>
      <c r="O467" s="1163">
        <v>0.93490804699999996</v>
      </c>
      <c r="P467" s="973"/>
      <c r="Q467" s="862" t="s">
        <v>1038</v>
      </c>
      <c r="R467" s="252"/>
      <c r="S467" s="252"/>
    </row>
    <row r="468" spans="1:19" ht="18.95" customHeight="1">
      <c r="A468" s="204">
        <v>5.14</v>
      </c>
      <c r="B468" s="122"/>
      <c r="C468" s="1331" t="s">
        <v>1081</v>
      </c>
      <c r="D468" s="1332"/>
      <c r="E468" s="267">
        <v>29.4</v>
      </c>
      <c r="F468" s="430" t="s">
        <v>1032</v>
      </c>
      <c r="G468" s="267">
        <v>2507</v>
      </c>
      <c r="H468" s="267">
        <f t="shared" ref="H468:H531" si="56">G468*O468</f>
        <v>2343.8144738289998</v>
      </c>
      <c r="I468" s="267">
        <f t="shared" ref="I468:I531" si="57">E468*H468</f>
        <v>68908.145530572583</v>
      </c>
      <c r="J468" s="267">
        <v>519</v>
      </c>
      <c r="K468" s="269">
        <f t="shared" si="53"/>
        <v>485.21727639299996</v>
      </c>
      <c r="L468" s="267">
        <f t="shared" si="54"/>
        <v>14265.387925954199</v>
      </c>
      <c r="M468" s="270">
        <f t="shared" si="55"/>
        <v>83173.533456526784</v>
      </c>
      <c r="N468" s="270"/>
      <c r="O468" s="1163">
        <v>0.93490804699999996</v>
      </c>
      <c r="P468" s="976"/>
      <c r="Q468" s="252"/>
      <c r="R468" s="252"/>
      <c r="S468" s="252"/>
    </row>
    <row r="469" spans="1:19" ht="18.95" customHeight="1">
      <c r="A469" s="425"/>
      <c r="B469" s="122"/>
      <c r="C469" s="1341" t="s">
        <v>1036</v>
      </c>
      <c r="D469" s="1342"/>
      <c r="E469" s="267"/>
      <c r="F469" s="430"/>
      <c r="G469" s="267"/>
      <c r="H469" s="267"/>
      <c r="I469" s="267"/>
      <c r="J469" s="269"/>
      <c r="K469" s="269"/>
      <c r="L469" s="267"/>
      <c r="M469" s="270"/>
      <c r="N469" s="268"/>
      <c r="O469" s="1163">
        <v>0.93490804699999996</v>
      </c>
      <c r="P469" s="973"/>
      <c r="Q469" s="252"/>
      <c r="R469" s="252"/>
      <c r="S469" s="252"/>
    </row>
    <row r="470" spans="1:19" ht="18.95" customHeight="1">
      <c r="A470" s="425">
        <v>5.15</v>
      </c>
      <c r="B470" s="122"/>
      <c r="C470" s="1323" t="s">
        <v>1037</v>
      </c>
      <c r="D470" s="1324"/>
      <c r="E470" s="267">
        <v>2904</v>
      </c>
      <c r="F470" s="430" t="s">
        <v>348</v>
      </c>
      <c r="G470" s="267">
        <v>19.600000000000001</v>
      </c>
      <c r="H470" s="267">
        <f t="shared" si="56"/>
        <v>18.324197721200001</v>
      </c>
      <c r="I470" s="267">
        <f t="shared" si="57"/>
        <v>53213.470182364799</v>
      </c>
      <c r="J470" s="269">
        <v>4.4000000000000004</v>
      </c>
      <c r="K470" s="269">
        <f t="shared" si="53"/>
        <v>4.1135954068</v>
      </c>
      <c r="L470" s="267">
        <f t="shared" si="54"/>
        <v>11945.8810613472</v>
      </c>
      <c r="M470" s="270">
        <f t="shared" si="55"/>
        <v>65159.351243712001</v>
      </c>
      <c r="N470" s="268"/>
      <c r="O470" s="1163">
        <v>0.93490804699999996</v>
      </c>
      <c r="P470" s="973"/>
      <c r="Q470" s="862" t="s">
        <v>1038</v>
      </c>
      <c r="R470" s="252"/>
      <c r="S470" s="252"/>
    </row>
    <row r="471" spans="1:19" ht="18.95" customHeight="1">
      <c r="A471" s="425">
        <v>5.16</v>
      </c>
      <c r="B471" s="122"/>
      <c r="C471" s="1323" t="s">
        <v>1041</v>
      </c>
      <c r="D471" s="1324"/>
      <c r="E471" s="267">
        <v>52.3</v>
      </c>
      <c r="F471" s="430" t="s">
        <v>348</v>
      </c>
      <c r="G471" s="269">
        <v>27.1</v>
      </c>
      <c r="H471" s="267">
        <f t="shared" si="56"/>
        <v>25.3360080737</v>
      </c>
      <c r="I471" s="267">
        <f t="shared" si="57"/>
        <v>1325.07322225451</v>
      </c>
      <c r="J471" s="269">
        <v>0</v>
      </c>
      <c r="K471" s="269">
        <f t="shared" si="53"/>
        <v>0</v>
      </c>
      <c r="L471" s="267">
        <f t="shared" si="54"/>
        <v>0</v>
      </c>
      <c r="M471" s="270">
        <f t="shared" si="55"/>
        <v>1325.07322225451</v>
      </c>
      <c r="N471" s="270"/>
      <c r="O471" s="1163">
        <v>0.93490804699999996</v>
      </c>
      <c r="P471" s="976"/>
      <c r="Q471" s="862" t="s">
        <v>1038</v>
      </c>
      <c r="R471" s="252"/>
      <c r="S471" s="252"/>
    </row>
    <row r="472" spans="1:19" ht="18.95" customHeight="1">
      <c r="A472" s="204"/>
      <c r="B472" s="122"/>
      <c r="C472" s="1329" t="s">
        <v>1061</v>
      </c>
      <c r="D472" s="1330"/>
      <c r="E472" s="267"/>
      <c r="F472" s="430"/>
      <c r="G472" s="267"/>
      <c r="H472" s="267"/>
      <c r="I472" s="267"/>
      <c r="J472" s="267"/>
      <c r="K472" s="269"/>
      <c r="L472" s="267"/>
      <c r="M472" s="270"/>
      <c r="N472" s="270"/>
      <c r="O472" s="1163">
        <v>0.93490804699999996</v>
      </c>
      <c r="P472" s="976"/>
      <c r="Q472" s="252"/>
      <c r="R472" s="252"/>
      <c r="S472" s="252"/>
    </row>
    <row r="473" spans="1:19" ht="18.95" customHeight="1">
      <c r="A473" s="425">
        <v>5.17</v>
      </c>
      <c r="B473" s="122"/>
      <c r="C473" s="428" t="s">
        <v>1062</v>
      </c>
      <c r="D473" s="429"/>
      <c r="E473" s="267">
        <v>1663.7</v>
      </c>
      <c r="F473" s="430" t="s">
        <v>218</v>
      </c>
      <c r="G473" s="267">
        <v>28.02</v>
      </c>
      <c r="H473" s="267">
        <f t="shared" si="56"/>
        <v>26.196123476939999</v>
      </c>
      <c r="I473" s="267">
        <f t="shared" si="57"/>
        <v>43582.490628585074</v>
      </c>
      <c r="J473" s="267">
        <v>30</v>
      </c>
      <c r="K473" s="269">
        <f t="shared" si="53"/>
        <v>28.047241409999998</v>
      </c>
      <c r="L473" s="267">
        <f t="shared" si="54"/>
        <v>46662.195533817001</v>
      </c>
      <c r="M473" s="270">
        <f t="shared" si="55"/>
        <v>90244.686162402068</v>
      </c>
      <c r="N473" s="270"/>
      <c r="O473" s="1163">
        <v>0.93490804699999996</v>
      </c>
      <c r="P473" s="976"/>
      <c r="Q473" s="252"/>
      <c r="R473" s="252"/>
      <c r="S473" s="252"/>
    </row>
    <row r="474" spans="1:19" ht="18.95" customHeight="1">
      <c r="A474" s="425">
        <v>5.18</v>
      </c>
      <c r="B474" s="122"/>
      <c r="C474" s="428" t="s">
        <v>1063</v>
      </c>
      <c r="D474" s="429"/>
      <c r="E474" s="267">
        <v>1663.7</v>
      </c>
      <c r="F474" s="430" t="s">
        <v>218</v>
      </c>
      <c r="G474" s="267">
        <v>32.32</v>
      </c>
      <c r="H474" s="267">
        <f t="shared" si="56"/>
        <v>30.21622807904</v>
      </c>
      <c r="I474" s="267">
        <f t="shared" si="57"/>
        <v>50270.738655098852</v>
      </c>
      <c r="J474" s="267">
        <v>35</v>
      </c>
      <c r="K474" s="269">
        <f t="shared" si="53"/>
        <v>32.721781645</v>
      </c>
      <c r="L474" s="267">
        <f t="shared" si="54"/>
        <v>54439.228122786502</v>
      </c>
      <c r="M474" s="270">
        <f t="shared" si="55"/>
        <v>104709.96677788536</v>
      </c>
      <c r="N474" s="268"/>
      <c r="O474" s="1163">
        <v>0.93490804699999996</v>
      </c>
      <c r="P474" s="973"/>
      <c r="Q474" s="862" t="s">
        <v>1038</v>
      </c>
      <c r="R474" s="252"/>
      <c r="S474" s="252"/>
    </row>
    <row r="475" spans="1:19" ht="18.95" customHeight="1">
      <c r="A475" s="204"/>
      <c r="B475" s="407"/>
      <c r="D475" s="1257" t="s">
        <v>1123</v>
      </c>
      <c r="E475" s="267"/>
      <c r="F475" s="268"/>
      <c r="G475" s="267"/>
      <c r="H475" s="267"/>
      <c r="I475" s="267"/>
      <c r="J475" s="267"/>
      <c r="K475" s="269"/>
      <c r="L475" s="267"/>
      <c r="M475" s="288">
        <f>SUM(M449:M474)</f>
        <v>3168993.6479162658</v>
      </c>
      <c r="N475" s="268"/>
      <c r="O475" s="1163">
        <v>0.93490804699999996</v>
      </c>
      <c r="P475" s="973"/>
      <c r="Q475" s="252"/>
      <c r="R475" s="252"/>
      <c r="S475" s="252"/>
    </row>
    <row r="476" spans="1:19" ht="18.95" customHeight="1">
      <c r="A476" s="371">
        <v>6</v>
      </c>
      <c r="B476" s="122"/>
      <c r="C476" s="1349" t="s">
        <v>1124</v>
      </c>
      <c r="D476" s="1350"/>
      <c r="E476" s="267"/>
      <c r="F476" s="268"/>
      <c r="G476" s="267"/>
      <c r="H476" s="267"/>
      <c r="I476" s="267"/>
      <c r="J476" s="267"/>
      <c r="K476" s="269"/>
      <c r="L476" s="267"/>
      <c r="M476" s="267"/>
      <c r="N476" s="268"/>
      <c r="O476" s="1163">
        <v>0.93490804699999996</v>
      </c>
      <c r="P476" s="973"/>
      <c r="Q476" s="252"/>
      <c r="R476" s="252"/>
      <c r="S476" s="252"/>
    </row>
    <row r="477" spans="1:19" ht="18.95" customHeight="1">
      <c r="A477" s="204"/>
      <c r="B477" s="122"/>
      <c r="C477" s="1329" t="s">
        <v>1057</v>
      </c>
      <c r="D477" s="1330"/>
      <c r="E477" s="267"/>
      <c r="F477" s="268"/>
      <c r="G477" s="267"/>
      <c r="H477" s="267"/>
      <c r="I477" s="267"/>
      <c r="J477" s="269"/>
      <c r="K477" s="269"/>
      <c r="L477" s="267"/>
      <c r="M477" s="270"/>
      <c r="N477" s="268"/>
      <c r="O477" s="1163">
        <v>0.93490804699999996</v>
      </c>
      <c r="P477" s="973"/>
      <c r="Q477" s="252"/>
      <c r="R477" s="252"/>
      <c r="S477" s="252"/>
    </row>
    <row r="478" spans="1:19" ht="18.95" customHeight="1">
      <c r="A478" s="445">
        <v>6.1</v>
      </c>
      <c r="B478" s="122"/>
      <c r="C478" s="1335" t="s">
        <v>1114</v>
      </c>
      <c r="D478" s="1336"/>
      <c r="E478" s="267">
        <v>258.8</v>
      </c>
      <c r="F478" s="430" t="s">
        <v>348</v>
      </c>
      <c r="G478" s="267">
        <v>31.66</v>
      </c>
      <c r="H478" s="267">
        <f t="shared" si="56"/>
        <v>29.599188768019999</v>
      </c>
      <c r="I478" s="267">
        <f t="shared" si="57"/>
        <v>7660.2700531635764</v>
      </c>
      <c r="J478" s="267">
        <v>14</v>
      </c>
      <c r="K478" s="269">
        <f t="shared" si="53"/>
        <v>13.088712657999999</v>
      </c>
      <c r="L478" s="267">
        <f t="shared" si="54"/>
        <v>3387.3588358903999</v>
      </c>
      <c r="M478" s="270">
        <f t="shared" ref="M478:M492" si="58">I478+L478</f>
        <v>11047.628889053976</v>
      </c>
      <c r="N478" s="270"/>
      <c r="O478" s="1163">
        <v>0.93490804699999996</v>
      </c>
      <c r="P478" s="976"/>
      <c r="Q478" s="252"/>
      <c r="R478" s="252"/>
      <c r="S478" s="252"/>
    </row>
    <row r="479" spans="1:19" ht="18.95" customHeight="1">
      <c r="A479" s="445">
        <v>6.2</v>
      </c>
      <c r="B479" s="122"/>
      <c r="C479" s="1331" t="s">
        <v>1075</v>
      </c>
      <c r="D479" s="1332"/>
      <c r="E479" s="267">
        <v>20.7</v>
      </c>
      <c r="F479" s="430" t="s">
        <v>348</v>
      </c>
      <c r="G479" s="267">
        <v>27.45</v>
      </c>
      <c r="H479" s="267">
        <f t="shared" si="56"/>
        <v>25.663225890149999</v>
      </c>
      <c r="I479" s="267">
        <f t="shared" si="57"/>
        <v>531.22877592610496</v>
      </c>
      <c r="J479" s="267">
        <v>14</v>
      </c>
      <c r="K479" s="269">
        <f t="shared" si="53"/>
        <v>13.088712657999999</v>
      </c>
      <c r="L479" s="267">
        <f t="shared" si="54"/>
        <v>270.93635202059994</v>
      </c>
      <c r="M479" s="270">
        <f t="shared" si="58"/>
        <v>802.16512794670484</v>
      </c>
      <c r="N479" s="270"/>
      <c r="O479" s="1163">
        <v>0.93490804699999996</v>
      </c>
      <c r="P479" s="976"/>
      <c r="Q479" s="252"/>
      <c r="R479" s="252"/>
      <c r="S479" s="252"/>
    </row>
    <row r="480" spans="1:19" ht="18.95" customHeight="1">
      <c r="A480" s="445"/>
      <c r="B480" s="122"/>
      <c r="C480" s="1333" t="s">
        <v>1122</v>
      </c>
      <c r="D480" s="1334"/>
      <c r="E480" s="267"/>
      <c r="F480" s="430"/>
      <c r="G480" s="267"/>
      <c r="H480" s="267"/>
      <c r="I480" s="267"/>
      <c r="J480" s="269"/>
      <c r="K480" s="269"/>
      <c r="L480" s="267"/>
      <c r="M480" s="270"/>
      <c r="N480" s="270"/>
      <c r="O480" s="1163">
        <v>0.93490804699999996</v>
      </c>
      <c r="P480" s="976"/>
      <c r="Q480" s="252"/>
      <c r="R480" s="252"/>
      <c r="S480" s="252"/>
    </row>
    <row r="481" spans="1:19" ht="18.95" customHeight="1">
      <c r="A481" s="445">
        <v>6.3</v>
      </c>
      <c r="B481" s="122"/>
      <c r="C481" s="1335" t="s">
        <v>1089</v>
      </c>
      <c r="D481" s="1336"/>
      <c r="E481" s="267">
        <v>4</v>
      </c>
      <c r="F481" s="268" t="s">
        <v>402</v>
      </c>
      <c r="G481" s="267">
        <v>86.5</v>
      </c>
      <c r="H481" s="267">
        <f t="shared" si="56"/>
        <v>80.869546065500003</v>
      </c>
      <c r="I481" s="267">
        <f t="shared" si="57"/>
        <v>323.47818426200001</v>
      </c>
      <c r="J481" s="267">
        <v>25.95</v>
      </c>
      <c r="K481" s="269">
        <f t="shared" si="53"/>
        <v>24.260863819649998</v>
      </c>
      <c r="L481" s="267">
        <f t="shared" si="54"/>
        <v>97.043455278599993</v>
      </c>
      <c r="M481" s="270">
        <f t="shared" si="58"/>
        <v>420.52163954060001</v>
      </c>
      <c r="N481" s="270"/>
      <c r="O481" s="1163">
        <v>0.93490804699999996</v>
      </c>
      <c r="P481" s="976"/>
      <c r="Q481" s="252"/>
      <c r="R481" s="252"/>
      <c r="S481" s="252"/>
    </row>
    <row r="482" spans="1:19" ht="18.95" customHeight="1">
      <c r="A482" s="445"/>
      <c r="B482" s="122"/>
      <c r="C482" s="1329" t="s">
        <v>1052</v>
      </c>
      <c r="D482" s="1330"/>
      <c r="E482" s="267"/>
      <c r="F482" s="268"/>
      <c r="G482" s="267"/>
      <c r="H482" s="267"/>
      <c r="I482" s="267"/>
      <c r="J482" s="269"/>
      <c r="K482" s="269"/>
      <c r="L482" s="267"/>
      <c r="M482" s="270"/>
      <c r="N482" s="270"/>
      <c r="O482" s="1163">
        <v>0.93490804699999996</v>
      </c>
      <c r="P482" s="976"/>
      <c r="Q482" s="252"/>
      <c r="R482" s="252"/>
      <c r="S482" s="252"/>
    </row>
    <row r="483" spans="1:19" ht="18.95" customHeight="1">
      <c r="A483" s="445">
        <v>6.4</v>
      </c>
      <c r="B483" s="122"/>
      <c r="C483" s="1335" t="s">
        <v>1125</v>
      </c>
      <c r="D483" s="1336"/>
      <c r="E483" s="267">
        <v>54.1</v>
      </c>
      <c r="F483" s="430" t="s">
        <v>348</v>
      </c>
      <c r="G483" s="267">
        <v>24.98</v>
      </c>
      <c r="H483" s="267">
        <f t="shared" si="56"/>
        <v>23.354003014059998</v>
      </c>
      <c r="I483" s="267">
        <f t="shared" si="57"/>
        <v>1263.4515630606459</v>
      </c>
      <c r="J483" s="267">
        <v>14</v>
      </c>
      <c r="K483" s="269">
        <f t="shared" si="53"/>
        <v>13.088712657999999</v>
      </c>
      <c r="L483" s="267">
        <f t="shared" si="54"/>
        <v>708.09935479779995</v>
      </c>
      <c r="M483" s="270">
        <f t="shared" si="58"/>
        <v>1971.5509178584457</v>
      </c>
      <c r="N483" s="270"/>
      <c r="O483" s="1163">
        <v>0.93490804699999996</v>
      </c>
      <c r="P483" s="976"/>
      <c r="Q483" s="862" t="s">
        <v>1038</v>
      </c>
      <c r="R483" s="252"/>
      <c r="S483" s="252"/>
    </row>
    <row r="484" spans="1:19" ht="18.95" customHeight="1">
      <c r="A484" s="445">
        <v>6.5</v>
      </c>
      <c r="B484" s="122"/>
      <c r="C484" s="1335" t="s">
        <v>1126</v>
      </c>
      <c r="D484" s="1336"/>
      <c r="E484" s="267">
        <v>2468.8000000000002</v>
      </c>
      <c r="F484" s="430" t="s">
        <v>348</v>
      </c>
      <c r="G484" s="267">
        <v>31.66</v>
      </c>
      <c r="H484" s="267">
        <f t="shared" si="56"/>
        <v>29.599188768019999</v>
      </c>
      <c r="I484" s="267">
        <f t="shared" si="57"/>
        <v>73074.477230487784</v>
      </c>
      <c r="J484" s="267">
        <v>14</v>
      </c>
      <c r="K484" s="269">
        <f t="shared" si="53"/>
        <v>13.088712657999999</v>
      </c>
      <c r="L484" s="267">
        <f t="shared" si="54"/>
        <v>32313.4138100704</v>
      </c>
      <c r="M484" s="270">
        <f t="shared" si="58"/>
        <v>105387.89104055818</v>
      </c>
      <c r="N484" s="270"/>
      <c r="O484" s="1163">
        <v>0.93490804699999996</v>
      </c>
      <c r="P484" s="976"/>
      <c r="Q484" s="252"/>
      <c r="R484" s="252"/>
      <c r="S484" s="252"/>
    </row>
    <row r="485" spans="1:19" ht="18.95" customHeight="1">
      <c r="A485" s="445">
        <v>6.6</v>
      </c>
      <c r="B485" s="122"/>
      <c r="C485" s="1335" t="s">
        <v>1127</v>
      </c>
      <c r="D485" s="1336"/>
      <c r="E485" s="267">
        <v>106.1</v>
      </c>
      <c r="F485" s="430" t="s">
        <v>348</v>
      </c>
      <c r="G485" s="267">
        <v>27.45</v>
      </c>
      <c r="H485" s="267">
        <f t="shared" si="56"/>
        <v>25.663225890149999</v>
      </c>
      <c r="I485" s="267">
        <f t="shared" si="57"/>
        <v>2722.8682669449149</v>
      </c>
      <c r="J485" s="267">
        <v>14</v>
      </c>
      <c r="K485" s="269">
        <f t="shared" si="53"/>
        <v>13.088712657999999</v>
      </c>
      <c r="L485" s="267">
        <f t="shared" si="54"/>
        <v>1388.7124130137997</v>
      </c>
      <c r="M485" s="270">
        <f t="shared" si="58"/>
        <v>4111.5806799587144</v>
      </c>
      <c r="N485" s="268"/>
      <c r="O485" s="1163">
        <v>0.93490804699999996</v>
      </c>
      <c r="P485" s="973"/>
      <c r="Q485" s="252"/>
      <c r="R485" s="252"/>
      <c r="S485" s="252"/>
    </row>
    <row r="486" spans="1:19" ht="18.95" customHeight="1">
      <c r="A486" s="445"/>
      <c r="B486" s="122"/>
      <c r="C486" s="1329" t="s">
        <v>1122</v>
      </c>
      <c r="D486" s="1330"/>
      <c r="E486" s="267"/>
      <c r="F486" s="430"/>
      <c r="G486" s="267"/>
      <c r="H486" s="267"/>
      <c r="I486" s="267"/>
      <c r="J486" s="267"/>
      <c r="K486" s="269"/>
      <c r="L486" s="267"/>
      <c r="M486" s="270"/>
      <c r="N486" s="268"/>
      <c r="O486" s="1163">
        <v>0.93490804699999996</v>
      </c>
      <c r="P486" s="973"/>
      <c r="Q486" s="252"/>
      <c r="R486" s="252"/>
      <c r="S486" s="252"/>
    </row>
    <row r="487" spans="1:19" ht="18.95" customHeight="1">
      <c r="A487" s="445">
        <v>6.7</v>
      </c>
      <c r="B487" s="122"/>
      <c r="C487" s="1335" t="s">
        <v>1089</v>
      </c>
      <c r="D487" s="1336"/>
      <c r="E487" s="267">
        <v>44</v>
      </c>
      <c r="F487" s="268" t="s">
        <v>402</v>
      </c>
      <c r="G487" s="267">
        <v>86.5</v>
      </c>
      <c r="H487" s="267">
        <f t="shared" si="56"/>
        <v>80.869546065500003</v>
      </c>
      <c r="I487" s="267">
        <f t="shared" si="57"/>
        <v>3558.2600268820001</v>
      </c>
      <c r="J487" s="267">
        <v>25.95</v>
      </c>
      <c r="K487" s="269">
        <f t="shared" si="53"/>
        <v>24.260863819649998</v>
      </c>
      <c r="L487" s="267">
        <f t="shared" si="54"/>
        <v>1067.4780080645999</v>
      </c>
      <c r="M487" s="270">
        <f t="shared" si="58"/>
        <v>4625.7380349466002</v>
      </c>
      <c r="N487" s="268"/>
      <c r="O487" s="1163">
        <v>0.93490804699999996</v>
      </c>
      <c r="P487" s="973"/>
      <c r="Q487" s="252"/>
      <c r="R487" s="252"/>
      <c r="S487" s="252"/>
    </row>
    <row r="488" spans="1:19" ht="18.95" customHeight="1">
      <c r="A488" s="445"/>
      <c r="B488" s="122"/>
      <c r="C488" s="1329" t="s">
        <v>1054</v>
      </c>
      <c r="D488" s="1330"/>
      <c r="E488" s="267"/>
      <c r="F488" s="268"/>
      <c r="G488" s="267"/>
      <c r="H488" s="267"/>
      <c r="I488" s="267"/>
      <c r="J488" s="269"/>
      <c r="K488" s="269"/>
      <c r="L488" s="267"/>
      <c r="M488" s="270"/>
      <c r="N488" s="268"/>
      <c r="O488" s="1163">
        <v>0.93490804699999996</v>
      </c>
      <c r="P488" s="973"/>
      <c r="Q488" s="252"/>
      <c r="R488" s="252"/>
      <c r="S488" s="252"/>
    </row>
    <row r="489" spans="1:19" ht="18.95" customHeight="1">
      <c r="A489" s="445">
        <v>6.8</v>
      </c>
      <c r="B489" s="122"/>
      <c r="C489" s="1335" t="s">
        <v>1128</v>
      </c>
      <c r="D489" s="1336"/>
      <c r="E489" s="267">
        <v>23.1</v>
      </c>
      <c r="F489" s="430" t="s">
        <v>218</v>
      </c>
      <c r="G489" s="267">
        <v>305.73</v>
      </c>
      <c r="H489" s="267">
        <f t="shared" si="56"/>
        <v>285.82943720931002</v>
      </c>
      <c r="I489" s="267">
        <f t="shared" si="57"/>
        <v>6602.6599995350616</v>
      </c>
      <c r="J489" s="267">
        <v>90</v>
      </c>
      <c r="K489" s="269">
        <f t="shared" si="53"/>
        <v>84.141724229999994</v>
      </c>
      <c r="L489" s="267">
        <f t="shared" si="54"/>
        <v>1943.673829713</v>
      </c>
      <c r="M489" s="270">
        <f t="shared" si="58"/>
        <v>8546.3338292480621</v>
      </c>
      <c r="N489" s="268"/>
      <c r="O489" s="1163">
        <v>0.93490804699999996</v>
      </c>
      <c r="P489" s="973"/>
      <c r="Q489" s="252"/>
      <c r="R489" s="252"/>
      <c r="S489" s="252"/>
    </row>
    <row r="490" spans="1:19" ht="18.95" customHeight="1">
      <c r="A490" s="445"/>
      <c r="B490" s="122"/>
      <c r="C490" s="1329" t="s">
        <v>1061</v>
      </c>
      <c r="D490" s="1330"/>
      <c r="E490" s="267"/>
      <c r="F490" s="430"/>
      <c r="G490" s="267"/>
      <c r="H490" s="267"/>
      <c r="I490" s="267"/>
      <c r="J490" s="267"/>
      <c r="K490" s="269"/>
      <c r="L490" s="267"/>
      <c r="M490" s="270"/>
      <c r="N490" s="268"/>
      <c r="O490" s="1163">
        <v>0.93490804699999996</v>
      </c>
      <c r="P490" s="973"/>
      <c r="Q490" s="252"/>
      <c r="R490" s="252"/>
      <c r="S490" s="252"/>
    </row>
    <row r="491" spans="1:19" ht="18.95" customHeight="1">
      <c r="A491" s="442">
        <v>6.9</v>
      </c>
      <c r="B491" s="122"/>
      <c r="C491" s="428" t="s">
        <v>1062</v>
      </c>
      <c r="D491" s="429"/>
      <c r="E491" s="267">
        <v>72.7</v>
      </c>
      <c r="F491" s="430" t="s">
        <v>218</v>
      </c>
      <c r="G491" s="267">
        <v>28.02</v>
      </c>
      <c r="H491" s="267">
        <f t="shared" si="56"/>
        <v>26.196123476939999</v>
      </c>
      <c r="I491" s="267">
        <f t="shared" si="57"/>
        <v>1904.4581767735381</v>
      </c>
      <c r="J491" s="267">
        <v>30</v>
      </c>
      <c r="K491" s="269">
        <f t="shared" si="53"/>
        <v>28.047241409999998</v>
      </c>
      <c r="L491" s="267">
        <f t="shared" si="54"/>
        <v>2039.034450507</v>
      </c>
      <c r="M491" s="270">
        <f t="shared" si="58"/>
        <v>3943.4926272805378</v>
      </c>
      <c r="N491" s="268"/>
      <c r="O491" s="1163">
        <v>0.93490804699999996</v>
      </c>
      <c r="P491" s="973"/>
      <c r="Q491" s="252"/>
      <c r="R491" s="252"/>
      <c r="S491" s="252"/>
    </row>
    <row r="492" spans="1:19" ht="18.95" customHeight="1">
      <c r="A492" s="425">
        <v>6.1</v>
      </c>
      <c r="B492" s="122"/>
      <c r="C492" s="428" t="s">
        <v>1063</v>
      </c>
      <c r="D492" s="429"/>
      <c r="E492" s="267">
        <v>72.7</v>
      </c>
      <c r="F492" s="430" t="s">
        <v>218</v>
      </c>
      <c r="G492" s="267">
        <v>32.32</v>
      </c>
      <c r="H492" s="267">
        <f t="shared" si="56"/>
        <v>30.21622807904</v>
      </c>
      <c r="I492" s="267">
        <f t="shared" si="57"/>
        <v>2196.719781346208</v>
      </c>
      <c r="J492" s="267">
        <v>35</v>
      </c>
      <c r="K492" s="269">
        <f t="shared" si="53"/>
        <v>32.721781645</v>
      </c>
      <c r="L492" s="267">
        <f t="shared" si="54"/>
        <v>2378.8735255915003</v>
      </c>
      <c r="M492" s="270">
        <f t="shared" si="58"/>
        <v>4575.5933069377079</v>
      </c>
      <c r="N492" s="268"/>
      <c r="O492" s="1163">
        <v>0.93490804699999996</v>
      </c>
      <c r="P492" s="973"/>
      <c r="Q492" s="862" t="s">
        <v>1038</v>
      </c>
      <c r="R492" s="252"/>
      <c r="S492" s="252"/>
    </row>
    <row r="493" spans="1:19" ht="18.95" customHeight="1">
      <c r="A493" s="425"/>
      <c r="B493" s="122"/>
      <c r="C493" s="428"/>
      <c r="D493" s="429"/>
      <c r="E493" s="267"/>
      <c r="F493" s="427"/>
      <c r="G493" s="267"/>
      <c r="H493" s="267"/>
      <c r="I493" s="267"/>
      <c r="J493" s="267"/>
      <c r="K493" s="269"/>
      <c r="L493" s="267"/>
      <c r="M493" s="267"/>
      <c r="N493" s="268"/>
      <c r="O493" s="1163">
        <v>0.93490804699999996</v>
      </c>
      <c r="P493" s="973"/>
      <c r="Q493" s="252"/>
      <c r="R493" s="252"/>
      <c r="S493" s="252"/>
    </row>
    <row r="494" spans="1:19" ht="18.95" customHeight="1">
      <c r="A494" s="204"/>
      <c r="B494" s="407"/>
      <c r="D494" s="1257" t="s">
        <v>1129</v>
      </c>
      <c r="E494" s="267"/>
      <c r="F494" s="268"/>
      <c r="G494" s="267"/>
      <c r="H494" s="267"/>
      <c r="I494" s="267"/>
      <c r="J494" s="267"/>
      <c r="K494" s="269"/>
      <c r="L494" s="267"/>
      <c r="M494" s="288">
        <f>SUM(M477:M492)</f>
        <v>145432.49609332954</v>
      </c>
      <c r="N494" s="268"/>
      <c r="O494" s="1163">
        <v>0.93490804699999996</v>
      </c>
      <c r="P494" s="973"/>
      <c r="Q494" s="252"/>
      <c r="R494" s="252"/>
      <c r="S494" s="252"/>
    </row>
    <row r="495" spans="1:19" ht="18.95" customHeight="1">
      <c r="A495" s="122"/>
      <c r="B495" s="122"/>
      <c r="C495" s="448"/>
      <c r="D495" s="443"/>
      <c r="E495" s="267"/>
      <c r="F495" s="268"/>
      <c r="G495" s="267"/>
      <c r="H495" s="267"/>
      <c r="I495" s="267"/>
      <c r="J495" s="267"/>
      <c r="K495" s="269"/>
      <c r="L495" s="267"/>
      <c r="M495" s="267"/>
      <c r="N495" s="268"/>
      <c r="O495" s="1163">
        <v>0.93490804699999996</v>
      </c>
      <c r="P495" s="973"/>
      <c r="Q495" s="252"/>
      <c r="R495" s="252"/>
      <c r="S495" s="252"/>
    </row>
    <row r="496" spans="1:19" ht="18.95" customHeight="1">
      <c r="A496" s="425">
        <v>7</v>
      </c>
      <c r="B496" s="122"/>
      <c r="C496" s="437" t="s">
        <v>1130</v>
      </c>
      <c r="D496" s="429"/>
      <c r="E496" s="267"/>
      <c r="F496" s="430"/>
      <c r="G496" s="267"/>
      <c r="H496" s="267"/>
      <c r="I496" s="267"/>
      <c r="J496" s="267"/>
      <c r="K496" s="269"/>
      <c r="L496" s="267"/>
      <c r="M496" s="270"/>
      <c r="N496" s="268"/>
      <c r="O496" s="1163">
        <v>0.93490804699999996</v>
      </c>
      <c r="P496" s="973"/>
      <c r="Q496" s="862"/>
      <c r="R496" s="252"/>
      <c r="S496" s="252"/>
    </row>
    <row r="497" spans="1:19" ht="18.95" customHeight="1">
      <c r="A497" s="425"/>
      <c r="B497" s="122"/>
      <c r="C497" s="437" t="s">
        <v>68</v>
      </c>
      <c r="D497" s="429"/>
      <c r="E497" s="267"/>
      <c r="F497" s="430"/>
      <c r="G497" s="267"/>
      <c r="H497" s="267"/>
      <c r="I497" s="267"/>
      <c r="J497" s="267"/>
      <c r="K497" s="269"/>
      <c r="L497" s="267"/>
      <c r="M497" s="270"/>
      <c r="N497" s="268"/>
      <c r="O497" s="1163">
        <v>0.93490804699999996</v>
      </c>
      <c r="P497" s="973"/>
      <c r="Q497" s="862"/>
      <c r="R497" s="252"/>
      <c r="S497" s="252"/>
    </row>
    <row r="498" spans="1:19" ht="18.95" customHeight="1">
      <c r="A498" s="425"/>
      <c r="B498" s="122"/>
      <c r="C498" s="428" t="s">
        <v>1052</v>
      </c>
      <c r="D498" s="429"/>
      <c r="E498" s="267"/>
      <c r="F498" s="430"/>
      <c r="G498" s="267"/>
      <c r="H498" s="267"/>
      <c r="I498" s="267"/>
      <c r="J498" s="267"/>
      <c r="K498" s="269"/>
      <c r="L498" s="267"/>
      <c r="M498" s="270"/>
      <c r="N498" s="268"/>
      <c r="O498" s="1163">
        <v>0.93490804699999996</v>
      </c>
      <c r="P498" s="973"/>
      <c r="Q498" s="862"/>
      <c r="R498" s="252"/>
      <c r="S498" s="252"/>
    </row>
    <row r="499" spans="1:19" ht="18.95" customHeight="1">
      <c r="A499" s="425">
        <v>7.1</v>
      </c>
      <c r="B499" s="122"/>
      <c r="C499" s="428" t="s">
        <v>1116</v>
      </c>
      <c r="D499" s="429"/>
      <c r="E499" s="267">
        <v>1144</v>
      </c>
      <c r="F499" s="430" t="s">
        <v>348</v>
      </c>
      <c r="G499" s="267">
        <v>30.7</v>
      </c>
      <c r="H499" s="267">
        <f t="shared" si="56"/>
        <v>28.701677042899998</v>
      </c>
      <c r="I499" s="267">
        <f t="shared" si="57"/>
        <v>32834.718537077599</v>
      </c>
      <c r="J499" s="267">
        <v>14</v>
      </c>
      <c r="K499" s="269">
        <f t="shared" ref="K499:K548" si="59">J499*O499</f>
        <v>13.088712657999999</v>
      </c>
      <c r="L499" s="267">
        <f t="shared" ref="L499:L548" si="60">E499*K499</f>
        <v>14973.487280751999</v>
      </c>
      <c r="M499" s="270">
        <f t="shared" ref="M499:M522" si="61">I499+L499</f>
        <v>47808.205817829599</v>
      </c>
      <c r="N499" s="268"/>
      <c r="O499" s="1163">
        <v>0.93490804699999996</v>
      </c>
      <c r="P499" s="973"/>
      <c r="Q499" s="862"/>
      <c r="R499" s="252"/>
      <c r="S499" s="252"/>
    </row>
    <row r="500" spans="1:19" ht="18.95" customHeight="1">
      <c r="A500" s="425">
        <v>7.2</v>
      </c>
      <c r="B500" s="122"/>
      <c r="C500" s="428" t="s">
        <v>1131</v>
      </c>
      <c r="D500" s="429"/>
      <c r="E500" s="267">
        <v>2579.5</v>
      </c>
      <c r="F500" s="430" t="s">
        <v>348</v>
      </c>
      <c r="G500" s="267">
        <v>27.45</v>
      </c>
      <c r="H500" s="267">
        <f t="shared" si="56"/>
        <v>25.663225890149999</v>
      </c>
      <c r="I500" s="267">
        <f t="shared" si="57"/>
        <v>66198.291183641923</v>
      </c>
      <c r="J500" s="267">
        <v>14</v>
      </c>
      <c r="K500" s="269">
        <f t="shared" si="59"/>
        <v>13.088712657999999</v>
      </c>
      <c r="L500" s="267">
        <f t="shared" si="60"/>
        <v>33762.334301310999</v>
      </c>
      <c r="M500" s="270">
        <f t="shared" si="61"/>
        <v>99960.625484952921</v>
      </c>
      <c r="N500" s="268"/>
      <c r="O500" s="1163">
        <v>0.93490804699999996</v>
      </c>
      <c r="P500" s="973"/>
      <c r="Q500" s="862"/>
      <c r="R500" s="252"/>
      <c r="S500" s="252"/>
    </row>
    <row r="501" spans="1:19" ht="18.95" customHeight="1">
      <c r="A501" s="425"/>
      <c r="B501" s="122"/>
      <c r="C501" s="428" t="s">
        <v>77</v>
      </c>
      <c r="D501" s="429"/>
      <c r="E501" s="267"/>
      <c r="F501" s="430"/>
      <c r="G501" s="267"/>
      <c r="H501" s="267"/>
      <c r="I501" s="267"/>
      <c r="J501" s="267"/>
      <c r="K501" s="269"/>
      <c r="L501" s="267"/>
      <c r="M501" s="270"/>
      <c r="N501" s="268"/>
      <c r="O501" s="1163">
        <v>0.93490804699999996</v>
      </c>
      <c r="P501" s="973"/>
      <c r="Q501" s="862"/>
      <c r="R501" s="252"/>
      <c r="S501" s="252"/>
    </row>
    <row r="502" spans="1:19" ht="18.95" customHeight="1">
      <c r="A502" s="425">
        <v>7.3</v>
      </c>
      <c r="B502" s="122"/>
      <c r="C502" s="428" t="s">
        <v>1121</v>
      </c>
      <c r="D502" s="429"/>
      <c r="E502" s="267">
        <v>57</v>
      </c>
      <c r="F502" s="430" t="s">
        <v>348</v>
      </c>
      <c r="G502" s="267">
        <v>24.97</v>
      </c>
      <c r="H502" s="267">
        <f t="shared" si="56"/>
        <v>23.344653933589999</v>
      </c>
      <c r="I502" s="267">
        <f t="shared" si="57"/>
        <v>1330.64527421463</v>
      </c>
      <c r="J502" s="267">
        <v>14</v>
      </c>
      <c r="K502" s="269">
        <f t="shared" si="59"/>
        <v>13.088712657999999</v>
      </c>
      <c r="L502" s="267">
        <f t="shared" si="60"/>
        <v>746.05662150599994</v>
      </c>
      <c r="M502" s="270">
        <f t="shared" si="61"/>
        <v>2076.7018957206301</v>
      </c>
      <c r="N502" s="268"/>
      <c r="O502" s="1163">
        <v>0.93490804699999996</v>
      </c>
      <c r="P502" s="973"/>
      <c r="Q502" s="862"/>
      <c r="R502" s="252"/>
      <c r="S502" s="252"/>
    </row>
    <row r="503" spans="1:19" ht="18.95" customHeight="1">
      <c r="A503" s="425"/>
      <c r="B503" s="122"/>
      <c r="C503" s="428" t="s">
        <v>1122</v>
      </c>
      <c r="D503" s="429"/>
      <c r="E503" s="267"/>
      <c r="F503" s="430"/>
      <c r="G503" s="267"/>
      <c r="H503" s="267"/>
      <c r="I503" s="267"/>
      <c r="J503" s="267"/>
      <c r="K503" s="269"/>
      <c r="L503" s="267"/>
      <c r="M503" s="270"/>
      <c r="N503" s="268"/>
      <c r="O503" s="1163">
        <v>0.93490804699999996</v>
      </c>
      <c r="P503" s="973"/>
      <c r="Q503" s="862"/>
      <c r="R503" s="252"/>
      <c r="S503" s="252"/>
    </row>
    <row r="504" spans="1:19" ht="18.95" customHeight="1">
      <c r="A504" s="425">
        <v>7.4</v>
      </c>
      <c r="B504" s="122"/>
      <c r="C504" s="428" t="s">
        <v>1089</v>
      </c>
      <c r="D504" s="429"/>
      <c r="E504" s="267">
        <v>36</v>
      </c>
      <c r="F504" s="430" t="s">
        <v>402</v>
      </c>
      <c r="G504" s="267">
        <v>86.5</v>
      </c>
      <c r="H504" s="267">
        <f t="shared" si="56"/>
        <v>80.869546065500003</v>
      </c>
      <c r="I504" s="267">
        <f t="shared" si="57"/>
        <v>2911.3036583580001</v>
      </c>
      <c r="J504" s="267">
        <v>25.95</v>
      </c>
      <c r="K504" s="269">
        <f t="shared" si="59"/>
        <v>24.260863819649998</v>
      </c>
      <c r="L504" s="267">
        <f t="shared" si="60"/>
        <v>873.39109750739999</v>
      </c>
      <c r="M504" s="270">
        <f t="shared" si="61"/>
        <v>3784.6947558654001</v>
      </c>
      <c r="N504" s="268"/>
      <c r="O504" s="1163">
        <v>0.93490804699999996</v>
      </c>
      <c r="P504" s="973"/>
      <c r="Q504" s="862"/>
      <c r="R504" s="252"/>
      <c r="S504" s="252"/>
    </row>
    <row r="505" spans="1:19" ht="18.95" customHeight="1">
      <c r="A505" s="425"/>
      <c r="B505" s="122"/>
      <c r="C505" s="428" t="s">
        <v>1054</v>
      </c>
      <c r="D505" s="429"/>
      <c r="E505" s="267"/>
      <c r="F505" s="430"/>
      <c r="G505" s="267"/>
      <c r="H505" s="267"/>
      <c r="I505" s="267"/>
      <c r="J505" s="267"/>
      <c r="K505" s="269"/>
      <c r="L505" s="267"/>
      <c r="M505" s="270"/>
      <c r="N505" s="268"/>
      <c r="O505" s="1163">
        <v>0.93490804699999996</v>
      </c>
      <c r="P505" s="973"/>
      <c r="Q505" s="862"/>
      <c r="R505" s="252"/>
      <c r="S505" s="252"/>
    </row>
    <row r="506" spans="1:19" ht="18.95" customHeight="1">
      <c r="A506" s="425">
        <v>7.5</v>
      </c>
      <c r="B506" s="122"/>
      <c r="C506" s="428" t="s">
        <v>1084</v>
      </c>
      <c r="D506" s="429"/>
      <c r="E506" s="267">
        <v>1253.8</v>
      </c>
      <c r="F506" s="430" t="s">
        <v>348</v>
      </c>
      <c r="G506" s="267">
        <v>23</v>
      </c>
      <c r="H506" s="267">
        <f t="shared" si="56"/>
        <v>21.502885080999999</v>
      </c>
      <c r="I506" s="267">
        <f t="shared" si="57"/>
        <v>26960.317314557797</v>
      </c>
      <c r="J506" s="267">
        <v>14</v>
      </c>
      <c r="K506" s="269">
        <f t="shared" si="59"/>
        <v>13.088712657999999</v>
      </c>
      <c r="L506" s="267">
        <f t="shared" si="60"/>
        <v>16410.627930600396</v>
      </c>
      <c r="M506" s="270">
        <f t="shared" si="61"/>
        <v>43370.945245158189</v>
      </c>
      <c r="N506" s="268"/>
      <c r="O506" s="1163">
        <v>0.93490804699999996</v>
      </c>
      <c r="P506" s="973"/>
      <c r="Q506" s="862" t="s">
        <v>1038</v>
      </c>
      <c r="R506" s="252"/>
      <c r="S506" s="252"/>
    </row>
    <row r="507" spans="1:19" ht="18.95" customHeight="1">
      <c r="A507" s="425">
        <v>7.6</v>
      </c>
      <c r="B507" s="122"/>
      <c r="C507" s="428" t="s">
        <v>1081</v>
      </c>
      <c r="D507" s="429"/>
      <c r="E507" s="267">
        <v>1.6</v>
      </c>
      <c r="F507" s="430" t="s">
        <v>1032</v>
      </c>
      <c r="G507" s="267">
        <v>2507</v>
      </c>
      <c r="H507" s="267">
        <f t="shared" si="56"/>
        <v>2343.8144738289998</v>
      </c>
      <c r="I507" s="267">
        <f t="shared" si="57"/>
        <v>3750.1031581263996</v>
      </c>
      <c r="J507" s="267">
        <v>519</v>
      </c>
      <c r="K507" s="269">
        <f t="shared" si="59"/>
        <v>485.21727639299996</v>
      </c>
      <c r="L507" s="267">
        <f t="shared" si="60"/>
        <v>776.34764222879994</v>
      </c>
      <c r="M507" s="270">
        <f t="shared" si="61"/>
        <v>4526.4508003552</v>
      </c>
      <c r="N507" s="268"/>
      <c r="O507" s="1163">
        <v>0.93490804699999996</v>
      </c>
      <c r="P507" s="973"/>
      <c r="Q507" s="862"/>
      <c r="R507" s="252"/>
      <c r="S507" s="252"/>
    </row>
    <row r="508" spans="1:19" ht="18.95" customHeight="1">
      <c r="A508" s="425"/>
      <c r="B508" s="122"/>
      <c r="C508" s="428" t="s">
        <v>1036</v>
      </c>
      <c r="D508" s="429"/>
      <c r="E508" s="267"/>
      <c r="F508" s="430"/>
      <c r="G508" s="267"/>
      <c r="H508" s="267"/>
      <c r="I508" s="267"/>
      <c r="J508" s="267"/>
      <c r="K508" s="269"/>
      <c r="L508" s="267"/>
      <c r="M508" s="270"/>
      <c r="N508" s="268"/>
      <c r="O508" s="1163">
        <v>0.93490804699999996</v>
      </c>
      <c r="P508" s="973"/>
      <c r="Q508" s="862"/>
      <c r="R508" s="252"/>
      <c r="S508" s="252"/>
    </row>
    <row r="509" spans="1:19" ht="18.95" customHeight="1">
      <c r="A509" s="425">
        <v>7.7</v>
      </c>
      <c r="B509" s="122"/>
      <c r="C509" s="428" t="s">
        <v>1037</v>
      </c>
      <c r="D509" s="429"/>
      <c r="E509" s="267">
        <v>155.4</v>
      </c>
      <c r="F509" s="430" t="s">
        <v>348</v>
      </c>
      <c r="G509" s="267">
        <v>19.600000000000001</v>
      </c>
      <c r="H509" s="267">
        <f t="shared" si="56"/>
        <v>18.324197721200001</v>
      </c>
      <c r="I509" s="267">
        <f t="shared" si="57"/>
        <v>2847.5803258744804</v>
      </c>
      <c r="J509" s="267">
        <v>4.4000000000000004</v>
      </c>
      <c r="K509" s="269">
        <f t="shared" si="59"/>
        <v>4.1135954068</v>
      </c>
      <c r="L509" s="267">
        <f t="shared" si="60"/>
        <v>639.25272621672002</v>
      </c>
      <c r="M509" s="270">
        <f t="shared" si="61"/>
        <v>3486.8330520912004</v>
      </c>
      <c r="N509" s="268"/>
      <c r="O509" s="1163">
        <v>0.93490804699999996</v>
      </c>
      <c r="P509" s="973"/>
      <c r="Q509" s="862" t="s">
        <v>1038</v>
      </c>
      <c r="R509" s="252"/>
      <c r="S509" s="252"/>
    </row>
    <row r="510" spans="1:19" ht="18.95" customHeight="1">
      <c r="A510" s="425">
        <v>7.8</v>
      </c>
      <c r="B510" s="122"/>
      <c r="C510" s="428" t="s">
        <v>1041</v>
      </c>
      <c r="D510" s="429"/>
      <c r="E510" s="267">
        <v>2.9</v>
      </c>
      <c r="F510" s="430" t="s">
        <v>348</v>
      </c>
      <c r="G510" s="267">
        <v>27.1</v>
      </c>
      <c r="H510" s="267">
        <f t="shared" si="56"/>
        <v>25.3360080737</v>
      </c>
      <c r="I510" s="267">
        <f t="shared" si="57"/>
        <v>73.474423413729994</v>
      </c>
      <c r="J510" s="267">
        <v>0</v>
      </c>
      <c r="K510" s="269">
        <f t="shared" si="59"/>
        <v>0</v>
      </c>
      <c r="L510" s="267">
        <f t="shared" si="60"/>
        <v>0</v>
      </c>
      <c r="M510" s="270">
        <f t="shared" si="61"/>
        <v>73.474423413729994</v>
      </c>
      <c r="N510" s="268"/>
      <c r="O510" s="1163">
        <v>0.93490804699999996</v>
      </c>
      <c r="P510" s="973"/>
      <c r="Q510" s="862" t="s">
        <v>1038</v>
      </c>
      <c r="R510" s="252"/>
      <c r="S510" s="252"/>
    </row>
    <row r="511" spans="1:19" ht="18.95" customHeight="1">
      <c r="A511" s="425"/>
      <c r="B511" s="122"/>
      <c r="C511" s="428" t="s">
        <v>1061</v>
      </c>
      <c r="D511" s="429"/>
      <c r="E511" s="267"/>
      <c r="F511" s="430"/>
      <c r="G511" s="267"/>
      <c r="H511" s="267"/>
      <c r="I511" s="267"/>
      <c r="J511" s="267"/>
      <c r="K511" s="269"/>
      <c r="L511" s="267"/>
      <c r="M511" s="270"/>
      <c r="N511" s="268"/>
      <c r="O511" s="1163">
        <v>0.93490804699999996</v>
      </c>
      <c r="P511" s="973"/>
      <c r="Q511" s="862"/>
      <c r="R511" s="252"/>
      <c r="S511" s="252"/>
    </row>
    <row r="512" spans="1:19" ht="18.95" customHeight="1">
      <c r="A512" s="425">
        <v>7.9</v>
      </c>
      <c r="B512" s="122"/>
      <c r="C512" s="428" t="s">
        <v>1062</v>
      </c>
      <c r="D512" s="429"/>
      <c r="E512" s="267">
        <v>125.9</v>
      </c>
      <c r="F512" s="430" t="s">
        <v>218</v>
      </c>
      <c r="G512" s="267">
        <v>28.02</v>
      </c>
      <c r="H512" s="267">
        <f t="shared" si="56"/>
        <v>26.196123476939999</v>
      </c>
      <c r="I512" s="267">
        <f t="shared" si="57"/>
        <v>3298.0919457467462</v>
      </c>
      <c r="J512" s="267">
        <v>30</v>
      </c>
      <c r="K512" s="269">
        <f t="shared" si="59"/>
        <v>28.047241409999998</v>
      </c>
      <c r="L512" s="267">
        <f t="shared" si="60"/>
        <v>3531.1476935189999</v>
      </c>
      <c r="M512" s="270">
        <f t="shared" si="61"/>
        <v>6829.2396392657465</v>
      </c>
      <c r="N512" s="268"/>
      <c r="O512" s="1163">
        <v>0.93490804699999996</v>
      </c>
      <c r="P512" s="973"/>
      <c r="Q512" s="862"/>
      <c r="R512" s="252"/>
      <c r="S512" s="252"/>
    </row>
    <row r="513" spans="1:19" ht="18.95" customHeight="1">
      <c r="A513" s="425">
        <v>7.1</v>
      </c>
      <c r="B513" s="122"/>
      <c r="C513" s="428" t="s">
        <v>1063</v>
      </c>
      <c r="D513" s="429"/>
      <c r="E513" s="267">
        <v>125.9</v>
      </c>
      <c r="F513" s="430" t="s">
        <v>218</v>
      </c>
      <c r="G513" s="267">
        <v>32.32</v>
      </c>
      <c r="H513" s="267">
        <f t="shared" si="56"/>
        <v>30.21622807904</v>
      </c>
      <c r="I513" s="267">
        <f t="shared" si="57"/>
        <v>3804.2231151511364</v>
      </c>
      <c r="J513" s="267">
        <v>35</v>
      </c>
      <c r="K513" s="269">
        <f t="shared" si="59"/>
        <v>32.721781645</v>
      </c>
      <c r="L513" s="267">
        <f t="shared" si="60"/>
        <v>4119.6723091055001</v>
      </c>
      <c r="M513" s="270">
        <f t="shared" si="61"/>
        <v>7923.895424256636</v>
      </c>
      <c r="N513" s="268"/>
      <c r="O513" s="1163">
        <v>0.93490804699999996</v>
      </c>
      <c r="P513" s="973"/>
      <c r="Q513" s="862" t="s">
        <v>1038</v>
      </c>
      <c r="R513" s="252"/>
      <c r="S513" s="252"/>
    </row>
    <row r="514" spans="1:19" ht="18.95" customHeight="1">
      <c r="A514" s="425"/>
      <c r="B514" s="122"/>
      <c r="C514" s="428"/>
      <c r="D514" s="429"/>
      <c r="E514" s="267"/>
      <c r="F514" s="430"/>
      <c r="G514" s="267"/>
      <c r="H514" s="267"/>
      <c r="I514" s="267"/>
      <c r="J514" s="267"/>
      <c r="K514" s="269"/>
      <c r="L514" s="267"/>
      <c r="M514" s="270"/>
      <c r="N514" s="268"/>
      <c r="O514" s="1163">
        <v>0.93490804699999996</v>
      </c>
      <c r="P514" s="973"/>
      <c r="Q514" s="862"/>
      <c r="R514" s="252"/>
      <c r="S514" s="252"/>
    </row>
    <row r="515" spans="1:19" ht="18.95" customHeight="1">
      <c r="A515" s="425"/>
      <c r="B515" s="122"/>
      <c r="C515" s="437" t="s">
        <v>69</v>
      </c>
      <c r="D515" s="429"/>
      <c r="E515" s="267"/>
      <c r="F515" s="430"/>
      <c r="G515" s="267"/>
      <c r="H515" s="267"/>
      <c r="I515" s="267"/>
      <c r="J515" s="267"/>
      <c r="K515" s="269"/>
      <c r="L515" s="267"/>
      <c r="M515" s="270"/>
      <c r="N515" s="268"/>
      <c r="O515" s="1163">
        <v>0.93490804699999996</v>
      </c>
      <c r="P515" s="973"/>
      <c r="Q515" s="862"/>
      <c r="R515" s="252"/>
      <c r="S515" s="252"/>
    </row>
    <row r="516" spans="1:19" ht="18.95" customHeight="1">
      <c r="A516" s="425"/>
      <c r="B516" s="122"/>
      <c r="C516" s="428" t="s">
        <v>1052</v>
      </c>
      <c r="D516" s="429"/>
      <c r="E516" s="267"/>
      <c r="F516" s="430"/>
      <c r="G516" s="267"/>
      <c r="H516" s="267"/>
      <c r="I516" s="267"/>
      <c r="J516" s="267"/>
      <c r="K516" s="269"/>
      <c r="L516" s="267"/>
      <c r="M516" s="270"/>
      <c r="N516" s="268"/>
      <c r="O516" s="1163">
        <v>0.93490804699999996</v>
      </c>
      <c r="P516" s="973"/>
      <c r="Q516" s="862"/>
      <c r="R516" s="252"/>
      <c r="S516" s="252"/>
    </row>
    <row r="517" spans="1:19" ht="18.95" customHeight="1">
      <c r="A517" s="425">
        <v>7.11</v>
      </c>
      <c r="B517" s="122"/>
      <c r="C517" s="428" t="s">
        <v>1116</v>
      </c>
      <c r="D517" s="429"/>
      <c r="E517" s="267">
        <v>466.4</v>
      </c>
      <c r="F517" s="430" t="s">
        <v>348</v>
      </c>
      <c r="G517" s="267">
        <v>30.7</v>
      </c>
      <c r="H517" s="267">
        <f t="shared" si="56"/>
        <v>28.701677042899998</v>
      </c>
      <c r="I517" s="267">
        <f t="shared" si="57"/>
        <v>13386.462172808559</v>
      </c>
      <c r="J517" s="267">
        <v>14</v>
      </c>
      <c r="K517" s="269">
        <f t="shared" si="59"/>
        <v>13.088712657999999</v>
      </c>
      <c r="L517" s="267">
        <f t="shared" si="60"/>
        <v>6104.5755836911994</v>
      </c>
      <c r="M517" s="270">
        <f t="shared" si="61"/>
        <v>19491.037756499758</v>
      </c>
      <c r="N517" s="268"/>
      <c r="O517" s="1163">
        <v>0.93490804699999996</v>
      </c>
      <c r="P517" s="973"/>
      <c r="Q517" s="862"/>
      <c r="R517" s="252"/>
      <c r="S517" s="252"/>
    </row>
    <row r="518" spans="1:19" ht="18.95" customHeight="1">
      <c r="A518" s="425">
        <v>7.12</v>
      </c>
      <c r="B518" s="122"/>
      <c r="C518" s="428" t="s">
        <v>1131</v>
      </c>
      <c r="D518" s="429"/>
      <c r="E518" s="267">
        <v>1798.5</v>
      </c>
      <c r="F518" s="430" t="s">
        <v>348</v>
      </c>
      <c r="G518" s="267">
        <v>27.45</v>
      </c>
      <c r="H518" s="267">
        <f t="shared" si="56"/>
        <v>25.663225890149999</v>
      </c>
      <c r="I518" s="267">
        <f t="shared" si="57"/>
        <v>46155.311763434773</v>
      </c>
      <c r="J518" s="267">
        <v>14</v>
      </c>
      <c r="K518" s="269">
        <f t="shared" si="59"/>
        <v>13.088712657999999</v>
      </c>
      <c r="L518" s="267">
        <f t="shared" si="60"/>
        <v>23540.049715412999</v>
      </c>
      <c r="M518" s="270">
        <f t="shared" si="61"/>
        <v>69695.361478847772</v>
      </c>
      <c r="N518" s="268"/>
      <c r="O518" s="1163">
        <v>0.93490804699999996</v>
      </c>
      <c r="P518" s="973"/>
      <c r="Q518" s="862"/>
      <c r="R518" s="252"/>
      <c r="S518" s="252"/>
    </row>
    <row r="519" spans="1:19" ht="18.95" customHeight="1">
      <c r="A519" s="425"/>
      <c r="B519" s="122"/>
      <c r="C519" s="428" t="s">
        <v>77</v>
      </c>
      <c r="D519" s="429"/>
      <c r="E519" s="267"/>
      <c r="F519" s="430"/>
      <c r="G519" s="267"/>
      <c r="H519" s="267"/>
      <c r="I519" s="267"/>
      <c r="J519" s="267"/>
      <c r="K519" s="269"/>
      <c r="L519" s="267"/>
      <c r="M519" s="270"/>
      <c r="N519" s="268"/>
      <c r="O519" s="1163">
        <v>0.93490804699999996</v>
      </c>
      <c r="P519" s="973"/>
      <c r="Q519" s="862"/>
      <c r="R519" s="252"/>
      <c r="S519" s="252"/>
    </row>
    <row r="520" spans="1:19" ht="18.95" customHeight="1">
      <c r="A520" s="425">
        <v>7.13</v>
      </c>
      <c r="B520" s="122"/>
      <c r="C520" s="428" t="s">
        <v>1121</v>
      </c>
      <c r="D520" s="429"/>
      <c r="E520" s="267">
        <v>57</v>
      </c>
      <c r="F520" s="430" t="s">
        <v>348</v>
      </c>
      <c r="G520" s="267">
        <v>24.97</v>
      </c>
      <c r="H520" s="267">
        <f t="shared" si="56"/>
        <v>23.344653933589999</v>
      </c>
      <c r="I520" s="267">
        <f t="shared" si="57"/>
        <v>1330.64527421463</v>
      </c>
      <c r="J520" s="267">
        <v>14</v>
      </c>
      <c r="K520" s="269">
        <f t="shared" si="59"/>
        <v>13.088712657999999</v>
      </c>
      <c r="L520" s="267">
        <f t="shared" si="60"/>
        <v>746.05662150599994</v>
      </c>
      <c r="M520" s="270">
        <f t="shared" si="61"/>
        <v>2076.7018957206301</v>
      </c>
      <c r="N520" s="268"/>
      <c r="O520" s="1163">
        <v>0.93490804699999996</v>
      </c>
      <c r="P520" s="973"/>
      <c r="Q520" s="862"/>
      <c r="R520" s="252"/>
      <c r="S520" s="252"/>
    </row>
    <row r="521" spans="1:19" ht="18.95" customHeight="1">
      <c r="A521" s="425"/>
      <c r="B521" s="122"/>
      <c r="C521" s="428" t="s">
        <v>1122</v>
      </c>
      <c r="D521" s="429"/>
      <c r="E521" s="267"/>
      <c r="F521" s="430"/>
      <c r="G521" s="267"/>
      <c r="H521" s="267"/>
      <c r="I521" s="267"/>
      <c r="J521" s="267"/>
      <c r="K521" s="269"/>
      <c r="L521" s="267"/>
      <c r="M521" s="270"/>
      <c r="N521" s="268"/>
      <c r="O521" s="1163">
        <v>0.93490804699999996</v>
      </c>
      <c r="P521" s="973"/>
      <c r="Q521" s="862"/>
      <c r="R521" s="252"/>
      <c r="S521" s="252"/>
    </row>
    <row r="522" spans="1:19" ht="18.95" customHeight="1">
      <c r="A522" s="425">
        <v>7.14</v>
      </c>
      <c r="B522" s="122"/>
      <c r="C522" s="428" t="s">
        <v>1089</v>
      </c>
      <c r="D522" s="429"/>
      <c r="E522" s="267">
        <v>36</v>
      </c>
      <c r="F522" s="430" t="s">
        <v>402</v>
      </c>
      <c r="G522" s="267">
        <v>86.5</v>
      </c>
      <c r="H522" s="267">
        <f t="shared" si="56"/>
        <v>80.869546065500003</v>
      </c>
      <c r="I522" s="267">
        <f t="shared" si="57"/>
        <v>2911.3036583580001</v>
      </c>
      <c r="J522" s="267">
        <v>25.95</v>
      </c>
      <c r="K522" s="269">
        <f t="shared" si="59"/>
        <v>24.260863819649998</v>
      </c>
      <c r="L522" s="267">
        <f t="shared" si="60"/>
        <v>873.39109750739999</v>
      </c>
      <c r="M522" s="270">
        <f t="shared" si="61"/>
        <v>3784.6947558654001</v>
      </c>
      <c r="N522" s="268"/>
      <c r="O522" s="1163">
        <v>0.93490804699999996</v>
      </c>
      <c r="P522" s="973"/>
      <c r="Q522" s="862"/>
      <c r="R522" s="252"/>
      <c r="S522" s="252"/>
    </row>
    <row r="523" spans="1:19" ht="18.95" customHeight="1">
      <c r="A523" s="425"/>
      <c r="B523" s="122"/>
      <c r="C523" s="428"/>
      <c r="D523" s="429"/>
      <c r="E523" s="267"/>
      <c r="F523" s="430"/>
      <c r="G523" s="267"/>
      <c r="H523" s="267"/>
      <c r="I523" s="267"/>
      <c r="J523" s="267"/>
      <c r="K523" s="269"/>
      <c r="L523" s="267"/>
      <c r="M523" s="270"/>
      <c r="N523" s="268"/>
      <c r="O523" s="1163">
        <v>0.93490804699999996</v>
      </c>
      <c r="P523" s="973"/>
      <c r="Q523" s="862"/>
      <c r="R523" s="252"/>
      <c r="S523" s="252"/>
    </row>
    <row r="524" spans="1:19" ht="18.95" customHeight="1">
      <c r="A524" s="425"/>
      <c r="B524" s="122"/>
      <c r="C524" s="428" t="s">
        <v>1054</v>
      </c>
      <c r="D524" s="429"/>
      <c r="E524" s="267"/>
      <c r="F524" s="430"/>
      <c r="G524" s="267"/>
      <c r="H524" s="267"/>
      <c r="I524" s="267"/>
      <c r="J524" s="267"/>
      <c r="K524" s="269"/>
      <c r="L524" s="267"/>
      <c r="M524" s="270"/>
      <c r="N524" s="268"/>
      <c r="O524" s="1163">
        <v>0.93490804699999996</v>
      </c>
      <c r="P524" s="973"/>
      <c r="Q524" s="862"/>
      <c r="R524" s="252"/>
      <c r="S524" s="252"/>
    </row>
    <row r="525" spans="1:19" ht="18.95" customHeight="1">
      <c r="A525" s="425">
        <v>7.15</v>
      </c>
      <c r="B525" s="122"/>
      <c r="C525" s="428" t="s">
        <v>1084</v>
      </c>
      <c r="D525" s="429"/>
      <c r="E525" s="267">
        <v>1253.8</v>
      </c>
      <c r="F525" s="430" t="s">
        <v>348</v>
      </c>
      <c r="G525" s="267">
        <v>23</v>
      </c>
      <c r="H525" s="267">
        <f t="shared" si="56"/>
        <v>21.502885080999999</v>
      </c>
      <c r="I525" s="267">
        <f t="shared" si="57"/>
        <v>26960.317314557797</v>
      </c>
      <c r="J525" s="267">
        <v>14</v>
      </c>
      <c r="K525" s="269">
        <f t="shared" si="59"/>
        <v>13.088712657999999</v>
      </c>
      <c r="L525" s="267">
        <f t="shared" si="60"/>
        <v>16410.627930600396</v>
      </c>
      <c r="M525" s="270">
        <f t="shared" ref="M525:M532" si="62">I525+L525</f>
        <v>43370.945245158189</v>
      </c>
      <c r="N525" s="268"/>
      <c r="O525" s="1163">
        <v>0.93490804699999996</v>
      </c>
      <c r="P525" s="973"/>
      <c r="Q525" s="862" t="s">
        <v>1038</v>
      </c>
      <c r="R525" s="252"/>
      <c r="S525" s="252"/>
    </row>
    <row r="526" spans="1:19" ht="18.95" customHeight="1">
      <c r="A526" s="425">
        <v>7.16</v>
      </c>
      <c r="B526" s="122"/>
      <c r="C526" s="428" t="s">
        <v>1081</v>
      </c>
      <c r="D526" s="429"/>
      <c r="E526" s="267">
        <v>1.6</v>
      </c>
      <c r="F526" s="430" t="s">
        <v>1032</v>
      </c>
      <c r="G526" s="267">
        <v>2507</v>
      </c>
      <c r="H526" s="267">
        <f t="shared" si="56"/>
        <v>2343.8144738289998</v>
      </c>
      <c r="I526" s="267">
        <f t="shared" si="57"/>
        <v>3750.1031581263996</v>
      </c>
      <c r="J526" s="267">
        <v>519</v>
      </c>
      <c r="K526" s="269">
        <f t="shared" si="59"/>
        <v>485.21727639299996</v>
      </c>
      <c r="L526" s="267">
        <f t="shared" si="60"/>
        <v>776.34764222879994</v>
      </c>
      <c r="M526" s="270">
        <f t="shared" si="62"/>
        <v>4526.4508003552</v>
      </c>
      <c r="N526" s="268"/>
      <c r="O526" s="1163">
        <v>0.93490804699999996</v>
      </c>
      <c r="P526" s="973"/>
      <c r="Q526" s="862"/>
      <c r="R526" s="252"/>
      <c r="S526" s="252"/>
    </row>
    <row r="527" spans="1:19" ht="18.95" customHeight="1">
      <c r="A527" s="425"/>
      <c r="B527" s="122"/>
      <c r="C527" s="428" t="s">
        <v>1036</v>
      </c>
      <c r="D527" s="429"/>
      <c r="E527" s="267"/>
      <c r="F527" s="430"/>
      <c r="G527" s="267"/>
      <c r="H527" s="267"/>
      <c r="I527" s="267"/>
      <c r="J527" s="267"/>
      <c r="K527" s="269"/>
      <c r="L527" s="267"/>
      <c r="M527" s="270"/>
      <c r="N527" s="268"/>
      <c r="O527" s="1163">
        <v>0.93490804699999996</v>
      </c>
      <c r="P527" s="973"/>
      <c r="Q527" s="862"/>
      <c r="R527" s="252"/>
      <c r="S527" s="252"/>
    </row>
    <row r="528" spans="1:19" ht="18.95" customHeight="1">
      <c r="A528" s="425">
        <v>7.17</v>
      </c>
      <c r="B528" s="122"/>
      <c r="C528" s="428" t="s">
        <v>1037</v>
      </c>
      <c r="D528" s="429"/>
      <c r="E528" s="267">
        <v>155.4</v>
      </c>
      <c r="F528" s="430" t="s">
        <v>348</v>
      </c>
      <c r="G528" s="267">
        <v>19.600000000000001</v>
      </c>
      <c r="H528" s="267">
        <f t="shared" si="56"/>
        <v>18.324197721200001</v>
      </c>
      <c r="I528" s="267">
        <f t="shared" si="57"/>
        <v>2847.5803258744804</v>
      </c>
      <c r="J528" s="267">
        <v>4.4000000000000004</v>
      </c>
      <c r="K528" s="269">
        <f t="shared" si="59"/>
        <v>4.1135954068</v>
      </c>
      <c r="L528" s="267">
        <f t="shared" si="60"/>
        <v>639.25272621672002</v>
      </c>
      <c r="M528" s="270">
        <f t="shared" si="62"/>
        <v>3486.8330520912004</v>
      </c>
      <c r="N528" s="268"/>
      <c r="O528" s="1163">
        <v>0.93490804699999996</v>
      </c>
      <c r="P528" s="973"/>
      <c r="Q528" s="862" t="s">
        <v>1038</v>
      </c>
      <c r="R528" s="252"/>
      <c r="S528" s="252"/>
    </row>
    <row r="529" spans="1:19" ht="18.95" customHeight="1">
      <c r="A529" s="425">
        <v>7.18</v>
      </c>
      <c r="B529" s="122"/>
      <c r="C529" s="428" t="s">
        <v>1041</v>
      </c>
      <c r="D529" s="429"/>
      <c r="E529" s="267">
        <v>2.9</v>
      </c>
      <c r="F529" s="430" t="s">
        <v>348</v>
      </c>
      <c r="G529" s="267">
        <v>27.1</v>
      </c>
      <c r="H529" s="267">
        <f t="shared" si="56"/>
        <v>25.3360080737</v>
      </c>
      <c r="I529" s="267">
        <f t="shared" si="57"/>
        <v>73.474423413729994</v>
      </c>
      <c r="J529" s="267">
        <v>0</v>
      </c>
      <c r="K529" s="269">
        <f t="shared" si="59"/>
        <v>0</v>
      </c>
      <c r="L529" s="267">
        <f t="shared" si="60"/>
        <v>0</v>
      </c>
      <c r="M529" s="270">
        <f t="shared" si="62"/>
        <v>73.474423413729994</v>
      </c>
      <c r="N529" s="268"/>
      <c r="O529" s="1163">
        <v>0.93490804699999996</v>
      </c>
      <c r="P529" s="973"/>
      <c r="Q529" s="862" t="s">
        <v>1038</v>
      </c>
      <c r="R529" s="252"/>
      <c r="S529" s="252"/>
    </row>
    <row r="530" spans="1:19" ht="18.95" customHeight="1">
      <c r="A530" s="425"/>
      <c r="B530" s="122"/>
      <c r="C530" s="428" t="s">
        <v>1061</v>
      </c>
      <c r="D530" s="429"/>
      <c r="E530" s="267"/>
      <c r="F530" s="430"/>
      <c r="G530" s="267"/>
      <c r="H530" s="267"/>
      <c r="I530" s="267"/>
      <c r="J530" s="267"/>
      <c r="K530" s="269"/>
      <c r="L530" s="267"/>
      <c r="M530" s="270"/>
      <c r="N530" s="268"/>
      <c r="O530" s="1163">
        <v>0.93490804699999996</v>
      </c>
      <c r="P530" s="973"/>
      <c r="Q530" s="862"/>
      <c r="R530" s="252"/>
      <c r="S530" s="252"/>
    </row>
    <row r="531" spans="1:19" ht="18.95" customHeight="1">
      <c r="A531" s="425">
        <v>7.19</v>
      </c>
      <c r="B531" s="122"/>
      <c r="C531" s="428" t="s">
        <v>1062</v>
      </c>
      <c r="D531" s="429"/>
      <c r="E531" s="267">
        <v>89.4</v>
      </c>
      <c r="F531" s="430" t="s">
        <v>218</v>
      </c>
      <c r="G531" s="267">
        <v>28.02</v>
      </c>
      <c r="H531" s="267">
        <f t="shared" si="56"/>
        <v>26.196123476939999</v>
      </c>
      <c r="I531" s="267">
        <f t="shared" si="57"/>
        <v>2341.9334388384359</v>
      </c>
      <c r="J531" s="267">
        <v>30</v>
      </c>
      <c r="K531" s="269">
        <f t="shared" si="59"/>
        <v>28.047241409999998</v>
      </c>
      <c r="L531" s="267">
        <f t="shared" si="60"/>
        <v>2507.4233820539998</v>
      </c>
      <c r="M531" s="270">
        <f t="shared" si="62"/>
        <v>4849.3568208924353</v>
      </c>
      <c r="N531" s="268"/>
      <c r="O531" s="1163">
        <v>0.93490804699999996</v>
      </c>
      <c r="P531" s="973"/>
      <c r="Q531" s="862"/>
      <c r="R531" s="252"/>
      <c r="S531" s="252"/>
    </row>
    <row r="532" spans="1:19" ht="18.95" customHeight="1">
      <c r="A532" s="425">
        <v>7.2</v>
      </c>
      <c r="B532" s="122"/>
      <c r="C532" s="428" t="s">
        <v>1063</v>
      </c>
      <c r="D532" s="429"/>
      <c r="E532" s="267">
        <v>89.4</v>
      </c>
      <c r="F532" s="430" t="s">
        <v>218</v>
      </c>
      <c r="G532" s="267">
        <v>32.32</v>
      </c>
      <c r="H532" s="267">
        <f t="shared" ref="H532:H592" si="63">G532*O532</f>
        <v>30.21622807904</v>
      </c>
      <c r="I532" s="267">
        <f t="shared" ref="I532:I592" si="64">E532*H532</f>
        <v>2701.3307902661763</v>
      </c>
      <c r="J532" s="267">
        <v>35</v>
      </c>
      <c r="K532" s="269">
        <f t="shared" si="59"/>
        <v>32.721781645</v>
      </c>
      <c r="L532" s="267">
        <f t="shared" si="60"/>
        <v>2925.3272790630003</v>
      </c>
      <c r="M532" s="270">
        <f t="shared" si="62"/>
        <v>5626.6580693291762</v>
      </c>
      <c r="N532" s="268"/>
      <c r="O532" s="1163">
        <v>0.93490804699999996</v>
      </c>
      <c r="P532" s="973"/>
      <c r="Q532" s="862" t="s">
        <v>1038</v>
      </c>
      <c r="R532" s="252"/>
      <c r="S532" s="252"/>
    </row>
    <row r="533" spans="1:19" ht="18.95" customHeight="1">
      <c r="A533" s="425"/>
      <c r="B533" s="122"/>
      <c r="C533" s="428"/>
      <c r="D533" s="429"/>
      <c r="E533" s="267"/>
      <c r="F533" s="430"/>
      <c r="G533" s="267"/>
      <c r="H533" s="267"/>
      <c r="I533" s="267"/>
      <c r="J533" s="267"/>
      <c r="K533" s="269"/>
      <c r="L533" s="267"/>
      <c r="M533" s="270"/>
      <c r="N533" s="268"/>
      <c r="O533" s="1163">
        <v>0.93490804699999996</v>
      </c>
      <c r="P533" s="973"/>
      <c r="Q533" s="862"/>
      <c r="R533" s="252"/>
      <c r="S533" s="252"/>
    </row>
    <row r="534" spans="1:19" ht="18.95" customHeight="1">
      <c r="A534" s="425"/>
      <c r="B534" s="407"/>
      <c r="D534" s="428" t="s">
        <v>1132</v>
      </c>
      <c r="E534" s="267"/>
      <c r="F534" s="430"/>
      <c r="G534" s="267"/>
      <c r="H534" s="267"/>
      <c r="I534" s="267"/>
      <c r="J534" s="267"/>
      <c r="K534" s="269"/>
      <c r="L534" s="267"/>
      <c r="M534" s="270">
        <f>SUM(M499:M532)</f>
        <v>376822.58083708264</v>
      </c>
      <c r="N534" s="268"/>
      <c r="O534" s="1163">
        <v>0.93490804699999996</v>
      </c>
      <c r="P534" s="973"/>
      <c r="Q534" s="862"/>
      <c r="R534" s="252"/>
      <c r="S534" s="252"/>
    </row>
    <row r="535" spans="1:19" ht="18.95" customHeight="1">
      <c r="A535" s="425"/>
      <c r="B535" s="122"/>
      <c r="C535" s="428"/>
      <c r="D535" s="429"/>
      <c r="E535" s="267"/>
      <c r="F535" s="430"/>
      <c r="G535" s="267"/>
      <c r="H535" s="267"/>
      <c r="I535" s="267"/>
      <c r="J535" s="267"/>
      <c r="K535" s="269"/>
      <c r="L535" s="267"/>
      <c r="M535" s="270"/>
      <c r="N535" s="268"/>
      <c r="O535" s="1163">
        <v>0.93490804699999996</v>
      </c>
      <c r="P535" s="973"/>
      <c r="Q535" s="862"/>
      <c r="R535" s="252"/>
      <c r="S535" s="252"/>
    </row>
    <row r="536" spans="1:19" ht="18.95" customHeight="1">
      <c r="A536" s="425">
        <v>8</v>
      </c>
      <c r="B536" s="122"/>
      <c r="C536" s="428" t="s">
        <v>1133</v>
      </c>
      <c r="D536" s="429"/>
      <c r="E536" s="267"/>
      <c r="F536" s="430"/>
      <c r="G536" s="267"/>
      <c r="H536" s="267"/>
      <c r="I536" s="267"/>
      <c r="J536" s="267"/>
      <c r="K536" s="269"/>
      <c r="L536" s="267"/>
      <c r="M536" s="270"/>
      <c r="N536" s="268"/>
      <c r="O536" s="1163">
        <v>0.93490804699999996</v>
      </c>
      <c r="P536" s="973"/>
      <c r="Q536" s="862"/>
      <c r="R536" s="252"/>
      <c r="S536" s="252"/>
    </row>
    <row r="537" spans="1:19" ht="18.95" customHeight="1">
      <c r="A537" s="425"/>
      <c r="B537" s="122"/>
      <c r="C537" s="428" t="s">
        <v>1134</v>
      </c>
      <c r="D537" s="429"/>
      <c r="E537" s="267"/>
      <c r="F537" s="430"/>
      <c r="G537" s="267"/>
      <c r="H537" s="267"/>
      <c r="I537" s="267"/>
      <c r="J537" s="267"/>
      <c r="K537" s="269"/>
      <c r="L537" s="267"/>
      <c r="M537" s="270"/>
      <c r="N537" s="268"/>
      <c r="O537" s="1163">
        <v>0.93490804699999996</v>
      </c>
      <c r="P537" s="973"/>
      <c r="Q537" s="862"/>
      <c r="R537" s="252"/>
      <c r="S537" s="252"/>
    </row>
    <row r="538" spans="1:19" ht="18.95" customHeight="1">
      <c r="A538" s="425"/>
      <c r="B538" s="122"/>
      <c r="C538" s="428" t="s">
        <v>1057</v>
      </c>
      <c r="D538" s="429"/>
      <c r="E538" s="267"/>
      <c r="F538" s="430"/>
      <c r="G538" s="267"/>
      <c r="H538" s="267"/>
      <c r="I538" s="267"/>
      <c r="J538" s="267"/>
      <c r="K538" s="269"/>
      <c r="L538" s="267"/>
      <c r="M538" s="270"/>
      <c r="N538" s="268"/>
      <c r="O538" s="1163">
        <v>0.93490804699999996</v>
      </c>
      <c r="P538" s="973"/>
      <c r="Q538" s="862"/>
      <c r="R538" s="252"/>
      <c r="S538" s="252"/>
    </row>
    <row r="539" spans="1:19" ht="18.95" customHeight="1">
      <c r="A539" s="445">
        <v>8.1</v>
      </c>
      <c r="B539" s="122"/>
      <c r="C539" s="1335" t="s">
        <v>1135</v>
      </c>
      <c r="D539" s="1336"/>
      <c r="E539" s="267">
        <v>37.200000000000003</v>
      </c>
      <c r="F539" s="430" t="s">
        <v>348</v>
      </c>
      <c r="G539" s="267">
        <v>26.54</v>
      </c>
      <c r="H539" s="267">
        <f t="shared" si="63"/>
        <v>24.812459567379999</v>
      </c>
      <c r="I539" s="267">
        <f t="shared" si="64"/>
        <v>923.02349590653603</v>
      </c>
      <c r="J539" s="267">
        <v>14</v>
      </c>
      <c r="K539" s="269">
        <f t="shared" si="59"/>
        <v>13.088712657999999</v>
      </c>
      <c r="L539" s="267">
        <f t="shared" si="60"/>
        <v>486.90011087760001</v>
      </c>
      <c r="M539" s="270">
        <f t="shared" ref="M539:M548" si="65">I539+L539</f>
        <v>1409.9236067841362</v>
      </c>
      <c r="N539" s="268"/>
      <c r="O539" s="1163">
        <v>0.93490804699999996</v>
      </c>
      <c r="P539" s="973"/>
      <c r="Q539" s="252"/>
      <c r="R539" s="252"/>
      <c r="S539" s="252"/>
    </row>
    <row r="540" spans="1:19" ht="18.95" customHeight="1">
      <c r="A540" s="445">
        <v>8.1999999999999993</v>
      </c>
      <c r="B540" s="122"/>
      <c r="C540" s="1331" t="s">
        <v>1136</v>
      </c>
      <c r="D540" s="1332"/>
      <c r="E540" s="267">
        <v>26.9</v>
      </c>
      <c r="F540" s="430" t="s">
        <v>348</v>
      </c>
      <c r="G540" s="267">
        <v>23</v>
      </c>
      <c r="H540" s="267">
        <f t="shared" si="63"/>
        <v>21.502885080999999</v>
      </c>
      <c r="I540" s="267">
        <f t="shared" si="64"/>
        <v>578.4276086788999</v>
      </c>
      <c r="J540" s="267">
        <v>14</v>
      </c>
      <c r="K540" s="269">
        <f t="shared" si="59"/>
        <v>13.088712657999999</v>
      </c>
      <c r="L540" s="267">
        <f t="shared" si="60"/>
        <v>352.08637050019996</v>
      </c>
      <c r="M540" s="270">
        <f t="shared" si="65"/>
        <v>930.51397917909981</v>
      </c>
      <c r="N540" s="268"/>
      <c r="O540" s="1163">
        <v>0.93490804699999996</v>
      </c>
      <c r="P540" s="973"/>
      <c r="Q540" s="862" t="s">
        <v>1038</v>
      </c>
      <c r="R540" s="252"/>
      <c r="S540" s="252"/>
    </row>
    <row r="541" spans="1:19" ht="18.95" customHeight="1">
      <c r="A541" s="445"/>
      <c r="B541" s="122"/>
      <c r="C541" s="1333" t="s">
        <v>1122</v>
      </c>
      <c r="D541" s="1334"/>
      <c r="E541" s="267"/>
      <c r="F541" s="430"/>
      <c r="G541" s="267"/>
      <c r="H541" s="267"/>
      <c r="I541" s="267"/>
      <c r="J541" s="269"/>
      <c r="K541" s="269"/>
      <c r="L541" s="267"/>
      <c r="M541" s="270"/>
      <c r="N541" s="268"/>
      <c r="O541" s="1163">
        <v>0.93490804699999996</v>
      </c>
      <c r="P541" s="973"/>
      <c r="Q541" s="252"/>
      <c r="R541" s="252"/>
      <c r="S541" s="252"/>
    </row>
    <row r="542" spans="1:19" ht="18.95" customHeight="1">
      <c r="A542" s="445">
        <v>8.3000000000000007</v>
      </c>
      <c r="B542" s="122"/>
      <c r="C542" s="1335" t="s">
        <v>1137</v>
      </c>
      <c r="D542" s="1336"/>
      <c r="E542" s="267">
        <v>52</v>
      </c>
      <c r="F542" s="268" t="s">
        <v>402</v>
      </c>
      <c r="G542" s="267">
        <v>63</v>
      </c>
      <c r="H542" s="267">
        <f t="shared" si="63"/>
        <v>58.899206960999997</v>
      </c>
      <c r="I542" s="267">
        <f t="shared" si="64"/>
        <v>3062.7587619719998</v>
      </c>
      <c r="J542" s="267">
        <v>18.899999999999999</v>
      </c>
      <c r="K542" s="269">
        <f t="shared" si="59"/>
        <v>17.669762088299997</v>
      </c>
      <c r="L542" s="267">
        <f t="shared" si="60"/>
        <v>918.82762859159982</v>
      </c>
      <c r="M542" s="270">
        <f t="shared" si="65"/>
        <v>3981.5863905635997</v>
      </c>
      <c r="N542" s="268"/>
      <c r="O542" s="1163">
        <v>0.93490804699999996</v>
      </c>
      <c r="P542" s="973"/>
      <c r="Q542" s="252"/>
      <c r="R542" s="252"/>
      <c r="S542" s="252"/>
    </row>
    <row r="543" spans="1:19" ht="18.95" customHeight="1">
      <c r="A543" s="445"/>
      <c r="B543" s="122"/>
      <c r="C543" s="1329" t="s">
        <v>1052</v>
      </c>
      <c r="D543" s="1330"/>
      <c r="E543" s="267"/>
      <c r="F543" s="268"/>
      <c r="G543" s="267"/>
      <c r="H543" s="267"/>
      <c r="I543" s="267"/>
      <c r="J543" s="269"/>
      <c r="K543" s="269"/>
      <c r="L543" s="267"/>
      <c r="M543" s="270"/>
      <c r="N543" s="268"/>
      <c r="O543" s="1163">
        <v>0.93490804699999996</v>
      </c>
      <c r="P543" s="973"/>
      <c r="Q543" s="252"/>
      <c r="R543" s="252"/>
      <c r="S543" s="252"/>
    </row>
    <row r="544" spans="1:19" ht="18.95" customHeight="1">
      <c r="A544" s="445">
        <v>8.4</v>
      </c>
      <c r="B544" s="122"/>
      <c r="C544" s="1335" t="s">
        <v>1138</v>
      </c>
      <c r="D544" s="1336"/>
      <c r="E544" s="267">
        <v>323.39999999999998</v>
      </c>
      <c r="F544" s="430" t="s">
        <v>348</v>
      </c>
      <c r="G544" s="267">
        <v>26.54</v>
      </c>
      <c r="H544" s="267">
        <f t="shared" si="63"/>
        <v>24.812459567379999</v>
      </c>
      <c r="I544" s="267">
        <f t="shared" si="64"/>
        <v>8024.3494240906912</v>
      </c>
      <c r="J544" s="267">
        <v>14</v>
      </c>
      <c r="K544" s="269">
        <f t="shared" si="59"/>
        <v>13.088712657999999</v>
      </c>
      <c r="L544" s="267">
        <f t="shared" si="60"/>
        <v>4232.8896735971994</v>
      </c>
      <c r="M544" s="270">
        <f t="shared" si="65"/>
        <v>12257.239097687891</v>
      </c>
      <c r="N544" s="268"/>
      <c r="O544" s="1163">
        <v>0.93490804699999996</v>
      </c>
      <c r="P544" s="973"/>
      <c r="Q544" s="252"/>
      <c r="R544" s="252"/>
      <c r="S544" s="252"/>
    </row>
    <row r="545" spans="1:19" ht="18.95" customHeight="1">
      <c r="A545" s="445">
        <v>8.5</v>
      </c>
      <c r="B545" s="122"/>
      <c r="C545" s="1335" t="s">
        <v>1139</v>
      </c>
      <c r="D545" s="1336"/>
      <c r="E545" s="267">
        <v>1626.9</v>
      </c>
      <c r="F545" s="430" t="s">
        <v>348</v>
      </c>
      <c r="G545" s="267">
        <v>26.54</v>
      </c>
      <c r="H545" s="267">
        <f t="shared" si="63"/>
        <v>24.812459567379999</v>
      </c>
      <c r="I545" s="267">
        <f t="shared" si="64"/>
        <v>40367.390470170525</v>
      </c>
      <c r="J545" s="267">
        <v>14</v>
      </c>
      <c r="K545" s="269">
        <f t="shared" si="59"/>
        <v>13.088712657999999</v>
      </c>
      <c r="L545" s="267">
        <f t="shared" si="60"/>
        <v>21294.0266233002</v>
      </c>
      <c r="M545" s="270">
        <f t="shared" si="65"/>
        <v>61661.417093470722</v>
      </c>
      <c r="N545" s="268"/>
      <c r="O545" s="1163">
        <v>0.93490804699999996</v>
      </c>
      <c r="P545" s="973"/>
      <c r="Q545" s="252"/>
      <c r="R545" s="252"/>
      <c r="S545" s="252"/>
    </row>
    <row r="546" spans="1:19" ht="18.95" customHeight="1">
      <c r="A546" s="445">
        <v>8.6</v>
      </c>
      <c r="B546" s="122"/>
      <c r="C546" s="1335" t="s">
        <v>1135</v>
      </c>
      <c r="D546" s="1336"/>
      <c r="E546" s="267">
        <v>2208.8000000000002</v>
      </c>
      <c r="F546" s="430" t="s">
        <v>348</v>
      </c>
      <c r="G546" s="267">
        <v>26.54</v>
      </c>
      <c r="H546" s="267">
        <f t="shared" si="63"/>
        <v>24.812459567379999</v>
      </c>
      <c r="I546" s="267">
        <f t="shared" si="64"/>
        <v>54805.76069242895</v>
      </c>
      <c r="J546" s="267">
        <v>14</v>
      </c>
      <c r="K546" s="269">
        <f t="shared" si="59"/>
        <v>13.088712657999999</v>
      </c>
      <c r="L546" s="267">
        <f t="shared" si="60"/>
        <v>28910.348518990399</v>
      </c>
      <c r="M546" s="270">
        <f t="shared" si="65"/>
        <v>83716.109211419345</v>
      </c>
      <c r="N546" s="268"/>
      <c r="O546" s="1163">
        <v>0.93490804699999996</v>
      </c>
      <c r="P546" s="973"/>
      <c r="Q546" s="252"/>
      <c r="R546" s="252"/>
      <c r="S546" s="252"/>
    </row>
    <row r="547" spans="1:19" ht="18.95" customHeight="1">
      <c r="A547" s="445">
        <v>8.6999999999999993</v>
      </c>
      <c r="B547" s="122"/>
      <c r="C547" s="1335" t="s">
        <v>1140</v>
      </c>
      <c r="D547" s="1336"/>
      <c r="E547" s="267">
        <v>293.7</v>
      </c>
      <c r="F547" s="430" t="s">
        <v>348</v>
      </c>
      <c r="G547" s="267">
        <v>26.96</v>
      </c>
      <c r="H547" s="267">
        <f t="shared" si="63"/>
        <v>25.205120947120001</v>
      </c>
      <c r="I547" s="267">
        <f t="shared" si="64"/>
        <v>7402.744022169144</v>
      </c>
      <c r="J547" s="267">
        <v>14</v>
      </c>
      <c r="K547" s="269">
        <f t="shared" si="59"/>
        <v>13.088712657999999</v>
      </c>
      <c r="L547" s="267">
        <f t="shared" si="60"/>
        <v>3844.1549076545994</v>
      </c>
      <c r="M547" s="270">
        <f t="shared" si="65"/>
        <v>11246.898929823743</v>
      </c>
      <c r="N547" s="268"/>
      <c r="O547" s="1163">
        <v>0.93490804699999996</v>
      </c>
      <c r="P547" s="973"/>
      <c r="Q547" s="252"/>
      <c r="R547" s="252"/>
      <c r="S547" s="252"/>
    </row>
    <row r="548" spans="1:19" ht="18.95" customHeight="1">
      <c r="A548" s="445">
        <v>8.8000000000000007</v>
      </c>
      <c r="B548" s="122"/>
      <c r="C548" s="1335" t="s">
        <v>1141</v>
      </c>
      <c r="D548" s="1336"/>
      <c r="E548" s="267">
        <v>354.2</v>
      </c>
      <c r="F548" s="430" t="s">
        <v>348</v>
      </c>
      <c r="G548" s="267">
        <v>26.96</v>
      </c>
      <c r="H548" s="267">
        <f t="shared" si="63"/>
        <v>25.205120947120001</v>
      </c>
      <c r="I548" s="267">
        <f t="shared" si="64"/>
        <v>8927.6538394699037</v>
      </c>
      <c r="J548" s="267">
        <v>14</v>
      </c>
      <c r="K548" s="269">
        <f t="shared" si="59"/>
        <v>13.088712657999999</v>
      </c>
      <c r="L548" s="267">
        <f t="shared" si="60"/>
        <v>4636.022023463599</v>
      </c>
      <c r="M548" s="270">
        <f t="shared" si="65"/>
        <v>13563.675862933502</v>
      </c>
      <c r="N548" s="268"/>
      <c r="O548" s="1163">
        <v>0.93490804699999996</v>
      </c>
      <c r="P548" s="973"/>
      <c r="Q548" s="252"/>
      <c r="R548" s="252"/>
      <c r="S548" s="252"/>
    </row>
    <row r="549" spans="1:19" ht="18.95" customHeight="1">
      <c r="A549" s="445"/>
      <c r="B549" s="122"/>
      <c r="C549" s="1329" t="s">
        <v>1061</v>
      </c>
      <c r="D549" s="1330"/>
      <c r="E549" s="267"/>
      <c r="F549" s="430"/>
      <c r="G549" s="267"/>
      <c r="H549" s="267"/>
      <c r="I549" s="267"/>
      <c r="J549" s="267"/>
      <c r="K549" s="269"/>
      <c r="L549" s="267"/>
      <c r="M549" s="270"/>
      <c r="N549" s="268"/>
      <c r="O549" s="1163">
        <v>0.93490804699999996</v>
      </c>
      <c r="P549" s="973"/>
      <c r="Q549" s="252"/>
      <c r="R549" s="252"/>
      <c r="S549" s="252"/>
    </row>
    <row r="550" spans="1:19" ht="18.95" customHeight="1">
      <c r="A550" s="445">
        <v>8.9</v>
      </c>
      <c r="B550" s="122"/>
      <c r="C550" s="428" t="s">
        <v>1062</v>
      </c>
      <c r="D550" s="429"/>
      <c r="E550" s="267">
        <v>121.8</v>
      </c>
      <c r="F550" s="430" t="s">
        <v>218</v>
      </c>
      <c r="G550" s="267">
        <v>28.02</v>
      </c>
      <c r="H550" s="267">
        <f t="shared" si="63"/>
        <v>26.196123476939999</v>
      </c>
      <c r="I550" s="267">
        <f t="shared" si="64"/>
        <v>3190.6878394912919</v>
      </c>
      <c r="J550" s="267">
        <v>30</v>
      </c>
      <c r="K550" s="269">
        <f>J550*O550</f>
        <v>28.047241409999998</v>
      </c>
      <c r="L550" s="267">
        <f>E550*K550</f>
        <v>3416.1540037379996</v>
      </c>
      <c r="M550" s="267">
        <f t="shared" ref="M550:M567" si="66">I550+L550</f>
        <v>6606.841843229291</v>
      </c>
      <c r="N550" s="268"/>
      <c r="O550" s="1163">
        <v>0.93490804699999996</v>
      </c>
      <c r="P550" s="973"/>
      <c r="Q550" s="252"/>
      <c r="R550" s="252"/>
      <c r="S550" s="252"/>
    </row>
    <row r="551" spans="1:19" ht="18.95" customHeight="1">
      <c r="A551" s="204">
        <v>8.1000000000000103</v>
      </c>
      <c r="B551" s="122"/>
      <c r="C551" s="428" t="s">
        <v>1063</v>
      </c>
      <c r="D551" s="429"/>
      <c r="E551" s="267">
        <v>121.8</v>
      </c>
      <c r="F551" s="430" t="s">
        <v>218</v>
      </c>
      <c r="G551" s="267">
        <v>32.32</v>
      </c>
      <c r="H551" s="267">
        <f t="shared" si="63"/>
        <v>30.21622807904</v>
      </c>
      <c r="I551" s="267">
        <f t="shared" si="64"/>
        <v>3680.3365800270722</v>
      </c>
      <c r="J551" s="267">
        <v>35</v>
      </c>
      <c r="K551" s="269">
        <f t="shared" ref="K551:K603" si="67">J551*O551</f>
        <v>32.721781645</v>
      </c>
      <c r="L551" s="267">
        <f t="shared" ref="L551:L603" si="68">E551*K551</f>
        <v>3985.5130043609997</v>
      </c>
      <c r="M551" s="267">
        <f t="shared" si="66"/>
        <v>7665.8495843880719</v>
      </c>
      <c r="N551" s="268"/>
      <c r="O551" s="1163">
        <v>0.93490804699999996</v>
      </c>
      <c r="P551" s="973"/>
      <c r="Q551" s="862" t="s">
        <v>1038</v>
      </c>
      <c r="R551" s="252"/>
      <c r="S551" s="252"/>
    </row>
    <row r="552" spans="1:19" ht="18.95" customHeight="1">
      <c r="A552" s="204"/>
      <c r="B552" s="329"/>
      <c r="C552" s="131"/>
      <c r="D552" s="131"/>
      <c r="E552" s="267"/>
      <c r="F552" s="268"/>
      <c r="G552" s="267"/>
      <c r="H552" s="267"/>
      <c r="I552" s="267"/>
      <c r="J552" s="269"/>
      <c r="K552" s="269"/>
      <c r="L552" s="267"/>
      <c r="M552" s="267"/>
      <c r="N552" s="268"/>
      <c r="O552" s="1163">
        <v>0.93490804699999996</v>
      </c>
      <c r="P552" s="973"/>
      <c r="Q552" s="252"/>
      <c r="R552" s="252"/>
      <c r="S552" s="252"/>
    </row>
    <row r="553" spans="1:19" ht="18.95" customHeight="1">
      <c r="A553" s="425"/>
      <c r="B553" s="122"/>
      <c r="C553" s="1347" t="s">
        <v>1142</v>
      </c>
      <c r="D553" s="1348"/>
      <c r="E553" s="267"/>
      <c r="F553" s="427"/>
      <c r="G553" s="267"/>
      <c r="H553" s="267"/>
      <c r="I553" s="267"/>
      <c r="J553" s="269"/>
      <c r="K553" s="269"/>
      <c r="L553" s="267"/>
      <c r="M553" s="267"/>
      <c r="N553" s="268"/>
      <c r="O553" s="1163">
        <v>0.93490804699999996</v>
      </c>
      <c r="P553" s="973"/>
      <c r="Q553" s="252"/>
      <c r="R553" s="252"/>
      <c r="S553" s="252"/>
    </row>
    <row r="554" spans="1:19" ht="18.95" customHeight="1">
      <c r="A554" s="204"/>
      <c r="B554" s="122"/>
      <c r="C554" s="1329" t="s">
        <v>1057</v>
      </c>
      <c r="D554" s="1330"/>
      <c r="E554" s="267"/>
      <c r="F554" s="268"/>
      <c r="G554" s="267"/>
      <c r="H554" s="267"/>
      <c r="I554" s="267"/>
      <c r="J554" s="269"/>
      <c r="K554" s="269"/>
      <c r="L554" s="267"/>
      <c r="M554" s="267"/>
      <c r="N554" s="268"/>
      <c r="O554" s="1163">
        <v>0.93490804699999996</v>
      </c>
      <c r="P554" s="973"/>
      <c r="Q554" s="252"/>
      <c r="R554" s="252"/>
      <c r="S554" s="252"/>
    </row>
    <row r="555" spans="1:19" ht="18.95" customHeight="1">
      <c r="A555" s="204">
        <v>8.11</v>
      </c>
      <c r="B555" s="122"/>
      <c r="C555" s="1335" t="s">
        <v>1135</v>
      </c>
      <c r="D555" s="1336"/>
      <c r="E555" s="267">
        <v>37.200000000000003</v>
      </c>
      <c r="F555" s="430" t="s">
        <v>348</v>
      </c>
      <c r="G555" s="267">
        <v>26.54</v>
      </c>
      <c r="H555" s="267">
        <f t="shared" si="63"/>
        <v>24.812459567379999</v>
      </c>
      <c r="I555" s="267">
        <f t="shared" si="64"/>
        <v>923.02349590653603</v>
      </c>
      <c r="J555" s="267">
        <v>14</v>
      </c>
      <c r="K555" s="269">
        <f t="shared" si="67"/>
        <v>13.088712657999999</v>
      </c>
      <c r="L555" s="267">
        <f t="shared" si="68"/>
        <v>486.90011087760001</v>
      </c>
      <c r="M555" s="267">
        <f t="shared" si="66"/>
        <v>1409.9236067841362</v>
      </c>
      <c r="N555" s="268"/>
      <c r="O555" s="1163">
        <v>0.93490804699999996</v>
      </c>
      <c r="P555" s="973"/>
      <c r="Q555" s="252"/>
      <c r="R555" s="252"/>
      <c r="S555" s="252"/>
    </row>
    <row r="556" spans="1:19" ht="18.95" customHeight="1">
      <c r="A556" s="204">
        <v>8.1199999999999992</v>
      </c>
      <c r="B556" s="122"/>
      <c r="C556" s="1331" t="s">
        <v>1136</v>
      </c>
      <c r="D556" s="1332"/>
      <c r="E556" s="267">
        <v>26.9</v>
      </c>
      <c r="F556" s="430" t="s">
        <v>348</v>
      </c>
      <c r="G556" s="267">
        <v>23</v>
      </c>
      <c r="H556" s="267">
        <f t="shared" si="63"/>
        <v>21.502885080999999</v>
      </c>
      <c r="I556" s="267">
        <f t="shared" si="64"/>
        <v>578.4276086788999</v>
      </c>
      <c r="J556" s="267">
        <v>14</v>
      </c>
      <c r="K556" s="269">
        <f t="shared" si="67"/>
        <v>13.088712657999999</v>
      </c>
      <c r="L556" s="267">
        <f t="shared" si="68"/>
        <v>352.08637050019996</v>
      </c>
      <c r="M556" s="267">
        <f t="shared" si="66"/>
        <v>930.51397917909981</v>
      </c>
      <c r="N556" s="268"/>
      <c r="O556" s="1163">
        <v>0.93490804699999996</v>
      </c>
      <c r="P556" s="973"/>
      <c r="Q556" s="862" t="s">
        <v>1038</v>
      </c>
      <c r="R556" s="252"/>
      <c r="S556" s="252"/>
    </row>
    <row r="557" spans="1:19" ht="18.95" customHeight="1">
      <c r="A557" s="204"/>
      <c r="B557" s="122"/>
      <c r="C557" s="1333" t="s">
        <v>1122</v>
      </c>
      <c r="D557" s="1334"/>
      <c r="E557" s="267"/>
      <c r="F557" s="430"/>
      <c r="G557" s="267"/>
      <c r="H557" s="267"/>
      <c r="I557" s="267"/>
      <c r="J557" s="267"/>
      <c r="K557" s="269"/>
      <c r="L557" s="267"/>
      <c r="M557" s="267"/>
      <c r="N557" s="268"/>
      <c r="O557" s="1163">
        <v>0.93490804699999996</v>
      </c>
      <c r="P557" s="973"/>
      <c r="Q557" s="252"/>
      <c r="R557" s="252"/>
      <c r="S557" s="252"/>
    </row>
    <row r="558" spans="1:19" ht="18.95" customHeight="1">
      <c r="A558" s="204">
        <v>8.1300000000000008</v>
      </c>
      <c r="B558" s="122"/>
      <c r="C558" s="1335" t="s">
        <v>1137</v>
      </c>
      <c r="D558" s="1336"/>
      <c r="E558" s="267">
        <v>52</v>
      </c>
      <c r="F558" s="268" t="s">
        <v>402</v>
      </c>
      <c r="G558" s="267">
        <v>63</v>
      </c>
      <c r="H558" s="267">
        <f t="shared" si="63"/>
        <v>58.899206960999997</v>
      </c>
      <c r="I558" s="267">
        <f t="shared" si="64"/>
        <v>3062.7587619719998</v>
      </c>
      <c r="J558" s="267">
        <v>18.899999999999999</v>
      </c>
      <c r="K558" s="269">
        <f t="shared" si="67"/>
        <v>17.669762088299997</v>
      </c>
      <c r="L558" s="267">
        <f t="shared" si="68"/>
        <v>918.82762859159982</v>
      </c>
      <c r="M558" s="267">
        <f t="shared" si="66"/>
        <v>3981.5863905635997</v>
      </c>
      <c r="N558" s="268"/>
      <c r="O558" s="1163">
        <v>0.93490804699999996</v>
      </c>
      <c r="P558" s="973"/>
      <c r="Q558" s="252"/>
      <c r="R558" s="252"/>
      <c r="S558" s="252"/>
    </row>
    <row r="559" spans="1:19" ht="18.95" customHeight="1">
      <c r="A559" s="204"/>
      <c r="B559" s="122"/>
      <c r="C559" s="1329" t="s">
        <v>1052</v>
      </c>
      <c r="D559" s="1330"/>
      <c r="E559" s="267"/>
      <c r="F559" s="268"/>
      <c r="G559" s="267"/>
      <c r="H559" s="267"/>
      <c r="I559" s="267"/>
      <c r="J559" s="267"/>
      <c r="K559" s="269"/>
      <c r="L559" s="267"/>
      <c r="M559" s="267"/>
      <c r="N559" s="268"/>
      <c r="O559" s="1163">
        <v>0.93490804699999996</v>
      </c>
      <c r="P559" s="973"/>
      <c r="Q559" s="252"/>
      <c r="R559" s="252"/>
      <c r="S559" s="252"/>
    </row>
    <row r="560" spans="1:19" ht="18.95" customHeight="1">
      <c r="A560" s="204">
        <v>8.14</v>
      </c>
      <c r="B560" s="122"/>
      <c r="C560" s="1335" t="s">
        <v>1138</v>
      </c>
      <c r="D560" s="1336"/>
      <c r="E560" s="267">
        <v>323.39999999999998</v>
      </c>
      <c r="F560" s="430" t="s">
        <v>348</v>
      </c>
      <c r="G560" s="267">
        <v>26.54</v>
      </c>
      <c r="H560" s="267">
        <f t="shared" si="63"/>
        <v>24.812459567379999</v>
      </c>
      <c r="I560" s="267">
        <f t="shared" si="64"/>
        <v>8024.3494240906912</v>
      </c>
      <c r="J560" s="267">
        <v>14</v>
      </c>
      <c r="K560" s="269">
        <f t="shared" si="67"/>
        <v>13.088712657999999</v>
      </c>
      <c r="L560" s="267">
        <f t="shared" si="68"/>
        <v>4232.8896735971994</v>
      </c>
      <c r="M560" s="267">
        <f t="shared" si="66"/>
        <v>12257.239097687891</v>
      </c>
      <c r="N560" s="268"/>
      <c r="O560" s="1163">
        <v>0.93490804699999996</v>
      </c>
      <c r="P560" s="973"/>
      <c r="Q560" s="252"/>
      <c r="R560" s="252"/>
      <c r="S560" s="252"/>
    </row>
    <row r="561" spans="1:19" ht="18.95" customHeight="1">
      <c r="A561" s="204">
        <v>8.15</v>
      </c>
      <c r="B561" s="122"/>
      <c r="C561" s="1335" t="s">
        <v>1139</v>
      </c>
      <c r="D561" s="1336"/>
      <c r="E561" s="267">
        <v>1626.9</v>
      </c>
      <c r="F561" s="430" t="s">
        <v>348</v>
      </c>
      <c r="G561" s="267">
        <v>26.54</v>
      </c>
      <c r="H561" s="267">
        <f t="shared" si="63"/>
        <v>24.812459567379999</v>
      </c>
      <c r="I561" s="267">
        <f t="shared" si="64"/>
        <v>40367.390470170525</v>
      </c>
      <c r="J561" s="267">
        <v>14</v>
      </c>
      <c r="K561" s="269">
        <f t="shared" si="67"/>
        <v>13.088712657999999</v>
      </c>
      <c r="L561" s="267">
        <f t="shared" si="68"/>
        <v>21294.0266233002</v>
      </c>
      <c r="M561" s="267">
        <f t="shared" si="66"/>
        <v>61661.417093470722</v>
      </c>
      <c r="N561" s="268"/>
      <c r="O561" s="1163">
        <v>0.93490804699999996</v>
      </c>
      <c r="P561" s="973"/>
      <c r="Q561" s="252"/>
      <c r="R561" s="252"/>
      <c r="S561" s="252"/>
    </row>
    <row r="562" spans="1:19" ht="18.95" customHeight="1">
      <c r="A562" s="204">
        <v>8.16</v>
      </c>
      <c r="B562" s="122"/>
      <c r="C562" s="1335" t="s">
        <v>1135</v>
      </c>
      <c r="D562" s="1336"/>
      <c r="E562" s="267">
        <v>2208.8000000000002</v>
      </c>
      <c r="F562" s="430" t="s">
        <v>348</v>
      </c>
      <c r="G562" s="267">
        <v>26.54</v>
      </c>
      <c r="H562" s="267">
        <f t="shared" si="63"/>
        <v>24.812459567379999</v>
      </c>
      <c r="I562" s="267">
        <f t="shared" si="64"/>
        <v>54805.76069242895</v>
      </c>
      <c r="J562" s="267">
        <v>14</v>
      </c>
      <c r="K562" s="269">
        <f t="shared" si="67"/>
        <v>13.088712657999999</v>
      </c>
      <c r="L562" s="267">
        <f t="shared" si="68"/>
        <v>28910.348518990399</v>
      </c>
      <c r="M562" s="267">
        <f t="shared" si="66"/>
        <v>83716.109211419345</v>
      </c>
      <c r="N562" s="268"/>
      <c r="O562" s="1163">
        <v>0.93490804699999996</v>
      </c>
      <c r="P562" s="973"/>
      <c r="Q562" s="252"/>
      <c r="R562" s="252"/>
      <c r="S562" s="252"/>
    </row>
    <row r="563" spans="1:19" ht="18.95" customHeight="1">
      <c r="A563" s="204">
        <v>8.17</v>
      </c>
      <c r="B563" s="122"/>
      <c r="C563" s="1335" t="s">
        <v>1140</v>
      </c>
      <c r="D563" s="1336"/>
      <c r="E563" s="267">
        <v>293.7</v>
      </c>
      <c r="F563" s="430" t="s">
        <v>348</v>
      </c>
      <c r="G563" s="267">
        <v>26.96</v>
      </c>
      <c r="H563" s="267">
        <f t="shared" si="63"/>
        <v>25.205120947120001</v>
      </c>
      <c r="I563" s="267">
        <f t="shared" si="64"/>
        <v>7402.744022169144</v>
      </c>
      <c r="J563" s="267">
        <v>14</v>
      </c>
      <c r="K563" s="269">
        <f t="shared" si="67"/>
        <v>13.088712657999999</v>
      </c>
      <c r="L563" s="267">
        <f t="shared" si="68"/>
        <v>3844.1549076545994</v>
      </c>
      <c r="M563" s="267">
        <f t="shared" si="66"/>
        <v>11246.898929823743</v>
      </c>
      <c r="N563" s="268"/>
      <c r="O563" s="1163">
        <v>0.93490804699999996</v>
      </c>
      <c r="P563" s="973"/>
      <c r="Q563" s="252"/>
      <c r="R563" s="252"/>
      <c r="S563" s="252"/>
    </row>
    <row r="564" spans="1:19" ht="18.95" customHeight="1">
      <c r="A564" s="204">
        <v>8.18</v>
      </c>
      <c r="B564" s="122"/>
      <c r="C564" s="1335" t="s">
        <v>1141</v>
      </c>
      <c r="D564" s="1336"/>
      <c r="E564" s="267">
        <v>354.2</v>
      </c>
      <c r="F564" s="430" t="s">
        <v>348</v>
      </c>
      <c r="G564" s="267">
        <v>26.96</v>
      </c>
      <c r="H564" s="267">
        <f t="shared" si="63"/>
        <v>25.205120947120001</v>
      </c>
      <c r="I564" s="267">
        <f t="shared" si="64"/>
        <v>8927.6538394699037</v>
      </c>
      <c r="J564" s="267">
        <v>14</v>
      </c>
      <c r="K564" s="269">
        <f t="shared" si="67"/>
        <v>13.088712657999999</v>
      </c>
      <c r="L564" s="267">
        <f t="shared" si="68"/>
        <v>4636.022023463599</v>
      </c>
      <c r="M564" s="267">
        <f t="shared" si="66"/>
        <v>13563.675862933502</v>
      </c>
      <c r="N564" s="268"/>
      <c r="O564" s="1163">
        <v>0.93490804699999996</v>
      </c>
      <c r="P564" s="973"/>
      <c r="Q564" s="252"/>
      <c r="R564" s="252"/>
      <c r="S564" s="252"/>
    </row>
    <row r="565" spans="1:19" ht="18.95" customHeight="1">
      <c r="A565" s="204"/>
      <c r="B565" s="122"/>
      <c r="C565" s="1329" t="s">
        <v>1061</v>
      </c>
      <c r="D565" s="1330"/>
      <c r="E565" s="267"/>
      <c r="F565" s="430"/>
      <c r="G565" s="267"/>
      <c r="H565" s="267"/>
      <c r="I565" s="267"/>
      <c r="J565" s="267"/>
      <c r="K565" s="269"/>
      <c r="L565" s="267"/>
      <c r="M565" s="267"/>
      <c r="N565" s="268"/>
      <c r="O565" s="1163">
        <v>0.93490804699999996</v>
      </c>
      <c r="P565" s="973"/>
      <c r="Q565" s="252"/>
      <c r="R565" s="252"/>
      <c r="S565" s="252"/>
    </row>
    <row r="566" spans="1:19" ht="18.95" customHeight="1">
      <c r="A566" s="204">
        <v>8.19</v>
      </c>
      <c r="B566" s="122"/>
      <c r="C566" s="428" t="s">
        <v>1062</v>
      </c>
      <c r="D566" s="429"/>
      <c r="E566" s="267">
        <v>121.8</v>
      </c>
      <c r="F566" s="430" t="s">
        <v>218</v>
      </c>
      <c r="G566" s="267">
        <v>28.02</v>
      </c>
      <c r="H566" s="267">
        <f t="shared" si="63"/>
        <v>26.196123476939999</v>
      </c>
      <c r="I566" s="267">
        <f t="shared" si="64"/>
        <v>3190.6878394912919</v>
      </c>
      <c r="J566" s="267">
        <v>30</v>
      </c>
      <c r="K566" s="269">
        <f t="shared" si="67"/>
        <v>28.047241409999998</v>
      </c>
      <c r="L566" s="267">
        <f t="shared" si="68"/>
        <v>3416.1540037379996</v>
      </c>
      <c r="M566" s="267">
        <f t="shared" si="66"/>
        <v>6606.841843229291</v>
      </c>
      <c r="N566" s="268"/>
      <c r="O566" s="1163">
        <v>0.93490804699999996</v>
      </c>
      <c r="P566" s="973"/>
      <c r="Q566" s="252"/>
      <c r="R566" s="252"/>
      <c r="S566" s="252"/>
    </row>
    <row r="567" spans="1:19" ht="18.95" customHeight="1">
      <c r="A567" s="204">
        <v>8.1999999999999993</v>
      </c>
      <c r="B567" s="122"/>
      <c r="C567" s="449" t="s">
        <v>1063</v>
      </c>
      <c r="D567" s="450"/>
      <c r="E567" s="267">
        <v>121.8</v>
      </c>
      <c r="F567" s="430" t="s">
        <v>218</v>
      </c>
      <c r="G567" s="267">
        <v>32.32</v>
      </c>
      <c r="H567" s="267">
        <f t="shared" si="63"/>
        <v>30.21622807904</v>
      </c>
      <c r="I567" s="267">
        <f t="shared" si="64"/>
        <v>3680.3365800270722</v>
      </c>
      <c r="J567" s="267">
        <v>35</v>
      </c>
      <c r="K567" s="269">
        <f t="shared" si="67"/>
        <v>32.721781645</v>
      </c>
      <c r="L567" s="267">
        <f t="shared" si="68"/>
        <v>3985.5130043609997</v>
      </c>
      <c r="M567" s="267">
        <f t="shared" si="66"/>
        <v>7665.8495843880719</v>
      </c>
      <c r="N567" s="268"/>
      <c r="O567" s="1163">
        <v>0.93490804699999996</v>
      </c>
      <c r="P567" s="973"/>
      <c r="Q567" s="862" t="s">
        <v>1038</v>
      </c>
      <c r="R567" s="252"/>
      <c r="S567" s="252"/>
    </row>
    <row r="568" spans="1:19" ht="18.95" customHeight="1">
      <c r="A568" s="204"/>
      <c r="B568" s="122"/>
      <c r="C568" s="449"/>
      <c r="D568" s="450"/>
      <c r="E568" s="267"/>
      <c r="F568" s="427"/>
      <c r="G568" s="267"/>
      <c r="H568" s="267"/>
      <c r="I568" s="267"/>
      <c r="J568" s="267"/>
      <c r="K568" s="269"/>
      <c r="L568" s="267"/>
      <c r="M568" s="267"/>
      <c r="N568" s="268"/>
      <c r="O568" s="1163">
        <v>0.93490804699999996</v>
      </c>
      <c r="P568" s="973"/>
      <c r="Q568" s="252"/>
      <c r="R568" s="252"/>
      <c r="S568" s="252"/>
    </row>
    <row r="569" spans="1:19" ht="18.95" customHeight="1">
      <c r="A569" s="204"/>
      <c r="B569" s="407"/>
      <c r="D569" s="1259" t="s">
        <v>1143</v>
      </c>
      <c r="E569" s="267"/>
      <c r="F569" s="268"/>
      <c r="G569" s="267"/>
      <c r="H569" s="267"/>
      <c r="I569" s="267"/>
      <c r="J569" s="267"/>
      <c r="K569" s="269"/>
      <c r="L569" s="267"/>
      <c r="M569" s="288">
        <f>SUM(M539:M567)</f>
        <v>406080.11119895888</v>
      </c>
      <c r="N569" s="268"/>
      <c r="O569" s="1163">
        <v>0.93490804699999996</v>
      </c>
      <c r="P569" s="973"/>
      <c r="Q569" s="252"/>
      <c r="R569" s="252"/>
      <c r="S569" s="252"/>
    </row>
    <row r="570" spans="1:19" ht="18.95" customHeight="1">
      <c r="A570" s="229"/>
      <c r="B570" s="122"/>
      <c r="C570" s="215"/>
      <c r="D570" s="164"/>
      <c r="E570" s="270"/>
      <c r="F570" s="268"/>
      <c r="G570" s="289"/>
      <c r="H570" s="267"/>
      <c r="I570" s="267"/>
      <c r="J570" s="289"/>
      <c r="K570" s="269"/>
      <c r="L570" s="267"/>
      <c r="M570" s="270"/>
      <c r="N570" s="268"/>
      <c r="O570" s="1163">
        <v>0.93490804699999996</v>
      </c>
      <c r="P570" s="973"/>
      <c r="Q570" s="252"/>
      <c r="R570" s="252"/>
      <c r="S570" s="252"/>
    </row>
    <row r="571" spans="1:19" ht="18.95" customHeight="1">
      <c r="A571" s="371">
        <v>9</v>
      </c>
      <c r="B571" s="122"/>
      <c r="C571" s="1327" t="s">
        <v>1144</v>
      </c>
      <c r="D571" s="1328"/>
      <c r="E571" s="267"/>
      <c r="F571" s="268"/>
      <c r="G571" s="267"/>
      <c r="H571" s="267"/>
      <c r="I571" s="267"/>
      <c r="J571" s="267"/>
      <c r="K571" s="269"/>
      <c r="L571" s="267"/>
      <c r="M571" s="267"/>
      <c r="N571" s="268"/>
      <c r="O571" s="1163">
        <v>0.93490804699999996</v>
      </c>
      <c r="P571" s="973"/>
      <c r="Q571" s="252"/>
      <c r="R571" s="252"/>
      <c r="S571" s="252"/>
    </row>
    <row r="572" spans="1:19" ht="18.95" customHeight="1">
      <c r="A572" s="204"/>
      <c r="B572" s="122"/>
      <c r="C572" s="1337" t="s">
        <v>1145</v>
      </c>
      <c r="D572" s="1338"/>
      <c r="E572" s="267"/>
      <c r="F572" s="268"/>
      <c r="G572" s="267"/>
      <c r="H572" s="267"/>
      <c r="I572" s="267"/>
      <c r="J572" s="269"/>
      <c r="K572" s="269"/>
      <c r="L572" s="267"/>
      <c r="M572" s="270"/>
      <c r="N572" s="268"/>
      <c r="O572" s="1163">
        <v>0.93490804699999996</v>
      </c>
      <c r="P572" s="973"/>
      <c r="Q572" s="252"/>
      <c r="R572" s="252"/>
      <c r="S572" s="252"/>
    </row>
    <row r="573" spans="1:19" ht="18.95" customHeight="1">
      <c r="A573" s="445">
        <v>9.1</v>
      </c>
      <c r="B573" s="122"/>
      <c r="C573" s="1339" t="s">
        <v>1146</v>
      </c>
      <c r="D573" s="1340"/>
      <c r="E573" s="267">
        <v>1632</v>
      </c>
      <c r="F573" s="430" t="s">
        <v>348</v>
      </c>
      <c r="G573" s="267">
        <v>23</v>
      </c>
      <c r="H573" s="267">
        <f t="shared" si="63"/>
        <v>21.502885080999999</v>
      </c>
      <c r="I573" s="267">
        <f t="shared" si="64"/>
        <v>35092.708452191997</v>
      </c>
      <c r="J573" s="267">
        <v>14</v>
      </c>
      <c r="K573" s="269">
        <f t="shared" si="67"/>
        <v>13.088712657999999</v>
      </c>
      <c r="L573" s="267">
        <f t="shared" si="68"/>
        <v>21360.779057855998</v>
      </c>
      <c r="M573" s="270">
        <f t="shared" ref="M573:M598" si="69">I573+L573</f>
        <v>56453.487510047999</v>
      </c>
      <c r="N573" s="270"/>
      <c r="O573" s="1163">
        <v>0.93490804699999996</v>
      </c>
      <c r="P573" s="976"/>
      <c r="Q573" s="862" t="s">
        <v>1038</v>
      </c>
      <c r="R573" s="252"/>
      <c r="S573" s="252"/>
    </row>
    <row r="574" spans="1:19" ht="18.95" customHeight="1">
      <c r="A574" s="445">
        <v>9.1999999999999993</v>
      </c>
      <c r="B574" s="122"/>
      <c r="C574" s="1339" t="s">
        <v>1147</v>
      </c>
      <c r="D574" s="1340"/>
      <c r="E574" s="267">
        <v>1408</v>
      </c>
      <c r="F574" s="430" t="s">
        <v>348</v>
      </c>
      <c r="G574" s="267">
        <v>26.54</v>
      </c>
      <c r="H574" s="267">
        <f t="shared" si="63"/>
        <v>24.812459567379999</v>
      </c>
      <c r="I574" s="267">
        <f t="shared" si="64"/>
        <v>34935.943070871042</v>
      </c>
      <c r="J574" s="267">
        <v>14</v>
      </c>
      <c r="K574" s="269">
        <f t="shared" si="67"/>
        <v>13.088712657999999</v>
      </c>
      <c r="L574" s="267">
        <f t="shared" si="68"/>
        <v>18428.907422463999</v>
      </c>
      <c r="M574" s="270">
        <f t="shared" si="69"/>
        <v>53364.850493335041</v>
      </c>
      <c r="N574" s="270"/>
      <c r="O574" s="1163">
        <v>0.93490804699999996</v>
      </c>
      <c r="P574" s="976"/>
      <c r="Q574" s="252"/>
      <c r="R574" s="252"/>
      <c r="S574" s="252"/>
    </row>
    <row r="575" spans="1:19" ht="18.95" customHeight="1">
      <c r="A575" s="445">
        <v>9.3000000000000007</v>
      </c>
      <c r="B575" s="122"/>
      <c r="C575" s="1339" t="s">
        <v>1148</v>
      </c>
      <c r="D575" s="1340"/>
      <c r="E575" s="267">
        <v>4988.5</v>
      </c>
      <c r="F575" s="430" t="s">
        <v>348</v>
      </c>
      <c r="G575" s="267">
        <v>27.58</v>
      </c>
      <c r="H575" s="267">
        <f t="shared" si="63"/>
        <v>25.784763936259999</v>
      </c>
      <c r="I575" s="267">
        <f t="shared" si="64"/>
        <v>128627.29489603301</v>
      </c>
      <c r="J575" s="267">
        <v>14</v>
      </c>
      <c r="K575" s="269">
        <f t="shared" si="67"/>
        <v>13.088712657999999</v>
      </c>
      <c r="L575" s="267">
        <f t="shared" si="68"/>
        <v>65293.043094432993</v>
      </c>
      <c r="M575" s="270">
        <f t="shared" si="69"/>
        <v>193920.33799046601</v>
      </c>
      <c r="N575" s="270"/>
      <c r="O575" s="1163">
        <v>0.93490804699999996</v>
      </c>
      <c r="P575" s="976"/>
      <c r="Q575" s="252"/>
      <c r="R575" s="252"/>
      <c r="S575" s="252"/>
    </row>
    <row r="576" spans="1:19" ht="18.95" customHeight="1">
      <c r="A576" s="445">
        <v>9.4</v>
      </c>
      <c r="B576" s="122"/>
      <c r="C576" s="1339" t="s">
        <v>1149</v>
      </c>
      <c r="D576" s="1340"/>
      <c r="E576" s="267">
        <v>1817.1</v>
      </c>
      <c r="F576" s="430" t="s">
        <v>348</v>
      </c>
      <c r="G576" s="267">
        <v>34.86</v>
      </c>
      <c r="H576" s="267">
        <f t="shared" si="63"/>
        <v>32.590894518420001</v>
      </c>
      <c r="I576" s="267">
        <f t="shared" si="64"/>
        <v>59220.914429420984</v>
      </c>
      <c r="J576" s="267">
        <v>14</v>
      </c>
      <c r="K576" s="269">
        <f t="shared" si="67"/>
        <v>13.088712657999999</v>
      </c>
      <c r="L576" s="267">
        <f t="shared" si="68"/>
        <v>23783.499770851795</v>
      </c>
      <c r="M576" s="270">
        <f t="shared" si="69"/>
        <v>83004.414200272775</v>
      </c>
      <c r="N576" s="270"/>
      <c r="O576" s="1163">
        <v>0.93490804699999996</v>
      </c>
      <c r="P576" s="976"/>
      <c r="Q576" s="252"/>
      <c r="R576" s="252"/>
      <c r="S576" s="252"/>
    </row>
    <row r="577" spans="1:19" ht="18.95" customHeight="1">
      <c r="A577" s="445"/>
      <c r="B577" s="122"/>
      <c r="C577" s="1337" t="s">
        <v>1150</v>
      </c>
      <c r="D577" s="1338"/>
      <c r="E577" s="267"/>
      <c r="F577" s="430"/>
      <c r="G577" s="267"/>
      <c r="H577" s="267"/>
      <c r="I577" s="267"/>
      <c r="J577" s="267"/>
      <c r="K577" s="269"/>
      <c r="L577" s="267"/>
      <c r="M577" s="270"/>
      <c r="N577" s="270"/>
      <c r="O577" s="1163">
        <v>0.93490804699999996</v>
      </c>
      <c r="P577" s="976"/>
      <c r="Q577" s="252"/>
      <c r="R577" s="252"/>
      <c r="S577" s="252"/>
    </row>
    <row r="578" spans="1:19" ht="18.95" customHeight="1">
      <c r="A578" s="445">
        <v>9.5</v>
      </c>
      <c r="B578" s="122"/>
      <c r="C578" s="1339" t="s">
        <v>1147</v>
      </c>
      <c r="D578" s="1340"/>
      <c r="E578" s="267">
        <v>6118.2</v>
      </c>
      <c r="F578" s="430" t="s">
        <v>348</v>
      </c>
      <c r="G578" s="267">
        <v>26.54</v>
      </c>
      <c r="H578" s="267">
        <f t="shared" si="63"/>
        <v>24.812459567379999</v>
      </c>
      <c r="I578" s="267">
        <f t="shared" si="64"/>
        <v>151807.59012514431</v>
      </c>
      <c r="J578" s="267">
        <v>14</v>
      </c>
      <c r="K578" s="269">
        <f t="shared" si="67"/>
        <v>13.088712657999999</v>
      </c>
      <c r="L578" s="267">
        <f t="shared" si="68"/>
        <v>80079.361784175591</v>
      </c>
      <c r="M578" s="270">
        <f t="shared" si="69"/>
        <v>231886.95190931991</v>
      </c>
      <c r="N578" s="270"/>
      <c r="O578" s="1163">
        <v>0.93490804699999996</v>
      </c>
      <c r="P578" s="976"/>
      <c r="Q578" s="252"/>
      <c r="R578" s="252"/>
      <c r="S578" s="252"/>
    </row>
    <row r="579" spans="1:19" ht="18.95" customHeight="1">
      <c r="A579" s="445">
        <v>9.6</v>
      </c>
      <c r="B579" s="122"/>
      <c r="C579" s="1339" t="s">
        <v>1148</v>
      </c>
      <c r="D579" s="1340"/>
      <c r="E579" s="267">
        <v>944</v>
      </c>
      <c r="F579" s="430" t="s">
        <v>348</v>
      </c>
      <c r="G579" s="267">
        <v>27.58</v>
      </c>
      <c r="H579" s="267">
        <f t="shared" si="63"/>
        <v>25.784763936259999</v>
      </c>
      <c r="I579" s="267">
        <f t="shared" si="64"/>
        <v>24340.817155829438</v>
      </c>
      <c r="J579" s="267">
        <v>14</v>
      </c>
      <c r="K579" s="269">
        <f t="shared" si="67"/>
        <v>13.088712657999999</v>
      </c>
      <c r="L579" s="267">
        <f t="shared" si="68"/>
        <v>12355.744749151998</v>
      </c>
      <c r="M579" s="270">
        <f t="shared" si="69"/>
        <v>36696.561904981434</v>
      </c>
      <c r="N579" s="270"/>
      <c r="O579" s="1163">
        <v>0.93490804699999996</v>
      </c>
      <c r="P579" s="976"/>
      <c r="Q579" s="252"/>
      <c r="R579" s="252"/>
      <c r="S579" s="252"/>
    </row>
    <row r="580" spans="1:19" ht="18.95" customHeight="1">
      <c r="A580" s="445"/>
      <c r="B580" s="122"/>
      <c r="C580" s="1337" t="s">
        <v>76</v>
      </c>
      <c r="D580" s="1338"/>
      <c r="E580" s="267"/>
      <c r="F580" s="430"/>
      <c r="G580" s="267"/>
      <c r="H580" s="267"/>
      <c r="I580" s="267"/>
      <c r="J580" s="267"/>
      <c r="K580" s="269"/>
      <c r="L580" s="267"/>
      <c r="M580" s="270"/>
      <c r="N580" s="268"/>
      <c r="O580" s="1163">
        <v>0.93490804699999996</v>
      </c>
      <c r="P580" s="973"/>
      <c r="Q580" s="252"/>
      <c r="R580" s="252"/>
      <c r="S580" s="252"/>
    </row>
    <row r="581" spans="1:19" ht="18.95" customHeight="1">
      <c r="A581" s="445">
        <v>9.6999999999999993</v>
      </c>
      <c r="B581" s="122"/>
      <c r="C581" s="1339" t="s">
        <v>1147</v>
      </c>
      <c r="D581" s="1340"/>
      <c r="E581" s="267">
        <v>1112.4000000000001</v>
      </c>
      <c r="F581" s="430" t="s">
        <v>348</v>
      </c>
      <c r="G581" s="267">
        <v>26.54</v>
      </c>
      <c r="H581" s="267">
        <f t="shared" si="63"/>
        <v>24.812459567379999</v>
      </c>
      <c r="I581" s="267">
        <f t="shared" si="64"/>
        <v>27601.380022753514</v>
      </c>
      <c r="J581" s="267">
        <v>14</v>
      </c>
      <c r="K581" s="269">
        <f t="shared" si="67"/>
        <v>13.088712657999999</v>
      </c>
      <c r="L581" s="267">
        <f t="shared" si="68"/>
        <v>14559.8839607592</v>
      </c>
      <c r="M581" s="270">
        <f t="shared" si="69"/>
        <v>42161.263983512712</v>
      </c>
      <c r="N581" s="268"/>
      <c r="O581" s="1163">
        <v>0.93490804699999996</v>
      </c>
      <c r="P581" s="973"/>
      <c r="Q581" s="252"/>
      <c r="R581" s="252"/>
      <c r="S581" s="252"/>
    </row>
    <row r="582" spans="1:19" ht="18.95" customHeight="1">
      <c r="A582" s="445">
        <v>9.8000000000000007</v>
      </c>
      <c r="B582" s="122"/>
      <c r="C582" s="1339" t="s">
        <v>1151</v>
      </c>
      <c r="D582" s="1340"/>
      <c r="E582" s="267">
        <v>59.1</v>
      </c>
      <c r="F582" s="430" t="s">
        <v>218</v>
      </c>
      <c r="G582" s="267">
        <v>350.76</v>
      </c>
      <c r="H582" s="267">
        <f t="shared" si="63"/>
        <v>327.92834656572001</v>
      </c>
      <c r="I582" s="267">
        <f t="shared" si="64"/>
        <v>19380.565282034051</v>
      </c>
      <c r="J582" s="267">
        <v>102.08</v>
      </c>
      <c r="K582" s="269">
        <f t="shared" si="67"/>
        <v>95.435413437759991</v>
      </c>
      <c r="L582" s="267">
        <f t="shared" si="68"/>
        <v>5640.2329341716159</v>
      </c>
      <c r="M582" s="270">
        <f t="shared" si="69"/>
        <v>25020.798216205665</v>
      </c>
      <c r="N582" s="268"/>
      <c r="O582" s="1163">
        <v>0.93490804699999996</v>
      </c>
      <c r="P582" s="973"/>
      <c r="Q582" s="252"/>
      <c r="R582" s="252"/>
      <c r="S582" s="252"/>
    </row>
    <row r="583" spans="1:19" ht="18.95" customHeight="1">
      <c r="A583" s="445"/>
      <c r="B583" s="122"/>
      <c r="C583" s="1337" t="s">
        <v>77</v>
      </c>
      <c r="D583" s="1338"/>
      <c r="E583" s="267"/>
      <c r="F583" s="268"/>
      <c r="G583" s="267"/>
      <c r="H583" s="267"/>
      <c r="I583" s="267"/>
      <c r="J583" s="269"/>
      <c r="K583" s="269"/>
      <c r="L583" s="267"/>
      <c r="M583" s="270"/>
      <c r="N583" s="268"/>
      <c r="O583" s="1163">
        <v>0.93490804699999996</v>
      </c>
      <c r="P583" s="973"/>
      <c r="Q583" s="252"/>
      <c r="R583" s="252"/>
      <c r="S583" s="252"/>
    </row>
    <row r="584" spans="1:19" ht="18.95" customHeight="1">
      <c r="A584" s="445">
        <v>9.9</v>
      </c>
      <c r="B584" s="122"/>
      <c r="C584" s="1339" t="s">
        <v>1084</v>
      </c>
      <c r="D584" s="1340"/>
      <c r="E584" s="267">
        <v>261.10000000000002</v>
      </c>
      <c r="F584" s="430" t="s">
        <v>348</v>
      </c>
      <c r="G584" s="267">
        <v>23</v>
      </c>
      <c r="H584" s="267">
        <f t="shared" si="63"/>
        <v>21.502885080999999</v>
      </c>
      <c r="I584" s="267">
        <f t="shared" si="64"/>
        <v>5614.4032946490997</v>
      </c>
      <c r="J584" s="267">
        <v>14</v>
      </c>
      <c r="K584" s="269">
        <f t="shared" si="67"/>
        <v>13.088712657999999</v>
      </c>
      <c r="L584" s="267">
        <f t="shared" si="68"/>
        <v>3417.4628750038</v>
      </c>
      <c r="M584" s="270">
        <f t="shared" si="69"/>
        <v>9031.8661696528998</v>
      </c>
      <c r="N584" s="268"/>
      <c r="O584" s="1163">
        <v>0.93490804699999996</v>
      </c>
      <c r="P584" s="973"/>
      <c r="Q584" s="862" t="s">
        <v>1038</v>
      </c>
      <c r="R584" s="252"/>
      <c r="S584" s="252"/>
    </row>
    <row r="585" spans="1:19" ht="18.95" customHeight="1">
      <c r="A585" s="204">
        <v>9.1</v>
      </c>
      <c r="B585" s="122"/>
      <c r="C585" s="1339" t="s">
        <v>1120</v>
      </c>
      <c r="D585" s="1340"/>
      <c r="E585" s="267">
        <v>1189.8</v>
      </c>
      <c r="F585" s="430" t="s">
        <v>348</v>
      </c>
      <c r="G585" s="267">
        <v>23</v>
      </c>
      <c r="H585" s="267">
        <f t="shared" si="63"/>
        <v>21.502885080999999</v>
      </c>
      <c r="I585" s="267">
        <f t="shared" si="64"/>
        <v>25584.132669373797</v>
      </c>
      <c r="J585" s="267">
        <v>14</v>
      </c>
      <c r="K585" s="269">
        <f t="shared" si="67"/>
        <v>13.088712657999999</v>
      </c>
      <c r="L585" s="267">
        <f t="shared" si="68"/>
        <v>15572.950320488399</v>
      </c>
      <c r="M585" s="270">
        <f t="shared" si="69"/>
        <v>41157.082989862196</v>
      </c>
      <c r="N585" s="268"/>
      <c r="O585" s="1163">
        <v>0.93490804699999996</v>
      </c>
      <c r="P585" s="973"/>
      <c r="Q585" s="862" t="s">
        <v>1038</v>
      </c>
      <c r="R585" s="252"/>
      <c r="S585" s="252"/>
    </row>
    <row r="586" spans="1:19" ht="18.95" customHeight="1">
      <c r="A586" s="204"/>
      <c r="B586" s="122"/>
      <c r="C586" s="1337" t="s">
        <v>1122</v>
      </c>
      <c r="D586" s="1338"/>
      <c r="E586" s="267"/>
      <c r="F586" s="268"/>
      <c r="G586" s="267"/>
      <c r="H586" s="267"/>
      <c r="I586" s="267"/>
      <c r="J586" s="267"/>
      <c r="K586" s="269"/>
      <c r="L586" s="267"/>
      <c r="M586" s="270"/>
      <c r="N586" s="268"/>
      <c r="O586" s="1163">
        <v>0.93490804699999996</v>
      </c>
      <c r="P586" s="973"/>
      <c r="Q586" s="252"/>
      <c r="R586" s="252"/>
      <c r="S586" s="252"/>
    </row>
    <row r="587" spans="1:19" ht="18.95" customHeight="1">
      <c r="A587" s="204">
        <v>9.11</v>
      </c>
      <c r="B587" s="122"/>
      <c r="C587" s="1339" t="s">
        <v>1137</v>
      </c>
      <c r="D587" s="1340"/>
      <c r="E587" s="267">
        <v>584</v>
      </c>
      <c r="F587" s="268" t="s">
        <v>402</v>
      </c>
      <c r="G587" s="267">
        <v>63</v>
      </c>
      <c r="H587" s="267">
        <f t="shared" si="63"/>
        <v>58.899206960999997</v>
      </c>
      <c r="I587" s="267">
        <f t="shared" si="64"/>
        <v>34397.136865223998</v>
      </c>
      <c r="J587" s="267">
        <v>18.899999999999999</v>
      </c>
      <c r="K587" s="269">
        <f t="shared" si="67"/>
        <v>17.669762088299997</v>
      </c>
      <c r="L587" s="267">
        <f t="shared" si="68"/>
        <v>10319.141059567199</v>
      </c>
      <c r="M587" s="270">
        <f t="shared" si="69"/>
        <v>44716.277924791197</v>
      </c>
      <c r="N587" s="268"/>
      <c r="O587" s="1163">
        <v>0.93490804699999996</v>
      </c>
      <c r="P587" s="973"/>
      <c r="Q587" s="252"/>
      <c r="R587" s="252"/>
      <c r="S587" s="252"/>
    </row>
    <row r="588" spans="1:19" ht="18.95" customHeight="1">
      <c r="A588" s="204"/>
      <c r="B588" s="122"/>
      <c r="C588" s="1337" t="s">
        <v>1152</v>
      </c>
      <c r="D588" s="1338"/>
      <c r="E588" s="267"/>
      <c r="F588" s="268"/>
      <c r="G588" s="267"/>
      <c r="H588" s="267"/>
      <c r="I588" s="267"/>
      <c r="J588" s="267"/>
      <c r="K588" s="269"/>
      <c r="L588" s="267"/>
      <c r="M588" s="270"/>
      <c r="N588" s="268"/>
      <c r="O588" s="1163">
        <v>0.93490804699999996</v>
      </c>
      <c r="P588" s="973"/>
      <c r="Q588" s="252"/>
      <c r="R588" s="252"/>
      <c r="S588" s="252"/>
    </row>
    <row r="589" spans="1:19" ht="18.95" customHeight="1">
      <c r="A589" s="204">
        <v>9.1199999999999992</v>
      </c>
      <c r="B589" s="122"/>
      <c r="C589" s="1325" t="s">
        <v>1066</v>
      </c>
      <c r="D589" s="1326"/>
      <c r="E589" s="267">
        <v>0</v>
      </c>
      <c r="F589" s="430" t="s">
        <v>1032</v>
      </c>
      <c r="G589" s="267">
        <v>2507</v>
      </c>
      <c r="H589" s="267">
        <f t="shared" si="63"/>
        <v>2343.8144738289998</v>
      </c>
      <c r="I589" s="267">
        <f t="shared" si="64"/>
        <v>0</v>
      </c>
      <c r="J589" s="267">
        <v>519</v>
      </c>
      <c r="K589" s="269">
        <f t="shared" si="67"/>
        <v>485.21727639299996</v>
      </c>
      <c r="L589" s="267">
        <f t="shared" si="68"/>
        <v>0</v>
      </c>
      <c r="M589" s="270">
        <f t="shared" si="69"/>
        <v>0</v>
      </c>
      <c r="N589" s="268"/>
      <c r="O589" s="1163">
        <v>0.93490804699999996</v>
      </c>
      <c r="P589" s="973"/>
      <c r="Q589" s="252"/>
      <c r="R589" s="252"/>
      <c r="S589" s="252"/>
    </row>
    <row r="590" spans="1:19" ht="18.95" customHeight="1">
      <c r="A590" s="204"/>
      <c r="B590" s="122"/>
      <c r="C590" s="1337" t="s">
        <v>1036</v>
      </c>
      <c r="D590" s="1338"/>
      <c r="E590" s="267"/>
      <c r="F590" s="430"/>
      <c r="G590" s="267"/>
      <c r="H590" s="267"/>
      <c r="I590" s="267"/>
      <c r="J590" s="267"/>
      <c r="K590" s="269"/>
      <c r="L590" s="267"/>
      <c r="M590" s="270"/>
      <c r="N590" s="268"/>
      <c r="O590" s="1163">
        <v>0.93490804699999996</v>
      </c>
      <c r="P590" s="973"/>
      <c r="Q590" s="252"/>
      <c r="R590" s="252"/>
      <c r="S590" s="252"/>
    </row>
    <row r="591" spans="1:19" ht="18.95" customHeight="1">
      <c r="A591" s="425">
        <v>9.1300000000000008</v>
      </c>
      <c r="B591" s="122"/>
      <c r="C591" s="1339" t="s">
        <v>1037</v>
      </c>
      <c r="D591" s="1340"/>
      <c r="E591" s="267">
        <v>2.6</v>
      </c>
      <c r="F591" s="430" t="s">
        <v>348</v>
      </c>
      <c r="G591" s="267">
        <v>19.600000000000001</v>
      </c>
      <c r="H591" s="267">
        <f t="shared" si="63"/>
        <v>18.324197721200001</v>
      </c>
      <c r="I591" s="267">
        <f t="shared" si="64"/>
        <v>47.642914075120004</v>
      </c>
      <c r="J591" s="269">
        <v>4.4000000000000004</v>
      </c>
      <c r="K591" s="269">
        <f t="shared" si="67"/>
        <v>4.1135954068</v>
      </c>
      <c r="L591" s="267">
        <f t="shared" si="68"/>
        <v>10.69534805768</v>
      </c>
      <c r="M591" s="270">
        <f t="shared" si="69"/>
        <v>58.338262132800004</v>
      </c>
      <c r="N591" s="268"/>
      <c r="O591" s="1163">
        <v>0.93490804699999996</v>
      </c>
      <c r="P591" s="973"/>
      <c r="Q591" s="862" t="s">
        <v>1038</v>
      </c>
      <c r="R591" s="252"/>
      <c r="S591" s="252"/>
    </row>
    <row r="592" spans="1:19" ht="18.95" customHeight="1">
      <c r="A592" s="425">
        <v>9.14</v>
      </c>
      <c r="B592" s="122"/>
      <c r="C592" s="1339" t="s">
        <v>1039</v>
      </c>
      <c r="D592" s="1340"/>
      <c r="E592" s="267">
        <v>2.2999999999999998</v>
      </c>
      <c r="F592" s="430" t="s">
        <v>348</v>
      </c>
      <c r="G592" s="267">
        <v>19.7</v>
      </c>
      <c r="H592" s="267">
        <f t="shared" si="63"/>
        <v>18.417688525899997</v>
      </c>
      <c r="I592" s="267">
        <f t="shared" si="64"/>
        <v>42.360683609569989</v>
      </c>
      <c r="J592" s="269">
        <v>3.6</v>
      </c>
      <c r="K592" s="269">
        <f t="shared" si="67"/>
        <v>3.3656689692000001</v>
      </c>
      <c r="L592" s="267">
        <f t="shared" si="68"/>
        <v>7.7410386291599993</v>
      </c>
      <c r="M592" s="270">
        <f t="shared" si="69"/>
        <v>50.101722238729991</v>
      </c>
      <c r="N592" s="268"/>
      <c r="O592" s="1163">
        <v>0.93490804699999996</v>
      </c>
      <c r="P592" s="973"/>
      <c r="Q592" s="862" t="s">
        <v>1038</v>
      </c>
      <c r="R592" s="252"/>
      <c r="S592" s="252"/>
    </row>
    <row r="593" spans="1:19" ht="18.95" customHeight="1">
      <c r="A593" s="425">
        <v>9.15</v>
      </c>
      <c r="B593" s="122"/>
      <c r="C593" s="1321" t="s">
        <v>1041</v>
      </c>
      <c r="D593" s="1322"/>
      <c r="E593" s="267">
        <v>0.1</v>
      </c>
      <c r="F593" s="430" t="s">
        <v>348</v>
      </c>
      <c r="G593" s="269">
        <v>27.1</v>
      </c>
      <c r="H593" s="267">
        <f t="shared" ref="H593:H656" si="70">G593*O593</f>
        <v>25.3360080737</v>
      </c>
      <c r="I593" s="267">
        <f t="shared" ref="I593:I656" si="71">E593*H593</f>
        <v>2.53360080737</v>
      </c>
      <c r="J593" s="269">
        <v>0</v>
      </c>
      <c r="K593" s="269">
        <f t="shared" si="67"/>
        <v>0</v>
      </c>
      <c r="L593" s="267">
        <f t="shared" si="68"/>
        <v>0</v>
      </c>
      <c r="M593" s="270">
        <f t="shared" si="69"/>
        <v>2.53360080737</v>
      </c>
      <c r="N593" s="268"/>
      <c r="O593" s="1163">
        <v>0.93490804699999996</v>
      </c>
      <c r="P593" s="973"/>
      <c r="Q593" s="862" t="s">
        <v>1038</v>
      </c>
      <c r="R593" s="252"/>
      <c r="S593" s="252"/>
    </row>
    <row r="594" spans="1:19" ht="18.95" customHeight="1">
      <c r="A594" s="425">
        <v>9.16</v>
      </c>
      <c r="B594" s="122"/>
      <c r="C594" s="1323" t="s">
        <v>1043</v>
      </c>
      <c r="D594" s="1324"/>
      <c r="E594" s="267"/>
      <c r="F594" s="430"/>
      <c r="G594" s="267"/>
      <c r="H594" s="267"/>
      <c r="I594" s="267"/>
      <c r="J594" s="269"/>
      <c r="K594" s="269"/>
      <c r="L594" s="267"/>
      <c r="M594" s="270"/>
      <c r="N594" s="268"/>
      <c r="O594" s="1163">
        <v>0.93490804699999996</v>
      </c>
      <c r="P594" s="973"/>
      <c r="Q594" s="252"/>
      <c r="R594" s="252"/>
      <c r="S594" s="252"/>
    </row>
    <row r="595" spans="1:19" ht="18.95" customHeight="1">
      <c r="A595" s="431"/>
      <c r="B595" s="329"/>
      <c r="C595" s="433" t="s">
        <v>1044</v>
      </c>
      <c r="E595" s="267">
        <v>0.24</v>
      </c>
      <c r="F595" s="434" t="s">
        <v>218</v>
      </c>
      <c r="G595" s="434">
        <v>245.2</v>
      </c>
      <c r="H595" s="267">
        <f t="shared" si="70"/>
        <v>229.23945312439997</v>
      </c>
      <c r="I595" s="267">
        <f t="shared" si="71"/>
        <v>55.017468749855993</v>
      </c>
      <c r="J595" s="435">
        <v>0</v>
      </c>
      <c r="K595" s="269">
        <f t="shared" si="67"/>
        <v>0</v>
      </c>
      <c r="L595" s="267">
        <f t="shared" si="68"/>
        <v>0</v>
      </c>
      <c r="M595" s="270">
        <f t="shared" si="69"/>
        <v>55.017468749855993</v>
      </c>
      <c r="N595" s="436"/>
      <c r="O595" s="1163">
        <v>0.93490804699999996</v>
      </c>
      <c r="P595" s="765"/>
      <c r="Q595" s="252"/>
      <c r="R595" s="252"/>
      <c r="S595" s="252"/>
    </row>
    <row r="596" spans="1:19" ht="18.95" customHeight="1">
      <c r="A596" s="431"/>
      <c r="B596" s="329"/>
      <c r="C596" s="433" t="s">
        <v>1045</v>
      </c>
      <c r="E596" s="267">
        <v>0.4</v>
      </c>
      <c r="F596" s="434" t="s">
        <v>218</v>
      </c>
      <c r="G596" s="434">
        <v>0</v>
      </c>
      <c r="H596" s="267">
        <f t="shared" si="70"/>
        <v>0</v>
      </c>
      <c r="I596" s="267">
        <f t="shared" si="71"/>
        <v>0</v>
      </c>
      <c r="J596" s="435">
        <v>121</v>
      </c>
      <c r="K596" s="269">
        <f t="shared" si="67"/>
        <v>113.123873687</v>
      </c>
      <c r="L596" s="267">
        <f t="shared" si="68"/>
        <v>45.249549474800006</v>
      </c>
      <c r="M596" s="270">
        <f t="shared" si="69"/>
        <v>45.249549474800006</v>
      </c>
      <c r="N596" s="436"/>
      <c r="O596" s="1163">
        <v>0.93490804699999996</v>
      </c>
      <c r="P596" s="765"/>
      <c r="Q596" s="252"/>
      <c r="R596" s="252"/>
      <c r="S596" s="252"/>
    </row>
    <row r="597" spans="1:19" ht="18.95" customHeight="1">
      <c r="A597" s="431"/>
      <c r="B597" s="329"/>
      <c r="C597" s="433" t="s">
        <v>1046</v>
      </c>
      <c r="E597" s="267">
        <v>0.08</v>
      </c>
      <c r="F597" s="434" t="s">
        <v>1047</v>
      </c>
      <c r="G597" s="434">
        <v>309.42</v>
      </c>
      <c r="H597" s="267">
        <f t="shared" si="70"/>
        <v>289.27924790274</v>
      </c>
      <c r="I597" s="267">
        <f t="shared" si="71"/>
        <v>23.1423398322192</v>
      </c>
      <c r="J597" s="435">
        <v>0</v>
      </c>
      <c r="K597" s="269">
        <f t="shared" si="67"/>
        <v>0</v>
      </c>
      <c r="L597" s="267">
        <f t="shared" si="68"/>
        <v>0</v>
      </c>
      <c r="M597" s="270">
        <f t="shared" si="69"/>
        <v>23.1423398322192</v>
      </c>
      <c r="N597" s="436"/>
      <c r="O597" s="1163">
        <v>0.93490804699999996</v>
      </c>
      <c r="P597" s="765"/>
      <c r="Q597" s="252"/>
      <c r="R597" s="252"/>
      <c r="S597" s="252"/>
    </row>
    <row r="598" spans="1:19" ht="18.95" customHeight="1">
      <c r="A598" s="431"/>
      <c r="B598" s="329"/>
      <c r="C598" s="433" t="s">
        <v>1048</v>
      </c>
      <c r="E598" s="269">
        <v>0.06</v>
      </c>
      <c r="F598" s="434" t="s">
        <v>348</v>
      </c>
      <c r="G598" s="434">
        <v>23.36</v>
      </c>
      <c r="H598" s="267">
        <f t="shared" si="70"/>
        <v>21.83945197792</v>
      </c>
      <c r="I598" s="267">
        <f t="shared" si="71"/>
        <v>1.3103671186751999</v>
      </c>
      <c r="J598" s="435">
        <v>0</v>
      </c>
      <c r="K598" s="269">
        <f t="shared" si="67"/>
        <v>0</v>
      </c>
      <c r="L598" s="267">
        <f t="shared" si="68"/>
        <v>0</v>
      </c>
      <c r="M598" s="270">
        <f t="shared" si="69"/>
        <v>1.3103671186751999</v>
      </c>
      <c r="N598" s="436"/>
      <c r="O598" s="1163">
        <v>0.93490804699999996</v>
      </c>
      <c r="P598" s="765"/>
      <c r="Q598" s="862" t="s">
        <v>1038</v>
      </c>
      <c r="R598" s="252"/>
      <c r="S598" s="252"/>
    </row>
    <row r="599" spans="1:19" ht="18.95" customHeight="1">
      <c r="A599" s="141"/>
      <c r="B599" s="122"/>
      <c r="C599" s="215"/>
      <c r="D599" s="164"/>
      <c r="E599" s="270"/>
      <c r="F599" s="268"/>
      <c r="G599" s="270"/>
      <c r="H599" s="267"/>
      <c r="I599" s="267"/>
      <c r="J599" s="270"/>
      <c r="K599" s="269"/>
      <c r="L599" s="267"/>
      <c r="M599" s="270"/>
      <c r="N599" s="268"/>
      <c r="O599" s="1163">
        <v>0.93490804699999996</v>
      </c>
      <c r="P599" s="973"/>
      <c r="Q599" s="252"/>
      <c r="R599" s="252"/>
      <c r="S599" s="252"/>
    </row>
    <row r="600" spans="1:19" ht="18.95" customHeight="1">
      <c r="A600" s="229"/>
      <c r="B600" s="122"/>
      <c r="C600" s="215"/>
      <c r="D600" s="164"/>
      <c r="E600" s="270"/>
      <c r="F600" s="268"/>
      <c r="G600" s="270"/>
      <c r="H600" s="267"/>
      <c r="I600" s="267"/>
      <c r="J600" s="270"/>
      <c r="K600" s="269"/>
      <c r="L600" s="267"/>
      <c r="M600" s="270"/>
      <c r="N600" s="268"/>
      <c r="O600" s="1163">
        <v>0.93490804699999996</v>
      </c>
      <c r="P600" s="973"/>
      <c r="Q600" s="252"/>
      <c r="R600" s="252"/>
      <c r="S600" s="252"/>
    </row>
    <row r="601" spans="1:19" ht="18.95" customHeight="1">
      <c r="A601" s="204"/>
      <c r="B601" s="122"/>
      <c r="C601" s="1337" t="s">
        <v>1061</v>
      </c>
      <c r="D601" s="1338"/>
      <c r="E601" s="267"/>
      <c r="F601" s="430"/>
      <c r="G601" s="267"/>
      <c r="H601" s="267"/>
      <c r="I601" s="267"/>
      <c r="J601" s="267"/>
      <c r="K601" s="269"/>
      <c r="L601" s="267"/>
      <c r="M601" s="270"/>
      <c r="N601" s="270"/>
      <c r="O601" s="1163">
        <v>0.93490804699999996</v>
      </c>
      <c r="P601" s="976"/>
      <c r="Q601" s="252"/>
      <c r="R601" s="252"/>
      <c r="S601" s="252"/>
    </row>
    <row r="602" spans="1:19" ht="18.95" customHeight="1">
      <c r="A602" s="425">
        <v>9.17</v>
      </c>
      <c r="B602" s="122"/>
      <c r="C602" s="449" t="s">
        <v>1062</v>
      </c>
      <c r="D602" s="450"/>
      <c r="E602" s="267">
        <v>488.3</v>
      </c>
      <c r="F602" s="430" t="s">
        <v>218</v>
      </c>
      <c r="G602" s="267">
        <v>28.02</v>
      </c>
      <c r="H602" s="267">
        <f t="shared" si="70"/>
        <v>26.196123476939999</v>
      </c>
      <c r="I602" s="267">
        <f t="shared" si="71"/>
        <v>12791.567093789801</v>
      </c>
      <c r="J602" s="267">
        <v>30</v>
      </c>
      <c r="K602" s="269">
        <f t="shared" si="67"/>
        <v>28.047241409999998</v>
      </c>
      <c r="L602" s="267">
        <f t="shared" si="68"/>
        <v>13695.467980502999</v>
      </c>
      <c r="M602" s="267">
        <f>I602+L602</f>
        <v>26487.035074292799</v>
      </c>
      <c r="N602" s="270"/>
      <c r="O602" s="1163">
        <v>0.93490804699999996</v>
      </c>
      <c r="P602" s="976"/>
      <c r="Q602" s="252"/>
      <c r="R602" s="252"/>
      <c r="S602" s="252"/>
    </row>
    <row r="603" spans="1:19" ht="18.95" customHeight="1">
      <c r="A603" s="425">
        <v>9.18</v>
      </c>
      <c r="B603" s="122"/>
      <c r="C603" s="449" t="s">
        <v>1063</v>
      </c>
      <c r="D603" s="450"/>
      <c r="E603" s="267">
        <v>488.3</v>
      </c>
      <c r="F603" s="430" t="s">
        <v>218</v>
      </c>
      <c r="G603" s="267">
        <v>32.32</v>
      </c>
      <c r="H603" s="267">
        <f t="shared" si="70"/>
        <v>30.21622807904</v>
      </c>
      <c r="I603" s="267">
        <f t="shared" si="71"/>
        <v>14754.584170995233</v>
      </c>
      <c r="J603" s="267">
        <v>35</v>
      </c>
      <c r="K603" s="269">
        <f t="shared" si="67"/>
        <v>32.721781645</v>
      </c>
      <c r="L603" s="267">
        <f t="shared" si="68"/>
        <v>15978.0459772535</v>
      </c>
      <c r="M603" s="267">
        <f>I603+L603</f>
        <v>30732.630148248732</v>
      </c>
      <c r="N603" s="270"/>
      <c r="O603" s="1163">
        <v>0.93490804699999996</v>
      </c>
      <c r="P603" s="976"/>
      <c r="Q603" s="862" t="s">
        <v>1038</v>
      </c>
      <c r="R603" s="252"/>
      <c r="S603" s="252"/>
    </row>
    <row r="604" spans="1:19" ht="18.95" customHeight="1">
      <c r="A604" s="425"/>
      <c r="B604" s="122"/>
      <c r="C604" s="449"/>
      <c r="D604" s="450"/>
      <c r="E604" s="267"/>
      <c r="F604" s="427"/>
      <c r="G604" s="267"/>
      <c r="H604" s="267"/>
      <c r="I604" s="267"/>
      <c r="J604" s="267"/>
      <c r="K604" s="269"/>
      <c r="L604" s="267"/>
      <c r="M604" s="267"/>
      <c r="N604" s="270"/>
      <c r="O604" s="1163">
        <v>0.93490804699999996</v>
      </c>
      <c r="P604" s="976"/>
      <c r="Q604" s="252"/>
      <c r="R604" s="252"/>
      <c r="S604" s="252"/>
    </row>
    <row r="605" spans="1:19" ht="18.95" customHeight="1">
      <c r="A605" s="204"/>
      <c r="B605" s="407"/>
      <c r="D605" s="1259" t="s">
        <v>1153</v>
      </c>
      <c r="E605" s="267"/>
      <c r="F605" s="268"/>
      <c r="G605" s="267"/>
      <c r="H605" s="267"/>
      <c r="I605" s="267"/>
      <c r="J605" s="267"/>
      <c r="K605" s="269"/>
      <c r="L605" s="267"/>
      <c r="M605" s="288">
        <f>SUM(M573:M603)</f>
        <v>874869.25182534393</v>
      </c>
      <c r="N605" s="270"/>
      <c r="O605" s="1163">
        <v>0.93490804699999996</v>
      </c>
      <c r="P605" s="976"/>
      <c r="Q605" s="252"/>
      <c r="R605" s="252"/>
      <c r="S605" s="252"/>
    </row>
    <row r="606" spans="1:19" ht="18.95" customHeight="1">
      <c r="A606" s="203"/>
      <c r="B606" s="122"/>
      <c r="C606" s="1307"/>
      <c r="D606" s="1308"/>
      <c r="E606" s="270"/>
      <c r="F606" s="268"/>
      <c r="G606" s="270"/>
      <c r="H606" s="267"/>
      <c r="I606" s="267"/>
      <c r="J606" s="270"/>
      <c r="K606" s="269"/>
      <c r="L606" s="267"/>
      <c r="M606" s="288"/>
      <c r="N606" s="270"/>
      <c r="O606" s="1163">
        <v>0.93490804699999996</v>
      </c>
      <c r="P606" s="976"/>
      <c r="Q606" s="252"/>
      <c r="R606" s="252"/>
      <c r="S606" s="252"/>
    </row>
    <row r="607" spans="1:19" ht="18.95" customHeight="1">
      <c r="A607" s="371">
        <v>10</v>
      </c>
      <c r="B607" s="122"/>
      <c r="C607" s="1327" t="s">
        <v>1022</v>
      </c>
      <c r="D607" s="1328"/>
      <c r="E607" s="267"/>
      <c r="F607" s="268"/>
      <c r="G607" s="267"/>
      <c r="H607" s="267"/>
      <c r="I607" s="267"/>
      <c r="J607" s="267"/>
      <c r="K607" s="269"/>
      <c r="L607" s="267"/>
      <c r="M607" s="267"/>
      <c r="N607" s="268"/>
      <c r="O607" s="1163">
        <v>0.93490804699999996</v>
      </c>
      <c r="P607" s="973"/>
      <c r="Q607" s="252"/>
      <c r="R607" s="252"/>
      <c r="S607" s="252"/>
    </row>
    <row r="608" spans="1:19" ht="18.95" customHeight="1">
      <c r="A608" s="204"/>
      <c r="B608" s="122"/>
      <c r="C608" s="414" t="s">
        <v>1154</v>
      </c>
      <c r="D608" s="453"/>
      <c r="E608" s="270"/>
      <c r="F608" s="268"/>
      <c r="G608" s="267"/>
      <c r="H608" s="267"/>
      <c r="I608" s="267"/>
      <c r="J608" s="267"/>
      <c r="K608" s="269"/>
      <c r="L608" s="267"/>
      <c r="M608" s="270"/>
      <c r="N608" s="268"/>
      <c r="O608" s="1163">
        <v>0.93490804699999996</v>
      </c>
      <c r="P608" s="973"/>
      <c r="Q608" s="252"/>
      <c r="R608" s="252"/>
      <c r="S608" s="252"/>
    </row>
    <row r="609" spans="1:19" ht="18.95" customHeight="1">
      <c r="A609" s="442">
        <v>10.1</v>
      </c>
      <c r="B609" s="122"/>
      <c r="C609" s="1325" t="s">
        <v>1050</v>
      </c>
      <c r="D609" s="1326"/>
      <c r="E609" s="267">
        <v>8.5</v>
      </c>
      <c r="F609" s="430" t="s">
        <v>1032</v>
      </c>
      <c r="G609" s="434">
        <v>2117.5</v>
      </c>
      <c r="H609" s="267">
        <f t="shared" si="70"/>
        <v>1979.6677895225</v>
      </c>
      <c r="I609" s="267">
        <f t="shared" si="71"/>
        <v>16827.176210941248</v>
      </c>
      <c r="J609" s="269">
        <v>519</v>
      </c>
      <c r="K609" s="269">
        <f t="shared" ref="K609:K664" si="72">J609*O609</f>
        <v>485.21727639299996</v>
      </c>
      <c r="L609" s="267">
        <f t="shared" ref="L609:L664" si="73">E609*K609</f>
        <v>4124.3468493404998</v>
      </c>
      <c r="M609" s="267">
        <f t="shared" ref="M609:M622" si="74">I609+L609</f>
        <v>20951.523060281746</v>
      </c>
      <c r="N609" s="270"/>
      <c r="O609" s="1163">
        <v>0.93490804699999996</v>
      </c>
      <c r="P609" s="976"/>
      <c r="Q609" s="252"/>
      <c r="R609" s="252"/>
      <c r="S609" s="252"/>
    </row>
    <row r="610" spans="1:19" ht="18.95" customHeight="1">
      <c r="A610" s="442">
        <v>10.199999999999999</v>
      </c>
      <c r="B610" s="122"/>
      <c r="C610" s="1325" t="s">
        <v>1053</v>
      </c>
      <c r="D610" s="1326"/>
      <c r="E610" s="267">
        <v>2.2000000000000002</v>
      </c>
      <c r="F610" s="430" t="s">
        <v>1032</v>
      </c>
      <c r="G610" s="267">
        <v>1937.5</v>
      </c>
      <c r="H610" s="267">
        <f t="shared" si="70"/>
        <v>1811.3843410625</v>
      </c>
      <c r="I610" s="267">
        <f t="shared" si="71"/>
        <v>3985.0455503375001</v>
      </c>
      <c r="J610" s="269">
        <v>519</v>
      </c>
      <c r="K610" s="269">
        <f t="shared" si="72"/>
        <v>485.21727639299996</v>
      </c>
      <c r="L610" s="267">
        <f t="shared" si="73"/>
        <v>1067.4780080646001</v>
      </c>
      <c r="M610" s="267">
        <f t="shared" si="74"/>
        <v>5052.5235584021002</v>
      </c>
      <c r="N610" s="270"/>
      <c r="O610" s="1163">
        <v>0.93490804699999996</v>
      </c>
      <c r="P610" s="976"/>
      <c r="Q610" s="252"/>
      <c r="R610" s="252"/>
      <c r="S610" s="252"/>
    </row>
    <row r="611" spans="1:19" ht="18.95" customHeight="1">
      <c r="A611" s="442">
        <v>10.3</v>
      </c>
      <c r="B611" s="122"/>
      <c r="C611" s="1321" t="s">
        <v>1033</v>
      </c>
      <c r="D611" s="1322"/>
      <c r="E611" s="267">
        <v>2.2000000000000002</v>
      </c>
      <c r="F611" s="430" t="s">
        <v>1032</v>
      </c>
      <c r="G611" s="267">
        <v>508.33</v>
      </c>
      <c r="H611" s="267">
        <f t="shared" si="70"/>
        <v>475.24180753150995</v>
      </c>
      <c r="I611" s="267">
        <f t="shared" si="71"/>
        <v>1045.5319765693221</v>
      </c>
      <c r="J611" s="269">
        <v>104</v>
      </c>
      <c r="K611" s="269">
        <f t="shared" si="72"/>
        <v>97.230436888</v>
      </c>
      <c r="L611" s="267">
        <f t="shared" si="73"/>
        <v>213.90696115360001</v>
      </c>
      <c r="M611" s="267">
        <f t="shared" si="74"/>
        <v>1259.438937722922</v>
      </c>
      <c r="N611" s="270"/>
      <c r="O611" s="1163">
        <v>0.93490804699999996</v>
      </c>
      <c r="P611" s="976"/>
      <c r="Q611" s="252"/>
      <c r="R611" s="252"/>
      <c r="S611" s="252"/>
    </row>
    <row r="612" spans="1:19" ht="18.95" customHeight="1">
      <c r="A612" s="442">
        <v>10.4</v>
      </c>
      <c r="B612" s="122"/>
      <c r="C612" s="1321" t="s">
        <v>1099</v>
      </c>
      <c r="D612" s="1322"/>
      <c r="E612" s="267">
        <v>34</v>
      </c>
      <c r="F612" s="430" t="s">
        <v>1028</v>
      </c>
      <c r="G612" s="267">
        <v>585</v>
      </c>
      <c r="H612" s="267">
        <f t="shared" si="70"/>
        <v>546.92120749499998</v>
      </c>
      <c r="I612" s="267">
        <f t="shared" si="71"/>
        <v>18595.321054829998</v>
      </c>
      <c r="J612" s="269">
        <v>262.67</v>
      </c>
      <c r="K612" s="269">
        <f t="shared" si="72"/>
        <v>245.57229670549</v>
      </c>
      <c r="L612" s="267">
        <f t="shared" si="73"/>
        <v>8349.4580879866608</v>
      </c>
      <c r="M612" s="267">
        <f t="shared" si="74"/>
        <v>26944.77914281666</v>
      </c>
      <c r="N612" s="270"/>
      <c r="O612" s="1163">
        <v>0.93490804699999996</v>
      </c>
      <c r="P612" s="976"/>
      <c r="Q612" s="252"/>
      <c r="R612" s="252"/>
      <c r="S612" s="252"/>
    </row>
    <row r="613" spans="1:19" ht="18.95" customHeight="1">
      <c r="A613" s="442"/>
      <c r="B613" s="122"/>
      <c r="C613" s="1343" t="s">
        <v>1036</v>
      </c>
      <c r="D613" s="1344"/>
      <c r="E613" s="267"/>
      <c r="F613" s="430"/>
      <c r="G613" s="267"/>
      <c r="H613" s="267"/>
      <c r="I613" s="267"/>
      <c r="J613" s="267"/>
      <c r="K613" s="269"/>
      <c r="L613" s="267"/>
      <c r="M613" s="267"/>
      <c r="N613" s="270"/>
      <c r="O613" s="1163">
        <v>0.93490804699999996</v>
      </c>
      <c r="P613" s="976"/>
      <c r="Q613" s="252"/>
      <c r="R613" s="252"/>
      <c r="S613" s="252"/>
    </row>
    <row r="614" spans="1:19" ht="18.95" customHeight="1">
      <c r="A614" s="442">
        <v>10.5</v>
      </c>
      <c r="B614" s="122"/>
      <c r="C614" s="1321" t="s">
        <v>1037</v>
      </c>
      <c r="D614" s="1322"/>
      <c r="E614" s="267">
        <v>0</v>
      </c>
      <c r="F614" s="430" t="s">
        <v>348</v>
      </c>
      <c r="G614" s="267">
        <v>19.600000000000001</v>
      </c>
      <c r="H614" s="267">
        <f t="shared" si="70"/>
        <v>18.324197721200001</v>
      </c>
      <c r="I614" s="267">
        <f t="shared" si="71"/>
        <v>0</v>
      </c>
      <c r="J614" s="269">
        <v>4.4000000000000004</v>
      </c>
      <c r="K614" s="269">
        <f t="shared" si="72"/>
        <v>4.1135954068</v>
      </c>
      <c r="L614" s="267">
        <f t="shared" si="73"/>
        <v>0</v>
      </c>
      <c r="M614" s="267">
        <f t="shared" si="74"/>
        <v>0</v>
      </c>
      <c r="N614" s="270"/>
      <c r="O614" s="1163">
        <v>0.93490804699999996</v>
      </c>
      <c r="P614" s="976"/>
      <c r="Q614" s="862" t="s">
        <v>1038</v>
      </c>
      <c r="R614" s="252"/>
      <c r="S614" s="252"/>
    </row>
    <row r="615" spans="1:19" ht="18.95" customHeight="1">
      <c r="A615" s="442">
        <v>10.6</v>
      </c>
      <c r="B615" s="122"/>
      <c r="C615" s="1321" t="s">
        <v>1039</v>
      </c>
      <c r="D615" s="1322"/>
      <c r="E615" s="267">
        <v>908</v>
      </c>
      <c r="F615" s="430" t="s">
        <v>348</v>
      </c>
      <c r="G615" s="267">
        <v>19.7</v>
      </c>
      <c r="H615" s="267">
        <f t="shared" si="70"/>
        <v>18.417688525899997</v>
      </c>
      <c r="I615" s="267">
        <f t="shared" si="71"/>
        <v>16723.261181517199</v>
      </c>
      <c r="J615" s="269">
        <v>3.6</v>
      </c>
      <c r="K615" s="269">
        <f t="shared" si="72"/>
        <v>3.3656689692000001</v>
      </c>
      <c r="L615" s="267">
        <f t="shared" si="73"/>
        <v>3056.0274240336003</v>
      </c>
      <c r="M615" s="267">
        <f t="shared" si="74"/>
        <v>19779.288605550799</v>
      </c>
      <c r="N615" s="270"/>
      <c r="O615" s="1163">
        <v>0.93490804699999996</v>
      </c>
      <c r="P615" s="976"/>
      <c r="Q615" s="862" t="s">
        <v>1038</v>
      </c>
      <c r="R615" s="252"/>
      <c r="S615" s="252"/>
    </row>
    <row r="616" spans="1:19" ht="18.95" customHeight="1">
      <c r="A616" s="442">
        <v>10.7</v>
      </c>
      <c r="B616" s="122"/>
      <c r="C616" s="1321" t="s">
        <v>1040</v>
      </c>
      <c r="D616" s="1322"/>
      <c r="E616" s="267">
        <v>0</v>
      </c>
      <c r="F616" s="430" t="s">
        <v>348</v>
      </c>
      <c r="G616" s="267">
        <v>19.5</v>
      </c>
      <c r="H616" s="267">
        <f t="shared" si="70"/>
        <v>18.230706916500001</v>
      </c>
      <c r="I616" s="267">
        <f t="shared" si="71"/>
        <v>0</v>
      </c>
      <c r="J616" s="269">
        <v>3.6</v>
      </c>
      <c r="K616" s="269">
        <f t="shared" si="72"/>
        <v>3.3656689692000001</v>
      </c>
      <c r="L616" s="267">
        <f t="shared" si="73"/>
        <v>0</v>
      </c>
      <c r="M616" s="267">
        <f t="shared" si="74"/>
        <v>0</v>
      </c>
      <c r="N616" s="270"/>
      <c r="O616" s="1163">
        <v>0.93490804699999996</v>
      </c>
      <c r="P616" s="976"/>
      <c r="Q616" s="862" t="s">
        <v>1038</v>
      </c>
      <c r="R616" s="252"/>
      <c r="S616" s="252"/>
    </row>
    <row r="617" spans="1:19" ht="18.95" customHeight="1">
      <c r="A617" s="442">
        <v>10.8</v>
      </c>
      <c r="B617" s="122"/>
      <c r="C617" s="1321" t="s">
        <v>1041</v>
      </c>
      <c r="D617" s="1322"/>
      <c r="E617" s="267">
        <v>22.700000000000003</v>
      </c>
      <c r="F617" s="430" t="s">
        <v>348</v>
      </c>
      <c r="G617" s="269">
        <v>27.1</v>
      </c>
      <c r="H617" s="267">
        <f t="shared" si="70"/>
        <v>25.3360080737</v>
      </c>
      <c r="I617" s="267">
        <f t="shared" si="71"/>
        <v>575.12738327299007</v>
      </c>
      <c r="J617" s="269">
        <v>0</v>
      </c>
      <c r="K617" s="269">
        <f t="shared" si="72"/>
        <v>0</v>
      </c>
      <c r="L617" s="267">
        <f t="shared" si="73"/>
        <v>0</v>
      </c>
      <c r="M617" s="267">
        <f t="shared" si="74"/>
        <v>575.12738327299007</v>
      </c>
      <c r="N617" s="268"/>
      <c r="O617" s="1163">
        <v>0.93490804699999996</v>
      </c>
      <c r="P617" s="973"/>
      <c r="Q617" s="862" t="s">
        <v>1038</v>
      </c>
      <c r="R617" s="252"/>
      <c r="S617" s="252"/>
    </row>
    <row r="618" spans="1:19" ht="18.95" customHeight="1">
      <c r="A618" s="314">
        <v>10.9</v>
      </c>
      <c r="B618" s="122"/>
      <c r="C618" s="1323" t="s">
        <v>1043</v>
      </c>
      <c r="D618" s="1324"/>
      <c r="E618" s="267"/>
      <c r="F618" s="430"/>
      <c r="G618" s="267"/>
      <c r="H618" s="267"/>
      <c r="I618" s="267"/>
      <c r="J618" s="269"/>
      <c r="K618" s="269"/>
      <c r="L618" s="267"/>
      <c r="M618" s="267"/>
      <c r="N618" s="268"/>
      <c r="O618" s="1163">
        <v>0.93490804699999996</v>
      </c>
      <c r="P618" s="973"/>
      <c r="Q618" s="252"/>
      <c r="R618" s="252"/>
      <c r="S618" s="252"/>
    </row>
    <row r="619" spans="1:19" ht="18.95" customHeight="1">
      <c r="A619" s="431"/>
      <c r="B619" s="329"/>
      <c r="C619" s="433" t="s">
        <v>1044</v>
      </c>
      <c r="E619" s="267">
        <v>3.6</v>
      </c>
      <c r="F619" s="434" t="s">
        <v>218</v>
      </c>
      <c r="G619" s="434">
        <v>245.2</v>
      </c>
      <c r="H619" s="267">
        <f t="shared" si="70"/>
        <v>229.23945312439997</v>
      </c>
      <c r="I619" s="267">
        <f t="shared" si="71"/>
        <v>825.2620312478399</v>
      </c>
      <c r="J619" s="435">
        <v>0</v>
      </c>
      <c r="K619" s="269">
        <f t="shared" si="72"/>
        <v>0</v>
      </c>
      <c r="L619" s="267">
        <f t="shared" si="73"/>
        <v>0</v>
      </c>
      <c r="M619" s="267">
        <f t="shared" si="74"/>
        <v>825.2620312478399</v>
      </c>
      <c r="N619" s="436"/>
      <c r="O619" s="1163">
        <v>0.93490804699999996</v>
      </c>
      <c r="P619" s="765"/>
      <c r="Q619" s="252"/>
      <c r="R619" s="252"/>
      <c r="S619" s="252"/>
    </row>
    <row r="620" spans="1:19" ht="18.95" customHeight="1">
      <c r="A620" s="431"/>
      <c r="B620" s="329"/>
      <c r="C620" s="433" t="s">
        <v>1045</v>
      </c>
      <c r="E620" s="267">
        <v>6</v>
      </c>
      <c r="F620" s="434" t="s">
        <v>218</v>
      </c>
      <c r="G620" s="434">
        <v>0</v>
      </c>
      <c r="H620" s="267">
        <f t="shared" si="70"/>
        <v>0</v>
      </c>
      <c r="I620" s="267">
        <f t="shared" si="71"/>
        <v>0</v>
      </c>
      <c r="J620" s="435">
        <v>121</v>
      </c>
      <c r="K620" s="269">
        <f t="shared" si="72"/>
        <v>113.123873687</v>
      </c>
      <c r="L620" s="267">
        <f t="shared" si="73"/>
        <v>678.74324212199997</v>
      </c>
      <c r="M620" s="267">
        <f t="shared" si="74"/>
        <v>678.74324212199997</v>
      </c>
      <c r="N620" s="436"/>
      <c r="O620" s="1163">
        <v>0.93490804699999996</v>
      </c>
      <c r="P620" s="765"/>
      <c r="Q620" s="252"/>
      <c r="R620" s="252"/>
      <c r="S620" s="252"/>
    </row>
    <row r="621" spans="1:19" ht="18.95" customHeight="1">
      <c r="A621" s="431"/>
      <c r="B621" s="329"/>
      <c r="C621" s="433" t="s">
        <v>1046</v>
      </c>
      <c r="E621" s="267">
        <v>1.08</v>
      </c>
      <c r="F621" s="434" t="s">
        <v>1047</v>
      </c>
      <c r="G621" s="434">
        <v>309.42</v>
      </c>
      <c r="H621" s="267">
        <f t="shared" si="70"/>
        <v>289.27924790274</v>
      </c>
      <c r="I621" s="267">
        <f t="shared" si="71"/>
        <v>312.42158773495919</v>
      </c>
      <c r="J621" s="435">
        <v>0</v>
      </c>
      <c r="K621" s="269">
        <f t="shared" si="72"/>
        <v>0</v>
      </c>
      <c r="L621" s="267">
        <f t="shared" si="73"/>
        <v>0</v>
      </c>
      <c r="M621" s="267">
        <f t="shared" si="74"/>
        <v>312.42158773495919</v>
      </c>
      <c r="N621" s="436"/>
      <c r="O621" s="1163">
        <v>0.93490804699999996</v>
      </c>
      <c r="P621" s="765"/>
      <c r="Q621" s="252"/>
      <c r="R621" s="252"/>
      <c r="S621" s="252"/>
    </row>
    <row r="622" spans="1:19" ht="18.95" customHeight="1">
      <c r="A622" s="431"/>
      <c r="B622" s="329"/>
      <c r="C622" s="433" t="s">
        <v>1048</v>
      </c>
      <c r="E622" s="269">
        <v>0.9</v>
      </c>
      <c r="F622" s="434" t="s">
        <v>348</v>
      </c>
      <c r="G622" s="434">
        <v>23.36</v>
      </c>
      <c r="H622" s="267">
        <f t="shared" si="70"/>
        <v>21.83945197792</v>
      </c>
      <c r="I622" s="267">
        <f t="shared" si="71"/>
        <v>19.655506780128</v>
      </c>
      <c r="J622" s="435">
        <v>0</v>
      </c>
      <c r="K622" s="269">
        <f t="shared" si="72"/>
        <v>0</v>
      </c>
      <c r="L622" s="267">
        <f t="shared" si="73"/>
        <v>0</v>
      </c>
      <c r="M622" s="267">
        <f t="shared" si="74"/>
        <v>19.655506780128</v>
      </c>
      <c r="N622" s="436"/>
      <c r="O622" s="1163">
        <v>0.93490804699999996</v>
      </c>
      <c r="P622" s="765"/>
      <c r="Q622" s="862" t="s">
        <v>1038</v>
      </c>
      <c r="R622" s="252"/>
      <c r="S622" s="252"/>
    </row>
    <row r="623" spans="1:19" ht="18.95" customHeight="1">
      <c r="A623" s="204"/>
      <c r="B623" s="407"/>
      <c r="D623" s="1259" t="s">
        <v>1155</v>
      </c>
      <c r="E623" s="267"/>
      <c r="F623" s="268"/>
      <c r="G623" s="267"/>
      <c r="H623" s="267"/>
      <c r="I623" s="267"/>
      <c r="J623" s="267"/>
      <c r="K623" s="269"/>
      <c r="L623" s="267"/>
      <c r="M623" s="288">
        <f>SUM(M608:M622)</f>
        <v>76398.763055932141</v>
      </c>
      <c r="N623" s="268"/>
      <c r="O623" s="1163">
        <v>0.93490804699999996</v>
      </c>
      <c r="P623" s="973"/>
      <c r="Q623" s="252"/>
      <c r="R623" s="252"/>
      <c r="S623" s="252"/>
    </row>
    <row r="624" spans="1:19" ht="18.95" customHeight="1">
      <c r="A624" s="204"/>
      <c r="B624" s="122"/>
      <c r="C624" s="422"/>
      <c r="D624" s="451"/>
      <c r="E624" s="267"/>
      <c r="F624" s="268"/>
      <c r="G624" s="267"/>
      <c r="H624" s="267"/>
      <c r="I624" s="267"/>
      <c r="J624" s="267"/>
      <c r="K624" s="269"/>
      <c r="L624" s="267"/>
      <c r="M624" s="288"/>
      <c r="N624" s="268"/>
      <c r="O624" s="1163">
        <v>0.93490804699999996</v>
      </c>
      <c r="P624" s="973"/>
      <c r="Q624" s="252"/>
      <c r="R624" s="252"/>
      <c r="S624" s="252"/>
    </row>
    <row r="625" spans="1:19" ht="18.95" customHeight="1">
      <c r="A625" s="204"/>
      <c r="B625" s="122"/>
      <c r="C625" s="414" t="s">
        <v>1156</v>
      </c>
      <c r="D625" s="453"/>
      <c r="E625" s="270"/>
      <c r="F625" s="268"/>
      <c r="G625" s="267"/>
      <c r="H625" s="267"/>
      <c r="I625" s="267"/>
      <c r="J625" s="267"/>
      <c r="K625" s="269"/>
      <c r="L625" s="267"/>
      <c r="M625" s="270"/>
      <c r="N625" s="268"/>
      <c r="O625" s="1163">
        <v>0.93490804699999996</v>
      </c>
      <c r="P625" s="973"/>
      <c r="Q625" s="252"/>
      <c r="R625" s="252"/>
      <c r="S625" s="252"/>
    </row>
    <row r="626" spans="1:19" ht="18.95" customHeight="1">
      <c r="A626" s="425">
        <v>10.1</v>
      </c>
      <c r="B626" s="122"/>
      <c r="C626" s="1325" t="s">
        <v>1050</v>
      </c>
      <c r="D626" s="1326"/>
      <c r="E626" s="267">
        <v>7.5</v>
      </c>
      <c r="F626" s="430" t="s">
        <v>1032</v>
      </c>
      <c r="G626" s="434">
        <v>2117.5</v>
      </c>
      <c r="H626" s="267">
        <f t="shared" si="70"/>
        <v>1979.6677895225</v>
      </c>
      <c r="I626" s="267">
        <f t="shared" si="71"/>
        <v>14847.50842141875</v>
      </c>
      <c r="J626" s="269">
        <v>519</v>
      </c>
      <c r="K626" s="269">
        <f t="shared" si="72"/>
        <v>485.21727639299996</v>
      </c>
      <c r="L626" s="267">
        <f t="shared" si="73"/>
        <v>3639.1295729474996</v>
      </c>
      <c r="M626" s="267">
        <f>I626+L626</f>
        <v>18486.63799436625</v>
      </c>
      <c r="N626" s="270"/>
      <c r="O626" s="1163">
        <v>0.93490804699999996</v>
      </c>
      <c r="P626" s="976"/>
      <c r="Q626" s="252"/>
      <c r="R626" s="252"/>
      <c r="S626" s="252"/>
    </row>
    <row r="627" spans="1:19" ht="18.95" customHeight="1">
      <c r="A627" s="425">
        <v>10.11</v>
      </c>
      <c r="B627" s="122"/>
      <c r="C627" s="1325" t="s">
        <v>1053</v>
      </c>
      <c r="D627" s="1326"/>
      <c r="E627" s="267">
        <v>0.4</v>
      </c>
      <c r="F627" s="430" t="s">
        <v>1032</v>
      </c>
      <c r="G627" s="267">
        <v>1937.5</v>
      </c>
      <c r="H627" s="267">
        <f t="shared" si="70"/>
        <v>1811.3843410625</v>
      </c>
      <c r="I627" s="267">
        <f t="shared" si="71"/>
        <v>724.55373642500001</v>
      </c>
      <c r="J627" s="269">
        <v>519</v>
      </c>
      <c r="K627" s="269">
        <f t="shared" si="72"/>
        <v>485.21727639299996</v>
      </c>
      <c r="L627" s="267">
        <f t="shared" si="73"/>
        <v>194.08691055719999</v>
      </c>
      <c r="M627" s="267">
        <f>I627+L627</f>
        <v>918.6406469822</v>
      </c>
      <c r="N627" s="270"/>
      <c r="O627" s="1163">
        <v>0.93490804699999996</v>
      </c>
      <c r="P627" s="976"/>
      <c r="Q627" s="252"/>
      <c r="R627" s="252"/>
      <c r="S627" s="252"/>
    </row>
    <row r="628" spans="1:19" ht="18.95" customHeight="1">
      <c r="A628" s="425">
        <v>10.119999999999999</v>
      </c>
      <c r="B628" s="122"/>
      <c r="C628" s="1321" t="s">
        <v>1033</v>
      </c>
      <c r="D628" s="1322"/>
      <c r="E628" s="267">
        <v>0.4</v>
      </c>
      <c r="F628" s="430" t="s">
        <v>1032</v>
      </c>
      <c r="G628" s="267">
        <v>508.33</v>
      </c>
      <c r="H628" s="267">
        <f t="shared" si="70"/>
        <v>475.24180753150995</v>
      </c>
      <c r="I628" s="267">
        <f t="shared" si="71"/>
        <v>190.096723012604</v>
      </c>
      <c r="J628" s="269">
        <v>104</v>
      </c>
      <c r="K628" s="269">
        <f t="shared" si="72"/>
        <v>97.230436888</v>
      </c>
      <c r="L628" s="267">
        <f t="shared" si="73"/>
        <v>38.892174755200003</v>
      </c>
      <c r="M628" s="267">
        <f>I628+L628</f>
        <v>228.98889776780402</v>
      </c>
      <c r="N628" s="270"/>
      <c r="O628" s="1163">
        <v>0.93490804699999996</v>
      </c>
      <c r="P628" s="976"/>
      <c r="Q628" s="252"/>
      <c r="R628" s="252"/>
      <c r="S628" s="252"/>
    </row>
    <row r="629" spans="1:19" ht="18.95" customHeight="1">
      <c r="A629" s="425">
        <v>10.130000000000001</v>
      </c>
      <c r="B629" s="122"/>
      <c r="C629" s="1321" t="s">
        <v>1031</v>
      </c>
      <c r="D629" s="1322"/>
      <c r="E629" s="267">
        <v>26</v>
      </c>
      <c r="F629" s="430" t="s">
        <v>1032</v>
      </c>
      <c r="G629" s="267">
        <v>0</v>
      </c>
      <c r="H629" s="267">
        <f t="shared" si="70"/>
        <v>0</v>
      </c>
      <c r="I629" s="267">
        <f t="shared" si="71"/>
        <v>0</v>
      </c>
      <c r="J629" s="269">
        <v>112</v>
      </c>
      <c r="K629" s="269">
        <f t="shared" si="72"/>
        <v>104.70970126399999</v>
      </c>
      <c r="L629" s="267">
        <f t="shared" si="73"/>
        <v>2722.4522328639996</v>
      </c>
      <c r="M629" s="267">
        <f>I629+L629</f>
        <v>2722.4522328639996</v>
      </c>
      <c r="N629" s="270"/>
      <c r="O629" s="1163">
        <v>0.93490804699999996</v>
      </c>
      <c r="P629" s="976"/>
      <c r="Q629" s="252"/>
      <c r="R629" s="252"/>
      <c r="S629" s="252"/>
    </row>
    <row r="630" spans="1:19" ht="18.95" customHeight="1">
      <c r="A630" s="425">
        <v>10.14</v>
      </c>
      <c r="B630" s="122"/>
      <c r="C630" s="1321" t="s">
        <v>1099</v>
      </c>
      <c r="D630" s="1322"/>
      <c r="E630" s="267">
        <v>9</v>
      </c>
      <c r="F630" s="430" t="s">
        <v>1028</v>
      </c>
      <c r="G630" s="267">
        <v>585</v>
      </c>
      <c r="H630" s="267">
        <f t="shared" si="70"/>
        <v>546.92120749499998</v>
      </c>
      <c r="I630" s="267">
        <f t="shared" si="71"/>
        <v>4922.2908674549999</v>
      </c>
      <c r="J630" s="269">
        <v>262.67</v>
      </c>
      <c r="K630" s="269">
        <f t="shared" si="72"/>
        <v>245.57229670549</v>
      </c>
      <c r="L630" s="267">
        <f t="shared" si="73"/>
        <v>2210.1506703494101</v>
      </c>
      <c r="M630" s="267">
        <f>I630+L630</f>
        <v>7132.4415378044105</v>
      </c>
      <c r="N630" s="270"/>
      <c r="O630" s="1163">
        <v>0.93490804699999996</v>
      </c>
      <c r="P630" s="976"/>
      <c r="Q630" s="252"/>
      <c r="R630" s="252"/>
      <c r="S630" s="252"/>
    </row>
    <row r="631" spans="1:19" ht="18.95" customHeight="1">
      <c r="A631" s="425"/>
      <c r="B631" s="122"/>
      <c r="C631" s="449"/>
      <c r="D631" s="450"/>
      <c r="E631" s="267"/>
      <c r="F631" s="430"/>
      <c r="G631" s="267"/>
      <c r="H631" s="267"/>
      <c r="I631" s="267"/>
      <c r="J631" s="267"/>
      <c r="K631" s="269"/>
      <c r="L631" s="267"/>
      <c r="M631" s="267"/>
      <c r="N631" s="270"/>
      <c r="O631" s="1163">
        <v>0.93490804699999996</v>
      </c>
      <c r="P631" s="976"/>
      <c r="Q631" s="252"/>
      <c r="R631" s="252"/>
      <c r="S631" s="252"/>
    </row>
    <row r="632" spans="1:19" ht="18.95" customHeight="1">
      <c r="A632" s="425"/>
      <c r="B632" s="122"/>
      <c r="C632" s="1343" t="s">
        <v>1036</v>
      </c>
      <c r="D632" s="1344"/>
      <c r="E632" s="267"/>
      <c r="F632" s="430"/>
      <c r="G632" s="267"/>
      <c r="H632" s="267"/>
      <c r="I632" s="267"/>
      <c r="J632" s="267"/>
      <c r="K632" s="269"/>
      <c r="L632" s="267"/>
      <c r="M632" s="267"/>
      <c r="N632" s="270"/>
      <c r="O632" s="1163">
        <v>0.93490804699999996</v>
      </c>
      <c r="P632" s="976"/>
      <c r="Q632" s="252"/>
      <c r="R632" s="252"/>
      <c r="S632" s="252"/>
    </row>
    <row r="633" spans="1:19" ht="18.95" customHeight="1">
      <c r="A633" s="425">
        <v>10.15</v>
      </c>
      <c r="B633" s="122"/>
      <c r="C633" s="1321" t="s">
        <v>1037</v>
      </c>
      <c r="D633" s="1322"/>
      <c r="E633" s="267">
        <v>75</v>
      </c>
      <c r="F633" s="430" t="s">
        <v>348</v>
      </c>
      <c r="G633" s="267">
        <v>19.600000000000001</v>
      </c>
      <c r="H633" s="267">
        <f t="shared" si="70"/>
        <v>18.324197721200001</v>
      </c>
      <c r="I633" s="267">
        <f t="shared" si="71"/>
        <v>1374.3148290900001</v>
      </c>
      <c r="J633" s="269">
        <v>4.4000000000000004</v>
      </c>
      <c r="K633" s="269">
        <f t="shared" si="72"/>
        <v>4.1135954068</v>
      </c>
      <c r="L633" s="267">
        <f t="shared" si="73"/>
        <v>308.51965551000001</v>
      </c>
      <c r="M633" s="267">
        <f t="shared" ref="M633:M641" si="75">I633+L633</f>
        <v>1682.8344846</v>
      </c>
      <c r="N633" s="270"/>
      <c r="O633" s="1163">
        <v>0.93490804699999996</v>
      </c>
      <c r="P633" s="976"/>
      <c r="Q633" s="862" t="s">
        <v>1038</v>
      </c>
      <c r="R633" s="252"/>
      <c r="S633" s="252"/>
    </row>
    <row r="634" spans="1:19" ht="18.95" customHeight="1">
      <c r="A634" s="425">
        <v>10.16</v>
      </c>
      <c r="B634" s="122"/>
      <c r="C634" s="1321" t="s">
        <v>1039</v>
      </c>
      <c r="D634" s="1322"/>
      <c r="E634" s="267">
        <v>400</v>
      </c>
      <c r="F634" s="430" t="s">
        <v>348</v>
      </c>
      <c r="G634" s="267">
        <v>19.7</v>
      </c>
      <c r="H634" s="267">
        <f t="shared" si="70"/>
        <v>18.417688525899997</v>
      </c>
      <c r="I634" s="267">
        <f t="shared" si="71"/>
        <v>7367.0754103599993</v>
      </c>
      <c r="J634" s="269">
        <v>3.6</v>
      </c>
      <c r="K634" s="269">
        <f t="shared" si="72"/>
        <v>3.3656689692000001</v>
      </c>
      <c r="L634" s="267">
        <f t="shared" si="73"/>
        <v>1346.2675876800001</v>
      </c>
      <c r="M634" s="267">
        <f t="shared" si="75"/>
        <v>8713.3429980399997</v>
      </c>
      <c r="N634" s="270"/>
      <c r="O634" s="1163">
        <v>0.93490804699999996</v>
      </c>
      <c r="P634" s="976"/>
      <c r="Q634" s="862" t="s">
        <v>1038</v>
      </c>
      <c r="R634" s="252"/>
      <c r="S634" s="252"/>
    </row>
    <row r="635" spans="1:19" ht="18.95" customHeight="1">
      <c r="A635" s="425">
        <v>10.17</v>
      </c>
      <c r="B635" s="122"/>
      <c r="C635" s="1321" t="s">
        <v>1040</v>
      </c>
      <c r="D635" s="1322"/>
      <c r="E635" s="267">
        <v>0</v>
      </c>
      <c r="F635" s="430" t="s">
        <v>348</v>
      </c>
      <c r="G635" s="267">
        <v>19.5</v>
      </c>
      <c r="H635" s="267">
        <f t="shared" si="70"/>
        <v>18.230706916500001</v>
      </c>
      <c r="I635" s="267">
        <f t="shared" si="71"/>
        <v>0</v>
      </c>
      <c r="J635" s="269">
        <v>3.6</v>
      </c>
      <c r="K635" s="269">
        <f t="shared" si="72"/>
        <v>3.3656689692000001</v>
      </c>
      <c r="L635" s="267">
        <f t="shared" si="73"/>
        <v>0</v>
      </c>
      <c r="M635" s="267">
        <f t="shared" si="75"/>
        <v>0</v>
      </c>
      <c r="N635" s="270"/>
      <c r="O635" s="1163">
        <v>0.93490804699999996</v>
      </c>
      <c r="P635" s="976"/>
      <c r="Q635" s="862" t="s">
        <v>1038</v>
      </c>
      <c r="R635" s="252"/>
      <c r="S635" s="252"/>
    </row>
    <row r="636" spans="1:19" ht="18.95" customHeight="1">
      <c r="A636" s="425">
        <v>10.18</v>
      </c>
      <c r="B636" s="122"/>
      <c r="C636" s="1321" t="s">
        <v>1041</v>
      </c>
      <c r="D636" s="1322"/>
      <c r="E636" s="267">
        <v>11.875</v>
      </c>
      <c r="F636" s="430" t="s">
        <v>348</v>
      </c>
      <c r="G636" s="269">
        <v>27.1</v>
      </c>
      <c r="H636" s="267">
        <f t="shared" si="70"/>
        <v>25.3360080737</v>
      </c>
      <c r="I636" s="267">
        <f t="shared" si="71"/>
        <v>300.86509587518748</v>
      </c>
      <c r="J636" s="269">
        <v>0</v>
      </c>
      <c r="K636" s="269">
        <f t="shared" si="72"/>
        <v>0</v>
      </c>
      <c r="L636" s="267">
        <f t="shared" si="73"/>
        <v>0</v>
      </c>
      <c r="M636" s="267">
        <f t="shared" si="75"/>
        <v>300.86509587518748</v>
      </c>
      <c r="N636" s="268"/>
      <c r="O636" s="1163">
        <v>0.93490804699999996</v>
      </c>
      <c r="P636" s="973"/>
      <c r="Q636" s="862" t="s">
        <v>1038</v>
      </c>
      <c r="R636" s="252"/>
      <c r="S636" s="252"/>
    </row>
    <row r="637" spans="1:19" ht="18.95" customHeight="1">
      <c r="A637" s="425">
        <v>10.19</v>
      </c>
      <c r="B637" s="122"/>
      <c r="C637" s="1323" t="s">
        <v>1043</v>
      </c>
      <c r="D637" s="1324"/>
      <c r="E637" s="267"/>
      <c r="F637" s="430"/>
      <c r="G637" s="267"/>
      <c r="H637" s="267"/>
      <c r="I637" s="267"/>
      <c r="J637" s="269"/>
      <c r="K637" s="269"/>
      <c r="L637" s="267"/>
      <c r="M637" s="267"/>
      <c r="N637" s="268"/>
      <c r="O637" s="1163">
        <v>0.93490804699999996</v>
      </c>
      <c r="P637" s="973"/>
      <c r="Q637" s="252"/>
      <c r="R637" s="252"/>
      <c r="S637" s="252"/>
    </row>
    <row r="638" spans="1:19" ht="18.95" customHeight="1">
      <c r="A638" s="431"/>
      <c r="B638" s="329"/>
      <c r="C638" s="433" t="s">
        <v>1044</v>
      </c>
      <c r="E638" s="267">
        <v>19.8</v>
      </c>
      <c r="F638" s="434" t="s">
        <v>218</v>
      </c>
      <c r="G638" s="434">
        <v>245.2</v>
      </c>
      <c r="H638" s="267">
        <f t="shared" si="70"/>
        <v>229.23945312439997</v>
      </c>
      <c r="I638" s="267">
        <f t="shared" si="71"/>
        <v>4538.94117186312</v>
      </c>
      <c r="J638" s="435">
        <v>0</v>
      </c>
      <c r="K638" s="269">
        <f t="shared" si="72"/>
        <v>0</v>
      </c>
      <c r="L638" s="267">
        <f t="shared" si="73"/>
        <v>0</v>
      </c>
      <c r="M638" s="267">
        <f t="shared" si="75"/>
        <v>4538.94117186312</v>
      </c>
      <c r="N638" s="436"/>
      <c r="O638" s="1163">
        <v>0.93490804699999996</v>
      </c>
      <c r="P638" s="765"/>
      <c r="Q638" s="252"/>
      <c r="R638" s="252"/>
      <c r="S638" s="252"/>
    </row>
    <row r="639" spans="1:19" ht="18.95" customHeight="1">
      <c r="A639" s="431"/>
      <c r="B639" s="329"/>
      <c r="C639" s="433" t="s">
        <v>1045</v>
      </c>
      <c r="E639" s="267">
        <v>33</v>
      </c>
      <c r="F639" s="434" t="s">
        <v>218</v>
      </c>
      <c r="G639" s="434">
        <v>0</v>
      </c>
      <c r="H639" s="267">
        <f t="shared" si="70"/>
        <v>0</v>
      </c>
      <c r="I639" s="267">
        <f t="shared" si="71"/>
        <v>0</v>
      </c>
      <c r="J639" s="435">
        <v>121</v>
      </c>
      <c r="K639" s="269">
        <f t="shared" si="72"/>
        <v>113.123873687</v>
      </c>
      <c r="L639" s="267">
        <f t="shared" si="73"/>
        <v>3733.087831671</v>
      </c>
      <c r="M639" s="267">
        <f t="shared" si="75"/>
        <v>3733.087831671</v>
      </c>
      <c r="N639" s="436"/>
      <c r="O639" s="1163">
        <v>0.93490804699999996</v>
      </c>
      <c r="P639" s="765"/>
      <c r="Q639" s="252"/>
      <c r="R639" s="252"/>
      <c r="S639" s="252"/>
    </row>
    <row r="640" spans="1:19" ht="18.95" customHeight="1">
      <c r="A640" s="431"/>
      <c r="B640" s="329"/>
      <c r="C640" s="433" t="s">
        <v>1046</v>
      </c>
      <c r="E640" s="267">
        <v>5.94</v>
      </c>
      <c r="F640" s="434" t="s">
        <v>1047</v>
      </c>
      <c r="G640" s="434">
        <v>309.42</v>
      </c>
      <c r="H640" s="267">
        <f t="shared" si="70"/>
        <v>289.27924790274</v>
      </c>
      <c r="I640" s="267">
        <f t="shared" si="71"/>
        <v>1718.3187325422757</v>
      </c>
      <c r="J640" s="435">
        <v>0</v>
      </c>
      <c r="K640" s="269">
        <f t="shared" si="72"/>
        <v>0</v>
      </c>
      <c r="L640" s="267">
        <f t="shared" si="73"/>
        <v>0</v>
      </c>
      <c r="M640" s="267">
        <f t="shared" si="75"/>
        <v>1718.3187325422757</v>
      </c>
      <c r="N640" s="436"/>
      <c r="O640" s="1163">
        <v>0.93490804699999996</v>
      </c>
      <c r="P640" s="765"/>
      <c r="Q640" s="252"/>
      <c r="R640" s="252"/>
      <c r="S640" s="252"/>
    </row>
    <row r="641" spans="1:19" ht="18.95" customHeight="1">
      <c r="A641" s="431"/>
      <c r="B641" s="329"/>
      <c r="C641" s="433" t="s">
        <v>1048</v>
      </c>
      <c r="E641" s="269">
        <v>4.95</v>
      </c>
      <c r="F641" s="434" t="s">
        <v>348</v>
      </c>
      <c r="G641" s="434">
        <v>23.36</v>
      </c>
      <c r="H641" s="267">
        <f t="shared" si="70"/>
        <v>21.83945197792</v>
      </c>
      <c r="I641" s="267">
        <f t="shared" si="71"/>
        <v>108.105287290704</v>
      </c>
      <c r="J641" s="435">
        <v>0</v>
      </c>
      <c r="K641" s="269">
        <f t="shared" si="72"/>
        <v>0</v>
      </c>
      <c r="L641" s="267">
        <f t="shared" si="73"/>
        <v>0</v>
      </c>
      <c r="M641" s="267">
        <f t="shared" si="75"/>
        <v>108.105287290704</v>
      </c>
      <c r="N641" s="436"/>
      <c r="O641" s="1163">
        <v>0.93490804699999996</v>
      </c>
      <c r="P641" s="765"/>
      <c r="Q641" s="862" t="s">
        <v>1038</v>
      </c>
      <c r="R641" s="252"/>
      <c r="S641" s="252"/>
    </row>
    <row r="642" spans="1:19" ht="18.95" customHeight="1">
      <c r="A642" s="204"/>
      <c r="B642" s="407"/>
      <c r="D642" s="1259" t="s">
        <v>1157</v>
      </c>
      <c r="E642" s="267"/>
      <c r="F642" s="268"/>
      <c r="G642" s="267"/>
      <c r="H642" s="267"/>
      <c r="I642" s="267"/>
      <c r="J642" s="267"/>
      <c r="K642" s="269"/>
      <c r="L642" s="267"/>
      <c r="M642" s="288">
        <f>SUM(M625:M641)</f>
        <v>50284.656911666956</v>
      </c>
      <c r="N642" s="268"/>
      <c r="O642" s="1163">
        <v>0.93490804699999996</v>
      </c>
      <c r="P642" s="973"/>
      <c r="Q642" s="252"/>
      <c r="R642" s="252"/>
      <c r="S642" s="252"/>
    </row>
    <row r="643" spans="1:19" ht="18.95" customHeight="1">
      <c r="A643" s="204"/>
      <c r="B643" s="122"/>
      <c r="C643" s="414" t="s">
        <v>1158</v>
      </c>
      <c r="D643" s="453"/>
      <c r="E643" s="270"/>
      <c r="F643" s="268"/>
      <c r="G643" s="267"/>
      <c r="H643" s="267"/>
      <c r="I643" s="267"/>
      <c r="J643" s="267"/>
      <c r="K643" s="269"/>
      <c r="L643" s="267"/>
      <c r="M643" s="270"/>
      <c r="N643" s="268"/>
      <c r="O643" s="1163">
        <v>0.93490804699999996</v>
      </c>
      <c r="P643" s="973"/>
      <c r="Q643" s="252"/>
      <c r="R643" s="252"/>
      <c r="S643" s="252"/>
    </row>
    <row r="644" spans="1:19" ht="18.95" customHeight="1">
      <c r="A644" s="425">
        <v>10.199999999999999</v>
      </c>
      <c r="B644" s="122"/>
      <c r="C644" s="1325" t="s">
        <v>1050</v>
      </c>
      <c r="D644" s="1326"/>
      <c r="E644" s="267">
        <v>4</v>
      </c>
      <c r="F644" s="430" t="s">
        <v>1032</v>
      </c>
      <c r="G644" s="434">
        <v>2117.5</v>
      </c>
      <c r="H644" s="267">
        <f t="shared" si="70"/>
        <v>1979.6677895225</v>
      </c>
      <c r="I644" s="267">
        <f t="shared" si="71"/>
        <v>7918.6711580900001</v>
      </c>
      <c r="J644" s="269">
        <v>519</v>
      </c>
      <c r="K644" s="269">
        <f t="shared" si="72"/>
        <v>485.21727639299996</v>
      </c>
      <c r="L644" s="267">
        <f t="shared" si="73"/>
        <v>1940.8691055719999</v>
      </c>
      <c r="M644" s="267">
        <f t="shared" ref="M644:M658" si="76">I644+L644</f>
        <v>9859.5402636620001</v>
      </c>
      <c r="N644" s="270"/>
      <c r="O644" s="1163">
        <v>0.93490804699999996</v>
      </c>
      <c r="P644" s="976"/>
      <c r="Q644" s="252"/>
      <c r="R644" s="252"/>
      <c r="S644" s="252"/>
    </row>
    <row r="645" spans="1:19" ht="18.95" customHeight="1">
      <c r="A645" s="425">
        <v>10.210000000000001</v>
      </c>
      <c r="B645" s="122"/>
      <c r="C645" s="1325" t="s">
        <v>1053</v>
      </c>
      <c r="D645" s="1326"/>
      <c r="E645" s="267">
        <v>1.5</v>
      </c>
      <c r="F645" s="430" t="s">
        <v>1032</v>
      </c>
      <c r="G645" s="267">
        <v>1937.5</v>
      </c>
      <c r="H645" s="267">
        <f t="shared" si="70"/>
        <v>1811.3843410625</v>
      </c>
      <c r="I645" s="267">
        <f t="shared" si="71"/>
        <v>2717.0765115937502</v>
      </c>
      <c r="J645" s="269">
        <v>519</v>
      </c>
      <c r="K645" s="269">
        <f t="shared" si="72"/>
        <v>485.21727639299996</v>
      </c>
      <c r="L645" s="267">
        <f t="shared" si="73"/>
        <v>727.82591458949992</v>
      </c>
      <c r="M645" s="267">
        <f t="shared" si="76"/>
        <v>3444.9024261832501</v>
      </c>
      <c r="N645" s="270"/>
      <c r="O645" s="1163">
        <v>0.93490804699999996</v>
      </c>
      <c r="P645" s="976"/>
      <c r="Q645" s="252"/>
      <c r="R645" s="252"/>
      <c r="S645" s="252"/>
    </row>
    <row r="646" spans="1:19" ht="18.95" customHeight="1">
      <c r="A646" s="425">
        <v>10.220000000000001</v>
      </c>
      <c r="B646" s="122"/>
      <c r="C646" s="1321" t="s">
        <v>1033</v>
      </c>
      <c r="D646" s="1322"/>
      <c r="E646" s="267">
        <v>1.5</v>
      </c>
      <c r="F646" s="430" t="s">
        <v>1032</v>
      </c>
      <c r="G646" s="267">
        <v>508.33</v>
      </c>
      <c r="H646" s="267">
        <f t="shared" si="70"/>
        <v>475.24180753150995</v>
      </c>
      <c r="I646" s="267">
        <f t="shared" si="71"/>
        <v>712.86271129726492</v>
      </c>
      <c r="J646" s="269">
        <v>104</v>
      </c>
      <c r="K646" s="269">
        <f t="shared" si="72"/>
        <v>97.230436888</v>
      </c>
      <c r="L646" s="267">
        <f t="shared" si="73"/>
        <v>145.84565533200001</v>
      </c>
      <c r="M646" s="267">
        <f t="shared" si="76"/>
        <v>858.7083666292649</v>
      </c>
      <c r="N646" s="270"/>
      <c r="O646" s="1163">
        <v>0.93490804699999996</v>
      </c>
      <c r="P646" s="976"/>
      <c r="Q646" s="252"/>
      <c r="R646" s="252"/>
      <c r="S646" s="252"/>
    </row>
    <row r="647" spans="1:19" ht="18.95" customHeight="1">
      <c r="A647" s="425">
        <v>10.23</v>
      </c>
      <c r="B647" s="122"/>
      <c r="C647" s="1321" t="s">
        <v>1031</v>
      </c>
      <c r="D647" s="1322"/>
      <c r="E647" s="267">
        <v>507</v>
      </c>
      <c r="F647" s="430" t="s">
        <v>1032</v>
      </c>
      <c r="G647" s="267">
        <v>0</v>
      </c>
      <c r="H647" s="267">
        <f t="shared" si="70"/>
        <v>0</v>
      </c>
      <c r="I647" s="267">
        <f t="shared" si="71"/>
        <v>0</v>
      </c>
      <c r="J647" s="269">
        <v>112</v>
      </c>
      <c r="K647" s="269">
        <f t="shared" si="72"/>
        <v>104.70970126399999</v>
      </c>
      <c r="L647" s="267">
        <f t="shared" si="73"/>
        <v>53087.818540847991</v>
      </c>
      <c r="M647" s="267">
        <f t="shared" si="76"/>
        <v>53087.818540847991</v>
      </c>
      <c r="N647" s="270"/>
      <c r="O647" s="1163">
        <v>0.93490804699999996</v>
      </c>
      <c r="P647" s="976"/>
      <c r="Q647" s="252"/>
      <c r="R647" s="252"/>
      <c r="S647" s="252"/>
    </row>
    <row r="648" spans="1:19" ht="18.95" customHeight="1">
      <c r="A648" s="425">
        <v>10.24</v>
      </c>
      <c r="B648" s="122"/>
      <c r="C648" s="1321" t="s">
        <v>1099</v>
      </c>
      <c r="D648" s="1322"/>
      <c r="E648" s="267">
        <v>32</v>
      </c>
      <c r="F648" s="430" t="s">
        <v>1028</v>
      </c>
      <c r="G648" s="267">
        <v>585</v>
      </c>
      <c r="H648" s="267">
        <f t="shared" si="70"/>
        <v>546.92120749499998</v>
      </c>
      <c r="I648" s="267">
        <f t="shared" si="71"/>
        <v>17501.478639839999</v>
      </c>
      <c r="J648" s="269">
        <v>262.67</v>
      </c>
      <c r="K648" s="269">
        <f t="shared" si="72"/>
        <v>245.57229670549</v>
      </c>
      <c r="L648" s="267">
        <f t="shared" si="73"/>
        <v>7858.3134945756801</v>
      </c>
      <c r="M648" s="267">
        <f t="shared" si="76"/>
        <v>25359.792134415678</v>
      </c>
      <c r="N648" s="270"/>
      <c r="O648" s="1163">
        <v>0.93490804699999996</v>
      </c>
      <c r="P648" s="976"/>
      <c r="Q648" s="252"/>
      <c r="R648" s="252"/>
      <c r="S648" s="252"/>
    </row>
    <row r="649" spans="1:19" ht="18.95" customHeight="1">
      <c r="A649" s="425"/>
      <c r="B649" s="122"/>
      <c r="C649" s="1343" t="s">
        <v>1036</v>
      </c>
      <c r="D649" s="1344"/>
      <c r="E649" s="267"/>
      <c r="F649" s="430"/>
      <c r="G649" s="267"/>
      <c r="H649" s="267"/>
      <c r="I649" s="267"/>
      <c r="J649" s="267"/>
      <c r="K649" s="269"/>
      <c r="L649" s="267"/>
      <c r="M649" s="267"/>
      <c r="N649" s="270"/>
      <c r="O649" s="1163">
        <v>0.93490804699999996</v>
      </c>
      <c r="P649" s="976"/>
      <c r="Q649" s="252"/>
      <c r="R649" s="252"/>
      <c r="S649" s="252"/>
    </row>
    <row r="650" spans="1:19" ht="18.95" customHeight="1">
      <c r="A650" s="425">
        <v>10.25</v>
      </c>
      <c r="B650" s="122"/>
      <c r="C650" s="1321" t="s">
        <v>1037</v>
      </c>
      <c r="D650" s="1322"/>
      <c r="E650" s="267">
        <v>0</v>
      </c>
      <c r="F650" s="430" t="s">
        <v>348</v>
      </c>
      <c r="G650" s="267">
        <v>19.600000000000001</v>
      </c>
      <c r="H650" s="267">
        <f t="shared" si="70"/>
        <v>18.324197721200001</v>
      </c>
      <c r="I650" s="267">
        <f t="shared" si="71"/>
        <v>0</v>
      </c>
      <c r="J650" s="269">
        <v>4.4000000000000004</v>
      </c>
      <c r="K650" s="269">
        <f t="shared" si="72"/>
        <v>4.1135954068</v>
      </c>
      <c r="L650" s="267">
        <f t="shared" si="73"/>
        <v>0</v>
      </c>
      <c r="M650" s="267">
        <f t="shared" si="76"/>
        <v>0</v>
      </c>
      <c r="N650" s="270"/>
      <c r="O650" s="1163">
        <v>0.93490804699999996</v>
      </c>
      <c r="P650" s="976"/>
      <c r="Q650" s="862" t="s">
        <v>1038</v>
      </c>
      <c r="R650" s="252"/>
      <c r="S650" s="252"/>
    </row>
    <row r="651" spans="1:19" ht="18.95" customHeight="1">
      <c r="A651" s="425">
        <v>10.26</v>
      </c>
      <c r="B651" s="122"/>
      <c r="C651" s="1321" t="s">
        <v>1039</v>
      </c>
      <c r="D651" s="1322"/>
      <c r="E651" s="267">
        <v>540</v>
      </c>
      <c r="F651" s="430" t="s">
        <v>348</v>
      </c>
      <c r="G651" s="267">
        <v>19.7</v>
      </c>
      <c r="H651" s="267">
        <f t="shared" si="70"/>
        <v>18.417688525899997</v>
      </c>
      <c r="I651" s="267">
        <f t="shared" si="71"/>
        <v>9945.551803985998</v>
      </c>
      <c r="J651" s="269">
        <v>3.6</v>
      </c>
      <c r="K651" s="269">
        <f t="shared" si="72"/>
        <v>3.3656689692000001</v>
      </c>
      <c r="L651" s="267">
        <f t="shared" si="73"/>
        <v>1817.4612433680002</v>
      </c>
      <c r="M651" s="267">
        <f t="shared" si="76"/>
        <v>11763.013047353998</v>
      </c>
      <c r="N651" s="270"/>
      <c r="O651" s="1163">
        <v>0.93490804699999996</v>
      </c>
      <c r="P651" s="976"/>
      <c r="Q651" s="862" t="s">
        <v>1038</v>
      </c>
      <c r="R651" s="252"/>
      <c r="S651" s="252"/>
    </row>
    <row r="652" spans="1:19" ht="18.95" customHeight="1">
      <c r="A652" s="425">
        <v>10.27</v>
      </c>
      <c r="B652" s="122"/>
      <c r="C652" s="1321" t="s">
        <v>1040</v>
      </c>
      <c r="D652" s="1322"/>
      <c r="E652" s="267">
        <v>0</v>
      </c>
      <c r="F652" s="430" t="s">
        <v>348</v>
      </c>
      <c r="G652" s="267">
        <v>19.5</v>
      </c>
      <c r="H652" s="267">
        <f t="shared" si="70"/>
        <v>18.230706916500001</v>
      </c>
      <c r="I652" s="267">
        <f t="shared" si="71"/>
        <v>0</v>
      </c>
      <c r="J652" s="269">
        <v>3.6</v>
      </c>
      <c r="K652" s="269">
        <f t="shared" si="72"/>
        <v>3.3656689692000001</v>
      </c>
      <c r="L652" s="267">
        <f t="shared" si="73"/>
        <v>0</v>
      </c>
      <c r="M652" s="267">
        <f t="shared" si="76"/>
        <v>0</v>
      </c>
      <c r="N652" s="270"/>
      <c r="O652" s="1163">
        <v>0.93490804699999996</v>
      </c>
      <c r="P652" s="976"/>
      <c r="Q652" s="862" t="s">
        <v>1038</v>
      </c>
      <c r="R652" s="252"/>
      <c r="S652" s="252"/>
    </row>
    <row r="653" spans="1:19" ht="18.95" customHeight="1">
      <c r="A653" s="425">
        <v>10.28</v>
      </c>
      <c r="B653" s="122"/>
      <c r="C653" s="1321" t="s">
        <v>1041</v>
      </c>
      <c r="D653" s="1322"/>
      <c r="E653" s="267">
        <v>13.5</v>
      </c>
      <c r="F653" s="430" t="s">
        <v>348</v>
      </c>
      <c r="G653" s="269">
        <v>27.1</v>
      </c>
      <c r="H653" s="267">
        <f t="shared" si="70"/>
        <v>25.3360080737</v>
      </c>
      <c r="I653" s="267">
        <f t="shared" si="71"/>
        <v>342.03610899494998</v>
      </c>
      <c r="J653" s="267">
        <v>0</v>
      </c>
      <c r="K653" s="269">
        <f t="shared" si="72"/>
        <v>0</v>
      </c>
      <c r="L653" s="267">
        <f t="shared" si="73"/>
        <v>0</v>
      </c>
      <c r="M653" s="267">
        <f t="shared" si="76"/>
        <v>342.03610899494998</v>
      </c>
      <c r="N653" s="268"/>
      <c r="O653" s="1163">
        <v>0.93490804699999996</v>
      </c>
      <c r="P653" s="973"/>
      <c r="Q653" s="862" t="s">
        <v>1038</v>
      </c>
      <c r="R653" s="252"/>
      <c r="S653" s="252"/>
    </row>
    <row r="654" spans="1:19" ht="18.95" customHeight="1">
      <c r="A654" s="425">
        <v>10.29</v>
      </c>
      <c r="B654" s="122"/>
      <c r="C654" s="1323" t="s">
        <v>1043</v>
      </c>
      <c r="D654" s="1324"/>
      <c r="E654" s="267"/>
      <c r="F654" s="430"/>
      <c r="G654" s="267"/>
      <c r="H654" s="267"/>
      <c r="I654" s="267"/>
      <c r="J654" s="269"/>
      <c r="K654" s="269"/>
      <c r="L654" s="267"/>
      <c r="M654" s="267"/>
      <c r="N654" s="268"/>
      <c r="O654" s="1163">
        <v>0.93490804699999996</v>
      </c>
      <c r="P654" s="973"/>
      <c r="Q654" s="252"/>
      <c r="R654" s="252"/>
      <c r="S654" s="252"/>
    </row>
    <row r="655" spans="1:19" ht="18.95" customHeight="1">
      <c r="A655" s="431"/>
      <c r="B655" s="329"/>
      <c r="C655" s="433" t="s">
        <v>1044</v>
      </c>
      <c r="E655" s="267">
        <v>2.4</v>
      </c>
      <c r="F655" s="434" t="s">
        <v>218</v>
      </c>
      <c r="G655" s="434">
        <v>245.2</v>
      </c>
      <c r="H655" s="267">
        <f t="shared" si="70"/>
        <v>229.23945312439997</v>
      </c>
      <c r="I655" s="267">
        <f t="shared" si="71"/>
        <v>550.17468749855993</v>
      </c>
      <c r="J655" s="435">
        <v>0</v>
      </c>
      <c r="K655" s="269">
        <f t="shared" si="72"/>
        <v>0</v>
      </c>
      <c r="L655" s="267">
        <f t="shared" si="73"/>
        <v>0</v>
      </c>
      <c r="M655" s="267">
        <f t="shared" si="76"/>
        <v>550.17468749855993</v>
      </c>
      <c r="N655" s="436"/>
      <c r="O655" s="1163">
        <v>0.93490804699999996</v>
      </c>
      <c r="P655" s="765"/>
      <c r="Q655" s="252"/>
      <c r="R655" s="252"/>
      <c r="S655" s="252"/>
    </row>
    <row r="656" spans="1:19" ht="18.95" customHeight="1">
      <c r="A656" s="431"/>
      <c r="B656" s="329"/>
      <c r="C656" s="433" t="s">
        <v>1045</v>
      </c>
      <c r="E656" s="267">
        <v>4</v>
      </c>
      <c r="F656" s="434" t="s">
        <v>218</v>
      </c>
      <c r="G656" s="434">
        <v>0</v>
      </c>
      <c r="H656" s="267">
        <f t="shared" si="70"/>
        <v>0</v>
      </c>
      <c r="I656" s="267">
        <f t="shared" si="71"/>
        <v>0</v>
      </c>
      <c r="J656" s="435">
        <v>121</v>
      </c>
      <c r="K656" s="269">
        <f t="shared" si="72"/>
        <v>113.123873687</v>
      </c>
      <c r="L656" s="267">
        <f t="shared" si="73"/>
        <v>452.495494748</v>
      </c>
      <c r="M656" s="267">
        <f t="shared" si="76"/>
        <v>452.495494748</v>
      </c>
      <c r="N656" s="436"/>
      <c r="O656" s="1163">
        <v>0.93490804699999996</v>
      </c>
      <c r="P656" s="765"/>
      <c r="Q656" s="252"/>
      <c r="R656" s="252"/>
      <c r="S656" s="252"/>
    </row>
    <row r="657" spans="1:19" ht="18.95" customHeight="1">
      <c r="A657" s="431"/>
      <c r="B657" s="329"/>
      <c r="C657" s="433" t="s">
        <v>1046</v>
      </c>
      <c r="E657" s="267">
        <v>0.72</v>
      </c>
      <c r="F657" s="434" t="s">
        <v>1047</v>
      </c>
      <c r="G657" s="434">
        <v>309.42</v>
      </c>
      <c r="H657" s="267">
        <f t="shared" ref="H657:H684" si="77">G657*O657</f>
        <v>289.27924790274</v>
      </c>
      <c r="I657" s="267">
        <f t="shared" ref="I657:I684" si="78">E657*H657</f>
        <v>208.28105848997279</v>
      </c>
      <c r="J657" s="435">
        <v>0</v>
      </c>
      <c r="K657" s="269">
        <f t="shared" si="72"/>
        <v>0</v>
      </c>
      <c r="L657" s="267">
        <f t="shared" si="73"/>
        <v>0</v>
      </c>
      <c r="M657" s="267">
        <f t="shared" si="76"/>
        <v>208.28105848997279</v>
      </c>
      <c r="N657" s="436"/>
      <c r="O657" s="1163">
        <v>0.93490804699999996</v>
      </c>
      <c r="P657" s="765"/>
      <c r="Q657" s="252"/>
      <c r="R657" s="252"/>
      <c r="S657" s="252"/>
    </row>
    <row r="658" spans="1:19" ht="18.95" customHeight="1">
      <c r="A658" s="431"/>
      <c r="B658" s="329"/>
      <c r="C658" s="433" t="s">
        <v>1048</v>
      </c>
      <c r="E658" s="269">
        <v>0.6</v>
      </c>
      <c r="F658" s="434" t="s">
        <v>348</v>
      </c>
      <c r="G658" s="434">
        <v>23.36</v>
      </c>
      <c r="H658" s="267">
        <f t="shared" si="77"/>
        <v>21.83945197792</v>
      </c>
      <c r="I658" s="267">
        <f t="shared" si="78"/>
        <v>13.103671186751999</v>
      </c>
      <c r="J658" s="435">
        <v>0</v>
      </c>
      <c r="K658" s="269">
        <f t="shared" si="72"/>
        <v>0</v>
      </c>
      <c r="L658" s="267">
        <f t="shared" si="73"/>
        <v>0</v>
      </c>
      <c r="M658" s="267">
        <f t="shared" si="76"/>
        <v>13.103671186751999</v>
      </c>
      <c r="N658" s="436"/>
      <c r="O658" s="1163">
        <v>0.93490804699999996</v>
      </c>
      <c r="P658" s="765"/>
      <c r="Q658" s="862" t="s">
        <v>1038</v>
      </c>
      <c r="R658" s="252"/>
      <c r="S658" s="252"/>
    </row>
    <row r="659" spans="1:19" ht="18.95" customHeight="1">
      <c r="A659" s="204"/>
      <c r="B659" s="407"/>
      <c r="D659" s="1259" t="s">
        <v>1159</v>
      </c>
      <c r="E659" s="267"/>
      <c r="F659" s="268"/>
      <c r="G659" s="267"/>
      <c r="H659" s="267"/>
      <c r="I659" s="267"/>
      <c r="J659" s="267"/>
      <c r="K659" s="269"/>
      <c r="L659" s="267"/>
      <c r="M659" s="288">
        <f>SUM(M643:M658)</f>
        <v>105939.86580001039</v>
      </c>
      <c r="N659" s="268"/>
      <c r="O659" s="1163">
        <v>0.93490804699999996</v>
      </c>
      <c r="P659" s="973"/>
      <c r="Q659" s="252"/>
      <c r="R659" s="252"/>
      <c r="S659" s="252"/>
    </row>
    <row r="660" spans="1:19" ht="18.95" customHeight="1">
      <c r="A660" s="204"/>
      <c r="B660" s="122"/>
      <c r="C660" s="414" t="s">
        <v>1160</v>
      </c>
      <c r="D660" s="453"/>
      <c r="E660" s="270"/>
      <c r="F660" s="268"/>
      <c r="G660" s="267"/>
      <c r="H660" s="267"/>
      <c r="I660" s="267"/>
      <c r="J660" s="267"/>
      <c r="K660" s="269"/>
      <c r="L660" s="267"/>
      <c r="M660" s="270"/>
      <c r="N660" s="268"/>
      <c r="O660" s="1163">
        <v>0.93490804699999996</v>
      </c>
      <c r="P660" s="973"/>
      <c r="Q660" s="252"/>
      <c r="R660" s="252"/>
      <c r="S660" s="252"/>
    </row>
    <row r="661" spans="1:19" ht="18.95" customHeight="1">
      <c r="A661" s="425">
        <v>10.3</v>
      </c>
      <c r="B661" s="122"/>
      <c r="C661" s="1325" t="s">
        <v>1050</v>
      </c>
      <c r="D661" s="1326"/>
      <c r="E661" s="267">
        <v>25</v>
      </c>
      <c r="F661" s="430" t="s">
        <v>1032</v>
      </c>
      <c r="G661" s="434">
        <v>2117.5</v>
      </c>
      <c r="H661" s="267">
        <f t="shared" si="77"/>
        <v>1979.6677895225</v>
      </c>
      <c r="I661" s="267">
        <f t="shared" si="78"/>
        <v>49491.694738062499</v>
      </c>
      <c r="J661" s="269">
        <v>519</v>
      </c>
      <c r="K661" s="269">
        <f t="shared" si="72"/>
        <v>485.21727639299996</v>
      </c>
      <c r="L661" s="267">
        <f t="shared" si="73"/>
        <v>12130.431909825</v>
      </c>
      <c r="M661" s="267">
        <f>I661+L661</f>
        <v>61622.126647887497</v>
      </c>
      <c r="N661" s="270"/>
      <c r="O661" s="1163">
        <v>0.93490804699999996</v>
      </c>
      <c r="P661" s="976"/>
      <c r="Q661" s="252"/>
      <c r="R661" s="252"/>
      <c r="S661" s="252"/>
    </row>
    <row r="662" spans="1:19" ht="18.95" customHeight="1">
      <c r="A662" s="425">
        <v>10.31</v>
      </c>
      <c r="B662" s="122"/>
      <c r="C662" s="1325" t="s">
        <v>1053</v>
      </c>
      <c r="D662" s="1326"/>
      <c r="E662" s="267">
        <v>2.2000000000000002</v>
      </c>
      <c r="F662" s="430" t="s">
        <v>1032</v>
      </c>
      <c r="G662" s="267">
        <v>1937.5</v>
      </c>
      <c r="H662" s="267">
        <f t="shared" si="77"/>
        <v>1811.3843410625</v>
      </c>
      <c r="I662" s="267">
        <f t="shared" si="78"/>
        <v>3985.0455503375001</v>
      </c>
      <c r="J662" s="269">
        <v>519</v>
      </c>
      <c r="K662" s="269">
        <f t="shared" si="72"/>
        <v>485.21727639299996</v>
      </c>
      <c r="L662" s="267">
        <f t="shared" si="73"/>
        <v>1067.4780080646001</v>
      </c>
      <c r="M662" s="267">
        <f>I662+L662</f>
        <v>5052.5235584021002</v>
      </c>
      <c r="N662" s="270"/>
      <c r="O662" s="1163">
        <v>0.93490804699999996</v>
      </c>
      <c r="P662" s="976"/>
      <c r="Q662" s="252"/>
      <c r="R662" s="252"/>
      <c r="S662" s="252"/>
    </row>
    <row r="663" spans="1:19" ht="18.95" customHeight="1">
      <c r="A663" s="425">
        <v>10.32</v>
      </c>
      <c r="B663" s="122"/>
      <c r="C663" s="1321" t="s">
        <v>1033</v>
      </c>
      <c r="D663" s="1322"/>
      <c r="E663" s="267">
        <v>2.2000000000000002</v>
      </c>
      <c r="F663" s="430" t="s">
        <v>1032</v>
      </c>
      <c r="G663" s="267">
        <v>508.33</v>
      </c>
      <c r="H663" s="267">
        <f t="shared" si="77"/>
        <v>475.24180753150995</v>
      </c>
      <c r="I663" s="267">
        <f t="shared" si="78"/>
        <v>1045.5319765693221</v>
      </c>
      <c r="J663" s="269">
        <v>104</v>
      </c>
      <c r="K663" s="269">
        <f t="shared" si="72"/>
        <v>97.230436888</v>
      </c>
      <c r="L663" s="267">
        <f t="shared" si="73"/>
        <v>213.90696115360001</v>
      </c>
      <c r="M663" s="267">
        <f>I663+L663</f>
        <v>1259.438937722922</v>
      </c>
      <c r="N663" s="270"/>
      <c r="O663" s="1163">
        <v>0.93490804699999996</v>
      </c>
      <c r="P663" s="976"/>
      <c r="Q663" s="252"/>
      <c r="R663" s="252"/>
      <c r="S663" s="252"/>
    </row>
    <row r="664" spans="1:19" ht="18.95" customHeight="1">
      <c r="A664" s="425">
        <v>10.33</v>
      </c>
      <c r="B664" s="122"/>
      <c r="C664" s="1321" t="s">
        <v>1031</v>
      </c>
      <c r="D664" s="1322"/>
      <c r="E664" s="267">
        <v>221</v>
      </c>
      <c r="F664" s="430" t="s">
        <v>1032</v>
      </c>
      <c r="G664" s="267">
        <v>0</v>
      </c>
      <c r="H664" s="267">
        <f t="shared" si="77"/>
        <v>0</v>
      </c>
      <c r="I664" s="267">
        <f t="shared" si="78"/>
        <v>0</v>
      </c>
      <c r="J664" s="269">
        <v>112</v>
      </c>
      <c r="K664" s="269">
        <f t="shared" si="72"/>
        <v>104.70970126399999</v>
      </c>
      <c r="L664" s="267">
        <f t="shared" si="73"/>
        <v>23140.843979343997</v>
      </c>
      <c r="M664" s="267">
        <f>I664+L664</f>
        <v>23140.843979343997</v>
      </c>
      <c r="N664" s="270"/>
      <c r="O664" s="1163">
        <v>0.93490804699999996</v>
      </c>
      <c r="P664" s="976"/>
      <c r="Q664" s="252"/>
      <c r="R664" s="252"/>
      <c r="S664" s="252"/>
    </row>
    <row r="665" spans="1:19" ht="18.95" customHeight="1">
      <c r="A665" s="425">
        <v>10.34</v>
      </c>
      <c r="B665" s="122"/>
      <c r="C665" s="1321" t="s">
        <v>1099</v>
      </c>
      <c r="D665" s="1322"/>
      <c r="E665" s="267">
        <v>50</v>
      </c>
      <c r="F665" s="430" t="s">
        <v>1028</v>
      </c>
      <c r="G665" s="267">
        <v>585</v>
      </c>
      <c r="H665" s="267">
        <f t="shared" si="77"/>
        <v>546.92120749499998</v>
      </c>
      <c r="I665" s="267">
        <f t="shared" si="78"/>
        <v>27346.060374749999</v>
      </c>
      <c r="J665" s="269">
        <v>262.67</v>
      </c>
      <c r="K665" s="269">
        <f>J665*O665</f>
        <v>245.57229670549</v>
      </c>
      <c r="L665" s="267">
        <f>E665*K665</f>
        <v>12278.6148352745</v>
      </c>
      <c r="M665" s="267">
        <f>I665+L665</f>
        <v>39624.675210024499</v>
      </c>
      <c r="N665" s="270"/>
      <c r="O665" s="1163">
        <v>0.93490804699999996</v>
      </c>
      <c r="P665" s="976"/>
      <c r="Q665" s="252"/>
      <c r="R665" s="252"/>
      <c r="S665" s="252"/>
    </row>
    <row r="666" spans="1:19" ht="18.95" customHeight="1">
      <c r="A666" s="425"/>
      <c r="B666" s="122"/>
      <c r="C666" s="1343" t="s">
        <v>1036</v>
      </c>
      <c r="D666" s="1344"/>
      <c r="E666" s="267"/>
      <c r="F666" s="430"/>
      <c r="G666" s="267"/>
      <c r="H666" s="267"/>
      <c r="I666" s="267"/>
      <c r="J666" s="267"/>
      <c r="K666" s="269"/>
      <c r="L666" s="267"/>
      <c r="M666" s="267"/>
      <c r="N666" s="270"/>
      <c r="O666" s="1163">
        <v>0.93490804699999996</v>
      </c>
      <c r="P666" s="976"/>
      <c r="Q666" s="252"/>
      <c r="R666" s="252"/>
      <c r="S666" s="252"/>
    </row>
    <row r="667" spans="1:19" ht="18.95" customHeight="1">
      <c r="A667" s="425">
        <v>10.35</v>
      </c>
      <c r="B667" s="122"/>
      <c r="C667" s="1321" t="s">
        <v>1037</v>
      </c>
      <c r="D667" s="1322"/>
      <c r="E667" s="267">
        <v>0</v>
      </c>
      <c r="F667" s="430" t="s">
        <v>348</v>
      </c>
      <c r="G667" s="267">
        <v>19.600000000000001</v>
      </c>
      <c r="H667" s="267">
        <f t="shared" si="77"/>
        <v>18.324197721200001</v>
      </c>
      <c r="I667" s="267">
        <f t="shared" si="78"/>
        <v>0</v>
      </c>
      <c r="J667" s="269">
        <v>4.4000000000000004</v>
      </c>
      <c r="K667" s="269">
        <f t="shared" ref="K667:K684" si="79">J667*O667</f>
        <v>4.1135954068</v>
      </c>
      <c r="L667" s="267">
        <f t="shared" ref="L667:L684" si="80">E667*K667</f>
        <v>0</v>
      </c>
      <c r="M667" s="267">
        <f t="shared" ref="M667:M675" si="81">I667+L667</f>
        <v>0</v>
      </c>
      <c r="N667" s="270"/>
      <c r="O667" s="1163">
        <v>0.93490804699999996</v>
      </c>
      <c r="P667" s="976"/>
      <c r="Q667" s="862" t="s">
        <v>1038</v>
      </c>
      <c r="R667" s="252"/>
      <c r="S667" s="252"/>
    </row>
    <row r="668" spans="1:19" ht="18.95" customHeight="1">
      <c r="A668" s="425">
        <v>10.36</v>
      </c>
      <c r="B668" s="122"/>
      <c r="C668" s="1321" t="s">
        <v>1039</v>
      </c>
      <c r="D668" s="1322"/>
      <c r="E668" s="267">
        <v>525</v>
      </c>
      <c r="F668" s="430" t="s">
        <v>348</v>
      </c>
      <c r="G668" s="267">
        <v>19.7</v>
      </c>
      <c r="H668" s="267">
        <f t="shared" si="77"/>
        <v>18.417688525899997</v>
      </c>
      <c r="I668" s="267">
        <f t="shared" si="78"/>
        <v>9669.286476097499</v>
      </c>
      <c r="J668" s="269">
        <v>3.6</v>
      </c>
      <c r="K668" s="269">
        <f t="shared" si="79"/>
        <v>3.3656689692000001</v>
      </c>
      <c r="L668" s="267">
        <f t="shared" si="80"/>
        <v>1766.9762088300001</v>
      </c>
      <c r="M668" s="267">
        <f t="shared" si="81"/>
        <v>11436.262684927498</v>
      </c>
      <c r="N668" s="270"/>
      <c r="O668" s="1163">
        <v>0.93490804699999996</v>
      </c>
      <c r="P668" s="976"/>
      <c r="Q668" s="862" t="s">
        <v>1038</v>
      </c>
      <c r="R668" s="252"/>
      <c r="S668" s="252"/>
    </row>
    <row r="669" spans="1:19" ht="18.95" customHeight="1">
      <c r="A669" s="425">
        <v>10.37</v>
      </c>
      <c r="B669" s="122"/>
      <c r="C669" s="1321" t="s">
        <v>1040</v>
      </c>
      <c r="D669" s="1322"/>
      <c r="E669" s="267">
        <v>0</v>
      </c>
      <c r="F669" s="430" t="s">
        <v>348</v>
      </c>
      <c r="G669" s="267">
        <v>19.5</v>
      </c>
      <c r="H669" s="267">
        <f t="shared" si="77"/>
        <v>18.230706916500001</v>
      </c>
      <c r="I669" s="267">
        <f t="shared" si="78"/>
        <v>0</v>
      </c>
      <c r="J669" s="269">
        <v>3.6</v>
      </c>
      <c r="K669" s="269">
        <f t="shared" si="79"/>
        <v>3.3656689692000001</v>
      </c>
      <c r="L669" s="267">
        <f t="shared" si="80"/>
        <v>0</v>
      </c>
      <c r="M669" s="267">
        <f t="shared" si="81"/>
        <v>0</v>
      </c>
      <c r="N669" s="270"/>
      <c r="O669" s="1163">
        <v>0.93490804699999996</v>
      </c>
      <c r="P669" s="976"/>
      <c r="Q669" s="862" t="s">
        <v>1038</v>
      </c>
      <c r="R669" s="252"/>
      <c r="S669" s="252"/>
    </row>
    <row r="670" spans="1:19" ht="18.95" customHeight="1">
      <c r="A670" s="425">
        <v>10.38</v>
      </c>
      <c r="B670" s="122"/>
      <c r="C670" s="1321" t="s">
        <v>1041</v>
      </c>
      <c r="D670" s="1322"/>
      <c r="E670" s="267">
        <v>13.125</v>
      </c>
      <c r="F670" s="430" t="s">
        <v>348</v>
      </c>
      <c r="G670" s="269">
        <v>27.1</v>
      </c>
      <c r="H670" s="267">
        <f t="shared" si="77"/>
        <v>25.3360080737</v>
      </c>
      <c r="I670" s="267">
        <f t="shared" si="78"/>
        <v>332.53510596731252</v>
      </c>
      <c r="J670" s="267">
        <v>0</v>
      </c>
      <c r="K670" s="269">
        <f t="shared" si="79"/>
        <v>0</v>
      </c>
      <c r="L670" s="267">
        <f t="shared" si="80"/>
        <v>0</v>
      </c>
      <c r="M670" s="267">
        <f t="shared" si="81"/>
        <v>332.53510596731252</v>
      </c>
      <c r="N670" s="268"/>
      <c r="O670" s="1163">
        <v>0.93490804699999996</v>
      </c>
      <c r="P670" s="973"/>
      <c r="Q670" s="862" t="s">
        <v>1038</v>
      </c>
      <c r="R670" s="252"/>
      <c r="S670" s="252"/>
    </row>
    <row r="671" spans="1:19" ht="18.95" customHeight="1">
      <c r="A671" s="425">
        <v>10.39</v>
      </c>
      <c r="B671" s="122"/>
      <c r="C671" s="1323" t="s">
        <v>1043</v>
      </c>
      <c r="D671" s="1324"/>
      <c r="E671" s="267"/>
      <c r="F671" s="430"/>
      <c r="G671" s="267">
        <v>0</v>
      </c>
      <c r="H671" s="267">
        <f t="shared" si="77"/>
        <v>0</v>
      </c>
      <c r="I671" s="267">
        <f t="shared" si="78"/>
        <v>0</v>
      </c>
      <c r="J671" s="269">
        <v>0</v>
      </c>
      <c r="K671" s="269">
        <f t="shared" si="79"/>
        <v>0</v>
      </c>
      <c r="L671" s="267">
        <f t="shared" si="80"/>
        <v>0</v>
      </c>
      <c r="M671" s="267">
        <f t="shared" si="81"/>
        <v>0</v>
      </c>
      <c r="N671" s="268"/>
      <c r="O671" s="1163">
        <v>0.93490804699999996</v>
      </c>
      <c r="P671" s="973"/>
      <c r="Q671" s="252"/>
      <c r="R671" s="252"/>
      <c r="S671" s="252"/>
    </row>
    <row r="672" spans="1:19" ht="18.95" customHeight="1">
      <c r="A672" s="431"/>
      <c r="B672" s="329"/>
      <c r="C672" s="433" t="s">
        <v>1044</v>
      </c>
      <c r="E672" s="267">
        <v>72</v>
      </c>
      <c r="F672" s="434" t="s">
        <v>218</v>
      </c>
      <c r="G672" s="434">
        <v>245.2</v>
      </c>
      <c r="H672" s="267">
        <f t="shared" si="77"/>
        <v>229.23945312439997</v>
      </c>
      <c r="I672" s="267">
        <f t="shared" si="78"/>
        <v>16505.240624956798</v>
      </c>
      <c r="J672" s="435">
        <v>0</v>
      </c>
      <c r="K672" s="269">
        <f t="shared" si="79"/>
        <v>0</v>
      </c>
      <c r="L672" s="267">
        <f t="shared" si="80"/>
        <v>0</v>
      </c>
      <c r="M672" s="267">
        <f t="shared" si="81"/>
        <v>16505.240624956798</v>
      </c>
      <c r="N672" s="436"/>
      <c r="O672" s="1163">
        <v>0.93490804699999996</v>
      </c>
      <c r="P672" s="765"/>
      <c r="Q672" s="252"/>
      <c r="R672" s="252"/>
      <c r="S672" s="252"/>
    </row>
    <row r="673" spans="1:19" ht="18.95" customHeight="1">
      <c r="A673" s="431"/>
      <c r="B673" s="329"/>
      <c r="C673" s="433" t="s">
        <v>1045</v>
      </c>
      <c r="E673" s="267">
        <v>120</v>
      </c>
      <c r="F673" s="434" t="s">
        <v>218</v>
      </c>
      <c r="G673" s="434">
        <v>0</v>
      </c>
      <c r="H673" s="267">
        <f t="shared" si="77"/>
        <v>0</v>
      </c>
      <c r="I673" s="267">
        <f t="shared" si="78"/>
        <v>0</v>
      </c>
      <c r="J673" s="435">
        <v>121</v>
      </c>
      <c r="K673" s="269">
        <f t="shared" si="79"/>
        <v>113.123873687</v>
      </c>
      <c r="L673" s="267">
        <f t="shared" si="80"/>
        <v>13574.86484244</v>
      </c>
      <c r="M673" s="267">
        <f t="shared" si="81"/>
        <v>13574.86484244</v>
      </c>
      <c r="N673" s="436"/>
      <c r="O673" s="1163">
        <v>0.93490804699999996</v>
      </c>
      <c r="P673" s="765"/>
      <c r="Q673" s="252"/>
      <c r="R673" s="252"/>
      <c r="S673" s="252"/>
    </row>
    <row r="674" spans="1:19" ht="18.95" customHeight="1">
      <c r="A674" s="431"/>
      <c r="B674" s="329"/>
      <c r="C674" s="433" t="s">
        <v>1046</v>
      </c>
      <c r="E674" s="267">
        <v>21.6</v>
      </c>
      <c r="F674" s="434" t="s">
        <v>1047</v>
      </c>
      <c r="G674" s="434">
        <v>309.42</v>
      </c>
      <c r="H674" s="267">
        <f t="shared" si="77"/>
        <v>289.27924790274</v>
      </c>
      <c r="I674" s="267">
        <f t="shared" si="78"/>
        <v>6248.4317546991842</v>
      </c>
      <c r="J674" s="435">
        <v>0</v>
      </c>
      <c r="K674" s="269">
        <f t="shared" si="79"/>
        <v>0</v>
      </c>
      <c r="L674" s="267">
        <f t="shared" si="80"/>
        <v>0</v>
      </c>
      <c r="M674" s="267">
        <f t="shared" si="81"/>
        <v>6248.4317546991842</v>
      </c>
      <c r="N674" s="436"/>
      <c r="O674" s="1163">
        <v>0.93490804699999996</v>
      </c>
      <c r="P674" s="765"/>
      <c r="Q674" s="252"/>
      <c r="R674" s="252"/>
      <c r="S674" s="252"/>
    </row>
    <row r="675" spans="1:19" ht="18.95" customHeight="1">
      <c r="A675" s="431"/>
      <c r="B675" s="329"/>
      <c r="C675" s="433" t="s">
        <v>1048</v>
      </c>
      <c r="E675" s="269">
        <v>18</v>
      </c>
      <c r="F675" s="434" t="s">
        <v>348</v>
      </c>
      <c r="G675" s="434">
        <v>23.36</v>
      </c>
      <c r="H675" s="267">
        <f t="shared" si="77"/>
        <v>21.83945197792</v>
      </c>
      <c r="I675" s="267">
        <f t="shared" si="78"/>
        <v>393.11013560255998</v>
      </c>
      <c r="J675" s="435">
        <v>0</v>
      </c>
      <c r="K675" s="269">
        <f t="shared" si="79"/>
        <v>0</v>
      </c>
      <c r="L675" s="267">
        <f t="shared" si="80"/>
        <v>0</v>
      </c>
      <c r="M675" s="267">
        <f t="shared" si="81"/>
        <v>393.11013560255998</v>
      </c>
      <c r="N675" s="436"/>
      <c r="O675" s="1163">
        <v>0.93490804699999996</v>
      </c>
      <c r="P675" s="765"/>
      <c r="Q675" s="862" t="s">
        <v>1038</v>
      </c>
      <c r="R675" s="252"/>
      <c r="S675" s="252"/>
    </row>
    <row r="676" spans="1:19" ht="18.95" customHeight="1">
      <c r="A676" s="204"/>
      <c r="B676" s="407"/>
      <c r="D676" s="1259" t="s">
        <v>1161</v>
      </c>
      <c r="E676" s="267"/>
      <c r="F676" s="268"/>
      <c r="G676" s="267"/>
      <c r="H676" s="267"/>
      <c r="I676" s="267"/>
      <c r="J676" s="267"/>
      <c r="K676" s="269"/>
      <c r="L676" s="267"/>
      <c r="M676" s="288">
        <f>SUM(M660:M675)</f>
        <v>179190.05348197435</v>
      </c>
      <c r="N676" s="268"/>
      <c r="O676" s="1163">
        <v>0.93490804699999996</v>
      </c>
      <c r="P676" s="973"/>
      <c r="Q676" s="252"/>
      <c r="R676" s="252"/>
      <c r="S676" s="252"/>
    </row>
    <row r="677" spans="1:19" ht="18.95" customHeight="1">
      <c r="A677" s="204"/>
      <c r="B677" s="122"/>
      <c r="C677" s="422"/>
      <c r="D677" s="451"/>
      <c r="E677" s="267"/>
      <c r="F677" s="268"/>
      <c r="G677" s="267"/>
      <c r="H677" s="267"/>
      <c r="I677" s="267"/>
      <c r="J677" s="267"/>
      <c r="K677" s="269"/>
      <c r="L677" s="267"/>
      <c r="M677" s="288"/>
      <c r="N677" s="268"/>
      <c r="O677" s="1163">
        <v>0.93490804699999996</v>
      </c>
      <c r="P677" s="973"/>
      <c r="Q677" s="252"/>
      <c r="R677" s="252"/>
      <c r="S677" s="252"/>
    </row>
    <row r="678" spans="1:19" ht="18.95" customHeight="1">
      <c r="A678" s="204"/>
      <c r="B678" s="407"/>
      <c r="D678" s="1259" t="s">
        <v>1162</v>
      </c>
      <c r="E678" s="267"/>
      <c r="F678" s="268"/>
      <c r="G678" s="267"/>
      <c r="H678" s="267"/>
      <c r="I678" s="267"/>
      <c r="J678" s="267"/>
      <c r="K678" s="269"/>
      <c r="L678" s="267"/>
      <c r="M678" s="288">
        <f>SUM(M623,M642,M659,M676)</f>
        <v>411813.33924958383</v>
      </c>
      <c r="N678" s="270"/>
      <c r="O678" s="1163">
        <v>0.93490804699999996</v>
      </c>
      <c r="P678" s="976"/>
      <c r="Q678" s="252"/>
      <c r="R678" s="252"/>
      <c r="S678" s="252"/>
    </row>
    <row r="679" spans="1:19" ht="18.95" customHeight="1">
      <c r="A679" s="204"/>
      <c r="B679" s="122"/>
      <c r="C679" s="1345"/>
      <c r="D679" s="1346"/>
      <c r="E679" s="267"/>
      <c r="F679" s="268"/>
      <c r="G679" s="267"/>
      <c r="H679" s="267"/>
      <c r="I679" s="267"/>
      <c r="J679" s="267"/>
      <c r="K679" s="269"/>
      <c r="L679" s="267"/>
      <c r="M679" s="288"/>
      <c r="N679" s="270"/>
      <c r="O679" s="1163">
        <v>0.93490804699999996</v>
      </c>
      <c r="P679" s="976"/>
      <c r="Q679" s="252"/>
      <c r="R679" s="252"/>
      <c r="S679" s="252"/>
    </row>
    <row r="680" spans="1:19" ht="18.95" customHeight="1">
      <c r="A680" s="371">
        <v>11</v>
      </c>
      <c r="B680" s="122"/>
      <c r="C680" s="1327" t="s">
        <v>85</v>
      </c>
      <c r="D680" s="1328"/>
      <c r="E680" s="267"/>
      <c r="F680" s="268"/>
      <c r="G680" s="267"/>
      <c r="H680" s="267"/>
      <c r="I680" s="267"/>
      <c r="J680" s="267"/>
      <c r="K680" s="269"/>
      <c r="L680" s="267"/>
      <c r="M680" s="267"/>
      <c r="N680" s="270"/>
      <c r="O680" s="1163">
        <v>0.93490804699999996</v>
      </c>
      <c r="P680" s="976"/>
      <c r="Q680" s="252"/>
      <c r="R680" s="252"/>
      <c r="S680" s="252"/>
    </row>
    <row r="681" spans="1:19" ht="18.95" customHeight="1">
      <c r="A681" s="340">
        <v>11.1</v>
      </c>
      <c r="B681" s="122"/>
      <c r="C681" s="1339" t="s">
        <v>1163</v>
      </c>
      <c r="D681" s="1340"/>
      <c r="E681" s="267">
        <v>1</v>
      </c>
      <c r="F681" s="268" t="s">
        <v>351</v>
      </c>
      <c r="G681" s="267">
        <v>150000</v>
      </c>
      <c r="H681" s="267">
        <f t="shared" si="77"/>
        <v>140236.20705</v>
      </c>
      <c r="I681" s="267">
        <f t="shared" si="78"/>
        <v>140236.20705</v>
      </c>
      <c r="J681" s="269">
        <v>0</v>
      </c>
      <c r="K681" s="269">
        <f t="shared" si="79"/>
        <v>0</v>
      </c>
      <c r="L681" s="267">
        <f t="shared" si="80"/>
        <v>0</v>
      </c>
      <c r="M681" s="270">
        <f>I681+L681</f>
        <v>140236.20705</v>
      </c>
      <c r="N681" s="270"/>
      <c r="O681" s="1163">
        <v>0.93490804699999996</v>
      </c>
      <c r="P681" s="976"/>
      <c r="Q681" s="252"/>
      <c r="R681" s="252"/>
      <c r="S681" s="252"/>
    </row>
    <row r="682" spans="1:19" ht="18.95" customHeight="1">
      <c r="A682" s="340">
        <v>11.2</v>
      </c>
      <c r="B682" s="122"/>
      <c r="C682" s="1339" t="s">
        <v>1164</v>
      </c>
      <c r="D682" s="1340"/>
      <c r="E682" s="267">
        <v>1</v>
      </c>
      <c r="F682" s="268" t="s">
        <v>351</v>
      </c>
      <c r="G682" s="267">
        <v>150000</v>
      </c>
      <c r="H682" s="267">
        <f t="shared" si="77"/>
        <v>140236.20705</v>
      </c>
      <c r="I682" s="267">
        <f t="shared" si="78"/>
        <v>140236.20705</v>
      </c>
      <c r="J682" s="269">
        <v>0</v>
      </c>
      <c r="K682" s="269">
        <f t="shared" si="79"/>
        <v>0</v>
      </c>
      <c r="L682" s="267">
        <f t="shared" si="80"/>
        <v>0</v>
      </c>
      <c r="M682" s="270">
        <f>I682+L682</f>
        <v>140236.20705</v>
      </c>
      <c r="N682" s="268"/>
      <c r="O682" s="1163">
        <v>0.93490804699999996</v>
      </c>
      <c r="P682" s="973"/>
      <c r="Q682" s="252"/>
      <c r="R682" s="252"/>
      <c r="S682" s="252"/>
    </row>
    <row r="683" spans="1:19" ht="18.95" customHeight="1">
      <c r="A683" s="340">
        <v>11.3</v>
      </c>
      <c r="B683" s="122"/>
      <c r="C683" s="1339" t="s">
        <v>1165</v>
      </c>
      <c r="D683" s="1340"/>
      <c r="E683" s="267">
        <v>1</v>
      </c>
      <c r="F683" s="268" t="s">
        <v>351</v>
      </c>
      <c r="G683" s="267">
        <v>150000</v>
      </c>
      <c r="H683" s="267">
        <f t="shared" si="77"/>
        <v>140236.20705</v>
      </c>
      <c r="I683" s="267">
        <f t="shared" si="78"/>
        <v>140236.20705</v>
      </c>
      <c r="J683" s="269">
        <v>0</v>
      </c>
      <c r="K683" s="269">
        <f t="shared" si="79"/>
        <v>0</v>
      </c>
      <c r="L683" s="267">
        <f t="shared" si="80"/>
        <v>0</v>
      </c>
      <c r="M683" s="270">
        <f>I683+L683</f>
        <v>140236.20705</v>
      </c>
      <c r="N683" s="268"/>
      <c r="O683" s="1163">
        <v>0.93490804699999996</v>
      </c>
      <c r="P683" s="973"/>
      <c r="Q683" s="252"/>
      <c r="R683" s="252"/>
      <c r="S683" s="252"/>
    </row>
    <row r="684" spans="1:19" ht="18.95" customHeight="1">
      <c r="A684" s="340">
        <v>11.4</v>
      </c>
      <c r="B684" s="122"/>
      <c r="C684" s="1339" t="s">
        <v>1166</v>
      </c>
      <c r="D684" s="1340"/>
      <c r="E684" s="267">
        <v>1</v>
      </c>
      <c r="F684" s="268" t="s">
        <v>351</v>
      </c>
      <c r="G684" s="267">
        <v>340647.61</v>
      </c>
      <c r="H684" s="267">
        <f t="shared" si="77"/>
        <v>318474.19178031763</v>
      </c>
      <c r="I684" s="267">
        <f t="shared" si="78"/>
        <v>318474.19178031763</v>
      </c>
      <c r="J684" s="269">
        <v>0</v>
      </c>
      <c r="K684" s="269">
        <f t="shared" si="79"/>
        <v>0</v>
      </c>
      <c r="L684" s="267">
        <f t="shared" si="80"/>
        <v>0</v>
      </c>
      <c r="M684" s="270">
        <f>I684+L684</f>
        <v>318474.19178031763</v>
      </c>
      <c r="N684" s="268"/>
      <c r="O684" s="1163">
        <v>0.93490804699999996</v>
      </c>
      <c r="P684" s="973"/>
      <c r="Q684" s="252"/>
      <c r="R684" s="252"/>
      <c r="S684" s="252"/>
    </row>
    <row r="685" spans="1:19" ht="18.95" customHeight="1">
      <c r="A685" s="346"/>
      <c r="B685" s="566"/>
      <c r="C685" s="331"/>
      <c r="D685" s="453"/>
      <c r="E685" s="267"/>
      <c r="F685" s="268"/>
      <c r="G685" s="267"/>
      <c r="H685" s="267"/>
      <c r="I685" s="267"/>
      <c r="J685" s="269"/>
      <c r="K685" s="269"/>
      <c r="L685" s="269"/>
      <c r="M685" s="270"/>
      <c r="N685" s="268"/>
      <c r="O685" s="973"/>
      <c r="P685" s="973"/>
    </row>
    <row r="686" spans="1:19" ht="18.95" customHeight="1">
      <c r="A686" s="204"/>
      <c r="B686" s="871"/>
      <c r="D686" s="1259" t="s">
        <v>1167</v>
      </c>
      <c r="E686" s="267"/>
      <c r="F686" s="268"/>
      <c r="G686" s="267"/>
      <c r="H686" s="267"/>
      <c r="I686" s="267"/>
      <c r="J686" s="267"/>
      <c r="K686" s="267"/>
      <c r="L686" s="267"/>
      <c r="M686" s="288">
        <f>SUM(M681:M684)</f>
        <v>739182.8129303176</v>
      </c>
      <c r="N686" s="268"/>
      <c r="O686" s="973"/>
      <c r="P686" s="973"/>
    </row>
    <row r="687" spans="1:19" ht="18.95" customHeight="1">
      <c r="A687" s="204"/>
      <c r="B687" s="139"/>
      <c r="C687" s="422"/>
      <c r="D687" s="451"/>
      <c r="E687" s="455"/>
      <c r="F687" s="224"/>
      <c r="G687" s="368"/>
      <c r="H687" s="267"/>
      <c r="I687" s="267"/>
      <c r="J687" s="368"/>
      <c r="K687" s="368"/>
      <c r="L687" s="368"/>
      <c r="M687" s="456"/>
      <c r="N687" s="224"/>
      <c r="O687" s="407"/>
      <c r="P687" s="407"/>
    </row>
    <row r="688" spans="1:19" ht="18.95" customHeight="1">
      <c r="A688" s="204"/>
      <c r="B688" s="139"/>
      <c r="C688" s="1345"/>
      <c r="D688" s="1346"/>
      <c r="E688" s="455"/>
      <c r="F688" s="224"/>
      <c r="G688" s="368"/>
      <c r="H688" s="267"/>
      <c r="I688" s="267"/>
      <c r="J688" s="368"/>
      <c r="K688" s="368"/>
      <c r="L688" s="368"/>
      <c r="M688" s="456"/>
      <c r="N688" s="370"/>
      <c r="O688" s="868"/>
      <c r="P688" s="868"/>
    </row>
    <row r="689" spans="1:16" ht="18.95" customHeight="1">
      <c r="A689" s="204"/>
      <c r="B689" s="139"/>
      <c r="C689" s="1345"/>
      <c r="D689" s="1346"/>
      <c r="E689" s="455"/>
      <c r="F689" s="224"/>
      <c r="G689" s="368"/>
      <c r="H689" s="267"/>
      <c r="I689" s="267"/>
      <c r="J689" s="368"/>
      <c r="K689" s="368"/>
      <c r="L689" s="368"/>
      <c r="M689" s="456"/>
      <c r="N689" s="370"/>
      <c r="O689" s="868"/>
      <c r="P689" s="868"/>
    </row>
    <row r="690" spans="1:16" ht="18.95" customHeight="1">
      <c r="A690" s="371"/>
      <c r="B690" s="1203"/>
      <c r="C690" s="1327"/>
      <c r="D690" s="1328"/>
      <c r="E690" s="455"/>
      <c r="F690" s="224"/>
      <c r="G690" s="368"/>
      <c r="H690" s="267"/>
      <c r="I690" s="267"/>
      <c r="J690" s="368"/>
      <c r="K690" s="368"/>
      <c r="L690" s="368"/>
      <c r="M690" s="368"/>
      <c r="N690" s="370"/>
      <c r="O690" s="868"/>
      <c r="P690" s="868"/>
    </row>
    <row r="691" spans="1:16" ht="18.95" customHeight="1">
      <c r="A691" s="340"/>
      <c r="B691" s="136"/>
      <c r="C691" s="1339"/>
      <c r="D691" s="1340"/>
      <c r="E691" s="267"/>
      <c r="F691" s="224"/>
      <c r="G691" s="368"/>
      <c r="H691" s="267"/>
      <c r="I691" s="267"/>
      <c r="J691" s="369"/>
      <c r="K691" s="369"/>
      <c r="L691" s="369"/>
      <c r="M691" s="392"/>
      <c r="N691" s="370"/>
      <c r="O691" s="868"/>
      <c r="P691" s="868"/>
    </row>
    <row r="692" spans="1:16" ht="18.95" customHeight="1">
      <c r="A692" s="340"/>
      <c r="B692" s="136"/>
      <c r="C692" s="1339"/>
      <c r="D692" s="1340"/>
      <c r="E692" s="267"/>
      <c r="F692" s="224"/>
      <c r="G692" s="368"/>
      <c r="H692" s="267"/>
      <c r="I692" s="267"/>
      <c r="J692" s="369"/>
      <c r="K692" s="369"/>
      <c r="L692" s="369"/>
      <c r="M692" s="392"/>
      <c r="N692" s="224"/>
      <c r="O692" s="407"/>
      <c r="P692" s="407"/>
    </row>
    <row r="693" spans="1:16" ht="18.95" customHeight="1">
      <c r="A693" s="340"/>
      <c r="B693" s="136"/>
      <c r="C693" s="1339"/>
      <c r="D693" s="1340"/>
      <c r="E693" s="267"/>
      <c r="F693" s="224"/>
      <c r="G693" s="368"/>
      <c r="H693" s="267"/>
      <c r="I693" s="267"/>
      <c r="J693" s="369"/>
      <c r="K693" s="369"/>
      <c r="L693" s="369"/>
      <c r="M693" s="392"/>
      <c r="N693" s="224"/>
      <c r="O693" s="407"/>
      <c r="P693" s="407"/>
    </row>
    <row r="694" spans="1:16" ht="18.95" customHeight="1">
      <c r="A694" s="340"/>
      <c r="B694" s="136"/>
      <c r="C694" s="1339"/>
      <c r="D694" s="1340"/>
      <c r="E694" s="267"/>
      <c r="F694" s="224"/>
      <c r="G694" s="368"/>
      <c r="H694" s="267"/>
      <c r="I694" s="267"/>
      <c r="J694" s="369"/>
      <c r="K694" s="369"/>
      <c r="L694" s="369"/>
      <c r="M694" s="392"/>
      <c r="N694" s="224"/>
      <c r="O694" s="407"/>
      <c r="P694" s="407"/>
    </row>
    <row r="695" spans="1:16" ht="18.95" customHeight="1">
      <c r="A695" s="346"/>
      <c r="B695" s="566"/>
      <c r="C695" s="331"/>
      <c r="D695" s="453"/>
      <c r="E695" s="455"/>
      <c r="F695" s="224"/>
      <c r="G695" s="368"/>
      <c r="H695" s="267"/>
      <c r="I695" s="267"/>
      <c r="J695" s="369"/>
      <c r="K695" s="369"/>
      <c r="L695" s="369"/>
      <c r="M695" s="392"/>
      <c r="N695" s="224"/>
      <c r="O695" s="407"/>
      <c r="P695" s="407"/>
    </row>
    <row r="696" spans="1:16" ht="18.95" customHeight="1">
      <c r="A696" s="204"/>
      <c r="B696" s="139"/>
      <c r="C696" s="1345"/>
      <c r="D696" s="1346"/>
      <c r="E696" s="455"/>
      <c r="F696" s="224"/>
      <c r="G696" s="368"/>
      <c r="H696" s="267"/>
      <c r="I696" s="267"/>
      <c r="J696" s="368"/>
      <c r="K696" s="368"/>
      <c r="L696" s="368"/>
      <c r="M696" s="456"/>
      <c r="N696" s="224"/>
      <c r="O696" s="407"/>
      <c r="P696" s="407"/>
    </row>
    <row r="697" spans="1:16" ht="18.95" customHeight="1">
      <c r="A697" s="245"/>
      <c r="B697" s="1204"/>
      <c r="C697" s="457"/>
      <c r="D697" s="210"/>
      <c r="E697" s="458"/>
      <c r="F697" s="459"/>
      <c r="G697" s="460"/>
      <c r="H697" s="267"/>
      <c r="I697" s="267"/>
      <c r="J697" s="460"/>
      <c r="K697" s="460"/>
      <c r="L697" s="460"/>
      <c r="M697" s="460"/>
      <c r="N697" s="461"/>
      <c r="O697" s="868"/>
      <c r="P697" s="868"/>
    </row>
    <row r="698" spans="1:16" ht="18.95" customHeight="1">
      <c r="C698" s="250"/>
      <c r="D698" s="250"/>
      <c r="E698" s="250"/>
    </row>
  </sheetData>
  <mergeCells count="420">
    <mergeCell ref="C53:D53"/>
    <mergeCell ref="C54:D54"/>
    <mergeCell ref="C76:D76"/>
    <mergeCell ref="C79:D79"/>
    <mergeCell ref="C99:D99"/>
    <mergeCell ref="C100:D100"/>
    <mergeCell ref="C101:D101"/>
    <mergeCell ref="C61:D61"/>
    <mergeCell ref="C62:D62"/>
    <mergeCell ref="C63:D63"/>
    <mergeCell ref="C64:D64"/>
    <mergeCell ref="C65:D65"/>
    <mergeCell ref="C66:D66"/>
    <mergeCell ref="C60:D60"/>
    <mergeCell ref="C74:D74"/>
    <mergeCell ref="C75:D75"/>
    <mergeCell ref="C77:D77"/>
    <mergeCell ref="C78:D78"/>
    <mergeCell ref="C67:D67"/>
    <mergeCell ref="C68:D68"/>
    <mergeCell ref="C80:D80"/>
    <mergeCell ref="C69:D69"/>
    <mergeCell ref="C81:D81"/>
    <mergeCell ref="C50:D50"/>
    <mergeCell ref="C51:D51"/>
    <mergeCell ref="C52:D52"/>
    <mergeCell ref="C47:D47"/>
    <mergeCell ref="C28:D28"/>
    <mergeCell ref="C29:D29"/>
    <mergeCell ref="C30:D30"/>
    <mergeCell ref="C31:D31"/>
    <mergeCell ref="C48:D48"/>
    <mergeCell ref="C49:D49"/>
    <mergeCell ref="C38:D38"/>
    <mergeCell ref="C39:D39"/>
    <mergeCell ref="C40:D40"/>
    <mergeCell ref="C41:D41"/>
    <mergeCell ref="C42:D42"/>
    <mergeCell ref="C32:D32"/>
    <mergeCell ref="C33:D33"/>
    <mergeCell ref="C34:D34"/>
    <mergeCell ref="C35:D35"/>
    <mergeCell ref="C36:D36"/>
    <mergeCell ref="C37:D37"/>
    <mergeCell ref="C119:D119"/>
    <mergeCell ref="C121:D121"/>
    <mergeCell ref="C122:D122"/>
    <mergeCell ref="C113:D113"/>
    <mergeCell ref="C120:D120"/>
    <mergeCell ref="C114:D114"/>
    <mergeCell ref="C115:D115"/>
    <mergeCell ref="C91:D91"/>
    <mergeCell ref="C86:D86"/>
    <mergeCell ref="C87:D87"/>
    <mergeCell ref="C104:D104"/>
    <mergeCell ref="C105:D105"/>
    <mergeCell ref="C97:D97"/>
    <mergeCell ref="C98:D98"/>
    <mergeCell ref="C102:D102"/>
    <mergeCell ref="C103:D103"/>
    <mergeCell ref="C106:D106"/>
    <mergeCell ref="C88:D88"/>
    <mergeCell ref="C93:D93"/>
    <mergeCell ref="C107:D107"/>
    <mergeCell ref="C108:D108"/>
    <mergeCell ref="C89:D89"/>
    <mergeCell ref="C92:D92"/>
    <mergeCell ref="C157:D157"/>
    <mergeCell ref="C158:D158"/>
    <mergeCell ref="C161:D161"/>
    <mergeCell ref="C156:D156"/>
    <mergeCell ref="C145:D145"/>
    <mergeCell ref="C146:D146"/>
    <mergeCell ref="C136:D136"/>
    <mergeCell ref="C137:D137"/>
    <mergeCell ref="C148:D148"/>
    <mergeCell ref="C149:D149"/>
    <mergeCell ref="C150:D150"/>
    <mergeCell ref="C151:D151"/>
    <mergeCell ref="C123:D123"/>
    <mergeCell ref="C124:D124"/>
    <mergeCell ref="C125:D125"/>
    <mergeCell ref="C126:D126"/>
    <mergeCell ref="C147:D147"/>
    <mergeCell ref="C140:D140"/>
    <mergeCell ref="C141:D141"/>
    <mergeCell ref="C142:D142"/>
    <mergeCell ref="C143:D143"/>
    <mergeCell ref="C144:D144"/>
    <mergeCell ref="C127:D127"/>
    <mergeCell ref="C128:D128"/>
    <mergeCell ref="C129:D129"/>
    <mergeCell ref="C130:D130"/>
    <mergeCell ref="C135:D135"/>
    <mergeCell ref="C250:D250"/>
    <mergeCell ref="C258:D258"/>
    <mergeCell ref="C259:D259"/>
    <mergeCell ref="C285:D285"/>
    <mergeCell ref="C286:D286"/>
    <mergeCell ref="C260:D260"/>
    <mergeCell ref="C261:D261"/>
    <mergeCell ref="C262:D262"/>
    <mergeCell ref="C219:D219"/>
    <mergeCell ref="C234:D234"/>
    <mergeCell ref="C235:D235"/>
    <mergeCell ref="C236:D236"/>
    <mergeCell ref="C237:D237"/>
    <mergeCell ref="C273:D273"/>
    <mergeCell ref="C274:D274"/>
    <mergeCell ref="C280:D280"/>
    <mergeCell ref="C284:D284"/>
    <mergeCell ref="C232:D232"/>
    <mergeCell ref="C233:D233"/>
    <mergeCell ref="C245:D245"/>
    <mergeCell ref="C275:D275"/>
    <mergeCell ref="C283:D283"/>
    <mergeCell ref="C282:D282"/>
    <mergeCell ref="C276:D276"/>
    <mergeCell ref="C172:D172"/>
    <mergeCell ref="C184:D184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244:D244"/>
    <mergeCell ref="C183:D183"/>
    <mergeCell ref="C196:D196"/>
    <mergeCell ref="C185:D185"/>
    <mergeCell ref="C186:D186"/>
    <mergeCell ref="C177:D177"/>
    <mergeCell ref="C197:D197"/>
    <mergeCell ref="C230:D230"/>
    <mergeCell ref="C231:D231"/>
    <mergeCell ref="C208:D208"/>
    <mergeCell ref="C209:D209"/>
    <mergeCell ref="C218:D218"/>
    <mergeCell ref="C434:D434"/>
    <mergeCell ref="C435:D435"/>
    <mergeCell ref="C436:D436"/>
    <mergeCell ref="C437:D437"/>
    <mergeCell ref="C433:D433"/>
    <mergeCell ref="C458:D458"/>
    <mergeCell ref="C476:D476"/>
    <mergeCell ref="C460:D460"/>
    <mergeCell ref="C463:D463"/>
    <mergeCell ref="C438:D438"/>
    <mergeCell ref="C439:D439"/>
    <mergeCell ref="C448:D448"/>
    <mergeCell ref="C449:D449"/>
    <mergeCell ref="C472:D472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71:D471"/>
    <mergeCell ref="C462:D462"/>
    <mergeCell ref="C317:D317"/>
    <mergeCell ref="C330:D330"/>
    <mergeCell ref="C298:D298"/>
    <mergeCell ref="C287:D287"/>
    <mergeCell ref="C288:D288"/>
    <mergeCell ref="C297:D297"/>
    <mergeCell ref="C324:D324"/>
    <mergeCell ref="C326:D326"/>
    <mergeCell ref="C332:D332"/>
    <mergeCell ref="C296:D296"/>
    <mergeCell ref="C290:D290"/>
    <mergeCell ref="C289:D289"/>
    <mergeCell ref="C669:D669"/>
    <mergeCell ref="C668:D668"/>
    <mergeCell ref="C666:D666"/>
    <mergeCell ref="C667:D667"/>
    <mergeCell ref="C644:D644"/>
    <mergeCell ref="C661:D661"/>
    <mergeCell ref="C646:D646"/>
    <mergeCell ref="C488:D488"/>
    <mergeCell ref="C489:D489"/>
    <mergeCell ref="C490:D490"/>
    <mergeCell ref="C665:D665"/>
    <mergeCell ref="C634:D634"/>
    <mergeCell ref="C635:D635"/>
    <mergeCell ref="C652:D652"/>
    <mergeCell ref="C654:D654"/>
    <mergeCell ref="C662:D662"/>
    <mergeCell ref="C663:D663"/>
    <mergeCell ref="C664:D664"/>
    <mergeCell ref="C648:D648"/>
    <mergeCell ref="C649:D649"/>
    <mergeCell ref="C650:D650"/>
    <mergeCell ref="C651:D651"/>
    <mergeCell ref="C653:D653"/>
    <mergeCell ref="C594:D594"/>
    <mergeCell ref="C171:D17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251:D251"/>
    <mergeCell ref="C252:D252"/>
    <mergeCell ref="C253:D253"/>
    <mergeCell ref="C254:D254"/>
    <mergeCell ref="C255:D255"/>
    <mergeCell ref="C315:D315"/>
    <mergeCell ref="C263:D263"/>
    <mergeCell ref="C267:D267"/>
    <mergeCell ref="C268:D268"/>
    <mergeCell ref="C266:D266"/>
    <mergeCell ref="C264:D264"/>
    <mergeCell ref="C265:D265"/>
    <mergeCell ref="C301:D301"/>
    <mergeCell ref="C302:D302"/>
    <mergeCell ref="C303:D303"/>
    <mergeCell ref="C304:D304"/>
    <mergeCell ref="C310:D310"/>
    <mergeCell ref="C311:D311"/>
    <mergeCell ref="C312:D312"/>
    <mergeCell ref="C314:D314"/>
    <mergeCell ref="C281:D281"/>
    <mergeCell ref="C295:D295"/>
    <mergeCell ref="C422:D422"/>
    <mergeCell ref="C396:D396"/>
    <mergeCell ref="C413:D413"/>
    <mergeCell ref="C399:D399"/>
    <mergeCell ref="C400:D400"/>
    <mergeCell ref="C401:D401"/>
    <mergeCell ref="C402:D402"/>
    <mergeCell ref="C403:D403"/>
    <mergeCell ref="C398:D398"/>
    <mergeCell ref="C397:D397"/>
    <mergeCell ref="C404:D404"/>
    <mergeCell ref="C405:D405"/>
    <mergeCell ref="C421:D421"/>
    <mergeCell ref="C432:D432"/>
    <mergeCell ref="C483:D483"/>
    <mergeCell ref="C484:D484"/>
    <mergeCell ref="C486:D486"/>
    <mergeCell ref="C487:D487"/>
    <mergeCell ref="C318:D318"/>
    <mergeCell ref="C431:D431"/>
    <mergeCell ref="C414:D414"/>
    <mergeCell ref="C415:D415"/>
    <mergeCell ref="C416:D416"/>
    <mergeCell ref="C417:D417"/>
    <mergeCell ref="C418:D418"/>
    <mergeCell ref="C430:D430"/>
    <mergeCell ref="C419:D419"/>
    <mergeCell ref="C420:D420"/>
    <mergeCell ref="C385:D385"/>
    <mergeCell ref="C368:D368"/>
    <mergeCell ref="C370:D370"/>
    <mergeCell ref="C380:D380"/>
    <mergeCell ref="C381:D381"/>
    <mergeCell ref="C382:D382"/>
    <mergeCell ref="C383:D383"/>
    <mergeCell ref="C348:D348"/>
    <mergeCell ref="C349:D349"/>
    <mergeCell ref="C539:D539"/>
    <mergeCell ref="C540:D540"/>
    <mergeCell ref="C541:D541"/>
    <mergeCell ref="C542:D542"/>
    <mergeCell ref="C544:D544"/>
    <mergeCell ref="C546:D546"/>
    <mergeCell ref="C572:D572"/>
    <mergeCell ref="C563:D563"/>
    <mergeCell ref="C564:D564"/>
    <mergeCell ref="C565:D565"/>
    <mergeCell ref="C571:D571"/>
    <mergeCell ref="C553:D553"/>
    <mergeCell ref="C549:D549"/>
    <mergeCell ref="C554:D554"/>
    <mergeCell ref="C555:D555"/>
    <mergeCell ref="C556:D556"/>
    <mergeCell ref="C557:D557"/>
    <mergeCell ref="C559:D559"/>
    <mergeCell ref="C558:D558"/>
    <mergeCell ref="C560:D560"/>
    <mergeCell ref="C561:D561"/>
    <mergeCell ref="C562:D562"/>
    <mergeCell ref="C601:D601"/>
    <mergeCell ref="C548:D548"/>
    <mergeCell ref="C543:D543"/>
    <mergeCell ref="C545:D545"/>
    <mergeCell ref="C547:D547"/>
    <mergeCell ref="C573:D573"/>
    <mergeCell ref="C574:D574"/>
    <mergeCell ref="C575:D575"/>
    <mergeCell ref="C576:D576"/>
    <mergeCell ref="C577:D577"/>
    <mergeCell ref="C578:D578"/>
    <mergeCell ref="C579:D579"/>
    <mergeCell ref="C581:D581"/>
    <mergeCell ref="C591:D591"/>
    <mergeCell ref="C593:D593"/>
    <mergeCell ref="C585:D585"/>
    <mergeCell ref="C691:D691"/>
    <mergeCell ref="C692:D692"/>
    <mergeCell ref="C693:D693"/>
    <mergeCell ref="C670:D670"/>
    <mergeCell ref="C682:D682"/>
    <mergeCell ref="C683:D683"/>
    <mergeCell ref="C684:D684"/>
    <mergeCell ref="C671:D671"/>
    <mergeCell ref="C681:D681"/>
    <mergeCell ref="C688:D688"/>
    <mergeCell ref="C694:D694"/>
    <mergeCell ref="C696:D696"/>
    <mergeCell ref="C679:D679"/>
    <mergeCell ref="C680:D680"/>
    <mergeCell ref="C203:D203"/>
    <mergeCell ref="C204:D204"/>
    <mergeCell ref="C216:D216"/>
    <mergeCell ref="C217:D217"/>
    <mergeCell ref="C227:D227"/>
    <mergeCell ref="C228:D228"/>
    <mergeCell ref="C242:D242"/>
    <mergeCell ref="C243:D243"/>
    <mergeCell ref="C249:D249"/>
    <mergeCell ref="C229:D229"/>
    <mergeCell ref="C220:D220"/>
    <mergeCell ref="C221:D221"/>
    <mergeCell ref="C222:D222"/>
    <mergeCell ref="C205:D205"/>
    <mergeCell ref="C210:D210"/>
    <mergeCell ref="C211:D211"/>
    <mergeCell ref="C206:D206"/>
    <mergeCell ref="C207:D207"/>
    <mergeCell ref="C689:D689"/>
    <mergeCell ref="C690:D690"/>
    <mergeCell ref="C388:D388"/>
    <mergeCell ref="C386:D386"/>
    <mergeCell ref="C387:D387"/>
    <mergeCell ref="C360:D360"/>
    <mergeCell ref="C361:D361"/>
    <mergeCell ref="C365:D365"/>
    <mergeCell ref="C343:D343"/>
    <mergeCell ref="C362:D362"/>
    <mergeCell ref="C363:D363"/>
    <mergeCell ref="C364:D364"/>
    <mergeCell ref="C350:D350"/>
    <mergeCell ref="C351:D351"/>
    <mergeCell ref="C352:D352"/>
    <mergeCell ref="C366:D366"/>
    <mergeCell ref="C367:D367"/>
    <mergeCell ref="C369:D369"/>
    <mergeCell ref="C384:D384"/>
    <mergeCell ref="C378:D378"/>
    <mergeCell ref="C379:D379"/>
    <mergeCell ref="C334:D334"/>
    <mergeCell ref="C335:D335"/>
    <mergeCell ref="C327:D327"/>
    <mergeCell ref="C328:D328"/>
    <mergeCell ref="C329:D329"/>
    <mergeCell ref="C344:D344"/>
    <mergeCell ref="C345:D345"/>
    <mergeCell ref="C346:D346"/>
    <mergeCell ref="C347:D347"/>
    <mergeCell ref="C331:D331"/>
    <mergeCell ref="C333:D333"/>
    <mergeCell ref="C466:D466"/>
    <mergeCell ref="C468:D468"/>
    <mergeCell ref="C459:D459"/>
    <mergeCell ref="C464:D464"/>
    <mergeCell ref="C465:D465"/>
    <mergeCell ref="C467:D467"/>
    <mergeCell ref="C469:D469"/>
    <mergeCell ref="C470:D470"/>
    <mergeCell ref="C647:D647"/>
    <mergeCell ref="C615:D615"/>
    <mergeCell ref="C627:D627"/>
    <mergeCell ref="C611:D611"/>
    <mergeCell ref="C612:D612"/>
    <mergeCell ref="C613:D613"/>
    <mergeCell ref="C614:D614"/>
    <mergeCell ref="C618:D618"/>
    <mergeCell ref="C629:D629"/>
    <mergeCell ref="C630:D630"/>
    <mergeCell ref="C632:D632"/>
    <mergeCell ref="C633:D633"/>
    <mergeCell ref="C616:D616"/>
    <mergeCell ref="C617:D617"/>
    <mergeCell ref="C626:D626"/>
    <mergeCell ref="C628:D628"/>
    <mergeCell ref="C636:D636"/>
    <mergeCell ref="C637:D637"/>
    <mergeCell ref="C645:D645"/>
    <mergeCell ref="C606:D606"/>
    <mergeCell ref="C607:D607"/>
    <mergeCell ref="C609:D609"/>
    <mergeCell ref="C610:D610"/>
    <mergeCell ref="C477:D477"/>
    <mergeCell ref="C479:D479"/>
    <mergeCell ref="C480:D480"/>
    <mergeCell ref="C481:D481"/>
    <mergeCell ref="C482:D482"/>
    <mergeCell ref="C478:D478"/>
    <mergeCell ref="C485:D485"/>
    <mergeCell ref="C580:D580"/>
    <mergeCell ref="C582:D582"/>
    <mergeCell ref="C583:D583"/>
    <mergeCell ref="C584:D584"/>
    <mergeCell ref="C586:D586"/>
    <mergeCell ref="C587:D587"/>
    <mergeCell ref="C588:D588"/>
    <mergeCell ref="C592:D592"/>
    <mergeCell ref="C589:D589"/>
    <mergeCell ref="C590:D590"/>
  </mergeCells>
  <printOptions horizontalCentered="1"/>
  <pageMargins left="0.27559055118110237" right="0.27559055118110237" top="1.0236220472440944" bottom="0.39370078740157483" header="0.62992125984251968" footer="0"/>
  <pageSetup paperSize="9" scale="80" firstPageNumber="34" fitToHeight="1000" orientation="landscape" useFirstPageNumber="1" r:id="rId1"/>
  <headerFooter alignWithMargins="0">
    <oddHeader xml:space="preserve">&amp;C&amp;"Cordia New,Regular"&amp;14แบบแสดงรายการ ปริมาณงาน และราคา&amp;R&amp;"Cordia New,Regular"&amp;14แบบปร.4(ก) แผ่นที่ &amp;P/103   </oddHeader>
  </headerFooter>
  <rowBreaks count="15" manualBreakCount="15">
    <brk id="25" max="11" man="1"/>
    <brk id="118" max="11" man="1"/>
    <brk id="150" max="11" man="1"/>
    <brk id="210" max="11" man="1"/>
    <brk id="241" max="11" man="1"/>
    <brk id="272" max="11" man="1"/>
    <brk id="303" max="11" man="1"/>
    <brk id="334" max="11" man="1"/>
    <brk id="394" max="11" man="1"/>
    <brk id="421" max="11" man="1"/>
    <brk id="576" max="11" man="1"/>
    <brk id="606" max="11" man="1"/>
    <brk id="636" max="11" man="1"/>
    <brk id="659" max="11" man="1"/>
    <brk id="679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R592"/>
  <sheetViews>
    <sheetView showGridLines="0" view="pageBreakPreview" topLeftCell="A11" zoomScaleNormal="100" zoomScaleSheetLayoutView="100" workbookViewId="0">
      <selection activeCell="C12" sqref="C12"/>
    </sheetView>
  </sheetViews>
  <sheetFormatPr defaultColWidth="10.42578125" defaultRowHeight="18.95" customHeight="1"/>
  <cols>
    <col min="1" max="1" width="6.7109375" style="250" customWidth="1"/>
    <col min="2" max="2" width="6.42578125" style="407" customWidth="1"/>
    <col min="3" max="3" width="12.7109375" style="407" customWidth="1"/>
    <col min="4" max="4" width="83.7109375" style="575" customWidth="1"/>
    <col min="5" max="5" width="12.7109375" style="576" customWidth="1"/>
    <col min="6" max="6" width="9.5703125" style="250" customWidth="1"/>
    <col min="7" max="7" width="15.7109375" style="408" hidden="1" customWidth="1"/>
    <col min="8" max="9" width="15.7109375" style="408" customWidth="1"/>
    <col min="10" max="10" width="15.7109375" style="250" hidden="1" customWidth="1"/>
    <col min="11" max="13" width="15.7109375" style="250" customWidth="1"/>
    <col min="14" max="14" width="16.28515625" style="250" customWidth="1"/>
    <col min="15" max="15" width="16" style="293" customWidth="1"/>
    <col min="16" max="16" width="18.7109375" style="293" customWidth="1"/>
    <col min="17" max="17" width="12.5703125" style="250" customWidth="1"/>
    <col min="18" max="18" width="12.42578125" style="250" bestFit="1" customWidth="1"/>
    <col min="19" max="16384" width="10.42578125" style="250"/>
  </cols>
  <sheetData>
    <row r="1" spans="1:17" s="116" customFormat="1" ht="18.95" customHeight="1">
      <c r="A1" s="1368" t="s">
        <v>1168</v>
      </c>
      <c r="B1" s="1368"/>
      <c r="C1" s="1368"/>
      <c r="D1" s="114" t="e">
        <f>+'RC2_ปร.5 (ก)'!#REF!</f>
        <v>#REF!</v>
      </c>
      <c r="E1" s="294"/>
      <c r="F1" s="114"/>
      <c r="G1" s="295"/>
      <c r="H1" s="295"/>
      <c r="I1" s="296"/>
      <c r="J1" s="296" t="s">
        <v>1169</v>
      </c>
      <c r="K1" s="296" t="s">
        <v>1169</v>
      </c>
      <c r="L1" s="297" t="s">
        <v>1170</v>
      </c>
      <c r="M1" s="492"/>
      <c r="N1" s="114"/>
      <c r="O1" s="977"/>
      <c r="P1" s="260"/>
    </row>
    <row r="2" spans="1:17" s="116" customFormat="1" ht="18.95" customHeight="1">
      <c r="A2" s="1369" t="s">
        <v>4</v>
      </c>
      <c r="B2" s="1369"/>
      <c r="C2" s="1369"/>
      <c r="D2" s="115" t="e">
        <f>+'RC2_ปร.5 (ก)'!#REF!</f>
        <v>#REF!</v>
      </c>
      <c r="E2" s="298"/>
      <c r="F2" s="115"/>
      <c r="G2" s="299"/>
      <c r="H2" s="299"/>
      <c r="I2" s="299"/>
      <c r="J2" s="300" t="s">
        <v>1171</v>
      </c>
      <c r="K2" s="300" t="s">
        <v>1171</v>
      </c>
      <c r="L2" s="301" t="e">
        <f>+'RC2_ปร.5 (ก)'!#REF!</f>
        <v>#REF!</v>
      </c>
      <c r="M2" s="305"/>
      <c r="N2" s="115"/>
      <c r="O2" s="977"/>
      <c r="P2" s="260"/>
    </row>
    <row r="3" spans="1:17" s="116" customFormat="1" ht="18.95" customHeight="1">
      <c r="A3" s="1369" t="s">
        <v>1172</v>
      </c>
      <c r="B3" s="1369"/>
      <c r="C3" s="1369"/>
      <c r="D3" s="493" t="e">
        <f>+'RC2_ปร.5 (ก)'!#REF!</f>
        <v>#REF!</v>
      </c>
      <c r="E3" s="298"/>
      <c r="F3" s="115"/>
      <c r="G3" s="299"/>
      <c r="H3" s="299"/>
      <c r="I3" s="303"/>
      <c r="J3" s="303"/>
      <c r="K3" s="303"/>
      <c r="L3" s="304"/>
      <c r="M3" s="305"/>
      <c r="N3" s="115"/>
      <c r="O3" s="977"/>
      <c r="P3" s="260"/>
    </row>
    <row r="4" spans="1:17" s="116" customFormat="1" ht="18.95" customHeight="1">
      <c r="B4" s="306"/>
      <c r="C4" s="306"/>
      <c r="D4" s="494"/>
      <c r="E4" s="495"/>
      <c r="G4" s="307"/>
      <c r="H4" s="307"/>
      <c r="I4" s="307"/>
      <c r="O4" s="260"/>
      <c r="P4" s="260"/>
    </row>
    <row r="5" spans="1:17" ht="18.95" customHeight="1">
      <c r="A5" s="1360" t="s">
        <v>1007</v>
      </c>
      <c r="B5" s="1370" t="s">
        <v>17</v>
      </c>
      <c r="C5" s="1371"/>
      <c r="D5" s="1372"/>
      <c r="E5" s="1358" t="s">
        <v>1173</v>
      </c>
      <c r="F5" s="1360" t="s">
        <v>1174</v>
      </c>
      <c r="G5" s="1362" t="s">
        <v>1008</v>
      </c>
      <c r="H5" s="1363"/>
      <c r="I5" s="1364"/>
      <c r="J5" s="1365" t="s">
        <v>1010</v>
      </c>
      <c r="K5" s="1366"/>
      <c r="L5" s="1367"/>
      <c r="M5" s="308" t="s">
        <v>1175</v>
      </c>
      <c r="N5" s="1360" t="s">
        <v>19</v>
      </c>
      <c r="O5" s="978"/>
      <c r="Q5" s="1357"/>
    </row>
    <row r="6" spans="1:17" ht="18.95" customHeight="1">
      <c r="A6" s="1361"/>
      <c r="B6" s="1373"/>
      <c r="C6" s="1374"/>
      <c r="D6" s="1375"/>
      <c r="E6" s="1359"/>
      <c r="F6" s="1361"/>
      <c r="G6" s="311" t="s">
        <v>203</v>
      </c>
      <c r="H6" s="311" t="s">
        <v>203</v>
      </c>
      <c r="I6" s="310" t="s">
        <v>1176</v>
      </c>
      <c r="J6" s="311" t="s">
        <v>203</v>
      </c>
      <c r="K6" s="311"/>
      <c r="L6" s="309" t="s">
        <v>1176</v>
      </c>
      <c r="M6" s="309" t="s">
        <v>1177</v>
      </c>
      <c r="N6" s="1361"/>
      <c r="O6" s="978"/>
      <c r="Q6" s="1357"/>
    </row>
    <row r="7" spans="1:17" ht="18.95" customHeight="1">
      <c r="A7" s="312"/>
      <c r="B7" s="496" t="s">
        <v>1178</v>
      </c>
      <c r="C7" s="313"/>
      <c r="D7" s="497"/>
      <c r="E7" s="263"/>
      <c r="F7" s="264"/>
      <c r="G7" s="263"/>
      <c r="H7" s="263"/>
      <c r="I7" s="263"/>
      <c r="J7" s="265"/>
      <c r="K7" s="265"/>
      <c r="L7" s="266"/>
      <c r="M7" s="264"/>
      <c r="N7" s="264"/>
      <c r="O7" s="973"/>
    </row>
    <row r="8" spans="1:17" ht="18.95" customHeight="1">
      <c r="A8" s="224"/>
      <c r="B8" s="315" t="s">
        <v>22</v>
      </c>
      <c r="C8" s="338"/>
      <c r="D8" s="498"/>
      <c r="E8" s="267"/>
      <c r="F8" s="268"/>
      <c r="G8" s="267"/>
      <c r="H8" s="267"/>
      <c r="I8" s="267"/>
      <c r="J8" s="269"/>
      <c r="K8" s="269"/>
      <c r="L8" s="271"/>
      <c r="M8" s="268"/>
      <c r="N8" s="268"/>
      <c r="P8" s="1166"/>
      <c r="Q8" s="499"/>
    </row>
    <row r="9" spans="1:17" ht="18.95" customHeight="1">
      <c r="A9" s="314">
        <v>1</v>
      </c>
      <c r="B9" s="320" t="s">
        <v>1179</v>
      </c>
      <c r="C9" s="316"/>
      <c r="D9" s="498"/>
      <c r="E9" s="267">
        <v>1</v>
      </c>
      <c r="F9" s="268" t="s">
        <v>351</v>
      </c>
      <c r="G9" s="267"/>
      <c r="H9" s="267"/>
      <c r="I9" s="267">
        <f>I39</f>
        <v>739053.22532592306</v>
      </c>
      <c r="J9" s="269"/>
      <c r="K9" s="269"/>
      <c r="L9" s="269">
        <f>L39</f>
        <v>75554.593818305002</v>
      </c>
      <c r="M9" s="270">
        <f t="shared" ref="M9:M25" si="0">I9+L9</f>
        <v>814607.81914422801</v>
      </c>
      <c r="N9" s="268"/>
      <c r="O9" s="973">
        <f>P9*0.934908047</f>
        <v>814607.81914422801</v>
      </c>
      <c r="P9" s="293">
        <v>871324</v>
      </c>
      <c r="Q9" s="501">
        <f>M9-O9</f>
        <v>0</v>
      </c>
    </row>
    <row r="10" spans="1:17" ht="18.95" customHeight="1">
      <c r="A10" s="314">
        <v>2</v>
      </c>
      <c r="B10" s="322" t="s">
        <v>1180</v>
      </c>
      <c r="C10" s="316"/>
      <c r="D10" s="498"/>
      <c r="E10" s="267">
        <v>1</v>
      </c>
      <c r="F10" s="268" t="s">
        <v>351</v>
      </c>
      <c r="G10" s="267"/>
      <c r="H10" s="267"/>
      <c r="I10" s="267">
        <f>I46</f>
        <v>1719108.9168236</v>
      </c>
      <c r="J10" s="269"/>
      <c r="K10" s="269"/>
      <c r="L10" s="269">
        <f>L46</f>
        <v>28047.241409999999</v>
      </c>
      <c r="M10" s="270">
        <f t="shared" si="0"/>
        <v>1747156.1582336</v>
      </c>
      <c r="N10" s="268"/>
      <c r="O10" s="973">
        <f t="shared" ref="O10:O26" si="1">P10*0.934908047</f>
        <v>1747156.1582336</v>
      </c>
      <c r="P10" s="293">
        <v>1868800</v>
      </c>
      <c r="Q10" s="501">
        <f t="shared" ref="Q10:Q28" si="2">M10-O10</f>
        <v>0</v>
      </c>
    </row>
    <row r="11" spans="1:17" ht="18.95" customHeight="1">
      <c r="A11" s="314">
        <v>3</v>
      </c>
      <c r="B11" s="322" t="s">
        <v>1181</v>
      </c>
      <c r="C11" s="316"/>
      <c r="D11" s="498"/>
      <c r="E11" s="267">
        <v>1</v>
      </c>
      <c r="F11" s="268" t="s">
        <v>351</v>
      </c>
      <c r="G11" s="267"/>
      <c r="H11" s="267"/>
      <c r="I11" s="267">
        <f>I54</f>
        <v>75461.103013604996</v>
      </c>
      <c r="J11" s="269"/>
      <c r="K11" s="269"/>
      <c r="L11" s="269">
        <f>L54</f>
        <v>9349.080469999999</v>
      </c>
      <c r="M11" s="270">
        <f t="shared" si="0"/>
        <v>84810.183483604997</v>
      </c>
      <c r="N11" s="268"/>
      <c r="O11" s="973">
        <f t="shared" si="1"/>
        <v>84810.183483604997</v>
      </c>
      <c r="P11" s="293">
        <v>90715</v>
      </c>
      <c r="Q11" s="501">
        <f t="shared" si="2"/>
        <v>0</v>
      </c>
    </row>
    <row r="12" spans="1:17" ht="18.95" customHeight="1">
      <c r="A12" s="314">
        <v>4</v>
      </c>
      <c r="B12" s="322" t="s">
        <v>1182</v>
      </c>
      <c r="C12" s="316"/>
      <c r="D12" s="498"/>
      <c r="E12" s="267">
        <v>1</v>
      </c>
      <c r="F12" s="268" t="s">
        <v>351</v>
      </c>
      <c r="G12" s="267"/>
      <c r="H12" s="267"/>
      <c r="I12" s="267">
        <f>I61</f>
        <v>1041721.2913697499</v>
      </c>
      <c r="J12" s="269"/>
      <c r="K12" s="269"/>
      <c r="L12" s="269">
        <f>L61</f>
        <v>11218.896563999999</v>
      </c>
      <c r="M12" s="270">
        <f t="shared" si="0"/>
        <v>1052940.18793375</v>
      </c>
      <c r="N12" s="268"/>
      <c r="O12" s="973">
        <f t="shared" si="1"/>
        <v>1052940.18793375</v>
      </c>
      <c r="P12" s="293">
        <v>1126250</v>
      </c>
      <c r="Q12" s="501">
        <f t="shared" si="2"/>
        <v>0</v>
      </c>
    </row>
    <row r="13" spans="1:17" ht="18.95" customHeight="1">
      <c r="A13" s="314">
        <v>5</v>
      </c>
      <c r="B13" s="322" t="s">
        <v>1183</v>
      </c>
      <c r="C13" s="316"/>
      <c r="D13" s="498"/>
      <c r="E13" s="267">
        <v>1</v>
      </c>
      <c r="F13" s="268" t="s">
        <v>351</v>
      </c>
      <c r="G13" s="267"/>
      <c r="H13" s="267"/>
      <c r="I13" s="267">
        <f>I160</f>
        <v>1760544.9763746865</v>
      </c>
      <c r="J13" s="269"/>
      <c r="K13" s="269"/>
      <c r="L13" s="269">
        <f>L160</f>
        <v>48147.764420500018</v>
      </c>
      <c r="M13" s="270">
        <f t="shared" si="0"/>
        <v>1808692.7407951865</v>
      </c>
      <c r="N13" s="268"/>
      <c r="O13" s="973">
        <f t="shared" si="1"/>
        <v>1808692.740795187</v>
      </c>
      <c r="P13" s="293">
        <v>1934621</v>
      </c>
      <c r="Q13" s="501">
        <f t="shared" si="2"/>
        <v>0</v>
      </c>
    </row>
    <row r="14" spans="1:17" ht="18.95" customHeight="1">
      <c r="A14" s="314">
        <v>6</v>
      </c>
      <c r="B14" s="322" t="s">
        <v>1184</v>
      </c>
      <c r="C14" s="321"/>
      <c r="D14" s="498"/>
      <c r="E14" s="267">
        <v>1</v>
      </c>
      <c r="F14" s="268" t="s">
        <v>351</v>
      </c>
      <c r="G14" s="269"/>
      <c r="H14" s="269"/>
      <c r="I14" s="269">
        <f>I185</f>
        <v>1590806.2406996465</v>
      </c>
      <c r="J14" s="269"/>
      <c r="K14" s="269"/>
      <c r="L14" s="270">
        <f>L185</f>
        <v>714927.92317308811</v>
      </c>
      <c r="M14" s="270">
        <f t="shared" si="0"/>
        <v>2305734.1638727346</v>
      </c>
      <c r="N14" s="268"/>
      <c r="O14" s="973">
        <f t="shared" si="1"/>
        <v>2305734.1638727342</v>
      </c>
      <c r="P14" s="293">
        <v>2466268.39</v>
      </c>
      <c r="Q14" s="501">
        <f t="shared" si="2"/>
        <v>0</v>
      </c>
    </row>
    <row r="15" spans="1:17" ht="18.95" customHeight="1">
      <c r="A15" s="314">
        <v>7</v>
      </c>
      <c r="B15" s="320" t="s">
        <v>1185</v>
      </c>
      <c r="C15" s="321"/>
      <c r="D15" s="498"/>
      <c r="E15" s="267">
        <v>1</v>
      </c>
      <c r="F15" s="268" t="s">
        <v>351</v>
      </c>
      <c r="G15" s="267"/>
      <c r="H15" s="267"/>
      <c r="I15" s="267">
        <f>I206</f>
        <v>1279605.7457139543</v>
      </c>
      <c r="J15" s="269"/>
      <c r="K15" s="269"/>
      <c r="L15" s="269">
        <f>L206</f>
        <v>623665.00434908888</v>
      </c>
      <c r="M15" s="270">
        <f t="shared" si="0"/>
        <v>1903270.7500630431</v>
      </c>
      <c r="N15" s="268"/>
      <c r="O15" s="973">
        <f t="shared" si="1"/>
        <v>1903270.7500630431</v>
      </c>
      <c r="P15" s="293">
        <v>2035783.9</v>
      </c>
      <c r="Q15" s="501">
        <f t="shared" si="2"/>
        <v>0</v>
      </c>
    </row>
    <row r="16" spans="1:17" ht="18.95" customHeight="1">
      <c r="A16" s="314">
        <v>8</v>
      </c>
      <c r="B16" s="320" t="s">
        <v>1186</v>
      </c>
      <c r="C16" s="321"/>
      <c r="D16" s="502"/>
      <c r="E16" s="267">
        <v>1</v>
      </c>
      <c r="F16" s="268" t="s">
        <v>351</v>
      </c>
      <c r="G16" s="269"/>
      <c r="H16" s="269"/>
      <c r="I16" s="269">
        <f>I343</f>
        <v>5873749.7785926526</v>
      </c>
      <c r="J16" s="269"/>
      <c r="K16" s="269"/>
      <c r="L16" s="270">
        <f>L343</f>
        <v>302472.67026200407</v>
      </c>
      <c r="M16" s="270">
        <f t="shared" si="0"/>
        <v>6176222.4488546569</v>
      </c>
      <c r="N16" s="268"/>
      <c r="O16" s="973">
        <f t="shared" si="1"/>
        <v>6176222.4488546541</v>
      </c>
      <c r="P16" s="293">
        <v>6606235.2000000002</v>
      </c>
      <c r="Q16" s="501">
        <f t="shared" si="2"/>
        <v>0</v>
      </c>
    </row>
    <row r="17" spans="1:18" ht="18.95" customHeight="1">
      <c r="A17" s="314">
        <v>9</v>
      </c>
      <c r="B17" s="322" t="s">
        <v>1187</v>
      </c>
      <c r="C17" s="316"/>
      <c r="D17" s="498"/>
      <c r="E17" s="267">
        <v>1</v>
      </c>
      <c r="F17" s="268" t="s">
        <v>351</v>
      </c>
      <c r="G17" s="269"/>
      <c r="H17" s="269"/>
      <c r="I17" s="269">
        <f>I349</f>
        <v>120535.824683616</v>
      </c>
      <c r="J17" s="269"/>
      <c r="K17" s="269"/>
      <c r="L17" s="270">
        <f>L349</f>
        <v>9524.8431828360008</v>
      </c>
      <c r="M17" s="270">
        <f>I17+L17</f>
        <v>130060.667866452</v>
      </c>
      <c r="N17" s="268"/>
      <c r="O17" s="973">
        <f t="shared" si="1"/>
        <v>130060.667866452</v>
      </c>
      <c r="P17" s="293">
        <v>139116</v>
      </c>
      <c r="Q17" s="501">
        <f t="shared" si="2"/>
        <v>0</v>
      </c>
    </row>
    <row r="18" spans="1:18" ht="18.95" customHeight="1">
      <c r="A18" s="314">
        <v>10</v>
      </c>
      <c r="B18" s="327" t="s">
        <v>1188</v>
      </c>
      <c r="C18" s="373"/>
      <c r="D18" s="498"/>
      <c r="E18" s="267">
        <v>1</v>
      </c>
      <c r="F18" s="268" t="s">
        <v>351</v>
      </c>
      <c r="G18" s="269"/>
      <c r="H18" s="269"/>
      <c r="I18" s="269">
        <f>I371</f>
        <v>142430.436236309</v>
      </c>
      <c r="J18" s="269"/>
      <c r="K18" s="269"/>
      <c r="L18" s="270">
        <f>L371</f>
        <v>59479.784858186998</v>
      </c>
      <c r="M18" s="270">
        <f t="shared" si="0"/>
        <v>201910.221094496</v>
      </c>
      <c r="N18" s="268"/>
      <c r="O18" s="973">
        <f t="shared" si="1"/>
        <v>201910.221094496</v>
      </c>
      <c r="P18" s="293">
        <v>215968</v>
      </c>
      <c r="Q18" s="501">
        <f t="shared" si="2"/>
        <v>0</v>
      </c>
    </row>
    <row r="19" spans="1:18" ht="18.95" customHeight="1">
      <c r="A19" s="314">
        <v>11</v>
      </c>
      <c r="B19" s="325" t="s">
        <v>1189</v>
      </c>
      <c r="C19" s="316"/>
      <c r="D19" s="503"/>
      <c r="E19" s="267">
        <v>1</v>
      </c>
      <c r="F19" s="268" t="s">
        <v>351</v>
      </c>
      <c r="G19" s="270"/>
      <c r="H19" s="270"/>
      <c r="I19" s="270">
        <f>I390</f>
        <v>485432.11826220067</v>
      </c>
      <c r="J19" s="270"/>
      <c r="K19" s="270"/>
      <c r="L19" s="270">
        <f>L390</f>
        <v>72829.336861299991</v>
      </c>
      <c r="M19" s="270">
        <f t="shared" si="0"/>
        <v>558261.45512350067</v>
      </c>
      <c r="N19" s="268"/>
      <c r="O19" s="973">
        <f t="shared" si="1"/>
        <v>558261.45512350067</v>
      </c>
      <c r="P19" s="293">
        <v>597129.80000000005</v>
      </c>
      <c r="Q19" s="501">
        <f t="shared" si="2"/>
        <v>0</v>
      </c>
    </row>
    <row r="20" spans="1:18" ht="18.95" customHeight="1">
      <c r="A20" s="314">
        <v>12</v>
      </c>
      <c r="B20" s="325" t="s">
        <v>1190</v>
      </c>
      <c r="C20" s="378"/>
      <c r="D20" s="503"/>
      <c r="E20" s="267">
        <v>1</v>
      </c>
      <c r="F20" s="268" t="s">
        <v>351</v>
      </c>
      <c r="G20" s="269"/>
      <c r="H20" s="269"/>
      <c r="I20" s="269">
        <f>I394</f>
        <v>70118.103524999999</v>
      </c>
      <c r="J20" s="269"/>
      <c r="K20" s="269"/>
      <c r="L20" s="270">
        <f>L394</f>
        <v>9349.0804700000008</v>
      </c>
      <c r="M20" s="270">
        <f t="shared" si="0"/>
        <v>79467.183994999999</v>
      </c>
      <c r="N20" s="268"/>
      <c r="O20" s="973">
        <f t="shared" si="1"/>
        <v>79467.183994999999</v>
      </c>
      <c r="P20" s="293">
        <v>85000</v>
      </c>
      <c r="Q20" s="501">
        <f t="shared" si="2"/>
        <v>0</v>
      </c>
    </row>
    <row r="21" spans="1:18" ht="18.95" customHeight="1">
      <c r="A21" s="314">
        <v>13</v>
      </c>
      <c r="B21" s="327" t="s">
        <v>1191</v>
      </c>
      <c r="C21" s="321"/>
      <c r="D21" s="504"/>
      <c r="E21" s="267">
        <v>1</v>
      </c>
      <c r="F21" s="268" t="s">
        <v>351</v>
      </c>
      <c r="G21" s="267"/>
      <c r="H21" s="267"/>
      <c r="I21" s="267">
        <f>I456</f>
        <v>772805.46262032632</v>
      </c>
      <c r="J21" s="267"/>
      <c r="K21" s="267"/>
      <c r="L21" s="269">
        <f>L456</f>
        <v>77560.420334982555</v>
      </c>
      <c r="M21" s="270">
        <f t="shared" si="0"/>
        <v>850365.88295530889</v>
      </c>
      <c r="N21" s="268"/>
      <c r="O21" s="973">
        <f t="shared" si="1"/>
        <v>850365.882955309</v>
      </c>
      <c r="P21" s="293">
        <v>909571.68</v>
      </c>
      <c r="Q21" s="501">
        <f t="shared" si="2"/>
        <v>0</v>
      </c>
    </row>
    <row r="22" spans="1:18" ht="18.95" customHeight="1">
      <c r="A22" s="505">
        <v>14</v>
      </c>
      <c r="B22" s="325" t="s">
        <v>1192</v>
      </c>
      <c r="C22" s="316"/>
      <c r="D22" s="498"/>
      <c r="E22" s="267">
        <v>1</v>
      </c>
      <c r="F22" s="268" t="s">
        <v>351</v>
      </c>
      <c r="G22" s="267"/>
      <c r="H22" s="267"/>
      <c r="I22" s="267">
        <f>I485</f>
        <v>1326623.4867780455</v>
      </c>
      <c r="J22" s="267"/>
      <c r="K22" s="267"/>
      <c r="L22" s="269">
        <f>L485</f>
        <v>264908.06493354408</v>
      </c>
      <c r="M22" s="270">
        <f t="shared" si="0"/>
        <v>1591531.5517115896</v>
      </c>
      <c r="N22" s="268"/>
      <c r="O22" s="973">
        <f t="shared" si="1"/>
        <v>1591531.5517115893</v>
      </c>
      <c r="P22" s="293">
        <v>1702340.2</v>
      </c>
      <c r="Q22" s="501">
        <f t="shared" si="2"/>
        <v>0</v>
      </c>
    </row>
    <row r="23" spans="1:18" ht="18.95" customHeight="1">
      <c r="A23" s="224">
        <v>15</v>
      </c>
      <c r="B23" s="327" t="s">
        <v>1193</v>
      </c>
      <c r="C23" s="321"/>
      <c r="D23" s="504"/>
      <c r="E23" s="267">
        <v>1</v>
      </c>
      <c r="F23" s="268" t="s">
        <v>351</v>
      </c>
      <c r="G23" s="267"/>
      <c r="H23" s="267"/>
      <c r="I23" s="267">
        <f>I515</f>
        <v>733997.7100617704</v>
      </c>
      <c r="J23" s="267"/>
      <c r="K23" s="267"/>
      <c r="L23" s="269">
        <f>L515</f>
        <v>50391.543733300001</v>
      </c>
      <c r="M23" s="270">
        <f t="shared" si="0"/>
        <v>784389.25379507034</v>
      </c>
      <c r="N23" s="268"/>
      <c r="O23" s="973">
        <f t="shared" si="1"/>
        <v>784389.25379507046</v>
      </c>
      <c r="P23" s="293">
        <v>839001.5</v>
      </c>
      <c r="Q23" s="501">
        <f t="shared" si="2"/>
        <v>0</v>
      </c>
    </row>
    <row r="24" spans="1:18" ht="18.95" customHeight="1">
      <c r="A24" s="224">
        <v>16</v>
      </c>
      <c r="B24" s="327" t="s">
        <v>1194</v>
      </c>
      <c r="C24" s="321"/>
      <c r="D24" s="504"/>
      <c r="E24" s="267">
        <v>1</v>
      </c>
      <c r="F24" s="268" t="s">
        <v>351</v>
      </c>
      <c r="G24" s="267"/>
      <c r="H24" s="267"/>
      <c r="I24" s="267">
        <f>I540</f>
        <v>1153339.9631010799</v>
      </c>
      <c r="J24" s="267"/>
      <c r="K24" s="267"/>
      <c r="L24" s="269">
        <f>L540</f>
        <v>80980.800123092995</v>
      </c>
      <c r="M24" s="270">
        <f t="shared" si="0"/>
        <v>1234320.7632241729</v>
      </c>
      <c r="N24" s="268"/>
      <c r="O24" s="973">
        <f t="shared" si="1"/>
        <v>1234320.7632241729</v>
      </c>
      <c r="P24" s="293">
        <v>1320259</v>
      </c>
      <c r="Q24" s="501">
        <f t="shared" si="2"/>
        <v>0</v>
      </c>
    </row>
    <row r="25" spans="1:18" ht="18.95" customHeight="1">
      <c r="A25" s="505">
        <v>17</v>
      </c>
      <c r="B25" s="327" t="s">
        <v>1195</v>
      </c>
      <c r="C25" s="321"/>
      <c r="D25" s="504"/>
      <c r="E25" s="267">
        <v>1</v>
      </c>
      <c r="F25" s="268" t="s">
        <v>351</v>
      </c>
      <c r="G25" s="267"/>
      <c r="H25" s="267"/>
      <c r="I25" s="267">
        <f>I583</f>
        <v>2083470.8169625192</v>
      </c>
      <c r="J25" s="267"/>
      <c r="K25" s="267"/>
      <c r="L25" s="269">
        <f>L583</f>
        <v>680274.21014344529</v>
      </c>
      <c r="M25" s="270">
        <f t="shared" si="0"/>
        <v>2763745.0271059647</v>
      </c>
      <c r="N25" s="268"/>
      <c r="O25" s="973">
        <f t="shared" si="1"/>
        <v>2763745.0271059643</v>
      </c>
      <c r="P25" s="293">
        <v>2956167.76</v>
      </c>
      <c r="Q25" s="501">
        <f t="shared" si="2"/>
        <v>0</v>
      </c>
    </row>
    <row r="26" spans="1:18" ht="18.95" customHeight="1">
      <c r="A26" s="224">
        <v>18</v>
      </c>
      <c r="B26" s="327" t="s">
        <v>1196</v>
      </c>
      <c r="C26" s="321"/>
      <c r="D26" s="504"/>
      <c r="E26" s="267">
        <v>1</v>
      </c>
      <c r="F26" s="268" t="s">
        <v>351</v>
      </c>
      <c r="G26" s="267"/>
      <c r="H26" s="267"/>
      <c r="I26" s="270">
        <f>I591</f>
        <v>0</v>
      </c>
      <c r="J26" s="270">
        <v>0</v>
      </c>
      <c r="K26" s="270"/>
      <c r="L26" s="270">
        <f>L591</f>
        <v>249620.44854899999</v>
      </c>
      <c r="M26" s="270">
        <f>I26+L26</f>
        <v>249620.44854899999</v>
      </c>
      <c r="N26" s="268"/>
      <c r="O26" s="973">
        <f t="shared" si="1"/>
        <v>249620.44854899999</v>
      </c>
      <c r="P26" s="293">
        <v>267000</v>
      </c>
      <c r="Q26" s="501">
        <f t="shared" si="2"/>
        <v>0</v>
      </c>
    </row>
    <row r="27" spans="1:18" ht="18.95" customHeight="1">
      <c r="A27" s="224"/>
      <c r="B27" s="327"/>
      <c r="C27" s="321"/>
      <c r="D27" s="504"/>
      <c r="E27" s="267"/>
      <c r="F27" s="268"/>
      <c r="G27" s="267"/>
      <c r="H27" s="267"/>
      <c r="I27" s="270"/>
      <c r="J27" s="270"/>
      <c r="K27" s="270"/>
      <c r="L27" s="270"/>
      <c r="M27" s="270"/>
      <c r="N27" s="268"/>
      <c r="O27" s="973">
        <f t="shared" ref="O27" si="3">P27*0.934899332</f>
        <v>0</v>
      </c>
      <c r="Q27" s="501">
        <f t="shared" si="2"/>
        <v>0</v>
      </c>
    </row>
    <row r="28" spans="1:18" ht="18.95" customHeight="1">
      <c r="A28" s="224"/>
      <c r="B28" s="1353" t="s">
        <v>1197</v>
      </c>
      <c r="C28" s="1354"/>
      <c r="D28" s="1355"/>
      <c r="E28" s="271"/>
      <c r="F28" s="281"/>
      <c r="G28" s="271"/>
      <c r="H28" s="271"/>
      <c r="I28" s="271">
        <f>SUM(I9:I26)</f>
        <v>20968805.20014469</v>
      </c>
      <c r="J28" s="271"/>
      <c r="K28" s="271"/>
      <c r="L28" s="271">
        <f>SUM(L9:L26)</f>
        <v>3368301.7076566746</v>
      </c>
      <c r="M28" s="271">
        <f>SUM(M9:M26)</f>
        <v>24337106.907801356</v>
      </c>
      <c r="N28" s="281"/>
      <c r="O28" s="973">
        <f>SUM(O9:O27)</f>
        <v>24337106.907801356</v>
      </c>
      <c r="P28" s="293">
        <f>SUM(P9:P27)</f>
        <v>26031551.43</v>
      </c>
      <c r="Q28" s="501">
        <f t="shared" si="2"/>
        <v>0</v>
      </c>
    </row>
    <row r="29" spans="1:18" ht="18.95" customHeight="1">
      <c r="A29" s="224"/>
      <c r="B29" s="327"/>
      <c r="C29" s="321"/>
      <c r="D29" s="504"/>
      <c r="E29" s="267"/>
      <c r="F29" s="268"/>
      <c r="G29" s="267"/>
      <c r="H29" s="267"/>
      <c r="I29" s="267"/>
      <c r="J29" s="267"/>
      <c r="K29" s="267"/>
      <c r="L29" s="269"/>
      <c r="M29" s="270"/>
      <c r="N29" s="268"/>
      <c r="O29" s="973"/>
      <c r="P29" s="260"/>
      <c r="Q29" s="506"/>
      <c r="R29" s="500"/>
    </row>
    <row r="30" spans="1:18" ht="18.95" customHeight="1">
      <c r="A30" s="336">
        <v>1</v>
      </c>
      <c r="B30" s="507" t="s">
        <v>1179</v>
      </c>
      <c r="C30" s="508"/>
      <c r="D30" s="509"/>
      <c r="E30" s="271"/>
      <c r="F30" s="281"/>
      <c r="G30" s="271"/>
      <c r="H30" s="271"/>
      <c r="I30" s="271"/>
      <c r="J30" s="339"/>
      <c r="K30" s="339"/>
      <c r="L30" s="271"/>
      <c r="M30" s="281"/>
      <c r="N30" s="281"/>
      <c r="O30" s="978"/>
      <c r="P30" s="260"/>
      <c r="Q30" s="506"/>
      <c r="R30" s="500"/>
    </row>
    <row r="31" spans="1:18" ht="18.95" customHeight="1">
      <c r="A31" s="340"/>
      <c r="B31" s="136">
        <v>1.1000000000000001</v>
      </c>
      <c r="C31" s="510" t="s">
        <v>1198</v>
      </c>
      <c r="D31" s="511"/>
      <c r="E31" s="267"/>
      <c r="F31" s="268"/>
      <c r="G31" s="267"/>
      <c r="H31" s="267"/>
      <c r="I31" s="267"/>
      <c r="J31" s="269"/>
      <c r="K31" s="269"/>
      <c r="L31" s="269"/>
      <c r="M31" s="270"/>
      <c r="N31" s="268"/>
      <c r="O31" s="973"/>
    </row>
    <row r="32" spans="1:18" ht="18.95" customHeight="1">
      <c r="A32" s="340"/>
      <c r="B32" s="136"/>
      <c r="C32" s="510" t="s">
        <v>1199</v>
      </c>
      <c r="D32" s="511"/>
      <c r="E32" s="267"/>
      <c r="F32" s="268"/>
      <c r="G32" s="267"/>
      <c r="H32" s="267"/>
      <c r="I32" s="267"/>
      <c r="J32" s="269"/>
      <c r="K32" s="269"/>
      <c r="L32" s="269"/>
      <c r="M32" s="270"/>
      <c r="N32" s="268"/>
      <c r="O32" s="973"/>
    </row>
    <row r="33" spans="1:18" ht="18.95" customHeight="1">
      <c r="A33" s="340"/>
      <c r="B33" s="136"/>
      <c r="C33" s="512" t="s">
        <v>1200</v>
      </c>
      <c r="D33" s="511"/>
      <c r="E33" s="513">
        <v>9</v>
      </c>
      <c r="F33" s="356" t="s">
        <v>1079</v>
      </c>
      <c r="G33" s="269">
        <v>597</v>
      </c>
      <c r="H33" s="269">
        <f>G33*O33</f>
        <v>558.14010405900001</v>
      </c>
      <c r="I33" s="269">
        <f>E33*H33</f>
        <v>5023.260936531</v>
      </c>
      <c r="J33" s="267">
        <v>70</v>
      </c>
      <c r="K33" s="267">
        <f>J33*O33</f>
        <v>65.44356329</v>
      </c>
      <c r="L33" s="270">
        <f>E33*K33</f>
        <v>588.99206961000004</v>
      </c>
      <c r="M33" s="270">
        <f t="shared" ref="M33:M38" si="4">I33+L33</f>
        <v>5612.2530061409998</v>
      </c>
      <c r="N33" s="268"/>
      <c r="O33" s="1163">
        <v>0.93490804699999996</v>
      </c>
    </row>
    <row r="34" spans="1:18" ht="18.95" customHeight="1">
      <c r="A34" s="340"/>
      <c r="B34" s="136"/>
      <c r="C34" s="512" t="s">
        <v>1201</v>
      </c>
      <c r="D34" s="509"/>
      <c r="E34" s="513">
        <v>48</v>
      </c>
      <c r="F34" s="356" t="s">
        <v>1079</v>
      </c>
      <c r="G34" s="269">
        <v>1212</v>
      </c>
      <c r="H34" s="269">
        <f t="shared" ref="H34:H38" si="5">G34*O34</f>
        <v>1133.108552964</v>
      </c>
      <c r="I34" s="269">
        <f t="shared" ref="I34:I38" si="6">E34*H34</f>
        <v>54389.210542271998</v>
      </c>
      <c r="J34" s="267">
        <v>155</v>
      </c>
      <c r="K34" s="267">
        <f t="shared" ref="K34:K38" si="7">J34*O34</f>
        <v>144.91074728499999</v>
      </c>
      <c r="L34" s="270">
        <f t="shared" ref="L34:L38" si="8">E34*K34</f>
        <v>6955.7158696799997</v>
      </c>
      <c r="M34" s="270">
        <f t="shared" si="4"/>
        <v>61344.926411951994</v>
      </c>
      <c r="N34" s="268"/>
      <c r="O34" s="1163">
        <v>0.93490804699999996</v>
      </c>
    </row>
    <row r="35" spans="1:18" ht="18.95" customHeight="1">
      <c r="A35" s="340"/>
      <c r="B35" s="136">
        <v>1.3</v>
      </c>
      <c r="C35" s="510" t="s">
        <v>1202</v>
      </c>
      <c r="D35" s="514"/>
      <c r="E35" s="513">
        <v>13</v>
      </c>
      <c r="F35" s="356" t="s">
        <v>1079</v>
      </c>
      <c r="G35" s="269">
        <v>4500</v>
      </c>
      <c r="H35" s="269">
        <f t="shared" si="5"/>
        <v>4207.0862115</v>
      </c>
      <c r="I35" s="269">
        <f t="shared" si="6"/>
        <v>54692.120749499998</v>
      </c>
      <c r="J35" s="267">
        <v>1350</v>
      </c>
      <c r="K35" s="267">
        <f t="shared" si="7"/>
        <v>1262.12586345</v>
      </c>
      <c r="L35" s="270">
        <f t="shared" si="8"/>
        <v>16407.636224850001</v>
      </c>
      <c r="M35" s="270">
        <f t="shared" si="4"/>
        <v>71099.756974349992</v>
      </c>
      <c r="N35" s="270"/>
      <c r="O35" s="1163">
        <v>0.93490804699999996</v>
      </c>
    </row>
    <row r="36" spans="1:18" ht="18.95" customHeight="1">
      <c r="A36" s="340"/>
      <c r="B36" s="136">
        <v>1.4</v>
      </c>
      <c r="C36" s="510" t="s">
        <v>1203</v>
      </c>
      <c r="D36" s="514"/>
      <c r="E36" s="513">
        <v>1</v>
      </c>
      <c r="F36" s="268" t="s">
        <v>402</v>
      </c>
      <c r="G36" s="269">
        <v>158460</v>
      </c>
      <c r="H36" s="269">
        <f t="shared" si="5"/>
        <v>148145.52912761999</v>
      </c>
      <c r="I36" s="269">
        <f t="shared" si="6"/>
        <v>148145.52912761999</v>
      </c>
      <c r="J36" s="267">
        <v>35195</v>
      </c>
      <c r="K36" s="267">
        <f t="shared" si="7"/>
        <v>32904.088714165002</v>
      </c>
      <c r="L36" s="270">
        <f t="shared" si="8"/>
        <v>32904.088714165002</v>
      </c>
      <c r="M36" s="270">
        <f t="shared" si="4"/>
        <v>181049.61784178499</v>
      </c>
      <c r="N36" s="270"/>
      <c r="O36" s="1163">
        <v>0.93490804699999996</v>
      </c>
    </row>
    <row r="37" spans="1:18" ht="18.95" customHeight="1">
      <c r="A37" s="340"/>
      <c r="B37" s="136">
        <v>1.7</v>
      </c>
      <c r="C37" s="510" t="s">
        <v>1204</v>
      </c>
      <c r="D37" s="514"/>
      <c r="E37" s="513">
        <v>1</v>
      </c>
      <c r="F37" s="268" t="s">
        <v>402</v>
      </c>
      <c r="G37" s="269">
        <v>500000</v>
      </c>
      <c r="H37" s="269">
        <f t="shared" si="5"/>
        <v>467454.02350000001</v>
      </c>
      <c r="I37" s="269">
        <f t="shared" si="6"/>
        <v>467454.02350000001</v>
      </c>
      <c r="J37" s="267">
        <v>20000</v>
      </c>
      <c r="K37" s="267">
        <f t="shared" si="7"/>
        <v>18698.160939999998</v>
      </c>
      <c r="L37" s="270">
        <f t="shared" si="8"/>
        <v>18698.160939999998</v>
      </c>
      <c r="M37" s="270">
        <f t="shared" si="4"/>
        <v>486152.18443999998</v>
      </c>
      <c r="N37" s="270"/>
      <c r="O37" s="1163">
        <v>0.93490804699999996</v>
      </c>
    </row>
    <row r="38" spans="1:18" ht="18.95" customHeight="1">
      <c r="A38" s="340"/>
      <c r="B38" s="136">
        <v>1.8</v>
      </c>
      <c r="C38" s="510" t="s">
        <v>1205</v>
      </c>
      <c r="D38" s="514"/>
      <c r="E38" s="513">
        <v>1</v>
      </c>
      <c r="F38" s="268" t="s">
        <v>402</v>
      </c>
      <c r="G38" s="269">
        <v>10000</v>
      </c>
      <c r="H38" s="269">
        <f t="shared" si="5"/>
        <v>9349.080469999999</v>
      </c>
      <c r="I38" s="269">
        <f t="shared" si="6"/>
        <v>9349.080469999999</v>
      </c>
      <c r="J38" s="267"/>
      <c r="K38" s="267">
        <f t="shared" si="7"/>
        <v>0</v>
      </c>
      <c r="L38" s="270">
        <f t="shared" si="8"/>
        <v>0</v>
      </c>
      <c r="M38" s="270">
        <f t="shared" si="4"/>
        <v>9349.080469999999</v>
      </c>
      <c r="N38" s="270"/>
      <c r="O38" s="1163">
        <v>0.93490804699999996</v>
      </c>
    </row>
    <row r="39" spans="1:18" ht="18.95" customHeight="1">
      <c r="A39" s="515"/>
      <c r="B39" s="1345" t="s">
        <v>1206</v>
      </c>
      <c r="C39" s="1346"/>
      <c r="D39" s="1356"/>
      <c r="E39" s="271"/>
      <c r="F39" s="281"/>
      <c r="G39" s="271"/>
      <c r="H39" s="271"/>
      <c r="I39" s="271">
        <f>SUM(I30:I38)</f>
        <v>739053.22532592306</v>
      </c>
      <c r="J39" s="271"/>
      <c r="K39" s="271"/>
      <c r="L39" s="271">
        <f>SUM(L30:L38)</f>
        <v>75554.593818305002</v>
      </c>
      <c r="M39" s="271">
        <f>SUM(M30:M38)</f>
        <v>814607.81914422801</v>
      </c>
      <c r="N39" s="281"/>
      <c r="O39" s="1163">
        <v>0.93490804699999996</v>
      </c>
    </row>
    <row r="40" spans="1:18" ht="18.95" customHeight="1">
      <c r="A40" s="515"/>
      <c r="B40" s="422"/>
      <c r="C40" s="451"/>
      <c r="D40" s="516"/>
      <c r="E40" s="271"/>
      <c r="F40" s="281"/>
      <c r="G40" s="271"/>
      <c r="H40" s="271"/>
      <c r="I40" s="271"/>
      <c r="J40" s="271"/>
      <c r="K40" s="271"/>
      <c r="L40" s="271"/>
      <c r="M40" s="271"/>
      <c r="N40" s="281"/>
      <c r="O40" s="1163">
        <v>0.93490804699999996</v>
      </c>
      <c r="Q40" s="517"/>
      <c r="R40" s="518"/>
    </row>
    <row r="41" spans="1:18" ht="18.95" customHeight="1">
      <c r="A41" s="336">
        <v>2</v>
      </c>
      <c r="B41" s="519" t="s">
        <v>1180</v>
      </c>
      <c r="C41" s="508"/>
      <c r="D41" s="509"/>
      <c r="E41" s="271"/>
      <c r="F41" s="281"/>
      <c r="G41" s="271"/>
      <c r="H41" s="271"/>
      <c r="I41" s="271"/>
      <c r="J41" s="339"/>
      <c r="K41" s="339"/>
      <c r="L41" s="271"/>
      <c r="M41" s="281"/>
      <c r="N41" s="281"/>
      <c r="O41" s="1163">
        <v>0.93490804699999996</v>
      </c>
      <c r="Q41" s="517"/>
      <c r="R41" s="518"/>
    </row>
    <row r="42" spans="1:18" ht="18.95" customHeight="1">
      <c r="A42" s="340"/>
      <c r="B42" s="136">
        <v>2.1</v>
      </c>
      <c r="C42" s="520" t="s">
        <v>1207</v>
      </c>
      <c r="D42" s="511"/>
      <c r="E42" s="513">
        <v>1</v>
      </c>
      <c r="F42" s="268" t="s">
        <v>402</v>
      </c>
      <c r="G42" s="269">
        <v>1788800</v>
      </c>
      <c r="H42" s="269">
        <f>G42*O42</f>
        <v>1672363.5144735998</v>
      </c>
      <c r="I42" s="269">
        <f>E42*H42</f>
        <v>1672363.5144735998</v>
      </c>
      <c r="J42" s="267">
        <v>30000</v>
      </c>
      <c r="K42" s="267">
        <f t="shared" ref="K42" si="9">J42*O42</f>
        <v>28047.241409999999</v>
      </c>
      <c r="L42" s="270">
        <f t="shared" ref="L42" si="10">E42*K42</f>
        <v>28047.241409999999</v>
      </c>
      <c r="M42" s="270">
        <f>I42+L42</f>
        <v>1700410.7558835999</v>
      </c>
      <c r="N42" s="268"/>
      <c r="O42" s="1163">
        <v>0.93490804699999996</v>
      </c>
      <c r="Q42" s="517"/>
      <c r="R42" s="518"/>
    </row>
    <row r="43" spans="1:18" ht="18.95" customHeight="1">
      <c r="A43" s="340"/>
      <c r="B43" s="136">
        <v>2.2000000000000002</v>
      </c>
      <c r="C43" s="510" t="s">
        <v>1208</v>
      </c>
      <c r="D43" s="514"/>
      <c r="E43" s="513">
        <v>1</v>
      </c>
      <c r="F43" s="268" t="s">
        <v>402</v>
      </c>
      <c r="G43" s="269" t="s">
        <v>1209</v>
      </c>
      <c r="H43" s="269"/>
      <c r="I43" s="269">
        <v>0</v>
      </c>
      <c r="J43" s="267">
        <v>0</v>
      </c>
      <c r="K43" s="267"/>
      <c r="L43" s="270">
        <f>ROUNDDOWN(E43*J43,2)</f>
        <v>0</v>
      </c>
      <c r="M43" s="270">
        <f>I43+L43</f>
        <v>0</v>
      </c>
      <c r="N43" s="270"/>
      <c r="O43" s="1163">
        <v>0.93490804699999996</v>
      </c>
      <c r="Q43" s="517"/>
      <c r="R43" s="518"/>
    </row>
    <row r="44" spans="1:18" ht="18.95" customHeight="1">
      <c r="A44" s="340"/>
      <c r="B44" s="136">
        <v>2.2999999999999998</v>
      </c>
      <c r="C44" s="520" t="s">
        <v>1210</v>
      </c>
      <c r="D44" s="514"/>
      <c r="E44" s="513">
        <v>1</v>
      </c>
      <c r="F44" s="268" t="s">
        <v>402</v>
      </c>
      <c r="G44" s="269" t="s">
        <v>1209</v>
      </c>
      <c r="H44" s="269"/>
      <c r="I44" s="269">
        <v>0</v>
      </c>
      <c r="J44" s="267">
        <v>0</v>
      </c>
      <c r="K44" s="267"/>
      <c r="L44" s="270">
        <f>ROUNDDOWN(E44*J44,2)</f>
        <v>0</v>
      </c>
      <c r="M44" s="270">
        <f>I44+L44</f>
        <v>0</v>
      </c>
      <c r="N44" s="270"/>
      <c r="O44" s="1163">
        <v>0.93490804699999996</v>
      </c>
      <c r="Q44" s="517"/>
      <c r="R44" s="518"/>
    </row>
    <row r="45" spans="1:18" ht="18.95" customHeight="1">
      <c r="A45" s="340"/>
      <c r="B45" s="136">
        <v>2.4</v>
      </c>
      <c r="C45" s="510" t="s">
        <v>1205</v>
      </c>
      <c r="D45" s="514"/>
      <c r="E45" s="513">
        <v>1</v>
      </c>
      <c r="F45" s="268" t="s">
        <v>402</v>
      </c>
      <c r="G45" s="269">
        <v>50000</v>
      </c>
      <c r="H45" s="269">
        <f>G45*O45</f>
        <v>46745.402349999997</v>
      </c>
      <c r="I45" s="269">
        <f>E45*H45</f>
        <v>46745.402349999997</v>
      </c>
      <c r="J45" s="267"/>
      <c r="K45" s="267"/>
      <c r="L45" s="270">
        <f>ROUNDDOWN(E45*J45,2)</f>
        <v>0</v>
      </c>
      <c r="M45" s="270">
        <f>I45+L45</f>
        <v>46745.402349999997</v>
      </c>
      <c r="N45" s="270"/>
      <c r="O45" s="1163">
        <v>0.93490804699999996</v>
      </c>
    </row>
    <row r="46" spans="1:18" ht="18.95" customHeight="1">
      <c r="A46" s="515"/>
      <c r="B46" s="1345" t="s">
        <v>1211</v>
      </c>
      <c r="C46" s="1346"/>
      <c r="D46" s="1356"/>
      <c r="E46" s="271"/>
      <c r="F46" s="281"/>
      <c r="G46" s="271"/>
      <c r="H46" s="271"/>
      <c r="I46" s="271">
        <f>SUM(I42:I45)</f>
        <v>1719108.9168236</v>
      </c>
      <c r="J46" s="271"/>
      <c r="K46" s="271"/>
      <c r="L46" s="271">
        <f>SUM(L42:L45)</f>
        <v>28047.241409999999</v>
      </c>
      <c r="M46" s="271">
        <f>SUM(M42:M45)</f>
        <v>1747156.1582336</v>
      </c>
      <c r="N46" s="281"/>
      <c r="O46" s="1163">
        <v>0.93490804699999996</v>
      </c>
    </row>
    <row r="47" spans="1:18" ht="18.95" customHeight="1">
      <c r="A47" s="515"/>
      <c r="B47" s="422"/>
      <c r="C47" s="451"/>
      <c r="D47" s="516"/>
      <c r="E47" s="271"/>
      <c r="F47" s="281"/>
      <c r="G47" s="271"/>
      <c r="H47" s="271"/>
      <c r="I47" s="271"/>
      <c r="J47" s="271"/>
      <c r="K47" s="271"/>
      <c r="L47" s="271"/>
      <c r="M47" s="271"/>
      <c r="N47" s="281"/>
      <c r="O47" s="1163">
        <v>0.93490804699999996</v>
      </c>
    </row>
    <row r="48" spans="1:18" ht="18.95" customHeight="1">
      <c r="A48" s="336">
        <v>3</v>
      </c>
      <c r="B48" s="519" t="s">
        <v>1181</v>
      </c>
      <c r="C48" s="508"/>
      <c r="D48" s="509"/>
      <c r="E48" s="271"/>
      <c r="F48" s="281"/>
      <c r="G48" s="271"/>
      <c r="H48" s="271"/>
      <c r="I48" s="271"/>
      <c r="J48" s="339"/>
      <c r="K48" s="339"/>
      <c r="L48" s="271"/>
      <c r="M48" s="281"/>
      <c r="N48" s="281"/>
      <c r="O48" s="1163">
        <v>0.93490804699999996</v>
      </c>
    </row>
    <row r="49" spans="1:18" ht="18.95" customHeight="1">
      <c r="A49" s="340"/>
      <c r="B49" s="136">
        <v>3.1</v>
      </c>
      <c r="C49" s="510" t="s">
        <v>1212</v>
      </c>
      <c r="D49" s="511"/>
      <c r="E49" s="513">
        <v>1</v>
      </c>
      <c r="F49" s="268" t="s">
        <v>402</v>
      </c>
      <c r="G49" s="269"/>
      <c r="H49" s="269"/>
      <c r="I49" s="269">
        <f>ROUNDDOWN(E49*G49,2)</f>
        <v>0</v>
      </c>
      <c r="J49" s="267">
        <v>10000</v>
      </c>
      <c r="K49" s="267">
        <f t="shared" ref="K49" si="11">J49*O49</f>
        <v>9349.080469999999</v>
      </c>
      <c r="L49" s="270">
        <f t="shared" ref="L49" si="12">E49*K49</f>
        <v>9349.080469999999</v>
      </c>
      <c r="M49" s="270">
        <f>I49+L49</f>
        <v>9349.080469999999</v>
      </c>
      <c r="N49" s="268"/>
      <c r="O49" s="1163">
        <v>0.93490804699999996</v>
      </c>
    </row>
    <row r="50" spans="1:18" ht="18.95" customHeight="1">
      <c r="A50" s="340"/>
      <c r="B50" s="136">
        <v>3.2</v>
      </c>
      <c r="C50" s="520" t="s">
        <v>1213</v>
      </c>
      <c r="D50" s="521"/>
      <c r="E50" s="513">
        <v>1</v>
      </c>
      <c r="F50" s="268" t="s">
        <v>351</v>
      </c>
      <c r="G50" s="269">
        <v>60715</v>
      </c>
      <c r="H50" s="269">
        <f>G50*O50</f>
        <v>56762.942073604994</v>
      </c>
      <c r="I50" s="269">
        <f>E50*H50</f>
        <v>56762.942073604994</v>
      </c>
      <c r="J50" s="267">
        <v>0</v>
      </c>
      <c r="K50" s="267"/>
      <c r="L50" s="270">
        <v>0</v>
      </c>
      <c r="M50" s="270">
        <f>I50+L50</f>
        <v>56762.942073604994</v>
      </c>
      <c r="N50" s="268"/>
      <c r="O50" s="1163">
        <v>0.93490804699999996</v>
      </c>
    </row>
    <row r="51" spans="1:18" ht="18.95" customHeight="1">
      <c r="A51" s="340"/>
      <c r="B51" s="136"/>
      <c r="C51" s="520" t="s">
        <v>1214</v>
      </c>
      <c r="D51" s="521"/>
      <c r="E51" s="513">
        <v>1</v>
      </c>
      <c r="F51" s="268" t="s">
        <v>402</v>
      </c>
      <c r="G51" s="284">
        <v>0</v>
      </c>
      <c r="H51" s="284"/>
      <c r="I51" s="269">
        <f>ROUNDDOWN(E51*G51,2)</f>
        <v>0</v>
      </c>
      <c r="J51" s="267"/>
      <c r="K51" s="267"/>
      <c r="L51" s="270"/>
      <c r="M51" s="270">
        <f>I51+L51</f>
        <v>0</v>
      </c>
      <c r="N51" s="268"/>
      <c r="O51" s="1163">
        <v>0.93490804699999996</v>
      </c>
    </row>
    <row r="52" spans="1:18" ht="18.95" customHeight="1">
      <c r="A52" s="340"/>
      <c r="B52" s="136"/>
      <c r="C52" s="520" t="s">
        <v>1215</v>
      </c>
      <c r="D52" s="521"/>
      <c r="E52" s="513">
        <v>1</v>
      </c>
      <c r="F52" s="268" t="s">
        <v>402</v>
      </c>
      <c r="G52" s="284">
        <v>0</v>
      </c>
      <c r="H52" s="284"/>
      <c r="I52" s="269">
        <f>ROUNDDOWN(E52*G52,2)</f>
        <v>0</v>
      </c>
      <c r="J52" s="267"/>
      <c r="K52" s="267"/>
      <c r="L52" s="270"/>
      <c r="M52" s="270">
        <f>I52+L52</f>
        <v>0</v>
      </c>
      <c r="N52" s="268"/>
      <c r="O52" s="1163">
        <v>0.93490804699999996</v>
      </c>
    </row>
    <row r="53" spans="1:18" ht="18.95" customHeight="1">
      <c r="A53" s="340"/>
      <c r="B53" s="136">
        <v>3.6</v>
      </c>
      <c r="C53" s="520" t="s">
        <v>1205</v>
      </c>
      <c r="D53" s="521"/>
      <c r="E53" s="513">
        <v>1</v>
      </c>
      <c r="F53" s="268" t="s">
        <v>402</v>
      </c>
      <c r="G53" s="269">
        <v>20000</v>
      </c>
      <c r="H53" s="269">
        <f>G53*O53</f>
        <v>18698.160939999998</v>
      </c>
      <c r="I53" s="269">
        <f>E53*H53</f>
        <v>18698.160939999998</v>
      </c>
      <c r="J53" s="267"/>
      <c r="K53" s="267"/>
      <c r="L53" s="270">
        <f>ROUNDDOWN(E53*J53,2)</f>
        <v>0</v>
      </c>
      <c r="M53" s="270">
        <f>I53+L53</f>
        <v>18698.160939999998</v>
      </c>
      <c r="N53" s="268"/>
      <c r="O53" s="1163">
        <v>0.93490804699999996</v>
      </c>
    </row>
    <row r="54" spans="1:18" ht="18.95" customHeight="1">
      <c r="A54" s="515"/>
      <c r="B54" s="1345" t="s">
        <v>1216</v>
      </c>
      <c r="C54" s="1346"/>
      <c r="D54" s="1356"/>
      <c r="E54" s="271"/>
      <c r="F54" s="281"/>
      <c r="G54" s="271"/>
      <c r="H54" s="271"/>
      <c r="I54" s="271">
        <f>SUM(I49:I53)</f>
        <v>75461.103013604996</v>
      </c>
      <c r="J54" s="271"/>
      <c r="K54" s="271"/>
      <c r="L54" s="271">
        <f>SUM(L49:L53)</f>
        <v>9349.080469999999</v>
      </c>
      <c r="M54" s="271">
        <f>SUM(M49:M53)</f>
        <v>84810.183483604997</v>
      </c>
      <c r="N54" s="281"/>
      <c r="O54" s="1163">
        <v>0.93490804699999996</v>
      </c>
    </row>
    <row r="55" spans="1:18" ht="18.95" customHeight="1">
      <c r="A55" s="515"/>
      <c r="B55" s="422"/>
      <c r="C55" s="451"/>
      <c r="D55" s="516"/>
      <c r="E55" s="271"/>
      <c r="F55" s="281"/>
      <c r="G55" s="271"/>
      <c r="H55" s="271"/>
      <c r="I55" s="271"/>
      <c r="J55" s="271"/>
      <c r="K55" s="271"/>
      <c r="L55" s="271"/>
      <c r="M55" s="271"/>
      <c r="N55" s="281"/>
      <c r="O55" s="1163">
        <v>0.93490804699999996</v>
      </c>
    </row>
    <row r="56" spans="1:18" ht="18.95" customHeight="1">
      <c r="A56" s="336">
        <v>4</v>
      </c>
      <c r="B56" s="519" t="s">
        <v>1182</v>
      </c>
      <c r="C56" s="508"/>
      <c r="D56" s="509"/>
      <c r="E56" s="271"/>
      <c r="F56" s="281"/>
      <c r="G56" s="271"/>
      <c r="H56" s="271"/>
      <c r="I56" s="271"/>
      <c r="J56" s="339"/>
      <c r="K56" s="339"/>
      <c r="L56" s="271"/>
      <c r="M56" s="281"/>
      <c r="N56" s="281"/>
      <c r="O56" s="1163">
        <v>0.93490804699999996</v>
      </c>
    </row>
    <row r="57" spans="1:18" ht="18.95" customHeight="1">
      <c r="A57" s="340"/>
      <c r="B57" s="136">
        <v>4.0999999999999996</v>
      </c>
      <c r="C57" s="510" t="s">
        <v>1217</v>
      </c>
      <c r="D57" s="511"/>
      <c r="E57" s="513">
        <v>1</v>
      </c>
      <c r="F57" s="268" t="s">
        <v>402</v>
      </c>
      <c r="G57" s="269">
        <v>1109250</v>
      </c>
      <c r="H57" s="269">
        <f>G57*O57</f>
        <v>1037046.75113475</v>
      </c>
      <c r="I57" s="269">
        <f>E57*H57</f>
        <v>1037046.75113475</v>
      </c>
      <c r="J57" s="267">
        <v>5000</v>
      </c>
      <c r="K57" s="267">
        <f t="shared" ref="K57" si="13">J57*O57</f>
        <v>4674.5402349999995</v>
      </c>
      <c r="L57" s="270">
        <f t="shared" ref="L57" si="14">E57*K57</f>
        <v>4674.5402349999995</v>
      </c>
      <c r="M57" s="270">
        <f>I57+L57</f>
        <v>1041721.2913697499</v>
      </c>
      <c r="N57" s="268"/>
      <c r="O57" s="1163">
        <v>0.93490804699999996</v>
      </c>
    </row>
    <row r="58" spans="1:18" ht="18.95" customHeight="1">
      <c r="A58" s="340"/>
      <c r="B58" s="136">
        <v>4.2</v>
      </c>
      <c r="C58" s="520" t="s">
        <v>1218</v>
      </c>
      <c r="D58" s="521"/>
      <c r="E58" s="513">
        <v>1</v>
      </c>
      <c r="F58" s="268" t="s">
        <v>402</v>
      </c>
      <c r="G58" s="269">
        <v>0</v>
      </c>
      <c r="H58" s="269"/>
      <c r="I58" s="269">
        <f>ROUNDDOWN(E58*G58,2)</f>
        <v>0</v>
      </c>
      <c r="J58" s="267">
        <v>5000</v>
      </c>
      <c r="K58" s="267">
        <f t="shared" ref="K58:K59" si="15">J58*O58</f>
        <v>4674.5402349999995</v>
      </c>
      <c r="L58" s="270">
        <f t="shared" ref="L58:L59" si="16">E58*K58</f>
        <v>4674.5402349999995</v>
      </c>
      <c r="M58" s="270">
        <f>I58+L58</f>
        <v>4674.5402349999995</v>
      </c>
      <c r="N58" s="268"/>
      <c r="O58" s="1163">
        <v>0.93490804699999996</v>
      </c>
      <c r="Q58" s="517"/>
      <c r="R58" s="408"/>
    </row>
    <row r="59" spans="1:18" ht="18.95" customHeight="1">
      <c r="A59" s="340"/>
      <c r="B59" s="136">
        <v>4.3</v>
      </c>
      <c r="C59" s="520" t="s">
        <v>1219</v>
      </c>
      <c r="D59" s="521"/>
      <c r="E59" s="513">
        <v>1</v>
      </c>
      <c r="F59" s="268" t="s">
        <v>402</v>
      </c>
      <c r="G59" s="269">
        <v>0</v>
      </c>
      <c r="H59" s="269"/>
      <c r="I59" s="269">
        <f>ROUNDDOWN(E59*G59,2)</f>
        <v>0</v>
      </c>
      <c r="J59" s="267">
        <v>2000</v>
      </c>
      <c r="K59" s="267">
        <f t="shared" si="15"/>
        <v>1869.816094</v>
      </c>
      <c r="L59" s="270">
        <f t="shared" si="16"/>
        <v>1869.816094</v>
      </c>
      <c r="M59" s="270">
        <f>I59+L59</f>
        <v>1869.816094</v>
      </c>
      <c r="N59" s="268"/>
      <c r="O59" s="1163">
        <v>0.93490804699999996</v>
      </c>
      <c r="Q59" s="517"/>
      <c r="R59" s="408"/>
    </row>
    <row r="60" spans="1:18" ht="18.95" customHeight="1">
      <c r="A60" s="340"/>
      <c r="B60" s="136">
        <v>4.4000000000000004</v>
      </c>
      <c r="C60" s="520" t="s">
        <v>1205</v>
      </c>
      <c r="D60" s="521"/>
      <c r="E60" s="513">
        <v>1</v>
      </c>
      <c r="F60" s="268" t="s">
        <v>402</v>
      </c>
      <c r="G60" s="269">
        <v>5000</v>
      </c>
      <c r="H60" s="269">
        <f>G60*O60</f>
        <v>4674.5402349999995</v>
      </c>
      <c r="I60" s="269">
        <f>E60*H60</f>
        <v>4674.5402349999995</v>
      </c>
      <c r="J60" s="267"/>
      <c r="K60" s="267"/>
      <c r="L60" s="270">
        <f>ROUNDDOWN(E60*J60,2)</f>
        <v>0</v>
      </c>
      <c r="M60" s="270">
        <f>I60+L60</f>
        <v>4674.5402349999995</v>
      </c>
      <c r="N60" s="268"/>
      <c r="O60" s="1163">
        <v>0.93490804699999996</v>
      </c>
      <c r="Q60" s="517"/>
      <c r="R60" s="408"/>
    </row>
    <row r="61" spans="1:18" ht="18.95" customHeight="1">
      <c r="A61" s="515"/>
      <c r="B61" s="1345" t="s">
        <v>1220</v>
      </c>
      <c r="C61" s="1346"/>
      <c r="D61" s="1356"/>
      <c r="E61" s="271"/>
      <c r="F61" s="281"/>
      <c r="G61" s="271"/>
      <c r="H61" s="271"/>
      <c r="I61" s="271">
        <f>SUM(I56:I60)</f>
        <v>1041721.2913697499</v>
      </c>
      <c r="J61" s="271"/>
      <c r="K61" s="271"/>
      <c r="L61" s="271">
        <f>SUM(L56:L60)</f>
        <v>11218.896563999999</v>
      </c>
      <c r="M61" s="271">
        <f>SUM(M56:M60)</f>
        <v>1052940.18793375</v>
      </c>
      <c r="N61" s="281"/>
      <c r="O61" s="1163">
        <v>0.93490804699999996</v>
      </c>
      <c r="Q61" s="517"/>
      <c r="R61" s="408"/>
    </row>
    <row r="62" spans="1:18" ht="18.95" customHeight="1">
      <c r="A62" s="515"/>
      <c r="B62" s="422"/>
      <c r="C62" s="451"/>
      <c r="D62" s="516"/>
      <c r="E62" s="271"/>
      <c r="F62" s="281"/>
      <c r="G62" s="271"/>
      <c r="H62" s="271"/>
      <c r="I62" s="271"/>
      <c r="J62" s="271"/>
      <c r="K62" s="271"/>
      <c r="L62" s="271"/>
      <c r="M62" s="271"/>
      <c r="N62" s="281"/>
      <c r="O62" s="1163">
        <v>0.93490804699999996</v>
      </c>
    </row>
    <row r="63" spans="1:18" ht="18.95" customHeight="1">
      <c r="A63" s="336">
        <v>5</v>
      </c>
      <c r="B63" s="519" t="s">
        <v>1183</v>
      </c>
      <c r="C63" s="508"/>
      <c r="D63" s="509"/>
      <c r="E63" s="271"/>
      <c r="F63" s="281"/>
      <c r="G63" s="271"/>
      <c r="H63" s="271"/>
      <c r="I63" s="271"/>
      <c r="J63" s="339"/>
      <c r="K63" s="339"/>
      <c r="L63" s="271"/>
      <c r="M63" s="281"/>
      <c r="N63" s="281"/>
      <c r="O63" s="1163">
        <v>0.93490804699999996</v>
      </c>
    </row>
    <row r="64" spans="1:18" ht="18.95" customHeight="1">
      <c r="A64" s="340"/>
      <c r="B64" s="136">
        <v>5.0999999999999996</v>
      </c>
      <c r="C64" s="510" t="s">
        <v>1221</v>
      </c>
      <c r="D64" s="511"/>
      <c r="E64" s="513"/>
      <c r="F64" s="268"/>
      <c r="G64" s="269"/>
      <c r="H64" s="269"/>
      <c r="I64" s="269"/>
      <c r="J64" s="267"/>
      <c r="K64" s="267"/>
      <c r="L64" s="270"/>
      <c r="M64" s="270"/>
      <c r="N64" s="268"/>
      <c r="O64" s="1163">
        <v>0.93490804699999996</v>
      </c>
    </row>
    <row r="65" spans="1:18" ht="18.95" customHeight="1">
      <c r="A65" s="340"/>
      <c r="B65" s="136" t="s">
        <v>1222</v>
      </c>
      <c r="C65" s="520" t="s">
        <v>1223</v>
      </c>
      <c r="D65" s="521"/>
      <c r="E65" s="513">
        <v>1</v>
      </c>
      <c r="F65" s="268" t="s">
        <v>402</v>
      </c>
      <c r="G65" s="269">
        <v>662902</v>
      </c>
      <c r="H65" s="269">
        <f>G65*O65</f>
        <v>619752.41417239397</v>
      </c>
      <c r="I65" s="269">
        <f>E65*H65</f>
        <v>619752.41417239397</v>
      </c>
      <c r="J65" s="267">
        <v>10000</v>
      </c>
      <c r="K65" s="267">
        <f t="shared" ref="K65" si="17">J65*O65</f>
        <v>9349.080469999999</v>
      </c>
      <c r="L65" s="270">
        <f t="shared" ref="L65" si="18">E65*K65</f>
        <v>9349.080469999999</v>
      </c>
      <c r="M65" s="270">
        <f>I65+L65</f>
        <v>629101.49464239401</v>
      </c>
      <c r="N65" s="268"/>
      <c r="O65" s="1163">
        <v>0.93490804699999996</v>
      </c>
    </row>
    <row r="66" spans="1:18" ht="18.95" customHeight="1">
      <c r="A66" s="340"/>
      <c r="B66" s="136"/>
      <c r="C66" s="520" t="s">
        <v>1224</v>
      </c>
      <c r="D66" s="521"/>
      <c r="E66" s="513"/>
      <c r="F66" s="268"/>
      <c r="G66" s="269"/>
      <c r="H66" s="269"/>
      <c r="I66" s="269"/>
      <c r="J66" s="267"/>
      <c r="K66" s="267"/>
      <c r="L66" s="270"/>
      <c r="M66" s="270"/>
      <c r="N66" s="268"/>
      <c r="O66" s="1163">
        <v>0.93490804699999996</v>
      </c>
    </row>
    <row r="67" spans="1:18" ht="18.95" customHeight="1">
      <c r="A67" s="340"/>
      <c r="B67" s="136"/>
      <c r="C67" s="520" t="s">
        <v>1225</v>
      </c>
      <c r="D67" s="521"/>
      <c r="E67" s="513">
        <v>1</v>
      </c>
      <c r="F67" s="268" t="s">
        <v>402</v>
      </c>
      <c r="G67" s="284" t="s">
        <v>1209</v>
      </c>
      <c r="H67" s="284"/>
      <c r="I67" s="269"/>
      <c r="J67" s="267"/>
      <c r="K67" s="267"/>
      <c r="L67" s="270"/>
      <c r="M67" s="270"/>
      <c r="N67" s="268"/>
      <c r="O67" s="1163">
        <v>0.93490804699999996</v>
      </c>
      <c r="Q67" s="517"/>
      <c r="R67" s="522"/>
    </row>
    <row r="68" spans="1:18" ht="18.95" customHeight="1">
      <c r="A68" s="340"/>
      <c r="B68" s="136"/>
      <c r="C68" s="520" t="s">
        <v>1226</v>
      </c>
      <c r="D68" s="521"/>
      <c r="E68" s="513">
        <v>1</v>
      </c>
      <c r="F68" s="268" t="s">
        <v>402</v>
      </c>
      <c r="G68" s="284" t="s">
        <v>1209</v>
      </c>
      <c r="H68" s="284"/>
      <c r="I68" s="269"/>
      <c r="J68" s="267"/>
      <c r="K68" s="267"/>
      <c r="L68" s="270"/>
      <c r="M68" s="270"/>
      <c r="N68" s="268"/>
      <c r="O68" s="1163">
        <v>0.93490804699999996</v>
      </c>
    </row>
    <row r="69" spans="1:18" ht="18.95" customHeight="1">
      <c r="A69" s="340"/>
      <c r="B69" s="136"/>
      <c r="C69" s="520" t="s">
        <v>1227</v>
      </c>
      <c r="D69" s="521"/>
      <c r="E69" s="513">
        <v>5</v>
      </c>
      <c r="F69" s="268" t="s">
        <v>402</v>
      </c>
      <c r="G69" s="284" t="s">
        <v>1209</v>
      </c>
      <c r="H69" s="284"/>
      <c r="I69" s="269"/>
      <c r="J69" s="267"/>
      <c r="K69" s="267"/>
      <c r="L69" s="270"/>
      <c r="M69" s="270"/>
      <c r="N69" s="268"/>
      <c r="O69" s="1163">
        <v>0.93490804699999996</v>
      </c>
    </row>
    <row r="70" spans="1:18" ht="18.95" customHeight="1">
      <c r="A70" s="340"/>
      <c r="B70" s="136"/>
      <c r="C70" s="520" t="s">
        <v>1228</v>
      </c>
      <c r="D70" s="521"/>
      <c r="E70" s="513">
        <v>1</v>
      </c>
      <c r="F70" s="268" t="s">
        <v>402</v>
      </c>
      <c r="G70" s="284" t="s">
        <v>1209</v>
      </c>
      <c r="H70" s="284"/>
      <c r="I70" s="269"/>
      <c r="J70" s="267"/>
      <c r="K70" s="267"/>
      <c r="L70" s="270"/>
      <c r="M70" s="270"/>
      <c r="N70" s="268"/>
      <c r="O70" s="1163">
        <v>0.93490804699999996</v>
      </c>
    </row>
    <row r="71" spans="1:18" ht="18.95" customHeight="1">
      <c r="A71" s="340"/>
      <c r="B71" s="136"/>
      <c r="C71" s="520" t="s">
        <v>1229</v>
      </c>
      <c r="D71" s="521"/>
      <c r="E71" s="513">
        <v>1</v>
      </c>
      <c r="F71" s="268" t="s">
        <v>402</v>
      </c>
      <c r="G71" s="284" t="s">
        <v>1209</v>
      </c>
      <c r="H71" s="284"/>
      <c r="I71" s="269"/>
      <c r="J71" s="267"/>
      <c r="K71" s="267"/>
      <c r="L71" s="270"/>
      <c r="M71" s="270"/>
      <c r="N71" s="268"/>
      <c r="O71" s="1163">
        <v>0.93490804699999996</v>
      </c>
    </row>
    <row r="72" spans="1:18" ht="18.95" customHeight="1">
      <c r="A72" s="340"/>
      <c r="B72" s="136"/>
      <c r="C72" s="520" t="s">
        <v>1230</v>
      </c>
      <c r="D72" s="521"/>
      <c r="E72" s="513">
        <v>1</v>
      </c>
      <c r="F72" s="268" t="s">
        <v>402</v>
      </c>
      <c r="G72" s="284" t="s">
        <v>1209</v>
      </c>
      <c r="H72" s="284"/>
      <c r="I72" s="269"/>
      <c r="J72" s="267"/>
      <c r="K72" s="267"/>
      <c r="L72" s="270"/>
      <c r="M72" s="270"/>
      <c r="N72" s="268"/>
      <c r="O72" s="1163">
        <v>0.93490804699999996</v>
      </c>
    </row>
    <row r="73" spans="1:18" ht="18.95" customHeight="1">
      <c r="A73" s="340"/>
      <c r="B73" s="136"/>
      <c r="C73" s="520" t="s">
        <v>1231</v>
      </c>
      <c r="D73" s="521"/>
      <c r="E73" s="513">
        <v>7</v>
      </c>
      <c r="F73" s="268" t="s">
        <v>402</v>
      </c>
      <c r="G73" s="284" t="s">
        <v>1209</v>
      </c>
      <c r="H73" s="284"/>
      <c r="I73" s="269"/>
      <c r="J73" s="267"/>
      <c r="K73" s="267"/>
      <c r="L73" s="270"/>
      <c r="M73" s="270"/>
      <c r="N73" s="268"/>
      <c r="O73" s="1163">
        <v>0.93490804699999996</v>
      </c>
    </row>
    <row r="74" spans="1:18" ht="18.95" customHeight="1">
      <c r="A74" s="340"/>
      <c r="B74" s="136"/>
      <c r="C74" s="520" t="s">
        <v>1232</v>
      </c>
      <c r="D74" s="521"/>
      <c r="E74" s="513">
        <v>1</v>
      </c>
      <c r="F74" s="268" t="s">
        <v>402</v>
      </c>
      <c r="G74" s="284" t="s">
        <v>1209</v>
      </c>
      <c r="H74" s="284"/>
      <c r="I74" s="269"/>
      <c r="J74" s="267"/>
      <c r="K74" s="267"/>
      <c r="L74" s="270"/>
      <c r="M74" s="270"/>
      <c r="N74" s="268"/>
      <c r="O74" s="1163">
        <v>0.93490804699999996</v>
      </c>
    </row>
    <row r="75" spans="1:18" ht="18.95" customHeight="1">
      <c r="A75" s="340"/>
      <c r="B75" s="136"/>
      <c r="C75" s="520" t="s">
        <v>1233</v>
      </c>
      <c r="D75" s="521"/>
      <c r="E75" s="513"/>
      <c r="F75" s="268"/>
      <c r="G75" s="269"/>
      <c r="H75" s="269"/>
      <c r="I75" s="269"/>
      <c r="J75" s="267"/>
      <c r="K75" s="267"/>
      <c r="L75" s="270"/>
      <c r="M75" s="270"/>
      <c r="N75" s="268"/>
      <c r="O75" s="1163">
        <v>0.93490804699999996</v>
      </c>
    </row>
    <row r="76" spans="1:18" ht="18.95" customHeight="1">
      <c r="A76" s="340"/>
      <c r="B76" s="136" t="s">
        <v>1234</v>
      </c>
      <c r="C76" s="520" t="s">
        <v>1235</v>
      </c>
      <c r="D76" s="521"/>
      <c r="E76" s="513">
        <v>1</v>
      </c>
      <c r="F76" s="268" t="s">
        <v>402</v>
      </c>
      <c r="G76" s="269">
        <v>185326</v>
      </c>
      <c r="H76" s="269">
        <f>G76*O76</f>
        <v>173262.76871832198</v>
      </c>
      <c r="I76" s="269">
        <f>E76*H76</f>
        <v>173262.76871832198</v>
      </c>
      <c r="J76" s="267">
        <v>10000</v>
      </c>
      <c r="K76" s="267">
        <f t="shared" ref="K76" si="19">J76*O76</f>
        <v>9349.080469999999</v>
      </c>
      <c r="L76" s="270">
        <f t="shared" ref="L76" si="20">E76*K76</f>
        <v>9349.080469999999</v>
      </c>
      <c r="M76" s="270">
        <f>I76+L76</f>
        <v>182611.84918832197</v>
      </c>
      <c r="N76" s="268"/>
      <c r="O76" s="1163">
        <v>0.93490804699999996</v>
      </c>
    </row>
    <row r="77" spans="1:18" ht="18.600000000000001" customHeight="1">
      <c r="A77" s="340"/>
      <c r="B77" s="136"/>
      <c r="C77" s="520" t="s">
        <v>1236</v>
      </c>
      <c r="D77" s="521"/>
      <c r="E77" s="513">
        <v>8</v>
      </c>
      <c r="F77" s="268" t="s">
        <v>402</v>
      </c>
      <c r="G77" s="284" t="s">
        <v>1209</v>
      </c>
      <c r="H77" s="284"/>
      <c r="I77" s="269"/>
      <c r="J77" s="267"/>
      <c r="K77" s="267"/>
      <c r="L77" s="270"/>
      <c r="M77" s="270"/>
      <c r="N77" s="268"/>
      <c r="O77" s="1163">
        <v>0.93490804699999996</v>
      </c>
    </row>
    <row r="78" spans="1:18" ht="18.95" customHeight="1">
      <c r="A78" s="340"/>
      <c r="B78" s="136"/>
      <c r="C78" s="520" t="s">
        <v>1237</v>
      </c>
      <c r="D78" s="521"/>
      <c r="E78" s="513">
        <v>8</v>
      </c>
      <c r="F78" s="268" t="s">
        <v>402</v>
      </c>
      <c r="G78" s="284" t="s">
        <v>1209</v>
      </c>
      <c r="H78" s="284"/>
      <c r="I78" s="269"/>
      <c r="J78" s="267"/>
      <c r="K78" s="267"/>
      <c r="L78" s="270"/>
      <c r="M78" s="270"/>
      <c r="N78" s="268"/>
      <c r="O78" s="1163">
        <v>0.93490804699999996</v>
      </c>
      <c r="Q78" s="517"/>
      <c r="R78" s="522"/>
    </row>
    <row r="79" spans="1:18" ht="18.95" customHeight="1">
      <c r="A79" s="340"/>
      <c r="B79" s="136"/>
      <c r="C79" s="520" t="s">
        <v>1237</v>
      </c>
      <c r="D79" s="521"/>
      <c r="E79" s="513">
        <v>8</v>
      </c>
      <c r="F79" s="268" t="s">
        <v>402</v>
      </c>
      <c r="G79" s="284" t="s">
        <v>1209</v>
      </c>
      <c r="H79" s="284"/>
      <c r="I79" s="269"/>
      <c r="J79" s="267"/>
      <c r="K79" s="267"/>
      <c r="L79" s="270"/>
      <c r="M79" s="270"/>
      <c r="N79" s="268"/>
      <c r="O79" s="1163">
        <v>0.93490804699999996</v>
      </c>
    </row>
    <row r="80" spans="1:18" ht="18.75" customHeight="1">
      <c r="A80" s="340"/>
      <c r="B80" s="136"/>
      <c r="C80" s="520" t="s">
        <v>1238</v>
      </c>
      <c r="D80" s="521"/>
      <c r="E80" s="513">
        <v>8</v>
      </c>
      <c r="F80" s="268" t="s">
        <v>402</v>
      </c>
      <c r="G80" s="284" t="s">
        <v>1209</v>
      </c>
      <c r="H80" s="284"/>
      <c r="I80" s="269"/>
      <c r="J80" s="267"/>
      <c r="K80" s="267"/>
      <c r="L80" s="270"/>
      <c r="M80" s="270"/>
      <c r="N80" s="268"/>
      <c r="O80" s="1163">
        <v>0.93490804699999996</v>
      </c>
    </row>
    <row r="81" spans="1:18" ht="18.95" customHeight="1">
      <c r="A81" s="340"/>
      <c r="B81" s="136"/>
      <c r="C81" s="520" t="s">
        <v>1239</v>
      </c>
      <c r="D81" s="521"/>
      <c r="E81" s="513">
        <v>1</v>
      </c>
      <c r="F81" s="268" t="s">
        <v>402</v>
      </c>
      <c r="G81" s="284" t="s">
        <v>1209</v>
      </c>
      <c r="H81" s="284"/>
      <c r="I81" s="269"/>
      <c r="J81" s="267"/>
      <c r="K81" s="267"/>
      <c r="L81" s="270"/>
      <c r="M81" s="270"/>
      <c r="N81" s="268"/>
      <c r="O81" s="1163">
        <v>0.93490804699999996</v>
      </c>
    </row>
    <row r="82" spans="1:18" ht="18.95" customHeight="1">
      <c r="A82" s="340"/>
      <c r="B82" s="136"/>
      <c r="C82" s="520"/>
      <c r="D82" s="521"/>
      <c r="E82" s="513"/>
      <c r="F82" s="268"/>
      <c r="G82" s="284"/>
      <c r="H82" s="284"/>
      <c r="I82" s="269"/>
      <c r="J82" s="267"/>
      <c r="K82" s="267"/>
      <c r="L82" s="270"/>
      <c r="M82" s="270"/>
      <c r="N82" s="268"/>
      <c r="O82" s="1163">
        <v>0.93490804699999996</v>
      </c>
    </row>
    <row r="83" spans="1:18" ht="18.95" customHeight="1">
      <c r="A83" s="340"/>
      <c r="B83" s="136" t="s">
        <v>1240</v>
      </c>
      <c r="C83" s="520" t="s">
        <v>1241</v>
      </c>
      <c r="D83" s="521"/>
      <c r="E83" s="513">
        <v>1</v>
      </c>
      <c r="F83" s="268" t="s">
        <v>402</v>
      </c>
      <c r="G83" s="269">
        <v>444540</v>
      </c>
      <c r="H83" s="269">
        <f>G83*O83</f>
        <v>415604.02321337996</v>
      </c>
      <c r="I83" s="269">
        <f>E83*H83</f>
        <v>415604.02321337996</v>
      </c>
      <c r="J83" s="267">
        <v>10000</v>
      </c>
      <c r="K83" s="267">
        <f t="shared" ref="K83" si="21">J83*O83</f>
        <v>9349.080469999999</v>
      </c>
      <c r="L83" s="270">
        <f t="shared" ref="L83" si="22">E83*K83</f>
        <v>9349.080469999999</v>
      </c>
      <c r="M83" s="270">
        <f>I83+L83</f>
        <v>424953.10368337994</v>
      </c>
      <c r="N83" s="268"/>
      <c r="O83" s="1163">
        <v>0.93490804699999996</v>
      </c>
    </row>
    <row r="84" spans="1:18" ht="18.95" customHeight="1">
      <c r="A84" s="340"/>
      <c r="B84" s="136"/>
      <c r="C84" s="520" t="s">
        <v>1224</v>
      </c>
      <c r="D84" s="521"/>
      <c r="E84" s="513"/>
      <c r="F84" s="268"/>
      <c r="G84" s="269"/>
      <c r="H84" s="269"/>
      <c r="I84" s="269"/>
      <c r="J84" s="267"/>
      <c r="K84" s="267"/>
      <c r="L84" s="267"/>
      <c r="M84" s="267"/>
      <c r="N84" s="268"/>
      <c r="O84" s="1163">
        <v>0.93490804699999996</v>
      </c>
    </row>
    <row r="85" spans="1:18" ht="18.95" customHeight="1">
      <c r="A85" s="340"/>
      <c r="B85" s="136"/>
      <c r="C85" s="520" t="s">
        <v>1225</v>
      </c>
      <c r="D85" s="521"/>
      <c r="E85" s="513">
        <v>3</v>
      </c>
      <c r="F85" s="268" t="s">
        <v>402</v>
      </c>
      <c r="G85" s="284" t="s">
        <v>1209</v>
      </c>
      <c r="H85" s="284"/>
      <c r="I85" s="269">
        <v>0</v>
      </c>
      <c r="J85" s="267">
        <v>0</v>
      </c>
      <c r="K85" s="267"/>
      <c r="L85" s="267">
        <f>J85*E85</f>
        <v>0</v>
      </c>
      <c r="M85" s="267">
        <f>L85+I85</f>
        <v>0</v>
      </c>
      <c r="N85" s="268"/>
      <c r="O85" s="1163">
        <v>0.93490804699999996</v>
      </c>
    </row>
    <row r="86" spans="1:18" ht="18.95" customHeight="1">
      <c r="A86" s="340"/>
      <c r="B86" s="136"/>
      <c r="C86" s="520" t="s">
        <v>1242</v>
      </c>
      <c r="D86" s="521"/>
      <c r="E86" s="513">
        <v>3</v>
      </c>
      <c r="F86" s="268" t="s">
        <v>402</v>
      </c>
      <c r="G86" s="284" t="s">
        <v>1209</v>
      </c>
      <c r="H86" s="284"/>
      <c r="I86" s="269">
        <v>0</v>
      </c>
      <c r="J86" s="267">
        <v>0</v>
      </c>
      <c r="K86" s="267"/>
      <c r="L86" s="267">
        <f t="shared" ref="L86:L92" si="23">J86*E86</f>
        <v>0</v>
      </c>
      <c r="M86" s="267">
        <f t="shared" ref="M86:M92" si="24">L86+I86</f>
        <v>0</v>
      </c>
      <c r="N86" s="268"/>
      <c r="O86" s="1163">
        <v>0.93490804699999996</v>
      </c>
    </row>
    <row r="87" spans="1:18" ht="18.95" customHeight="1">
      <c r="A87" s="340"/>
      <c r="B87" s="136"/>
      <c r="C87" s="520" t="s">
        <v>1243</v>
      </c>
      <c r="D87" s="521"/>
      <c r="E87" s="513">
        <v>1</v>
      </c>
      <c r="F87" s="268" t="s">
        <v>402</v>
      </c>
      <c r="G87" s="284" t="s">
        <v>1209</v>
      </c>
      <c r="H87" s="284"/>
      <c r="I87" s="269">
        <v>0</v>
      </c>
      <c r="J87" s="267">
        <v>0</v>
      </c>
      <c r="K87" s="267"/>
      <c r="L87" s="267">
        <f t="shared" si="23"/>
        <v>0</v>
      </c>
      <c r="M87" s="267">
        <f t="shared" si="24"/>
        <v>0</v>
      </c>
      <c r="N87" s="268"/>
      <c r="O87" s="1163">
        <v>0.93490804699999996</v>
      </c>
      <c r="Q87" s="517"/>
      <c r="R87" s="522"/>
    </row>
    <row r="88" spans="1:18" ht="18.95" customHeight="1">
      <c r="A88" s="340"/>
      <c r="B88" s="136"/>
      <c r="C88" s="520" t="s">
        <v>1226</v>
      </c>
      <c r="D88" s="521"/>
      <c r="E88" s="513">
        <v>1</v>
      </c>
      <c r="F88" s="268" t="s">
        <v>402</v>
      </c>
      <c r="G88" s="284" t="s">
        <v>1209</v>
      </c>
      <c r="H88" s="284"/>
      <c r="I88" s="269">
        <v>0</v>
      </c>
      <c r="J88" s="267">
        <v>0</v>
      </c>
      <c r="K88" s="267"/>
      <c r="L88" s="267">
        <f t="shared" si="23"/>
        <v>0</v>
      </c>
      <c r="M88" s="267">
        <f t="shared" si="24"/>
        <v>0</v>
      </c>
      <c r="N88" s="268"/>
      <c r="O88" s="1163">
        <v>0.93490804699999996</v>
      </c>
    </row>
    <row r="89" spans="1:18" ht="18.95" customHeight="1">
      <c r="A89" s="340"/>
      <c r="B89" s="136"/>
      <c r="C89" s="520" t="s">
        <v>1227</v>
      </c>
      <c r="D89" s="521"/>
      <c r="E89" s="513">
        <v>1</v>
      </c>
      <c r="F89" s="268" t="s">
        <v>402</v>
      </c>
      <c r="G89" s="284" t="s">
        <v>1209</v>
      </c>
      <c r="H89" s="284"/>
      <c r="I89" s="269">
        <v>0</v>
      </c>
      <c r="J89" s="267">
        <v>0</v>
      </c>
      <c r="K89" s="267"/>
      <c r="L89" s="267">
        <f t="shared" si="23"/>
        <v>0</v>
      </c>
      <c r="M89" s="267">
        <f t="shared" si="24"/>
        <v>0</v>
      </c>
      <c r="N89" s="268"/>
      <c r="O89" s="1163">
        <v>0.93490804699999996</v>
      </c>
    </row>
    <row r="90" spans="1:18" ht="18.95" customHeight="1">
      <c r="A90" s="340"/>
      <c r="B90" s="136"/>
      <c r="C90" s="520" t="s">
        <v>1244</v>
      </c>
      <c r="D90" s="521"/>
      <c r="E90" s="513">
        <v>1</v>
      </c>
      <c r="F90" s="268" t="s">
        <v>402</v>
      </c>
      <c r="G90" s="284">
        <v>60000</v>
      </c>
      <c r="H90" s="269">
        <f>G90*O90</f>
        <v>56094.482819999997</v>
      </c>
      <c r="I90" s="269">
        <f>E90*H90</f>
        <v>56094.482819999997</v>
      </c>
      <c r="J90" s="267">
        <v>0</v>
      </c>
      <c r="K90" s="267"/>
      <c r="L90" s="267">
        <f t="shared" si="23"/>
        <v>0</v>
      </c>
      <c r="M90" s="267">
        <f t="shared" si="24"/>
        <v>56094.482819999997</v>
      </c>
      <c r="N90" s="268"/>
      <c r="O90" s="1163">
        <v>0.93490804699999996</v>
      </c>
    </row>
    <row r="91" spans="1:18" ht="18.95" customHeight="1">
      <c r="A91" s="340"/>
      <c r="B91" s="136"/>
      <c r="C91" s="520" t="s">
        <v>1231</v>
      </c>
      <c r="D91" s="521"/>
      <c r="E91" s="513">
        <v>6</v>
      </c>
      <c r="F91" s="268" t="s">
        <v>402</v>
      </c>
      <c r="G91" s="284" t="s">
        <v>1209</v>
      </c>
      <c r="H91" s="284"/>
      <c r="I91" s="269">
        <v>0</v>
      </c>
      <c r="J91" s="267">
        <v>0</v>
      </c>
      <c r="K91" s="267"/>
      <c r="L91" s="267">
        <f t="shared" si="23"/>
        <v>0</v>
      </c>
      <c r="M91" s="267">
        <f t="shared" si="24"/>
        <v>0</v>
      </c>
      <c r="N91" s="268"/>
      <c r="O91" s="1163">
        <v>0.93490804699999996</v>
      </c>
    </row>
    <row r="92" spans="1:18" ht="18.95" customHeight="1">
      <c r="A92" s="340"/>
      <c r="B92" s="136"/>
      <c r="C92" s="520" t="s">
        <v>1232</v>
      </c>
      <c r="D92" s="521"/>
      <c r="E92" s="513">
        <v>1</v>
      </c>
      <c r="F92" s="268" t="s">
        <v>402</v>
      </c>
      <c r="G92" s="284" t="s">
        <v>1209</v>
      </c>
      <c r="H92" s="284"/>
      <c r="I92" s="269">
        <v>0</v>
      </c>
      <c r="J92" s="267">
        <v>0</v>
      </c>
      <c r="K92" s="267"/>
      <c r="L92" s="267">
        <f t="shared" si="23"/>
        <v>0</v>
      </c>
      <c r="M92" s="267">
        <f t="shared" si="24"/>
        <v>0</v>
      </c>
      <c r="N92" s="268"/>
      <c r="O92" s="1163">
        <v>0.93490804699999996</v>
      </c>
    </row>
    <row r="93" spans="1:18" ht="18.95" customHeight="1">
      <c r="A93" s="340"/>
      <c r="B93" s="136"/>
      <c r="C93" s="520" t="s">
        <v>1233</v>
      </c>
      <c r="D93" s="521"/>
      <c r="E93" s="513"/>
      <c r="F93" s="268"/>
      <c r="G93" s="269"/>
      <c r="H93" s="269"/>
      <c r="I93" s="269"/>
      <c r="J93" s="267"/>
      <c r="K93" s="267"/>
      <c r="L93" s="270"/>
      <c r="M93" s="270"/>
      <c r="N93" s="268"/>
      <c r="O93" s="1163">
        <v>0.93490804699999996</v>
      </c>
    </row>
    <row r="94" spans="1:18" ht="18.95" customHeight="1">
      <c r="A94" s="340"/>
      <c r="B94" s="136">
        <v>5.2</v>
      </c>
      <c r="C94" s="510" t="s">
        <v>1245</v>
      </c>
      <c r="D94" s="511"/>
      <c r="E94" s="513"/>
      <c r="F94" s="268"/>
      <c r="G94" s="269"/>
      <c r="H94" s="269"/>
      <c r="I94" s="269"/>
      <c r="J94" s="267"/>
      <c r="K94" s="267"/>
      <c r="L94" s="270"/>
      <c r="M94" s="270"/>
      <c r="N94" s="268"/>
      <c r="O94" s="1163">
        <v>0.93490804699999996</v>
      </c>
    </row>
    <row r="95" spans="1:18" ht="18.95" customHeight="1">
      <c r="A95" s="340"/>
      <c r="B95" s="136"/>
      <c r="C95" s="520" t="s">
        <v>1246</v>
      </c>
      <c r="D95" s="521"/>
      <c r="E95" s="513">
        <v>1</v>
      </c>
      <c r="F95" s="268" t="s">
        <v>402</v>
      </c>
      <c r="G95" s="284" t="s">
        <v>1247</v>
      </c>
      <c r="H95" s="284"/>
      <c r="I95" s="269"/>
      <c r="J95" s="267"/>
      <c r="K95" s="267"/>
      <c r="L95" s="270"/>
      <c r="M95" s="270"/>
      <c r="N95" s="268"/>
      <c r="O95" s="1163">
        <v>0.93490804699999996</v>
      </c>
    </row>
    <row r="96" spans="1:18" ht="18.95" customHeight="1">
      <c r="A96" s="340"/>
      <c r="B96" s="136"/>
      <c r="C96" s="520" t="s">
        <v>1248</v>
      </c>
      <c r="D96" s="521"/>
      <c r="E96" s="513">
        <v>1</v>
      </c>
      <c r="F96" s="268" t="s">
        <v>402</v>
      </c>
      <c r="G96" s="269">
        <v>59758</v>
      </c>
      <c r="H96" s="269">
        <f>G96*O96</f>
        <v>55868.235072625997</v>
      </c>
      <c r="I96" s="269">
        <f>E96*H96</f>
        <v>55868.235072625997</v>
      </c>
      <c r="J96" s="267">
        <v>3000</v>
      </c>
      <c r="K96" s="267">
        <f t="shared" ref="K96:K98" si="25">J96*O96</f>
        <v>2804.7241409999997</v>
      </c>
      <c r="L96" s="270">
        <f t="shared" ref="L96:L98" si="26">E96*K96</f>
        <v>2804.7241409999997</v>
      </c>
      <c r="M96" s="270">
        <f>I96+L96</f>
        <v>58672.959213625996</v>
      </c>
      <c r="N96" s="268"/>
      <c r="O96" s="1163">
        <v>0.93490804699999996</v>
      </c>
    </row>
    <row r="97" spans="1:15" ht="18.95" customHeight="1">
      <c r="A97" s="340"/>
      <c r="B97" s="136"/>
      <c r="C97" s="520" t="s">
        <v>1249</v>
      </c>
      <c r="D97" s="521"/>
      <c r="E97" s="513">
        <v>1</v>
      </c>
      <c r="F97" s="268" t="s">
        <v>402</v>
      </c>
      <c r="G97" s="269">
        <v>59758</v>
      </c>
      <c r="H97" s="269">
        <f t="shared" ref="H97:H99" si="27">G97*O97</f>
        <v>55868.235072625997</v>
      </c>
      <c r="I97" s="269">
        <f t="shared" ref="I97:I99" si="28">E97*H97</f>
        <v>55868.235072625997</v>
      </c>
      <c r="J97" s="267">
        <v>3000</v>
      </c>
      <c r="K97" s="267">
        <f t="shared" si="25"/>
        <v>2804.7241409999997</v>
      </c>
      <c r="L97" s="270">
        <f t="shared" si="26"/>
        <v>2804.7241409999997</v>
      </c>
      <c r="M97" s="270">
        <f>I97+L97</f>
        <v>58672.959213625996</v>
      </c>
      <c r="N97" s="268"/>
      <c r="O97" s="1163">
        <v>0.93490804699999996</v>
      </c>
    </row>
    <row r="98" spans="1:15" ht="18.95" customHeight="1">
      <c r="A98" s="340"/>
      <c r="B98" s="136"/>
      <c r="C98" s="520" t="s">
        <v>1250</v>
      </c>
      <c r="D98" s="521"/>
      <c r="E98" s="513">
        <v>1</v>
      </c>
      <c r="F98" s="268" t="s">
        <v>402</v>
      </c>
      <c r="G98" s="269">
        <v>59758</v>
      </c>
      <c r="H98" s="269">
        <f t="shared" si="27"/>
        <v>55868.235072625997</v>
      </c>
      <c r="I98" s="269">
        <f t="shared" si="28"/>
        <v>55868.235072625997</v>
      </c>
      <c r="J98" s="267">
        <v>3000</v>
      </c>
      <c r="K98" s="267">
        <f t="shared" si="25"/>
        <v>2804.7241409999997</v>
      </c>
      <c r="L98" s="270">
        <f t="shared" si="26"/>
        <v>2804.7241409999997</v>
      </c>
      <c r="M98" s="270">
        <f>I98+L98</f>
        <v>58672.959213625996</v>
      </c>
      <c r="N98" s="268"/>
      <c r="O98" s="1163">
        <v>0.93490804699999996</v>
      </c>
    </row>
    <row r="99" spans="1:15" ht="18.95" customHeight="1">
      <c r="A99" s="340"/>
      <c r="B99" s="136"/>
      <c r="C99" s="520" t="s">
        <v>1251</v>
      </c>
      <c r="D99" s="521"/>
      <c r="E99" s="513">
        <v>1</v>
      </c>
      <c r="F99" s="268" t="s">
        <v>402</v>
      </c>
      <c r="G99" s="269">
        <v>59758</v>
      </c>
      <c r="H99" s="269">
        <f t="shared" si="27"/>
        <v>55868.235072625997</v>
      </c>
      <c r="I99" s="269">
        <f t="shared" si="28"/>
        <v>55868.235072625997</v>
      </c>
      <c r="J99" s="267">
        <v>3000</v>
      </c>
      <c r="K99" s="267">
        <f t="shared" ref="K99" si="29">J99*O99</f>
        <v>2804.7241409999997</v>
      </c>
      <c r="L99" s="270">
        <f t="shared" ref="L99" si="30">E99*K99</f>
        <v>2804.7241409999997</v>
      </c>
      <c r="M99" s="270">
        <f>I99+L99</f>
        <v>58672.959213625996</v>
      </c>
      <c r="N99" s="268"/>
      <c r="O99" s="1163">
        <v>0.93490804699999996</v>
      </c>
    </row>
    <row r="100" spans="1:15" ht="18.95" customHeight="1">
      <c r="A100" s="340"/>
      <c r="B100" s="136"/>
      <c r="C100" s="520" t="s">
        <v>1252</v>
      </c>
      <c r="D100" s="521"/>
      <c r="E100" s="513">
        <v>0</v>
      </c>
      <c r="F100" s="268" t="s">
        <v>402</v>
      </c>
      <c r="G100" s="269">
        <v>0</v>
      </c>
      <c r="H100" s="269"/>
      <c r="I100" s="269">
        <f>ROUNDDOWN(E100*G100,2)</f>
        <v>0</v>
      </c>
      <c r="J100" s="267">
        <v>0</v>
      </c>
      <c r="K100" s="267"/>
      <c r="L100" s="270">
        <f>ROUNDDOWN(E100*J100,2)</f>
        <v>0</v>
      </c>
      <c r="M100" s="270">
        <f>I100+L100</f>
        <v>0</v>
      </c>
      <c r="N100" s="268"/>
      <c r="O100" s="1163">
        <v>0.93490804699999996</v>
      </c>
    </row>
    <row r="101" spans="1:15" ht="18.95" customHeight="1">
      <c r="A101" s="340"/>
      <c r="B101" s="136">
        <v>5.3</v>
      </c>
      <c r="C101" s="510" t="s">
        <v>1253</v>
      </c>
      <c r="D101" s="511"/>
      <c r="E101" s="513"/>
      <c r="F101" s="268"/>
      <c r="G101" s="269"/>
      <c r="H101" s="269"/>
      <c r="I101" s="269"/>
      <c r="J101" s="267"/>
      <c r="K101" s="267"/>
      <c r="L101" s="270"/>
      <c r="M101" s="270"/>
      <c r="N101" s="268"/>
      <c r="O101" s="1163">
        <v>0.93490804699999996</v>
      </c>
    </row>
    <row r="102" spans="1:15" ht="18.95" customHeight="1">
      <c r="A102" s="340"/>
      <c r="B102" s="136"/>
      <c r="C102" s="520" t="s">
        <v>1254</v>
      </c>
      <c r="D102" s="521"/>
      <c r="E102" s="513">
        <v>1</v>
      </c>
      <c r="F102" s="268" t="s">
        <v>402</v>
      </c>
      <c r="G102" s="284" t="s">
        <v>1255</v>
      </c>
      <c r="H102" s="284"/>
      <c r="I102" s="269"/>
      <c r="J102" s="267"/>
      <c r="K102" s="267"/>
      <c r="L102" s="270"/>
      <c r="M102" s="270"/>
      <c r="N102" s="268"/>
      <c r="O102" s="1163">
        <v>0.93490804699999996</v>
      </c>
    </row>
    <row r="103" spans="1:15" ht="18.95" customHeight="1">
      <c r="A103" s="340"/>
      <c r="B103" s="136"/>
      <c r="C103" s="520" t="s">
        <v>1256</v>
      </c>
      <c r="D103" s="521"/>
      <c r="E103" s="513">
        <v>1</v>
      </c>
      <c r="F103" s="268" t="s">
        <v>402</v>
      </c>
      <c r="G103" s="284" t="s">
        <v>1255</v>
      </c>
      <c r="H103" s="284"/>
      <c r="I103" s="269"/>
      <c r="J103" s="267"/>
      <c r="K103" s="267"/>
      <c r="L103" s="270"/>
      <c r="M103" s="270"/>
      <c r="N103" s="268"/>
      <c r="O103" s="1163">
        <v>0.93490804699999996</v>
      </c>
    </row>
    <row r="104" spans="1:15" ht="18.95" customHeight="1">
      <c r="A104" s="340"/>
      <c r="B104" s="136"/>
      <c r="C104" s="520" t="s">
        <v>1257</v>
      </c>
      <c r="D104" s="521"/>
      <c r="E104" s="513">
        <v>1</v>
      </c>
      <c r="F104" s="268" t="s">
        <v>402</v>
      </c>
      <c r="G104" s="269">
        <v>10000</v>
      </c>
      <c r="H104" s="269">
        <f>G104*O104</f>
        <v>9349.080469999999</v>
      </c>
      <c r="I104" s="269">
        <f>E104*H104</f>
        <v>9349.080469999999</v>
      </c>
      <c r="J104" s="267">
        <v>3000</v>
      </c>
      <c r="K104" s="267">
        <f t="shared" ref="K104" si="31">J104*O104</f>
        <v>2804.7241409999997</v>
      </c>
      <c r="L104" s="270">
        <f t="shared" ref="L104" si="32">E104*K104</f>
        <v>2804.7241409999997</v>
      </c>
      <c r="M104" s="270">
        <f>I104+L104</f>
        <v>12153.804611</v>
      </c>
      <c r="N104" s="268"/>
      <c r="O104" s="1163">
        <v>0.93490804699999996</v>
      </c>
    </row>
    <row r="105" spans="1:15" ht="18.95" customHeight="1">
      <c r="A105" s="340"/>
      <c r="B105" s="136"/>
      <c r="C105" s="520" t="s">
        <v>1258</v>
      </c>
      <c r="D105" s="521"/>
      <c r="E105" s="513">
        <v>1</v>
      </c>
      <c r="F105" s="268" t="s">
        <v>402</v>
      </c>
      <c r="G105" s="269">
        <v>0</v>
      </c>
      <c r="H105" s="269"/>
      <c r="I105" s="269">
        <f>ROUNDDOWN(E105*G105,2)</f>
        <v>0</v>
      </c>
      <c r="J105" s="267">
        <v>0</v>
      </c>
      <c r="K105" s="267"/>
      <c r="L105" s="270">
        <f>ROUNDDOWN(E105*J105,2)</f>
        <v>0</v>
      </c>
      <c r="M105" s="270">
        <f>I105+L105</f>
        <v>0</v>
      </c>
      <c r="N105" s="268"/>
      <c r="O105" s="1163">
        <v>0.93490804699999996</v>
      </c>
    </row>
    <row r="106" spans="1:15" ht="18.95" customHeight="1">
      <c r="A106" s="340"/>
      <c r="B106" s="136"/>
      <c r="C106" s="520" t="s">
        <v>1259</v>
      </c>
      <c r="D106" s="521"/>
      <c r="E106" s="513">
        <v>1</v>
      </c>
      <c r="F106" s="268" t="s">
        <v>402</v>
      </c>
      <c r="G106" s="269">
        <v>0</v>
      </c>
      <c r="H106" s="269"/>
      <c r="I106" s="269">
        <f>ROUNDDOWN(E106*G106,2)</f>
        <v>0</v>
      </c>
      <c r="J106" s="267">
        <v>0</v>
      </c>
      <c r="K106" s="267"/>
      <c r="L106" s="270">
        <f>ROUNDDOWN(E106*J106,2)</f>
        <v>0</v>
      </c>
      <c r="M106" s="270">
        <f>I106+L106</f>
        <v>0</v>
      </c>
      <c r="N106" s="268"/>
      <c r="O106" s="1163">
        <v>0.93490804699999996</v>
      </c>
    </row>
    <row r="107" spans="1:15" ht="18.95" customHeight="1">
      <c r="A107" s="340"/>
      <c r="B107" s="136"/>
      <c r="C107" s="520" t="s">
        <v>1260</v>
      </c>
      <c r="D107" s="521"/>
      <c r="E107" s="513">
        <v>1</v>
      </c>
      <c r="F107" s="268" t="s">
        <v>402</v>
      </c>
      <c r="G107" s="269">
        <v>0</v>
      </c>
      <c r="H107" s="269"/>
      <c r="I107" s="269">
        <f>ROUNDDOWN(E107*G107,2)</f>
        <v>0</v>
      </c>
      <c r="J107" s="267">
        <v>0</v>
      </c>
      <c r="K107" s="267"/>
      <c r="L107" s="270">
        <f>ROUNDDOWN(E107*J107,2)</f>
        <v>0</v>
      </c>
      <c r="M107" s="270">
        <f>I107+L107</f>
        <v>0</v>
      </c>
      <c r="N107" s="268"/>
      <c r="O107" s="1163">
        <v>0.93490804699999996</v>
      </c>
    </row>
    <row r="108" spans="1:15" ht="18.95" customHeight="1">
      <c r="A108" s="523"/>
      <c r="B108" s="136">
        <v>5.4</v>
      </c>
      <c r="C108" s="510" t="s">
        <v>1261</v>
      </c>
      <c r="D108" s="511"/>
      <c r="E108" s="513"/>
      <c r="F108" s="268"/>
      <c r="G108" s="269"/>
      <c r="H108" s="269"/>
      <c r="I108" s="269"/>
      <c r="J108" s="267"/>
      <c r="K108" s="267"/>
      <c r="L108" s="270"/>
      <c r="M108" s="270"/>
      <c r="N108" s="268"/>
      <c r="O108" s="1163">
        <v>0.93490804699999996</v>
      </c>
    </row>
    <row r="109" spans="1:15" ht="18.95" customHeight="1">
      <c r="A109" s="340"/>
      <c r="B109" s="136" t="s">
        <v>1262</v>
      </c>
      <c r="C109" s="510" t="s">
        <v>1263</v>
      </c>
      <c r="D109" s="511"/>
      <c r="E109" s="513"/>
      <c r="F109" s="268"/>
      <c r="G109" s="269"/>
      <c r="H109" s="269"/>
      <c r="I109" s="269"/>
      <c r="J109" s="267"/>
      <c r="K109" s="267"/>
      <c r="L109" s="270"/>
      <c r="M109" s="270"/>
      <c r="N109" s="268"/>
      <c r="O109" s="1163">
        <v>0.93490804699999996</v>
      </c>
    </row>
    <row r="110" spans="1:15" ht="18.95" customHeight="1">
      <c r="A110" s="340"/>
      <c r="B110" s="136"/>
      <c r="C110" s="510" t="s">
        <v>1264</v>
      </c>
      <c r="D110" s="511"/>
      <c r="E110" s="513">
        <v>1</v>
      </c>
      <c r="F110" s="268" t="s">
        <v>402</v>
      </c>
      <c r="G110" s="267">
        <v>16088</v>
      </c>
      <c r="H110" s="269">
        <f t="shared" ref="H110:H111" si="33">G110*O110</f>
        <v>15040.800660135999</v>
      </c>
      <c r="I110" s="269">
        <f t="shared" ref="I110:I111" si="34">E110*H110</f>
        <v>15040.800660135999</v>
      </c>
      <c r="J110" s="267">
        <v>500</v>
      </c>
      <c r="K110" s="267">
        <f t="shared" ref="K110" si="35">J110*O110</f>
        <v>467.45402350000001</v>
      </c>
      <c r="L110" s="270">
        <f t="shared" ref="L110" si="36">E110*K110</f>
        <v>467.45402350000001</v>
      </c>
      <c r="M110" s="270">
        <f>I110+L110</f>
        <v>15508.254683636</v>
      </c>
      <c r="N110" s="268"/>
      <c r="O110" s="1163">
        <v>0.93490804699999996</v>
      </c>
    </row>
    <row r="111" spans="1:15" ht="18.95" customHeight="1">
      <c r="A111" s="340"/>
      <c r="B111" s="136"/>
      <c r="C111" s="510" t="s">
        <v>1265</v>
      </c>
      <c r="D111" s="511"/>
      <c r="E111" s="513">
        <v>3</v>
      </c>
      <c r="F111" s="268" t="s">
        <v>402</v>
      </c>
      <c r="G111" s="269">
        <v>1716</v>
      </c>
      <c r="H111" s="269">
        <f t="shared" si="33"/>
        <v>1604.302208652</v>
      </c>
      <c r="I111" s="269">
        <f t="shared" si="34"/>
        <v>4812.9066259560004</v>
      </c>
      <c r="J111" s="267">
        <v>0</v>
      </c>
      <c r="K111" s="267"/>
      <c r="L111" s="270">
        <v>0</v>
      </c>
      <c r="M111" s="270">
        <f>I111+L111</f>
        <v>4812.9066259560004</v>
      </c>
      <c r="N111" s="268"/>
      <c r="O111" s="1163">
        <v>0.93490804699999996</v>
      </c>
    </row>
    <row r="112" spans="1:15" ht="18.95" customHeight="1">
      <c r="A112" s="340"/>
      <c r="B112" s="136" t="s">
        <v>1266</v>
      </c>
      <c r="C112" s="510" t="s">
        <v>1267</v>
      </c>
      <c r="D112" s="511"/>
      <c r="E112" s="513"/>
      <c r="F112" s="268"/>
      <c r="G112" s="269"/>
      <c r="H112" s="269"/>
      <c r="I112" s="269"/>
      <c r="J112" s="267"/>
      <c r="K112" s="267"/>
      <c r="L112" s="270"/>
      <c r="M112" s="270"/>
      <c r="N112" s="268"/>
      <c r="O112" s="1163">
        <v>0.93490804699999996</v>
      </c>
    </row>
    <row r="113" spans="1:15" ht="18.95" customHeight="1">
      <c r="A113" s="340"/>
      <c r="B113" s="136"/>
      <c r="C113" s="510" t="s">
        <v>1264</v>
      </c>
      <c r="D113" s="511"/>
      <c r="E113" s="513">
        <v>1</v>
      </c>
      <c r="F113" s="268" t="s">
        <v>402</v>
      </c>
      <c r="G113" s="267">
        <v>16088</v>
      </c>
      <c r="H113" s="269">
        <f t="shared" ref="H113:H114" si="37">G113*O113</f>
        <v>15040.800660135999</v>
      </c>
      <c r="I113" s="269">
        <f t="shared" ref="I113:I114" si="38">E113*H113</f>
        <v>15040.800660135999</v>
      </c>
      <c r="J113" s="267">
        <v>500</v>
      </c>
      <c r="K113" s="267">
        <f t="shared" ref="K113" si="39">J113*O113</f>
        <v>467.45402350000001</v>
      </c>
      <c r="L113" s="270">
        <f t="shared" ref="L113" si="40">E113*K113</f>
        <v>467.45402350000001</v>
      </c>
      <c r="M113" s="270">
        <f>I113+L113</f>
        <v>15508.254683636</v>
      </c>
      <c r="N113" s="268"/>
      <c r="O113" s="1163">
        <v>0.93490804699999996</v>
      </c>
    </row>
    <row r="114" spans="1:15" ht="18.95" customHeight="1">
      <c r="A114" s="340"/>
      <c r="B114" s="136"/>
      <c r="C114" s="510" t="s">
        <v>1268</v>
      </c>
      <c r="D114" s="511"/>
      <c r="E114" s="513">
        <v>3</v>
      </c>
      <c r="F114" s="268" t="s">
        <v>402</v>
      </c>
      <c r="G114" s="269">
        <v>168</v>
      </c>
      <c r="H114" s="269">
        <f t="shared" si="37"/>
        <v>157.06455189599998</v>
      </c>
      <c r="I114" s="269">
        <f t="shared" si="38"/>
        <v>471.19365568799992</v>
      </c>
      <c r="J114" s="267">
        <v>0</v>
      </c>
      <c r="K114" s="267"/>
      <c r="L114" s="270">
        <v>0</v>
      </c>
      <c r="M114" s="270">
        <f>I114+L114</f>
        <v>471.19365568799992</v>
      </c>
      <c r="N114" s="268"/>
      <c r="O114" s="1163">
        <v>0.93490804699999996</v>
      </c>
    </row>
    <row r="115" spans="1:15" ht="18.95" customHeight="1">
      <c r="A115" s="340"/>
      <c r="B115" s="136"/>
      <c r="C115" s="510" t="s">
        <v>1269</v>
      </c>
      <c r="D115" s="511"/>
      <c r="E115" s="513">
        <v>6</v>
      </c>
      <c r="F115" s="268" t="s">
        <v>402</v>
      </c>
      <c r="G115" s="269">
        <v>168</v>
      </c>
      <c r="H115" s="269">
        <f t="shared" ref="H115:H116" si="41">G115*O115</f>
        <v>157.06455189599998</v>
      </c>
      <c r="I115" s="269">
        <f t="shared" ref="I115:I116" si="42">E115*H115</f>
        <v>942.38731137599984</v>
      </c>
      <c r="J115" s="267">
        <v>0</v>
      </c>
      <c r="K115" s="267"/>
      <c r="L115" s="270">
        <v>0</v>
      </c>
      <c r="M115" s="270">
        <f>I115+L115</f>
        <v>942.38731137599984</v>
      </c>
      <c r="N115" s="268"/>
      <c r="O115" s="1163">
        <v>0.93490804699999996</v>
      </c>
    </row>
    <row r="116" spans="1:15" ht="18.95" customHeight="1">
      <c r="A116" s="340"/>
      <c r="B116" s="136"/>
      <c r="C116" s="510" t="s">
        <v>1270</v>
      </c>
      <c r="D116" s="511"/>
      <c r="E116" s="513">
        <v>12</v>
      </c>
      <c r="F116" s="268" t="s">
        <v>402</v>
      </c>
      <c r="G116" s="269">
        <v>1716</v>
      </c>
      <c r="H116" s="269">
        <f t="shared" si="41"/>
        <v>1604.302208652</v>
      </c>
      <c r="I116" s="269">
        <f t="shared" si="42"/>
        <v>19251.626503824002</v>
      </c>
      <c r="J116" s="267">
        <v>0</v>
      </c>
      <c r="K116" s="267"/>
      <c r="L116" s="270">
        <v>0</v>
      </c>
      <c r="M116" s="270">
        <f>I116+L116</f>
        <v>19251.626503824002</v>
      </c>
      <c r="N116" s="268"/>
      <c r="O116" s="1163">
        <v>0.93490804699999996</v>
      </c>
    </row>
    <row r="117" spans="1:15" ht="18.95" customHeight="1">
      <c r="A117" s="340"/>
      <c r="B117" s="136" t="s">
        <v>1271</v>
      </c>
      <c r="C117" s="510" t="s">
        <v>1272</v>
      </c>
      <c r="D117" s="511"/>
      <c r="E117" s="513"/>
      <c r="F117" s="268"/>
      <c r="G117" s="269"/>
      <c r="H117" s="269"/>
      <c r="I117" s="269"/>
      <c r="J117" s="267"/>
      <c r="K117" s="267"/>
      <c r="L117" s="270"/>
      <c r="M117" s="270"/>
      <c r="N117" s="268"/>
      <c r="O117" s="1163">
        <v>0.93490804699999996</v>
      </c>
    </row>
    <row r="118" spans="1:15" ht="18.95" customHeight="1">
      <c r="A118" s="340"/>
      <c r="B118" s="136"/>
      <c r="C118" s="510" t="s">
        <v>1264</v>
      </c>
      <c r="D118" s="511"/>
      <c r="E118" s="513">
        <v>1</v>
      </c>
      <c r="F118" s="268" t="s">
        <v>402</v>
      </c>
      <c r="G118" s="267">
        <v>16088</v>
      </c>
      <c r="H118" s="269">
        <f t="shared" ref="H118:H121" si="43">G118*O118</f>
        <v>15040.800660135999</v>
      </c>
      <c r="I118" s="269">
        <f t="shared" ref="I118:I121" si="44">E118*H118</f>
        <v>15040.800660135999</v>
      </c>
      <c r="J118" s="267">
        <v>500</v>
      </c>
      <c r="K118" s="267">
        <f t="shared" ref="K118" si="45">J118*O118</f>
        <v>467.45402350000001</v>
      </c>
      <c r="L118" s="270">
        <f t="shared" ref="L118" si="46">E118*K118</f>
        <v>467.45402350000001</v>
      </c>
      <c r="M118" s="270">
        <f>I118+L118</f>
        <v>15508.254683636</v>
      </c>
      <c r="N118" s="268"/>
      <c r="O118" s="1163">
        <v>0.93490804699999996</v>
      </c>
    </row>
    <row r="119" spans="1:15" ht="18.95" customHeight="1">
      <c r="A119" s="340"/>
      <c r="B119" s="136"/>
      <c r="C119" s="510" t="s">
        <v>1268</v>
      </c>
      <c r="D119" s="511"/>
      <c r="E119" s="513">
        <v>4</v>
      </c>
      <c r="F119" s="268" t="s">
        <v>402</v>
      </c>
      <c r="G119" s="269">
        <v>168</v>
      </c>
      <c r="H119" s="269">
        <f t="shared" si="43"/>
        <v>157.06455189599998</v>
      </c>
      <c r="I119" s="269">
        <f t="shared" si="44"/>
        <v>628.25820758399993</v>
      </c>
      <c r="J119" s="267">
        <v>0</v>
      </c>
      <c r="K119" s="267"/>
      <c r="L119" s="270">
        <v>0</v>
      </c>
      <c r="M119" s="270">
        <f>I119+L119</f>
        <v>628.25820758399993</v>
      </c>
      <c r="N119" s="268"/>
      <c r="O119" s="1163">
        <v>0.93490804699999996</v>
      </c>
    </row>
    <row r="120" spans="1:15" ht="18.95" customHeight="1">
      <c r="A120" s="340"/>
      <c r="B120" s="136"/>
      <c r="C120" s="510" t="s">
        <v>1269</v>
      </c>
      <c r="D120" s="511"/>
      <c r="E120" s="513">
        <v>6</v>
      </c>
      <c r="F120" s="268" t="s">
        <v>402</v>
      </c>
      <c r="G120" s="269">
        <v>168</v>
      </c>
      <c r="H120" s="269">
        <f t="shared" si="43"/>
        <v>157.06455189599998</v>
      </c>
      <c r="I120" s="269">
        <f t="shared" si="44"/>
        <v>942.38731137599984</v>
      </c>
      <c r="J120" s="267">
        <v>0</v>
      </c>
      <c r="K120" s="267"/>
      <c r="L120" s="270">
        <v>0</v>
      </c>
      <c r="M120" s="270">
        <f>I120+L120</f>
        <v>942.38731137599984</v>
      </c>
      <c r="N120" s="268"/>
      <c r="O120" s="1163">
        <v>0.93490804699999996</v>
      </c>
    </row>
    <row r="121" spans="1:15" ht="18.95" customHeight="1">
      <c r="A121" s="340"/>
      <c r="B121" s="136"/>
      <c r="C121" s="510" t="s">
        <v>1270</v>
      </c>
      <c r="D121" s="511"/>
      <c r="E121" s="513">
        <v>5</v>
      </c>
      <c r="F121" s="268" t="s">
        <v>402</v>
      </c>
      <c r="G121" s="269">
        <v>1716</v>
      </c>
      <c r="H121" s="269">
        <f t="shared" si="43"/>
        <v>1604.302208652</v>
      </c>
      <c r="I121" s="269">
        <f t="shared" si="44"/>
        <v>8021.5110432599995</v>
      </c>
      <c r="J121" s="267">
        <v>0</v>
      </c>
      <c r="K121" s="267"/>
      <c r="L121" s="270">
        <v>0</v>
      </c>
      <c r="M121" s="270">
        <f>I121+L121</f>
        <v>8021.5110432599995</v>
      </c>
      <c r="N121" s="268"/>
      <c r="O121" s="1163">
        <v>0.93490804699999996</v>
      </c>
    </row>
    <row r="122" spans="1:15" ht="18.95" customHeight="1">
      <c r="A122" s="340"/>
      <c r="B122" s="136" t="s">
        <v>1273</v>
      </c>
      <c r="C122" s="510" t="s">
        <v>1274</v>
      </c>
      <c r="D122" s="511"/>
      <c r="E122" s="513"/>
      <c r="F122" s="268"/>
      <c r="G122" s="269"/>
      <c r="H122" s="269"/>
      <c r="I122" s="269"/>
      <c r="J122" s="267"/>
      <c r="K122" s="267"/>
      <c r="L122" s="270"/>
      <c r="M122" s="270"/>
      <c r="N122" s="268"/>
      <c r="O122" s="1163">
        <v>0.93490804699999996</v>
      </c>
    </row>
    <row r="123" spans="1:15" ht="18.95" customHeight="1">
      <c r="A123" s="340"/>
      <c r="B123" s="136"/>
      <c r="C123" s="510" t="s">
        <v>1264</v>
      </c>
      <c r="D123" s="511"/>
      <c r="E123" s="513">
        <v>1</v>
      </c>
      <c r="F123" s="268" t="s">
        <v>402</v>
      </c>
      <c r="G123" s="267">
        <v>16088</v>
      </c>
      <c r="H123" s="269">
        <f t="shared" ref="H123:H125" si="47">G123*O123</f>
        <v>15040.800660135999</v>
      </c>
      <c r="I123" s="269">
        <f t="shared" ref="I123:I125" si="48">E123*H123</f>
        <v>15040.800660135999</v>
      </c>
      <c r="J123" s="267">
        <v>500</v>
      </c>
      <c r="K123" s="267">
        <f t="shared" ref="K123" si="49">J123*O123</f>
        <v>467.45402350000001</v>
      </c>
      <c r="L123" s="270">
        <f t="shared" ref="L123" si="50">E123*K123</f>
        <v>467.45402350000001</v>
      </c>
      <c r="M123" s="270">
        <f>I123+L123</f>
        <v>15508.254683636</v>
      </c>
      <c r="N123" s="268"/>
      <c r="O123" s="1163">
        <v>0.93490804699999996</v>
      </c>
    </row>
    <row r="124" spans="1:15" ht="18.95" customHeight="1">
      <c r="A124" s="340"/>
      <c r="B124" s="136"/>
      <c r="C124" s="510" t="s">
        <v>1268</v>
      </c>
      <c r="D124" s="511"/>
      <c r="E124" s="513">
        <v>7</v>
      </c>
      <c r="F124" s="268" t="s">
        <v>402</v>
      </c>
      <c r="G124" s="269">
        <v>168</v>
      </c>
      <c r="H124" s="269">
        <f t="shared" si="47"/>
        <v>157.06455189599998</v>
      </c>
      <c r="I124" s="269">
        <f t="shared" si="48"/>
        <v>1099.4518632719999</v>
      </c>
      <c r="J124" s="267">
        <v>0</v>
      </c>
      <c r="K124" s="267"/>
      <c r="L124" s="270">
        <v>0</v>
      </c>
      <c r="M124" s="270">
        <f>I124+L124</f>
        <v>1099.4518632719999</v>
      </c>
      <c r="N124" s="268"/>
      <c r="O124" s="1163">
        <v>0.93490804699999996</v>
      </c>
    </row>
    <row r="125" spans="1:15" ht="18.95" customHeight="1">
      <c r="A125" s="340"/>
      <c r="B125" s="136"/>
      <c r="C125" s="510" t="s">
        <v>1269</v>
      </c>
      <c r="D125" s="511"/>
      <c r="E125" s="513">
        <v>29</v>
      </c>
      <c r="F125" s="268" t="s">
        <v>402</v>
      </c>
      <c r="G125" s="269">
        <v>168</v>
      </c>
      <c r="H125" s="269">
        <f t="shared" si="47"/>
        <v>157.06455189599998</v>
      </c>
      <c r="I125" s="269">
        <f t="shared" si="48"/>
        <v>4554.8720049839994</v>
      </c>
      <c r="J125" s="267">
        <v>0</v>
      </c>
      <c r="K125" s="267"/>
      <c r="L125" s="270">
        <v>0</v>
      </c>
      <c r="M125" s="270">
        <f>I125+L125</f>
        <v>4554.8720049839994</v>
      </c>
      <c r="N125" s="268"/>
      <c r="O125" s="1163">
        <v>0.93490804699999996</v>
      </c>
    </row>
    <row r="126" spans="1:15" ht="18.95" customHeight="1">
      <c r="A126" s="340"/>
      <c r="B126" s="136" t="s">
        <v>1275</v>
      </c>
      <c r="C126" s="510" t="s">
        <v>1276</v>
      </c>
      <c r="D126" s="511"/>
      <c r="E126" s="513"/>
      <c r="F126" s="268"/>
      <c r="G126" s="269"/>
      <c r="H126" s="269"/>
      <c r="I126" s="269"/>
      <c r="J126" s="267"/>
      <c r="K126" s="267"/>
      <c r="L126" s="270"/>
      <c r="M126" s="270"/>
      <c r="N126" s="268"/>
      <c r="O126" s="1163">
        <v>0.93490804699999996</v>
      </c>
    </row>
    <row r="127" spans="1:15" ht="18.95" customHeight="1">
      <c r="A127" s="340"/>
      <c r="B127" s="136"/>
      <c r="C127" s="510" t="s">
        <v>1264</v>
      </c>
      <c r="D127" s="511"/>
      <c r="E127" s="513">
        <v>1</v>
      </c>
      <c r="F127" s="268" t="s">
        <v>402</v>
      </c>
      <c r="G127" s="267">
        <v>16088</v>
      </c>
      <c r="H127" s="269">
        <f t="shared" ref="H127:H129" si="51">G127*O127</f>
        <v>15040.800660135999</v>
      </c>
      <c r="I127" s="269">
        <f t="shared" ref="I127:I129" si="52">E127*H127</f>
        <v>15040.800660135999</v>
      </c>
      <c r="J127" s="267">
        <v>500</v>
      </c>
      <c r="K127" s="267">
        <f t="shared" ref="K127" si="53">J127*O127</f>
        <v>467.45402350000001</v>
      </c>
      <c r="L127" s="270">
        <f t="shared" ref="L127" si="54">E127*K127</f>
        <v>467.45402350000001</v>
      </c>
      <c r="M127" s="270">
        <f>I127+L127</f>
        <v>15508.254683636</v>
      </c>
      <c r="N127" s="268"/>
      <c r="O127" s="1163">
        <v>0.93490804699999996</v>
      </c>
    </row>
    <row r="128" spans="1:15" ht="18.95" customHeight="1">
      <c r="A128" s="340"/>
      <c r="B128" s="136"/>
      <c r="C128" s="510" t="s">
        <v>1268</v>
      </c>
      <c r="D128" s="511"/>
      <c r="E128" s="513">
        <v>5</v>
      </c>
      <c r="F128" s="268" t="s">
        <v>402</v>
      </c>
      <c r="G128" s="269">
        <v>168</v>
      </c>
      <c r="H128" s="269">
        <f t="shared" si="51"/>
        <v>157.06455189599998</v>
      </c>
      <c r="I128" s="269">
        <f t="shared" si="52"/>
        <v>785.32275947999995</v>
      </c>
      <c r="J128" s="267">
        <v>0</v>
      </c>
      <c r="K128" s="267"/>
      <c r="L128" s="270">
        <v>0</v>
      </c>
      <c r="M128" s="270">
        <f>I128+L128</f>
        <v>785.32275947999995</v>
      </c>
      <c r="N128" s="268"/>
      <c r="O128" s="1163">
        <v>0.93490804699999996</v>
      </c>
    </row>
    <row r="129" spans="1:15" ht="18.95" customHeight="1">
      <c r="A129" s="340"/>
      <c r="B129" s="136"/>
      <c r="C129" s="510" t="s">
        <v>1269</v>
      </c>
      <c r="D129" s="511"/>
      <c r="E129" s="513">
        <v>19</v>
      </c>
      <c r="F129" s="268" t="s">
        <v>402</v>
      </c>
      <c r="G129" s="269">
        <v>168</v>
      </c>
      <c r="H129" s="269">
        <f t="shared" si="51"/>
        <v>157.06455189599998</v>
      </c>
      <c r="I129" s="269">
        <f t="shared" si="52"/>
        <v>2984.2264860239998</v>
      </c>
      <c r="J129" s="267">
        <v>0</v>
      </c>
      <c r="K129" s="267"/>
      <c r="L129" s="270">
        <v>0</v>
      </c>
      <c r="M129" s="270">
        <f>I129+L129</f>
        <v>2984.2264860239998</v>
      </c>
      <c r="N129" s="268"/>
      <c r="O129" s="1163">
        <v>0.93490804699999996</v>
      </c>
    </row>
    <row r="130" spans="1:15" ht="18.95" customHeight="1">
      <c r="A130" s="340"/>
      <c r="B130" s="136" t="s">
        <v>1277</v>
      </c>
      <c r="C130" s="510" t="s">
        <v>1278</v>
      </c>
      <c r="D130" s="511"/>
      <c r="E130" s="513"/>
      <c r="F130" s="268"/>
      <c r="G130" s="269"/>
      <c r="H130" s="269"/>
      <c r="I130" s="269"/>
      <c r="J130" s="267"/>
      <c r="K130" s="267"/>
      <c r="L130" s="270"/>
      <c r="M130" s="270"/>
      <c r="N130" s="268"/>
      <c r="O130" s="1163">
        <v>0.93490804699999996</v>
      </c>
    </row>
    <row r="131" spans="1:15" ht="18.95" customHeight="1">
      <c r="A131" s="340"/>
      <c r="B131" s="136"/>
      <c r="C131" s="510" t="s">
        <v>1264</v>
      </c>
      <c r="D131" s="511"/>
      <c r="E131" s="513">
        <v>1</v>
      </c>
      <c r="F131" s="268" t="s">
        <v>402</v>
      </c>
      <c r="G131" s="267">
        <v>16088</v>
      </c>
      <c r="H131" s="269">
        <f t="shared" ref="H131:H133" si="55">G131*O131</f>
        <v>15040.800660135999</v>
      </c>
      <c r="I131" s="269">
        <f t="shared" ref="I131:I133" si="56">E131*H131</f>
        <v>15040.800660135999</v>
      </c>
      <c r="J131" s="267">
        <v>500</v>
      </c>
      <c r="K131" s="267">
        <f t="shared" ref="K131" si="57">J131*O131</f>
        <v>467.45402350000001</v>
      </c>
      <c r="L131" s="270">
        <f t="shared" ref="L131" si="58">E131*K131</f>
        <v>467.45402350000001</v>
      </c>
      <c r="M131" s="270">
        <f>I131+L131</f>
        <v>15508.254683636</v>
      </c>
      <c r="N131" s="268"/>
      <c r="O131" s="1163">
        <v>0.93490804699999996</v>
      </c>
    </row>
    <row r="132" spans="1:15" ht="18.95" customHeight="1">
      <c r="A132" s="340"/>
      <c r="B132" s="136"/>
      <c r="C132" s="510" t="s">
        <v>1268</v>
      </c>
      <c r="D132" s="511"/>
      <c r="E132" s="513">
        <v>6</v>
      </c>
      <c r="F132" s="268" t="s">
        <v>402</v>
      </c>
      <c r="G132" s="269">
        <v>168</v>
      </c>
      <c r="H132" s="269">
        <f t="shared" si="55"/>
        <v>157.06455189599998</v>
      </c>
      <c r="I132" s="269">
        <f t="shared" si="56"/>
        <v>942.38731137599984</v>
      </c>
      <c r="J132" s="267">
        <v>0</v>
      </c>
      <c r="K132" s="267"/>
      <c r="L132" s="270">
        <v>0</v>
      </c>
      <c r="M132" s="270">
        <f>I132+L132</f>
        <v>942.38731137599984</v>
      </c>
      <c r="N132" s="268"/>
      <c r="O132" s="1163">
        <v>0.93490804699999996</v>
      </c>
    </row>
    <row r="133" spans="1:15" ht="18.95" customHeight="1">
      <c r="A133" s="340"/>
      <c r="B133" s="136"/>
      <c r="C133" s="510" t="s">
        <v>1269</v>
      </c>
      <c r="D133" s="511"/>
      <c r="E133" s="513">
        <v>18</v>
      </c>
      <c r="F133" s="268" t="s">
        <v>402</v>
      </c>
      <c r="G133" s="269">
        <v>168</v>
      </c>
      <c r="H133" s="269">
        <f t="shared" si="55"/>
        <v>157.06455189599998</v>
      </c>
      <c r="I133" s="269">
        <f t="shared" si="56"/>
        <v>2827.1619341279998</v>
      </c>
      <c r="J133" s="267">
        <v>0</v>
      </c>
      <c r="K133" s="267"/>
      <c r="L133" s="270">
        <v>0</v>
      </c>
      <c r="M133" s="270">
        <f>I133+L133</f>
        <v>2827.1619341279998</v>
      </c>
      <c r="N133" s="268"/>
      <c r="O133" s="1163">
        <v>0.93490804699999996</v>
      </c>
    </row>
    <row r="134" spans="1:15" ht="18.95" customHeight="1">
      <c r="A134" s="340"/>
      <c r="B134" s="136" t="s">
        <v>1279</v>
      </c>
      <c r="C134" s="510" t="s">
        <v>1280</v>
      </c>
      <c r="D134" s="511"/>
      <c r="E134" s="513"/>
      <c r="F134" s="268"/>
      <c r="G134" s="269"/>
      <c r="H134" s="269"/>
      <c r="I134" s="269"/>
      <c r="J134" s="267"/>
      <c r="K134" s="267"/>
      <c r="L134" s="270"/>
      <c r="M134" s="270"/>
      <c r="N134" s="268"/>
      <c r="O134" s="1163">
        <v>0.93490804699999996</v>
      </c>
    </row>
    <row r="135" spans="1:15" ht="18.95" customHeight="1">
      <c r="A135" s="340"/>
      <c r="B135" s="136"/>
      <c r="C135" s="510" t="s">
        <v>1264</v>
      </c>
      <c r="D135" s="511"/>
      <c r="E135" s="513">
        <v>1</v>
      </c>
      <c r="F135" s="268" t="s">
        <v>402</v>
      </c>
      <c r="G135" s="267">
        <v>16088</v>
      </c>
      <c r="H135" s="269">
        <f t="shared" ref="H135:H137" si="59">G135*O135</f>
        <v>15040.800660135999</v>
      </c>
      <c r="I135" s="269">
        <f t="shared" ref="I135:I137" si="60">E135*H135</f>
        <v>15040.800660135999</v>
      </c>
      <c r="J135" s="267">
        <v>500</v>
      </c>
      <c r="K135" s="267">
        <f t="shared" ref="K135" si="61">J135*O135</f>
        <v>467.45402350000001</v>
      </c>
      <c r="L135" s="270">
        <f t="shared" ref="L135" si="62">E135*K135</f>
        <v>467.45402350000001</v>
      </c>
      <c r="M135" s="270">
        <f>I135+L135</f>
        <v>15508.254683636</v>
      </c>
      <c r="N135" s="268"/>
      <c r="O135" s="1163">
        <v>0.93490804699999996</v>
      </c>
    </row>
    <row r="136" spans="1:15" ht="18.95" customHeight="1">
      <c r="A136" s="340"/>
      <c r="B136" s="136"/>
      <c r="C136" s="510" t="s">
        <v>1268</v>
      </c>
      <c r="D136" s="511"/>
      <c r="E136" s="513">
        <v>6</v>
      </c>
      <c r="F136" s="268" t="s">
        <v>402</v>
      </c>
      <c r="G136" s="269">
        <v>168</v>
      </c>
      <c r="H136" s="269">
        <f t="shared" si="59"/>
        <v>157.06455189599998</v>
      </c>
      <c r="I136" s="269">
        <f t="shared" si="60"/>
        <v>942.38731137599984</v>
      </c>
      <c r="J136" s="267">
        <v>0</v>
      </c>
      <c r="K136" s="267"/>
      <c r="L136" s="270">
        <v>0</v>
      </c>
      <c r="M136" s="270">
        <f>I136+L136</f>
        <v>942.38731137599984</v>
      </c>
      <c r="N136" s="268"/>
      <c r="O136" s="1163">
        <v>0.93490804699999996</v>
      </c>
    </row>
    <row r="137" spans="1:15" ht="18.95" customHeight="1">
      <c r="A137" s="340"/>
      <c r="B137" s="136"/>
      <c r="C137" s="510" t="s">
        <v>1269</v>
      </c>
      <c r="D137" s="511"/>
      <c r="E137" s="513">
        <v>21</v>
      </c>
      <c r="F137" s="268" t="s">
        <v>402</v>
      </c>
      <c r="G137" s="269">
        <v>168</v>
      </c>
      <c r="H137" s="269">
        <f t="shared" si="59"/>
        <v>157.06455189599998</v>
      </c>
      <c r="I137" s="269">
        <f t="shared" si="60"/>
        <v>3298.3555898159998</v>
      </c>
      <c r="J137" s="267">
        <v>0</v>
      </c>
      <c r="K137" s="267"/>
      <c r="L137" s="270">
        <v>0</v>
      </c>
      <c r="M137" s="270">
        <f>I137+L137</f>
        <v>3298.3555898159998</v>
      </c>
      <c r="N137" s="268"/>
      <c r="O137" s="1163">
        <v>0.93490804699999996</v>
      </c>
    </row>
    <row r="138" spans="1:15" ht="18.95" customHeight="1">
      <c r="A138" s="340"/>
      <c r="B138" s="136" t="s">
        <v>1281</v>
      </c>
      <c r="C138" s="510" t="s">
        <v>1282</v>
      </c>
      <c r="D138" s="511"/>
      <c r="E138" s="513"/>
      <c r="F138" s="268"/>
      <c r="G138" s="269"/>
      <c r="H138" s="269"/>
      <c r="I138" s="269"/>
      <c r="J138" s="267"/>
      <c r="K138" s="267"/>
      <c r="L138" s="270"/>
      <c r="M138" s="270"/>
      <c r="N138" s="268"/>
      <c r="O138" s="1163">
        <v>0.93490804699999996</v>
      </c>
    </row>
    <row r="139" spans="1:15" ht="18.95" customHeight="1">
      <c r="A139" s="340"/>
      <c r="B139" s="136"/>
      <c r="C139" s="510" t="s">
        <v>1264</v>
      </c>
      <c r="D139" s="511"/>
      <c r="E139" s="513">
        <v>1</v>
      </c>
      <c r="F139" s="268" t="s">
        <v>402</v>
      </c>
      <c r="G139" s="267">
        <v>16088</v>
      </c>
      <c r="H139" s="269">
        <f t="shared" ref="H139:H141" si="63">G139*O139</f>
        <v>15040.800660135999</v>
      </c>
      <c r="I139" s="269">
        <f t="shared" ref="I139:I141" si="64">E139*H139</f>
        <v>15040.800660135999</v>
      </c>
      <c r="J139" s="267">
        <v>500</v>
      </c>
      <c r="K139" s="267">
        <f t="shared" ref="K139" si="65">J139*O139</f>
        <v>467.45402350000001</v>
      </c>
      <c r="L139" s="270">
        <f t="shared" ref="L139" si="66">E139*K139</f>
        <v>467.45402350000001</v>
      </c>
      <c r="M139" s="270">
        <f>I139+L139</f>
        <v>15508.254683636</v>
      </c>
      <c r="N139" s="268"/>
      <c r="O139" s="1163">
        <v>0.93490804699999996</v>
      </c>
    </row>
    <row r="140" spans="1:15" ht="18.95" customHeight="1">
      <c r="A140" s="340"/>
      <c r="B140" s="136"/>
      <c r="C140" s="510" t="s">
        <v>1268</v>
      </c>
      <c r="D140" s="511"/>
      <c r="E140" s="513">
        <v>7</v>
      </c>
      <c r="F140" s="268" t="s">
        <v>402</v>
      </c>
      <c r="G140" s="269">
        <v>168</v>
      </c>
      <c r="H140" s="269">
        <f t="shared" si="63"/>
        <v>157.06455189599998</v>
      </c>
      <c r="I140" s="269">
        <f t="shared" si="64"/>
        <v>1099.4518632719999</v>
      </c>
      <c r="J140" s="267">
        <v>0</v>
      </c>
      <c r="K140" s="267"/>
      <c r="L140" s="270">
        <v>0</v>
      </c>
      <c r="M140" s="270">
        <f>I140+L140</f>
        <v>1099.4518632719999</v>
      </c>
      <c r="N140" s="268"/>
      <c r="O140" s="1163">
        <v>0.93490804699999996</v>
      </c>
    </row>
    <row r="141" spans="1:15" ht="18.95" customHeight="1">
      <c r="A141" s="340"/>
      <c r="B141" s="136"/>
      <c r="C141" s="510" t="s">
        <v>1269</v>
      </c>
      <c r="D141" s="511"/>
      <c r="E141" s="513">
        <v>20</v>
      </c>
      <c r="F141" s="268" t="s">
        <v>402</v>
      </c>
      <c r="G141" s="269">
        <v>168</v>
      </c>
      <c r="H141" s="269">
        <f t="shared" si="63"/>
        <v>157.06455189599998</v>
      </c>
      <c r="I141" s="269">
        <f t="shared" si="64"/>
        <v>3141.2910379199998</v>
      </c>
      <c r="J141" s="267">
        <v>0</v>
      </c>
      <c r="K141" s="267"/>
      <c r="L141" s="270">
        <v>0</v>
      </c>
      <c r="M141" s="270">
        <f>I141+L141</f>
        <v>3141.2910379199998</v>
      </c>
      <c r="N141" s="268"/>
      <c r="O141" s="1163">
        <v>0.93490804699999996</v>
      </c>
    </row>
    <row r="142" spans="1:15" ht="18.95" customHeight="1">
      <c r="A142" s="340"/>
      <c r="B142" s="136" t="s">
        <v>1283</v>
      </c>
      <c r="C142" s="510" t="s">
        <v>1284</v>
      </c>
      <c r="D142" s="511"/>
      <c r="E142" s="513"/>
      <c r="F142" s="268"/>
      <c r="G142" s="269"/>
      <c r="H142" s="269"/>
      <c r="I142" s="269"/>
      <c r="J142" s="267"/>
      <c r="K142" s="267"/>
      <c r="L142" s="270"/>
      <c r="M142" s="270"/>
      <c r="N142" s="268"/>
      <c r="O142" s="1163">
        <v>0.93490804699999996</v>
      </c>
    </row>
    <row r="143" spans="1:15" ht="18.95" customHeight="1">
      <c r="A143" s="340"/>
      <c r="B143" s="136"/>
      <c r="C143" s="510" t="s">
        <v>1264</v>
      </c>
      <c r="D143" s="511"/>
      <c r="E143" s="513">
        <v>1</v>
      </c>
      <c r="F143" s="268" t="s">
        <v>402</v>
      </c>
      <c r="G143" s="267">
        <v>16088</v>
      </c>
      <c r="H143" s="269">
        <f t="shared" ref="H143:H145" si="67">G143*O143</f>
        <v>15040.800660135999</v>
      </c>
      <c r="I143" s="269">
        <f t="shared" ref="I143:I145" si="68">E143*H143</f>
        <v>15040.800660135999</v>
      </c>
      <c r="J143" s="267">
        <v>500</v>
      </c>
      <c r="K143" s="267">
        <f t="shared" ref="K143" si="69">J143*O143</f>
        <v>467.45402350000001</v>
      </c>
      <c r="L143" s="270">
        <f t="shared" ref="L143" si="70">E143*K143</f>
        <v>467.45402350000001</v>
      </c>
      <c r="M143" s="270">
        <f>I143+L143</f>
        <v>15508.254683636</v>
      </c>
      <c r="N143" s="268"/>
      <c r="O143" s="1163">
        <v>0.93490804699999996</v>
      </c>
    </row>
    <row r="144" spans="1:15" ht="18.95" customHeight="1">
      <c r="A144" s="340"/>
      <c r="B144" s="136"/>
      <c r="C144" s="510" t="s">
        <v>1268</v>
      </c>
      <c r="D144" s="511"/>
      <c r="E144" s="513">
        <v>6</v>
      </c>
      <c r="F144" s="268" t="s">
        <v>402</v>
      </c>
      <c r="G144" s="269">
        <v>168</v>
      </c>
      <c r="H144" s="269">
        <f t="shared" si="67"/>
        <v>157.06455189599998</v>
      </c>
      <c r="I144" s="269">
        <f t="shared" si="68"/>
        <v>942.38731137599984</v>
      </c>
      <c r="J144" s="267">
        <v>0</v>
      </c>
      <c r="K144" s="267"/>
      <c r="L144" s="270">
        <v>0</v>
      </c>
      <c r="M144" s="270">
        <f>I144+L144</f>
        <v>942.38731137599984</v>
      </c>
      <c r="N144" s="268"/>
      <c r="O144" s="1163">
        <v>0.93490804699999996</v>
      </c>
    </row>
    <row r="145" spans="1:15" ht="18.95" customHeight="1">
      <c r="A145" s="340"/>
      <c r="B145" s="136"/>
      <c r="C145" s="510" t="s">
        <v>1269</v>
      </c>
      <c r="D145" s="511"/>
      <c r="E145" s="513">
        <v>18</v>
      </c>
      <c r="F145" s="268" t="s">
        <v>402</v>
      </c>
      <c r="G145" s="269">
        <v>168</v>
      </c>
      <c r="H145" s="269">
        <f t="shared" si="67"/>
        <v>157.06455189599998</v>
      </c>
      <c r="I145" s="269">
        <f t="shared" si="68"/>
        <v>2827.1619341279998</v>
      </c>
      <c r="J145" s="267">
        <v>0</v>
      </c>
      <c r="K145" s="267"/>
      <c r="L145" s="270">
        <v>0</v>
      </c>
      <c r="M145" s="270">
        <f>I145+L145</f>
        <v>2827.1619341279998</v>
      </c>
      <c r="N145" s="268"/>
      <c r="O145" s="1163">
        <v>0.93490804699999996</v>
      </c>
    </row>
    <row r="146" spans="1:15" ht="18.95" customHeight="1">
      <c r="A146" s="340"/>
      <c r="B146" s="136" t="s">
        <v>1285</v>
      </c>
      <c r="C146" s="510" t="s">
        <v>1286</v>
      </c>
      <c r="D146" s="511"/>
      <c r="E146" s="513"/>
      <c r="F146" s="268"/>
      <c r="G146" s="269"/>
      <c r="H146" s="269"/>
      <c r="I146" s="269"/>
      <c r="J146" s="267"/>
      <c r="K146" s="267"/>
      <c r="L146" s="270"/>
      <c r="M146" s="270"/>
      <c r="N146" s="268"/>
      <c r="O146" s="1163">
        <v>0.93490804699999996</v>
      </c>
    </row>
    <row r="147" spans="1:15" ht="18.95" customHeight="1">
      <c r="A147" s="340"/>
      <c r="B147" s="136"/>
      <c r="C147" s="510" t="s">
        <v>1264</v>
      </c>
      <c r="D147" s="511"/>
      <c r="E147" s="513">
        <v>1</v>
      </c>
      <c r="F147" s="268" t="s">
        <v>402</v>
      </c>
      <c r="G147" s="267">
        <v>16088</v>
      </c>
      <c r="H147" s="269">
        <f t="shared" ref="H147:H149" si="71">G147*O147</f>
        <v>15040.800660135999</v>
      </c>
      <c r="I147" s="269">
        <f t="shared" ref="I147:I149" si="72">E147*H147</f>
        <v>15040.800660135999</v>
      </c>
      <c r="J147" s="267">
        <v>500</v>
      </c>
      <c r="K147" s="267">
        <f t="shared" ref="K147" si="73">J147*O147</f>
        <v>467.45402350000001</v>
      </c>
      <c r="L147" s="270">
        <f t="shared" ref="L147" si="74">E147*K147</f>
        <v>467.45402350000001</v>
      </c>
      <c r="M147" s="270">
        <f>I147+L147</f>
        <v>15508.254683636</v>
      </c>
      <c r="N147" s="268"/>
      <c r="O147" s="1163">
        <v>0.93490804699999996</v>
      </c>
    </row>
    <row r="148" spans="1:15" ht="18.95" customHeight="1">
      <c r="A148" s="340"/>
      <c r="B148" s="136"/>
      <c r="C148" s="510" t="s">
        <v>1268</v>
      </c>
      <c r="D148" s="511"/>
      <c r="E148" s="513">
        <v>7</v>
      </c>
      <c r="F148" s="268" t="s">
        <v>402</v>
      </c>
      <c r="G148" s="269">
        <v>168</v>
      </c>
      <c r="H148" s="269">
        <f t="shared" si="71"/>
        <v>157.06455189599998</v>
      </c>
      <c r="I148" s="269">
        <f t="shared" si="72"/>
        <v>1099.4518632719999</v>
      </c>
      <c r="J148" s="267">
        <v>0</v>
      </c>
      <c r="K148" s="267"/>
      <c r="L148" s="270">
        <v>0</v>
      </c>
      <c r="M148" s="270">
        <f>I148+L148</f>
        <v>1099.4518632719999</v>
      </c>
      <c r="N148" s="268"/>
      <c r="O148" s="1163">
        <v>0.93490804699999996</v>
      </c>
    </row>
    <row r="149" spans="1:15" ht="18.95" customHeight="1">
      <c r="A149" s="340"/>
      <c r="B149" s="136"/>
      <c r="C149" s="510" t="s">
        <v>1269</v>
      </c>
      <c r="D149" s="511"/>
      <c r="E149" s="513">
        <v>23</v>
      </c>
      <c r="F149" s="268" t="s">
        <v>402</v>
      </c>
      <c r="G149" s="269">
        <v>168</v>
      </c>
      <c r="H149" s="269">
        <f t="shared" si="71"/>
        <v>157.06455189599998</v>
      </c>
      <c r="I149" s="269">
        <f t="shared" si="72"/>
        <v>3612.4846936079998</v>
      </c>
      <c r="J149" s="267">
        <v>0</v>
      </c>
      <c r="K149" s="267"/>
      <c r="L149" s="270">
        <v>0</v>
      </c>
      <c r="M149" s="270">
        <f>I149+L149</f>
        <v>3612.4846936079998</v>
      </c>
      <c r="N149" s="268"/>
      <c r="O149" s="1163">
        <v>0.93490804699999996</v>
      </c>
    </row>
    <row r="150" spans="1:15" ht="18.95" customHeight="1">
      <c r="A150" s="340"/>
      <c r="B150" s="136" t="s">
        <v>1287</v>
      </c>
      <c r="C150" s="510" t="s">
        <v>1288</v>
      </c>
      <c r="D150" s="511"/>
      <c r="E150" s="513"/>
      <c r="F150" s="268"/>
      <c r="G150" s="269"/>
      <c r="H150" s="269"/>
      <c r="I150" s="269"/>
      <c r="J150" s="267"/>
      <c r="K150" s="267"/>
      <c r="L150" s="270"/>
      <c r="M150" s="270"/>
      <c r="N150" s="268"/>
      <c r="O150" s="1163">
        <v>0.93490804699999996</v>
      </c>
    </row>
    <row r="151" spans="1:15" ht="18.95" customHeight="1">
      <c r="A151" s="340"/>
      <c r="B151" s="136"/>
      <c r="C151" s="510" t="s">
        <v>1264</v>
      </c>
      <c r="D151" s="511"/>
      <c r="E151" s="513">
        <v>1</v>
      </c>
      <c r="F151" s="268" t="s">
        <v>402</v>
      </c>
      <c r="G151" s="267">
        <v>16088</v>
      </c>
      <c r="H151" s="269">
        <f t="shared" ref="H151:H152" si="75">G151*O151</f>
        <v>15040.800660135999</v>
      </c>
      <c r="I151" s="269">
        <f t="shared" ref="I151:I152" si="76">E151*H151</f>
        <v>15040.800660135999</v>
      </c>
      <c r="J151" s="267">
        <v>500</v>
      </c>
      <c r="K151" s="267">
        <f t="shared" ref="K151" si="77">J151*O151</f>
        <v>467.45402350000001</v>
      </c>
      <c r="L151" s="270">
        <f t="shared" ref="L151" si="78">E151*K151</f>
        <v>467.45402350000001</v>
      </c>
      <c r="M151" s="270">
        <f>I151+L151</f>
        <v>15508.254683636</v>
      </c>
      <c r="N151" s="268"/>
      <c r="O151" s="1163">
        <v>0.93490804699999996</v>
      </c>
    </row>
    <row r="152" spans="1:15" ht="18.95" customHeight="1">
      <c r="A152" s="340"/>
      <c r="B152" s="136"/>
      <c r="C152" s="510" t="s">
        <v>1268</v>
      </c>
      <c r="D152" s="511"/>
      <c r="E152" s="513">
        <v>6</v>
      </c>
      <c r="F152" s="268" t="s">
        <v>402</v>
      </c>
      <c r="G152" s="269">
        <v>168</v>
      </c>
      <c r="H152" s="269">
        <f t="shared" si="75"/>
        <v>157.06455189599998</v>
      </c>
      <c r="I152" s="269">
        <f t="shared" si="76"/>
        <v>942.38731137599984</v>
      </c>
      <c r="J152" s="267">
        <v>0</v>
      </c>
      <c r="K152" s="267"/>
      <c r="L152" s="270">
        <v>0</v>
      </c>
      <c r="M152" s="270">
        <f>I152+L152</f>
        <v>942.38731137599984</v>
      </c>
      <c r="N152" s="268"/>
      <c r="O152" s="1163">
        <v>0.93490804699999996</v>
      </c>
    </row>
    <row r="153" spans="1:15" ht="18.95" customHeight="1">
      <c r="A153" s="340"/>
      <c r="B153" s="136" t="s">
        <v>1289</v>
      </c>
      <c r="C153" s="510" t="s">
        <v>1290</v>
      </c>
      <c r="D153" s="511"/>
      <c r="E153" s="513"/>
      <c r="F153" s="268"/>
      <c r="G153" s="269"/>
      <c r="H153" s="269"/>
      <c r="I153" s="269"/>
      <c r="J153" s="267"/>
      <c r="K153" s="267"/>
      <c r="L153" s="270"/>
      <c r="M153" s="270"/>
      <c r="N153" s="268"/>
      <c r="O153" s="1163">
        <v>0.93490804699999996</v>
      </c>
    </row>
    <row r="154" spans="1:15" ht="18.95" customHeight="1">
      <c r="A154" s="340"/>
      <c r="B154" s="136"/>
      <c r="C154" s="510" t="s">
        <v>1264</v>
      </c>
      <c r="D154" s="511"/>
      <c r="E154" s="513">
        <v>1</v>
      </c>
      <c r="F154" s="268" t="s">
        <v>402</v>
      </c>
      <c r="G154" s="267">
        <v>16088</v>
      </c>
      <c r="H154" s="269">
        <f t="shared" ref="H154:H155" si="79">G154*O154</f>
        <v>15040.800660135999</v>
      </c>
      <c r="I154" s="269">
        <f t="shared" ref="I154:I155" si="80">E154*H154</f>
        <v>15040.800660135999</v>
      </c>
      <c r="J154" s="267">
        <v>500</v>
      </c>
      <c r="K154" s="267">
        <f t="shared" ref="K154" si="81">J154*O154</f>
        <v>467.45402350000001</v>
      </c>
      <c r="L154" s="270">
        <f t="shared" ref="L154" si="82">E154*K154</f>
        <v>467.45402350000001</v>
      </c>
      <c r="M154" s="270">
        <f>I154+L154</f>
        <v>15508.254683636</v>
      </c>
      <c r="N154" s="268"/>
      <c r="O154" s="1163">
        <v>0.93490804699999996</v>
      </c>
    </row>
    <row r="155" spans="1:15" ht="18.95" customHeight="1">
      <c r="A155" s="340"/>
      <c r="B155" s="136"/>
      <c r="C155" s="510" t="s">
        <v>1268</v>
      </c>
      <c r="D155" s="511"/>
      <c r="E155" s="513">
        <v>3</v>
      </c>
      <c r="F155" s="268" t="s">
        <v>402</v>
      </c>
      <c r="G155" s="269">
        <v>168</v>
      </c>
      <c r="H155" s="269">
        <f t="shared" si="79"/>
        <v>157.06455189599998</v>
      </c>
      <c r="I155" s="269">
        <f t="shared" si="80"/>
        <v>471.19365568799992</v>
      </c>
      <c r="J155" s="267">
        <v>0</v>
      </c>
      <c r="K155" s="267"/>
      <c r="L155" s="270">
        <v>0</v>
      </c>
      <c r="M155" s="270">
        <f>I155+L155</f>
        <v>471.19365568799992</v>
      </c>
      <c r="N155" s="268"/>
      <c r="O155" s="1163">
        <v>0.93490804699999996</v>
      </c>
    </row>
    <row r="156" spans="1:15" ht="18.95" customHeight="1">
      <c r="A156" s="340"/>
      <c r="B156" s="136" t="s">
        <v>1291</v>
      </c>
      <c r="C156" s="510" t="s">
        <v>1292</v>
      </c>
      <c r="D156" s="511"/>
      <c r="E156" s="513"/>
      <c r="F156" s="268"/>
      <c r="G156" s="269"/>
      <c r="H156" s="269"/>
      <c r="I156" s="269"/>
      <c r="J156" s="267"/>
      <c r="K156" s="267"/>
      <c r="L156" s="270" t="s">
        <v>1293</v>
      </c>
      <c r="M156" s="270"/>
      <c r="N156" s="268"/>
      <c r="O156" s="1163">
        <v>0.93490804699999996</v>
      </c>
    </row>
    <row r="157" spans="1:15" ht="18.95" customHeight="1">
      <c r="A157" s="340"/>
      <c r="B157" s="136"/>
      <c r="C157" s="510" t="s">
        <v>1264</v>
      </c>
      <c r="D157" s="511"/>
      <c r="E157" s="513">
        <v>1</v>
      </c>
      <c r="F157" s="268" t="s">
        <v>402</v>
      </c>
      <c r="G157" s="267">
        <v>16088</v>
      </c>
      <c r="H157" s="269">
        <f t="shared" ref="H157:H158" si="83">G157*O157</f>
        <v>15040.800660135999</v>
      </c>
      <c r="I157" s="269">
        <f t="shared" ref="I157:I158" si="84">E157*H157</f>
        <v>15040.800660135999</v>
      </c>
      <c r="J157" s="267">
        <v>500</v>
      </c>
      <c r="K157" s="267">
        <f t="shared" ref="K157" si="85">J157*O157</f>
        <v>467.45402350000001</v>
      </c>
      <c r="L157" s="270">
        <f t="shared" ref="L157" si="86">E157*K157</f>
        <v>467.45402350000001</v>
      </c>
      <c r="M157" s="270">
        <f>I157+L157</f>
        <v>15508.254683636</v>
      </c>
      <c r="N157" s="268"/>
      <c r="O157" s="1163">
        <v>0.93490804699999996</v>
      </c>
    </row>
    <row r="158" spans="1:15" ht="18.95" customHeight="1">
      <c r="A158" s="340"/>
      <c r="B158" s="136"/>
      <c r="C158" s="510" t="s">
        <v>1268</v>
      </c>
      <c r="D158" s="511"/>
      <c r="E158" s="513">
        <v>3</v>
      </c>
      <c r="F158" s="268" t="s">
        <v>402</v>
      </c>
      <c r="G158" s="269">
        <v>168</v>
      </c>
      <c r="H158" s="269">
        <f t="shared" si="83"/>
        <v>157.06455189599998</v>
      </c>
      <c r="I158" s="269">
        <f t="shared" si="84"/>
        <v>471.19365568799992</v>
      </c>
      <c r="J158" s="267">
        <v>0</v>
      </c>
      <c r="K158" s="267"/>
      <c r="L158" s="270">
        <v>0</v>
      </c>
      <c r="M158" s="270">
        <f>I158+L158</f>
        <v>471.19365568799992</v>
      </c>
      <c r="N158" s="268"/>
      <c r="O158" s="1163">
        <v>0.93490804699999996</v>
      </c>
    </row>
    <row r="159" spans="1:15" ht="18.95" customHeight="1">
      <c r="A159" s="523"/>
      <c r="B159" s="136"/>
      <c r="C159" s="510" t="s">
        <v>1294</v>
      </c>
      <c r="D159" s="511"/>
      <c r="E159" s="513">
        <v>1</v>
      </c>
      <c r="F159" s="268" t="s">
        <v>402</v>
      </c>
      <c r="G159" s="269">
        <v>393</v>
      </c>
      <c r="H159" s="269">
        <f t="shared" ref="H159" si="87">G159*O159</f>
        <v>367.41886247100001</v>
      </c>
      <c r="I159" s="269">
        <f t="shared" ref="I159" si="88">E159*H159</f>
        <v>367.41886247100001</v>
      </c>
      <c r="J159" s="267">
        <v>0</v>
      </c>
      <c r="K159" s="267"/>
      <c r="L159" s="270">
        <v>0</v>
      </c>
      <c r="M159" s="270">
        <f>I159+L159</f>
        <v>367.41886247100001</v>
      </c>
      <c r="N159" s="268"/>
      <c r="O159" s="1163">
        <v>0.93490804699999996</v>
      </c>
    </row>
    <row r="160" spans="1:15" ht="18.95" customHeight="1">
      <c r="A160" s="515"/>
      <c r="B160" s="1345" t="s">
        <v>1295</v>
      </c>
      <c r="C160" s="1346"/>
      <c r="D160" s="1356"/>
      <c r="E160" s="281"/>
      <c r="F160" s="281"/>
      <c r="G160" s="271"/>
      <c r="H160" s="271"/>
      <c r="I160" s="271">
        <f>SUM(I64:I159)</f>
        <v>1760544.9763746865</v>
      </c>
      <c r="J160" s="271"/>
      <c r="K160" s="271"/>
      <c r="L160" s="271">
        <f>SUM(L64:L159)</f>
        <v>48147.764420500018</v>
      </c>
      <c r="M160" s="271">
        <f>SUM(M64:M159)</f>
        <v>1808692.7407951863</v>
      </c>
      <c r="N160" s="281"/>
      <c r="O160" s="1163">
        <v>0.93490804699999996</v>
      </c>
    </row>
    <row r="161" spans="1:16" ht="18.95" customHeight="1">
      <c r="A161" s="515"/>
      <c r="B161" s="422"/>
      <c r="C161" s="451"/>
      <c r="D161" s="516"/>
      <c r="E161" s="271"/>
      <c r="F161" s="281"/>
      <c r="G161" s="271"/>
      <c r="H161" s="271"/>
      <c r="I161" s="271"/>
      <c r="J161" s="271"/>
      <c r="K161" s="271"/>
      <c r="L161" s="271"/>
      <c r="M161" s="271"/>
      <c r="N161" s="281"/>
      <c r="O161" s="1163">
        <v>0.93490804699999996</v>
      </c>
    </row>
    <row r="162" spans="1:16" ht="18.95" customHeight="1">
      <c r="A162" s="336">
        <v>6</v>
      </c>
      <c r="B162" s="519" t="s">
        <v>1184</v>
      </c>
      <c r="C162" s="508"/>
      <c r="D162" s="509"/>
      <c r="E162" s="271"/>
      <c r="F162" s="281"/>
      <c r="G162" s="271"/>
      <c r="H162" s="271"/>
      <c r="I162" s="271"/>
      <c r="J162" s="339"/>
      <c r="K162" s="339"/>
      <c r="L162" s="271"/>
      <c r="M162" s="281"/>
      <c r="N162" s="281"/>
      <c r="O162" s="1163">
        <v>0.93490804699999996</v>
      </c>
    </row>
    <row r="163" spans="1:16" ht="18.95" customHeight="1">
      <c r="A163" s="224"/>
      <c r="B163" s="198">
        <v>6.1</v>
      </c>
      <c r="C163" s="524" t="s">
        <v>1296</v>
      </c>
      <c r="D163" s="525"/>
      <c r="E163" s="267"/>
      <c r="F163" s="268"/>
      <c r="G163" s="267"/>
      <c r="H163" s="267"/>
      <c r="I163" s="267"/>
      <c r="J163" s="267"/>
      <c r="K163" s="267"/>
      <c r="L163" s="269"/>
      <c r="M163" s="267"/>
      <c r="N163" s="268"/>
      <c r="O163" s="1163">
        <v>0.93490804699999996</v>
      </c>
    </row>
    <row r="164" spans="1:16" ht="18.95" customHeight="1">
      <c r="A164" s="224"/>
      <c r="B164" s="198" t="s">
        <v>1297</v>
      </c>
      <c r="C164" s="524" t="s">
        <v>1298</v>
      </c>
      <c r="D164" s="525"/>
      <c r="E164" s="267"/>
      <c r="F164" s="268"/>
      <c r="G164" s="267"/>
      <c r="H164" s="267"/>
      <c r="I164" s="267"/>
      <c r="J164" s="267"/>
      <c r="K164" s="267"/>
      <c r="L164" s="269"/>
      <c r="M164" s="267"/>
      <c r="N164" s="268"/>
      <c r="O164" s="1163">
        <v>0.93490804699999996</v>
      </c>
    </row>
    <row r="165" spans="1:16" ht="18.95" customHeight="1">
      <c r="A165" s="224"/>
      <c r="B165" s="963"/>
      <c r="C165" s="965" t="s">
        <v>1299</v>
      </c>
      <c r="D165" s="964"/>
      <c r="E165" s="267">
        <v>23000</v>
      </c>
      <c r="F165" s="356" t="s">
        <v>1079</v>
      </c>
      <c r="G165" s="269">
        <f>ROUND(900.6/100,2)</f>
        <v>9.01</v>
      </c>
      <c r="H165" s="269">
        <f t="shared" ref="H165:H167" si="89">G165*O165</f>
        <v>8.4235215034699991</v>
      </c>
      <c r="I165" s="269">
        <f t="shared" ref="I165:I167" si="90">E165*H165</f>
        <v>193740.99457980998</v>
      </c>
      <c r="J165" s="267">
        <v>7</v>
      </c>
      <c r="K165" s="267">
        <f t="shared" ref="K165" si="91">J165*O165</f>
        <v>6.5443563289999993</v>
      </c>
      <c r="L165" s="270">
        <f t="shared" ref="L165" si="92">E165*K165</f>
        <v>150520.19556699999</v>
      </c>
      <c r="M165" s="270">
        <f t="shared" ref="M165:M173" si="93">I165+L165</f>
        <v>344261.19014680997</v>
      </c>
      <c r="N165" s="268"/>
      <c r="O165" s="1163">
        <v>0.93490804699999996</v>
      </c>
      <c r="P165" s="293" t="s">
        <v>1300</v>
      </c>
    </row>
    <row r="166" spans="1:16" ht="18.95" customHeight="1">
      <c r="A166" s="224"/>
      <c r="B166" s="963"/>
      <c r="C166" s="965" t="s">
        <v>1301</v>
      </c>
      <c r="D166" s="964"/>
      <c r="E166" s="267">
        <v>43596</v>
      </c>
      <c r="F166" s="356" t="s">
        <v>1079</v>
      </c>
      <c r="G166" s="269">
        <f>ROUND(1358.8/100,2)</f>
        <v>13.59</v>
      </c>
      <c r="H166" s="269">
        <f t="shared" si="89"/>
        <v>12.70540035873</v>
      </c>
      <c r="I166" s="269">
        <f t="shared" si="90"/>
        <v>553904.63403919304</v>
      </c>
      <c r="J166" s="267">
        <v>10</v>
      </c>
      <c r="K166" s="267">
        <f t="shared" ref="K166:K173" si="94">J166*O166</f>
        <v>9.3490804700000005</v>
      </c>
      <c r="L166" s="270">
        <f t="shared" ref="L166:L173" si="95">E166*K166</f>
        <v>407582.51217012003</v>
      </c>
      <c r="M166" s="270">
        <f t="shared" si="93"/>
        <v>961487.14620931307</v>
      </c>
      <c r="N166" s="268"/>
      <c r="O166" s="1163">
        <v>0.93490804699999996</v>
      </c>
      <c r="P166" s="293" t="s">
        <v>1300</v>
      </c>
    </row>
    <row r="167" spans="1:16" ht="18.95" customHeight="1">
      <c r="A167" s="224"/>
      <c r="B167" s="963"/>
      <c r="C167" s="965" t="s">
        <v>1302</v>
      </c>
      <c r="D167" s="964"/>
      <c r="E167" s="267">
        <v>500</v>
      </c>
      <c r="F167" s="356" t="s">
        <v>1079</v>
      </c>
      <c r="G167" s="269">
        <f>ROUND(2235.7/100,2)</f>
        <v>22.36</v>
      </c>
      <c r="H167" s="269">
        <f t="shared" si="89"/>
        <v>20.904543930919999</v>
      </c>
      <c r="I167" s="269">
        <f t="shared" si="90"/>
        <v>10452.271965460001</v>
      </c>
      <c r="J167" s="267">
        <v>12</v>
      </c>
      <c r="K167" s="267">
        <f t="shared" si="94"/>
        <v>11.218896564</v>
      </c>
      <c r="L167" s="270">
        <f t="shared" si="95"/>
        <v>5609.4482819999994</v>
      </c>
      <c r="M167" s="270">
        <f t="shared" si="93"/>
        <v>16061.72024746</v>
      </c>
      <c r="N167" s="268"/>
      <c r="O167" s="1163">
        <v>0.93490804699999996</v>
      </c>
      <c r="P167" s="293" t="s">
        <v>1300</v>
      </c>
    </row>
    <row r="168" spans="1:16" ht="18.95" customHeight="1">
      <c r="A168" s="224"/>
      <c r="B168" s="963"/>
      <c r="C168" s="965" t="s">
        <v>1303</v>
      </c>
      <c r="D168" s="964"/>
      <c r="E168" s="267">
        <v>144</v>
      </c>
      <c r="F168" s="356" t="s">
        <v>1079</v>
      </c>
      <c r="G168" s="269">
        <f>ROUND(3894.7/100,2)</f>
        <v>38.950000000000003</v>
      </c>
      <c r="H168" s="269">
        <f t="shared" ref="H168:H173" si="96">G168*O168</f>
        <v>36.414668430650003</v>
      </c>
      <c r="I168" s="269">
        <f t="shared" ref="I168:I173" si="97">E168*H168</f>
        <v>5243.7122540136006</v>
      </c>
      <c r="J168" s="267">
        <v>16</v>
      </c>
      <c r="K168" s="267">
        <f t="shared" si="94"/>
        <v>14.958528751999999</v>
      </c>
      <c r="L168" s="270">
        <f t="shared" si="95"/>
        <v>2154.028140288</v>
      </c>
      <c r="M168" s="270">
        <f t="shared" si="93"/>
        <v>7397.7403943016006</v>
      </c>
      <c r="N168" s="268"/>
      <c r="O168" s="1163">
        <v>0.93490804699999996</v>
      </c>
      <c r="P168" s="293" t="s">
        <v>1300</v>
      </c>
    </row>
    <row r="169" spans="1:16" ht="18.95" customHeight="1">
      <c r="A169" s="224"/>
      <c r="B169" s="963"/>
      <c r="C169" s="965" t="s">
        <v>1304</v>
      </c>
      <c r="D169" s="964"/>
      <c r="E169" s="267">
        <v>87</v>
      </c>
      <c r="F169" s="356" t="s">
        <v>1079</v>
      </c>
      <c r="G169" s="269">
        <f>ROUND(6043.5/100,2)</f>
        <v>60.44</v>
      </c>
      <c r="H169" s="269">
        <f t="shared" si="96"/>
        <v>56.505842360679999</v>
      </c>
      <c r="I169" s="269">
        <f t="shared" si="97"/>
        <v>4916.00828537916</v>
      </c>
      <c r="J169" s="267">
        <v>20</v>
      </c>
      <c r="K169" s="267">
        <f t="shared" si="94"/>
        <v>18.698160940000001</v>
      </c>
      <c r="L169" s="270">
        <f t="shared" si="95"/>
        <v>1626.7400017800001</v>
      </c>
      <c r="M169" s="270">
        <f t="shared" si="93"/>
        <v>6542.7482871591601</v>
      </c>
      <c r="N169" s="268"/>
      <c r="O169" s="1163">
        <v>0.93490804699999996</v>
      </c>
      <c r="P169" s="293" t="s">
        <v>1300</v>
      </c>
    </row>
    <row r="170" spans="1:16" ht="18.95" customHeight="1">
      <c r="A170" s="224"/>
      <c r="B170" s="963"/>
      <c r="C170" s="965" t="s">
        <v>1305</v>
      </c>
      <c r="D170" s="964"/>
      <c r="E170" s="267">
        <v>32</v>
      </c>
      <c r="F170" s="356" t="s">
        <v>1079</v>
      </c>
      <c r="G170" s="269">
        <f>ROUND(9480/100,2)</f>
        <v>94.8</v>
      </c>
      <c r="H170" s="269">
        <f t="shared" si="96"/>
        <v>88.629282855599996</v>
      </c>
      <c r="I170" s="269">
        <f t="shared" si="97"/>
        <v>2836.1370513791999</v>
      </c>
      <c r="J170" s="267">
        <v>25</v>
      </c>
      <c r="K170" s="267">
        <f t="shared" si="94"/>
        <v>23.372701175</v>
      </c>
      <c r="L170" s="270">
        <f t="shared" si="95"/>
        <v>747.92643759999999</v>
      </c>
      <c r="M170" s="270">
        <f t="shared" si="93"/>
        <v>3584.0634889792</v>
      </c>
      <c r="N170" s="268"/>
      <c r="O170" s="1163">
        <v>0.93490804699999996</v>
      </c>
      <c r="P170" s="293" t="s">
        <v>1300</v>
      </c>
    </row>
    <row r="171" spans="1:16" ht="18.95" customHeight="1">
      <c r="A171" s="224"/>
      <c r="B171" s="963"/>
      <c r="C171" s="965" t="s">
        <v>1306</v>
      </c>
      <c r="D171" s="964"/>
      <c r="E171" s="267">
        <v>105</v>
      </c>
      <c r="F171" s="356" t="s">
        <v>1079</v>
      </c>
      <c r="G171" s="269">
        <f>ROUND(12584.7/100,2)</f>
        <v>125.85</v>
      </c>
      <c r="H171" s="269">
        <f t="shared" si="96"/>
        <v>117.65817771494999</v>
      </c>
      <c r="I171" s="269">
        <f t="shared" si="97"/>
        <v>12354.108660069749</v>
      </c>
      <c r="J171" s="267">
        <v>30</v>
      </c>
      <c r="K171" s="267">
        <f t="shared" si="94"/>
        <v>28.047241409999998</v>
      </c>
      <c r="L171" s="270">
        <f t="shared" si="95"/>
        <v>2944.96034805</v>
      </c>
      <c r="M171" s="270">
        <f t="shared" si="93"/>
        <v>15299.06900811975</v>
      </c>
      <c r="N171" s="268"/>
      <c r="O171" s="1163">
        <v>0.93490804699999996</v>
      </c>
      <c r="P171" s="293" t="s">
        <v>1300</v>
      </c>
    </row>
    <row r="172" spans="1:16" ht="18.95" customHeight="1">
      <c r="A172" s="224"/>
      <c r="B172" s="963"/>
      <c r="C172" s="965" t="s">
        <v>1307</v>
      </c>
      <c r="D172" s="964"/>
      <c r="E172" s="267">
        <v>76</v>
      </c>
      <c r="F172" s="356" t="s">
        <v>1079</v>
      </c>
      <c r="G172" s="269">
        <f>ROUND(18106.8/100,2)</f>
        <v>181.07</v>
      </c>
      <c r="H172" s="269">
        <f t="shared" si="96"/>
        <v>169.28380007029</v>
      </c>
      <c r="I172" s="269">
        <f t="shared" si="97"/>
        <v>12865.56880534204</v>
      </c>
      <c r="J172" s="267">
        <v>40</v>
      </c>
      <c r="K172" s="267">
        <f t="shared" si="94"/>
        <v>37.396321880000002</v>
      </c>
      <c r="L172" s="270">
        <f t="shared" si="95"/>
        <v>2842.1204628800001</v>
      </c>
      <c r="M172" s="270">
        <f t="shared" si="93"/>
        <v>15707.68926822204</v>
      </c>
      <c r="N172" s="268"/>
      <c r="O172" s="1163">
        <v>0.93490804699999996</v>
      </c>
      <c r="P172" s="293" t="s">
        <v>1300</v>
      </c>
    </row>
    <row r="173" spans="1:16" ht="18.95" customHeight="1">
      <c r="A173" s="224"/>
      <c r="B173" s="963"/>
      <c r="C173" s="965" t="s">
        <v>1308</v>
      </c>
      <c r="D173" s="964"/>
      <c r="E173" s="267">
        <v>250</v>
      </c>
      <c r="F173" s="356" t="s">
        <v>1079</v>
      </c>
      <c r="G173" s="269">
        <f>ROUND(35668.5/100,2)</f>
        <v>356.69</v>
      </c>
      <c r="H173" s="269">
        <f t="shared" si="96"/>
        <v>333.47235128442998</v>
      </c>
      <c r="I173" s="269">
        <f t="shared" si="97"/>
        <v>83368.087821107489</v>
      </c>
      <c r="J173" s="267">
        <v>55</v>
      </c>
      <c r="K173" s="267">
        <f t="shared" si="94"/>
        <v>51.419942585000001</v>
      </c>
      <c r="L173" s="270">
        <f t="shared" si="95"/>
        <v>12854.985646250001</v>
      </c>
      <c r="M173" s="270">
        <f t="shared" si="93"/>
        <v>96223.073467357492</v>
      </c>
      <c r="N173" s="268"/>
      <c r="O173" s="1163">
        <v>0.93490804699999996</v>
      </c>
      <c r="P173" s="293" t="s">
        <v>1300</v>
      </c>
    </row>
    <row r="174" spans="1:16" ht="18.95" customHeight="1">
      <c r="A174" s="224"/>
      <c r="B174" s="139" t="s">
        <v>1309</v>
      </c>
      <c r="C174" s="524" t="s">
        <v>1310</v>
      </c>
      <c r="D174" s="525"/>
      <c r="E174" s="267"/>
      <c r="F174" s="268"/>
      <c r="G174" s="267"/>
      <c r="H174" s="269"/>
      <c r="I174" s="269"/>
      <c r="J174" s="267"/>
      <c r="K174" s="267"/>
      <c r="L174" s="270"/>
      <c r="M174" s="267"/>
      <c r="N174" s="268"/>
      <c r="O174" s="1163">
        <v>0.93490804699999996</v>
      </c>
    </row>
    <row r="175" spans="1:16" ht="18.95" customHeight="1">
      <c r="A175" s="224"/>
      <c r="B175" s="963"/>
      <c r="C175" s="965" t="s">
        <v>1311</v>
      </c>
      <c r="D175" s="964"/>
      <c r="E175" s="267">
        <v>176</v>
      </c>
      <c r="F175" s="356" t="s">
        <v>1079</v>
      </c>
      <c r="G175" s="269">
        <v>41</v>
      </c>
      <c r="H175" s="269">
        <f t="shared" ref="H175:H184" si="98">G175*O175</f>
        <v>38.331229926999995</v>
      </c>
      <c r="I175" s="269">
        <f t="shared" ref="I175:I184" si="99">E175*H175</f>
        <v>6746.2964671519994</v>
      </c>
      <c r="J175" s="267">
        <v>20</v>
      </c>
      <c r="K175" s="267">
        <f t="shared" ref="K175:K184" si="100">J175*O175</f>
        <v>18.698160940000001</v>
      </c>
      <c r="L175" s="270">
        <f t="shared" ref="L175:L184" si="101">E175*K175</f>
        <v>3290.8763254400001</v>
      </c>
      <c r="M175" s="270">
        <f>I175+L175</f>
        <v>10037.172792591999</v>
      </c>
      <c r="N175" s="268"/>
      <c r="O175" s="1163">
        <v>0.93490804699999996</v>
      </c>
    </row>
    <row r="176" spans="1:16" ht="18.95" customHeight="1">
      <c r="A176" s="224"/>
      <c r="B176" s="963"/>
      <c r="C176" s="965" t="s">
        <v>1312</v>
      </c>
      <c r="D176" s="964"/>
      <c r="E176" s="267">
        <v>231</v>
      </c>
      <c r="F176" s="356" t="s">
        <v>1079</v>
      </c>
      <c r="G176" s="269">
        <v>86</v>
      </c>
      <c r="H176" s="269">
        <f t="shared" si="98"/>
        <v>80.402092041999992</v>
      </c>
      <c r="I176" s="269">
        <f t="shared" si="99"/>
        <v>18572.883261701998</v>
      </c>
      <c r="J176" s="267">
        <v>30</v>
      </c>
      <c r="K176" s="267">
        <f t="shared" si="100"/>
        <v>28.047241409999998</v>
      </c>
      <c r="L176" s="270">
        <f t="shared" si="101"/>
        <v>6478.9127657099998</v>
      </c>
      <c r="M176" s="270">
        <f>I176+L176</f>
        <v>25051.796027411998</v>
      </c>
      <c r="N176" s="268"/>
      <c r="O176" s="1163">
        <v>0.93490804699999996</v>
      </c>
    </row>
    <row r="177" spans="1:16" ht="18.95" customHeight="1">
      <c r="A177" s="224"/>
      <c r="B177" s="963"/>
      <c r="C177" s="965" t="s">
        <v>1313</v>
      </c>
      <c r="D177" s="964"/>
      <c r="E177" s="267">
        <v>125</v>
      </c>
      <c r="F177" s="356" t="s">
        <v>1079</v>
      </c>
      <c r="G177" s="269">
        <v>120</v>
      </c>
      <c r="H177" s="269">
        <f t="shared" si="98"/>
        <v>112.18896563999999</v>
      </c>
      <c r="I177" s="269">
        <f t="shared" si="99"/>
        <v>14023.620704999999</v>
      </c>
      <c r="J177" s="267">
        <v>40</v>
      </c>
      <c r="K177" s="267">
        <f t="shared" si="100"/>
        <v>37.396321880000002</v>
      </c>
      <c r="L177" s="270">
        <f t="shared" si="101"/>
        <v>4674.5402350000004</v>
      </c>
      <c r="M177" s="270">
        <f>I177+L177</f>
        <v>18698.160940000002</v>
      </c>
      <c r="N177" s="268"/>
      <c r="O177" s="1163">
        <v>0.93490804699999996</v>
      </c>
    </row>
    <row r="178" spans="1:16" ht="18.95" customHeight="1">
      <c r="A178" s="224"/>
      <c r="B178" s="963"/>
      <c r="C178" s="965" t="s">
        <v>1314</v>
      </c>
      <c r="D178" s="964"/>
      <c r="E178" s="267">
        <v>766</v>
      </c>
      <c r="F178" s="356" t="s">
        <v>1079</v>
      </c>
      <c r="G178" s="269">
        <v>403</v>
      </c>
      <c r="H178" s="269">
        <f t="shared" si="98"/>
        <v>376.767942941</v>
      </c>
      <c r="I178" s="269">
        <f t="shared" si="99"/>
        <v>288604.24429280602</v>
      </c>
      <c r="J178" s="267">
        <v>65</v>
      </c>
      <c r="K178" s="267">
        <f t="shared" si="100"/>
        <v>60.769023054999998</v>
      </c>
      <c r="L178" s="270">
        <f t="shared" si="101"/>
        <v>46549.071660130001</v>
      </c>
      <c r="M178" s="270">
        <f>I178+L178</f>
        <v>335153.31595293601</v>
      </c>
      <c r="N178" s="268"/>
      <c r="O178" s="1163">
        <v>0.93490804699999996</v>
      </c>
    </row>
    <row r="179" spans="1:16" ht="18.95" customHeight="1">
      <c r="A179" s="224"/>
      <c r="B179" s="963"/>
      <c r="C179" s="965" t="s">
        <v>1315</v>
      </c>
      <c r="D179" s="964"/>
      <c r="E179" s="267">
        <v>502</v>
      </c>
      <c r="F179" s="356" t="s">
        <v>1079</v>
      </c>
      <c r="G179" s="269">
        <v>617</v>
      </c>
      <c r="H179" s="269">
        <f t="shared" si="98"/>
        <v>576.83826499899999</v>
      </c>
      <c r="I179" s="269">
        <f t="shared" si="99"/>
        <v>289572.80902949802</v>
      </c>
      <c r="J179" s="267">
        <v>85</v>
      </c>
      <c r="K179" s="267">
        <f t="shared" si="100"/>
        <v>79.467183994999999</v>
      </c>
      <c r="L179" s="270">
        <f t="shared" si="101"/>
        <v>39892.526365489997</v>
      </c>
      <c r="M179" s="270">
        <f>I179+L179</f>
        <v>329465.33539498801</v>
      </c>
      <c r="N179" s="268"/>
      <c r="O179" s="1163">
        <v>0.93490804699999996</v>
      </c>
    </row>
    <row r="180" spans="1:16" ht="18.95" customHeight="1">
      <c r="A180" s="224"/>
      <c r="B180" s="139" t="s">
        <v>1316</v>
      </c>
      <c r="C180" s="524" t="s">
        <v>1317</v>
      </c>
      <c r="D180" s="525"/>
      <c r="E180" s="267"/>
      <c r="F180" s="268"/>
      <c r="G180" s="267"/>
      <c r="H180" s="269"/>
      <c r="I180" s="269"/>
      <c r="J180" s="267"/>
      <c r="K180" s="267"/>
      <c r="L180" s="270"/>
      <c r="M180" s="267"/>
      <c r="N180" s="268"/>
      <c r="O180" s="1163">
        <v>0.93490804699999996</v>
      </c>
    </row>
    <row r="181" spans="1:16" ht="18.95" customHeight="1">
      <c r="A181" s="224"/>
      <c r="B181" s="139"/>
      <c r="C181" s="512" t="s">
        <v>1318</v>
      </c>
      <c r="D181" s="525"/>
      <c r="E181" s="267"/>
      <c r="F181" s="356" t="s">
        <v>1079</v>
      </c>
      <c r="G181" s="269">
        <v>31</v>
      </c>
      <c r="H181" s="269">
        <f t="shared" si="98"/>
        <v>28.982149456999998</v>
      </c>
      <c r="I181" s="269">
        <f t="shared" si="99"/>
        <v>0</v>
      </c>
      <c r="J181" s="267">
        <v>12</v>
      </c>
      <c r="K181" s="267">
        <f t="shared" si="100"/>
        <v>11.218896564</v>
      </c>
      <c r="L181" s="270">
        <f t="shared" si="101"/>
        <v>0</v>
      </c>
      <c r="M181" s="270">
        <f>I181+L181</f>
        <v>0</v>
      </c>
      <c r="N181" s="268"/>
      <c r="O181" s="1163">
        <v>0.93490804699999996</v>
      </c>
    </row>
    <row r="182" spans="1:16" ht="18.95" customHeight="1">
      <c r="A182" s="224"/>
      <c r="B182" s="139"/>
      <c r="C182" s="512" t="s">
        <v>1319</v>
      </c>
      <c r="D182" s="525"/>
      <c r="E182" s="267">
        <v>47</v>
      </c>
      <c r="F182" s="356" t="s">
        <v>1079</v>
      </c>
      <c r="G182" s="269">
        <v>34</v>
      </c>
      <c r="H182" s="269">
        <f t="shared" si="98"/>
        <v>31.786873598</v>
      </c>
      <c r="I182" s="269">
        <f t="shared" si="99"/>
        <v>1493.9830591059999</v>
      </c>
      <c r="J182" s="267">
        <v>14</v>
      </c>
      <c r="K182" s="267">
        <f t="shared" si="100"/>
        <v>13.088712657999999</v>
      </c>
      <c r="L182" s="270">
        <f t="shared" si="101"/>
        <v>615.16949492599997</v>
      </c>
      <c r="M182" s="270">
        <f>I182+L182</f>
        <v>2109.1525540319999</v>
      </c>
      <c r="N182" s="268"/>
      <c r="O182" s="1163">
        <v>0.93490804699999996</v>
      </c>
    </row>
    <row r="183" spans="1:16" ht="18.95" customHeight="1">
      <c r="A183" s="224"/>
      <c r="B183" s="139"/>
      <c r="C183" s="512" t="s">
        <v>1320</v>
      </c>
      <c r="D183" s="525"/>
      <c r="E183" s="267">
        <v>188</v>
      </c>
      <c r="F183" s="356" t="s">
        <v>1079</v>
      </c>
      <c r="G183" s="269">
        <v>104</v>
      </c>
      <c r="H183" s="269">
        <f t="shared" si="98"/>
        <v>97.230436888</v>
      </c>
      <c r="I183" s="269">
        <f t="shared" si="99"/>
        <v>18279.322134943999</v>
      </c>
      <c r="J183" s="267">
        <v>25</v>
      </c>
      <c r="K183" s="267">
        <f t="shared" si="100"/>
        <v>23.372701175</v>
      </c>
      <c r="L183" s="270">
        <f t="shared" si="101"/>
        <v>4394.0678208999998</v>
      </c>
      <c r="M183" s="270">
        <f>I183+L183</f>
        <v>22673.389955843999</v>
      </c>
      <c r="N183" s="268"/>
      <c r="O183" s="1163">
        <v>0.93490804699999996</v>
      </c>
    </row>
    <row r="184" spans="1:16" ht="18.95" customHeight="1">
      <c r="A184" s="224"/>
      <c r="B184" s="198">
        <v>6.2</v>
      </c>
      <c r="C184" s="524" t="s">
        <v>162</v>
      </c>
      <c r="D184" s="525"/>
      <c r="E184" s="267">
        <v>1</v>
      </c>
      <c r="F184" s="268" t="s">
        <v>1321</v>
      </c>
      <c r="G184" s="269">
        <v>78972</v>
      </c>
      <c r="H184" s="269">
        <f t="shared" si="98"/>
        <v>73831.558287683991</v>
      </c>
      <c r="I184" s="269">
        <f t="shared" si="99"/>
        <v>73831.558287683991</v>
      </c>
      <c r="J184" s="267">
        <v>23692</v>
      </c>
      <c r="K184" s="267">
        <f t="shared" si="100"/>
        <v>22149.841449523999</v>
      </c>
      <c r="L184" s="270">
        <f t="shared" si="101"/>
        <v>22149.841449523999</v>
      </c>
      <c r="M184" s="270">
        <f>I184+L184</f>
        <v>95981.39973720799</v>
      </c>
      <c r="N184" s="268"/>
      <c r="O184" s="1163">
        <v>0.93490804699999996</v>
      </c>
    </row>
    <row r="185" spans="1:16" ht="18.95" customHeight="1">
      <c r="A185" s="515"/>
      <c r="B185" s="1345" t="s">
        <v>1322</v>
      </c>
      <c r="C185" s="1346"/>
      <c r="D185" s="1356"/>
      <c r="E185" s="271"/>
      <c r="F185" s="281"/>
      <c r="G185" s="271"/>
      <c r="H185" s="271"/>
      <c r="I185" s="271">
        <f>SUM(I163:I184)</f>
        <v>1590806.2406996465</v>
      </c>
      <c r="J185" s="271"/>
      <c r="K185" s="271"/>
      <c r="L185" s="271">
        <f>SUM(L163:L184)</f>
        <v>714927.92317308811</v>
      </c>
      <c r="M185" s="271">
        <f>SUM(M163:M184)</f>
        <v>2305734.1638727342</v>
      </c>
      <c r="N185" s="281"/>
      <c r="O185" s="1163">
        <v>0.93490804699999996</v>
      </c>
    </row>
    <row r="186" spans="1:16" ht="18.95" customHeight="1">
      <c r="A186" s="336">
        <v>7</v>
      </c>
      <c r="B186" s="519" t="s">
        <v>1185</v>
      </c>
      <c r="C186" s="508"/>
      <c r="D186" s="509"/>
      <c r="E186" s="271"/>
      <c r="F186" s="281"/>
      <c r="G186" s="271"/>
      <c r="H186" s="271"/>
      <c r="I186" s="271"/>
      <c r="J186" s="339"/>
      <c r="K186" s="339"/>
      <c r="L186" s="271"/>
      <c r="M186" s="281"/>
      <c r="N186" s="281"/>
      <c r="O186" s="1163">
        <v>0.93490804699999996</v>
      </c>
    </row>
    <row r="187" spans="1:16" ht="18.95" customHeight="1">
      <c r="A187" s="340"/>
      <c r="B187" s="136">
        <v>7.1</v>
      </c>
      <c r="C187" s="510" t="s">
        <v>1323</v>
      </c>
      <c r="D187" s="511"/>
      <c r="E187" s="513"/>
      <c r="F187" s="268"/>
      <c r="G187" s="269"/>
      <c r="H187" s="269"/>
      <c r="I187" s="269"/>
      <c r="J187" s="267"/>
      <c r="K187" s="267"/>
      <c r="L187" s="270"/>
      <c r="M187" s="270"/>
      <c r="N187" s="268"/>
      <c r="O187" s="1163">
        <v>0.93490804699999996</v>
      </c>
    </row>
    <row r="188" spans="1:16" ht="18.95" customHeight="1">
      <c r="A188" s="340"/>
      <c r="B188" s="136"/>
      <c r="C188" s="520" t="s">
        <v>1324</v>
      </c>
      <c r="D188" s="521"/>
      <c r="E188" s="267">
        <v>23500</v>
      </c>
      <c r="F188" s="356" t="s">
        <v>1079</v>
      </c>
      <c r="G188" s="269">
        <f>ROUND(93.1/3,2)</f>
        <v>31.03</v>
      </c>
      <c r="H188" s="269">
        <f t="shared" ref="H188" si="102">G188*O188</f>
        <v>29.010196698409999</v>
      </c>
      <c r="I188" s="269">
        <f t="shared" ref="I188" si="103">E188*H188</f>
        <v>681739.62241263501</v>
      </c>
      <c r="J188" s="267">
        <v>22</v>
      </c>
      <c r="K188" s="267">
        <f t="shared" ref="K188" si="104">J188*O188</f>
        <v>20.567977033999998</v>
      </c>
      <c r="L188" s="270">
        <f t="shared" ref="L188" si="105">E188*K188</f>
        <v>483347.46029899997</v>
      </c>
      <c r="M188" s="270">
        <f>I188+L188</f>
        <v>1165087.0827116349</v>
      </c>
      <c r="N188" s="268"/>
      <c r="O188" s="1163">
        <v>0.93490804699999996</v>
      </c>
      <c r="P188" s="293" t="s">
        <v>1300</v>
      </c>
    </row>
    <row r="189" spans="1:16" ht="18.95" customHeight="1">
      <c r="A189" s="340"/>
      <c r="B189" s="136">
        <v>7.2</v>
      </c>
      <c r="C189" s="510" t="s">
        <v>1325</v>
      </c>
      <c r="D189" s="521"/>
      <c r="E189" s="267"/>
      <c r="F189" s="356"/>
      <c r="G189" s="269"/>
      <c r="H189" s="269"/>
      <c r="I189" s="269"/>
      <c r="J189" s="267"/>
      <c r="K189" s="267"/>
      <c r="L189" s="270"/>
      <c r="M189" s="270"/>
      <c r="N189" s="268"/>
      <c r="O189" s="1163">
        <v>0.93490804699999996</v>
      </c>
    </row>
    <row r="190" spans="1:16" ht="18.95" customHeight="1">
      <c r="A190" s="224"/>
      <c r="B190" s="139"/>
      <c r="C190" s="524" t="s">
        <v>1326</v>
      </c>
      <c r="D190" s="525"/>
      <c r="E190" s="267">
        <v>80</v>
      </c>
      <c r="F190" s="356" t="s">
        <v>1079</v>
      </c>
      <c r="G190" s="269">
        <f>ROUND(262.43/3,2)</f>
        <v>87.48</v>
      </c>
      <c r="H190" s="269">
        <f t="shared" ref="H190" si="106">G190*O190</f>
        <v>81.785755951560006</v>
      </c>
      <c r="I190" s="269">
        <f t="shared" ref="I190" si="107">E190*H190</f>
        <v>6542.8604761248007</v>
      </c>
      <c r="J190" s="267">
        <v>28</v>
      </c>
      <c r="K190" s="267">
        <f t="shared" ref="K190" si="108">J190*O190</f>
        <v>26.177425315999997</v>
      </c>
      <c r="L190" s="270">
        <f t="shared" ref="L190" si="109">E190*K190</f>
        <v>2094.1940252799996</v>
      </c>
      <c r="M190" s="270">
        <f t="shared" ref="M190:M195" si="110">I190+L190</f>
        <v>8637.0545014048002</v>
      </c>
      <c r="N190" s="268"/>
      <c r="O190" s="1163">
        <v>0.93490804699999996</v>
      </c>
      <c r="P190" s="293" t="s">
        <v>1300</v>
      </c>
    </row>
    <row r="191" spans="1:16" ht="18.95" customHeight="1">
      <c r="A191" s="224"/>
      <c r="B191" s="139"/>
      <c r="C191" s="524" t="s">
        <v>1327</v>
      </c>
      <c r="D191" s="525"/>
      <c r="E191" s="267">
        <v>50</v>
      </c>
      <c r="F191" s="356" t="s">
        <v>1079</v>
      </c>
      <c r="G191" s="269">
        <f>ROUND(354.2/3,2)</f>
        <v>118.07</v>
      </c>
      <c r="H191" s="269">
        <f t="shared" ref="H191:H195" si="111">G191*O191</f>
        <v>110.38459310928999</v>
      </c>
      <c r="I191" s="269">
        <f t="shared" ref="I191:I195" si="112">E191*H191</f>
        <v>5519.2296554645</v>
      </c>
      <c r="J191" s="267">
        <v>32</v>
      </c>
      <c r="K191" s="267">
        <f t="shared" ref="K191:K195" si="113">J191*O191</f>
        <v>29.917057503999999</v>
      </c>
      <c r="L191" s="270">
        <f t="shared" ref="L191:L195" si="114">E191*K191</f>
        <v>1495.8528752</v>
      </c>
      <c r="M191" s="270">
        <f t="shared" si="110"/>
        <v>7015.0825306645002</v>
      </c>
      <c r="N191" s="268"/>
      <c r="O191" s="1163">
        <v>0.93490804699999996</v>
      </c>
      <c r="P191" s="293" t="s">
        <v>1300</v>
      </c>
    </row>
    <row r="192" spans="1:16" ht="18.95" customHeight="1">
      <c r="A192" s="224"/>
      <c r="B192" s="139"/>
      <c r="C192" s="524" t="s">
        <v>1328</v>
      </c>
      <c r="D192" s="525"/>
      <c r="E192" s="267">
        <v>120</v>
      </c>
      <c r="F192" s="356" t="s">
        <v>1079</v>
      </c>
      <c r="G192" s="269">
        <f>ROUND(561.4/3,2)</f>
        <v>187.13</v>
      </c>
      <c r="H192" s="269">
        <f t="shared" si="111"/>
        <v>174.94934283511</v>
      </c>
      <c r="I192" s="269">
        <f t="shared" si="112"/>
        <v>20993.921140213199</v>
      </c>
      <c r="J192" s="267">
        <v>42</v>
      </c>
      <c r="K192" s="267">
        <f t="shared" si="113"/>
        <v>39.266137973999996</v>
      </c>
      <c r="L192" s="270">
        <f t="shared" si="114"/>
        <v>4711.9365568799994</v>
      </c>
      <c r="M192" s="270">
        <f t="shared" si="110"/>
        <v>25705.857697093197</v>
      </c>
      <c r="N192" s="268"/>
      <c r="O192" s="1163">
        <v>0.93490804699999996</v>
      </c>
      <c r="P192" s="293" t="s">
        <v>1300</v>
      </c>
    </row>
    <row r="193" spans="1:18" ht="18.95" customHeight="1">
      <c r="A193" s="224"/>
      <c r="B193" s="139"/>
      <c r="C193" s="524" t="s">
        <v>1329</v>
      </c>
      <c r="D193" s="525"/>
      <c r="E193" s="267">
        <v>80</v>
      </c>
      <c r="F193" s="356" t="s">
        <v>1079</v>
      </c>
      <c r="G193" s="269">
        <f>ROUND(767.2/3,2)</f>
        <v>255.73</v>
      </c>
      <c r="H193" s="269">
        <f t="shared" si="111"/>
        <v>239.08403485930998</v>
      </c>
      <c r="I193" s="269">
        <f t="shared" si="112"/>
        <v>19126.722788744799</v>
      </c>
      <c r="J193" s="267">
        <v>48</v>
      </c>
      <c r="K193" s="267">
        <f t="shared" si="113"/>
        <v>44.875586255999998</v>
      </c>
      <c r="L193" s="270">
        <f t="shared" si="114"/>
        <v>3590.0469004799997</v>
      </c>
      <c r="M193" s="270">
        <f t="shared" si="110"/>
        <v>22716.769689224799</v>
      </c>
      <c r="N193" s="268"/>
      <c r="O193" s="1163">
        <v>0.93490804699999996</v>
      </c>
      <c r="P193" s="293" t="s">
        <v>1300</v>
      </c>
    </row>
    <row r="194" spans="1:18" ht="18.95" customHeight="1">
      <c r="A194" s="224"/>
      <c r="B194" s="139"/>
      <c r="C194" s="524" t="s">
        <v>1330</v>
      </c>
      <c r="D194" s="525"/>
      <c r="E194" s="267">
        <v>300</v>
      </c>
      <c r="F194" s="356" t="s">
        <v>1079</v>
      </c>
      <c r="G194" s="269">
        <v>386</v>
      </c>
      <c r="H194" s="269">
        <f t="shared" si="111"/>
        <v>360.87450614199997</v>
      </c>
      <c r="I194" s="269">
        <f t="shared" si="112"/>
        <v>108262.35184259999</v>
      </c>
      <c r="J194" s="267">
        <v>55</v>
      </c>
      <c r="K194" s="267">
        <f t="shared" si="113"/>
        <v>51.419942585000001</v>
      </c>
      <c r="L194" s="270">
        <f t="shared" si="114"/>
        <v>15425.982775500001</v>
      </c>
      <c r="M194" s="270">
        <f t="shared" si="110"/>
        <v>123688.33461809999</v>
      </c>
      <c r="N194" s="268"/>
      <c r="O194" s="1163">
        <v>0.93490804699999996</v>
      </c>
    </row>
    <row r="195" spans="1:18" ht="18.95" customHeight="1">
      <c r="A195" s="224"/>
      <c r="B195" s="139"/>
      <c r="C195" s="524" t="s">
        <v>1331</v>
      </c>
      <c r="D195" s="525"/>
      <c r="E195" s="267">
        <v>150</v>
      </c>
      <c r="F195" s="356" t="s">
        <v>1079</v>
      </c>
      <c r="G195" s="269">
        <v>549</v>
      </c>
      <c r="H195" s="269">
        <f t="shared" si="111"/>
        <v>513.26451780299999</v>
      </c>
      <c r="I195" s="269">
        <f t="shared" si="112"/>
        <v>76989.677670449993</v>
      </c>
      <c r="J195" s="267">
        <v>75</v>
      </c>
      <c r="K195" s="267">
        <f t="shared" si="113"/>
        <v>70.118103524999995</v>
      </c>
      <c r="L195" s="270">
        <f t="shared" si="114"/>
        <v>10517.715528749999</v>
      </c>
      <c r="M195" s="270">
        <f t="shared" si="110"/>
        <v>87507.393199199985</v>
      </c>
      <c r="N195" s="268"/>
      <c r="O195" s="1163">
        <v>0.93490804699999996</v>
      </c>
    </row>
    <row r="196" spans="1:18" ht="18.95" customHeight="1">
      <c r="A196" s="224"/>
      <c r="B196" s="198">
        <v>7.3</v>
      </c>
      <c r="C196" s="524" t="s">
        <v>1332</v>
      </c>
      <c r="D196" s="525"/>
      <c r="E196" s="267"/>
      <c r="F196" s="356"/>
      <c r="G196" s="269"/>
      <c r="H196" s="269"/>
      <c r="I196" s="269"/>
      <c r="J196" s="267"/>
      <c r="K196" s="267"/>
      <c r="L196" s="270"/>
      <c r="M196" s="270"/>
      <c r="N196" s="268"/>
      <c r="O196" s="1163">
        <v>0.93490804699999996</v>
      </c>
    </row>
    <row r="197" spans="1:18" ht="18.95" customHeight="1">
      <c r="A197" s="224"/>
      <c r="B197" s="139"/>
      <c r="C197" s="524" t="s">
        <v>1328</v>
      </c>
      <c r="D197" s="525"/>
      <c r="E197" s="267">
        <v>50</v>
      </c>
      <c r="F197" s="356" t="s">
        <v>1079</v>
      </c>
      <c r="G197" s="269">
        <v>34</v>
      </c>
      <c r="H197" s="269">
        <f t="shared" ref="H197:H205" si="115">G197*O197</f>
        <v>31.786873598</v>
      </c>
      <c r="I197" s="269">
        <f t="shared" ref="I197:I205" si="116">E197*H197</f>
        <v>1589.3436799000001</v>
      </c>
      <c r="J197" s="267">
        <v>20</v>
      </c>
      <c r="K197" s="267">
        <f t="shared" ref="K197" si="117">J197*O197</f>
        <v>18.698160940000001</v>
      </c>
      <c r="L197" s="270">
        <f t="shared" ref="L197" si="118">E197*K197</f>
        <v>934.90804700000001</v>
      </c>
      <c r="M197" s="270">
        <f>I197+L197</f>
        <v>2524.2517269</v>
      </c>
      <c r="N197" s="268"/>
      <c r="O197" s="1163">
        <v>0.93490804699999996</v>
      </c>
    </row>
    <row r="198" spans="1:18" ht="18.95" customHeight="1">
      <c r="A198" s="224"/>
      <c r="B198" s="198">
        <v>7.4</v>
      </c>
      <c r="C198" s="524" t="s">
        <v>1333</v>
      </c>
      <c r="D198" s="525"/>
      <c r="E198" s="267"/>
      <c r="F198" s="356"/>
      <c r="G198" s="269"/>
      <c r="H198" s="269"/>
      <c r="I198" s="269"/>
      <c r="J198" s="267"/>
      <c r="K198" s="267"/>
      <c r="L198" s="270"/>
      <c r="M198" s="270"/>
      <c r="N198" s="268"/>
      <c r="O198" s="1163">
        <v>0.93490804699999996</v>
      </c>
    </row>
    <row r="199" spans="1:18" ht="18.95" customHeight="1">
      <c r="A199" s="224"/>
      <c r="B199" s="139"/>
      <c r="C199" s="524" t="s">
        <v>1334</v>
      </c>
      <c r="D199" s="525"/>
      <c r="E199" s="267">
        <v>10</v>
      </c>
      <c r="F199" s="356" t="s">
        <v>1079</v>
      </c>
      <c r="G199" s="269">
        <v>133</v>
      </c>
      <c r="H199" s="269">
        <f t="shared" si="115"/>
        <v>124.34277025099999</v>
      </c>
      <c r="I199" s="269">
        <f t="shared" si="116"/>
        <v>1243.42770251</v>
      </c>
      <c r="J199" s="267">
        <v>24</v>
      </c>
      <c r="K199" s="267">
        <f t="shared" ref="K199" si="119">J199*O199</f>
        <v>22.437793127999999</v>
      </c>
      <c r="L199" s="270">
        <f t="shared" ref="L199" si="120">E199*K199</f>
        <v>224.37793127999998</v>
      </c>
      <c r="M199" s="270">
        <f>I199+L199</f>
        <v>1467.80563379</v>
      </c>
      <c r="N199" s="268"/>
      <c r="O199" s="1163">
        <v>0.93490804699999996</v>
      </c>
    </row>
    <row r="200" spans="1:18" ht="18.95" customHeight="1">
      <c r="A200" s="224"/>
      <c r="B200" s="198">
        <v>7.5</v>
      </c>
      <c r="C200" s="524" t="s">
        <v>1335</v>
      </c>
      <c r="D200" s="525"/>
      <c r="E200" s="267"/>
      <c r="F200" s="356"/>
      <c r="G200" s="269"/>
      <c r="H200" s="269"/>
      <c r="I200" s="269"/>
      <c r="J200" s="267"/>
      <c r="K200" s="267"/>
      <c r="L200" s="270"/>
      <c r="M200" s="270"/>
      <c r="N200" s="268"/>
      <c r="O200" s="1163">
        <v>0.93490804699999996</v>
      </c>
    </row>
    <row r="201" spans="1:18" ht="18.95" customHeight="1">
      <c r="A201" s="224"/>
      <c r="B201" s="139"/>
      <c r="C201" s="524" t="s">
        <v>1324</v>
      </c>
      <c r="D201" s="525"/>
      <c r="E201" s="267">
        <v>380</v>
      </c>
      <c r="F201" s="356" t="s">
        <v>1079</v>
      </c>
      <c r="G201" s="269">
        <v>18</v>
      </c>
      <c r="H201" s="269">
        <f t="shared" si="115"/>
        <v>16.828344846</v>
      </c>
      <c r="I201" s="269">
        <f t="shared" si="116"/>
        <v>6394.7710414800003</v>
      </c>
      <c r="J201" s="267">
        <v>11</v>
      </c>
      <c r="K201" s="267">
        <f t="shared" ref="K201" si="121">J201*O201</f>
        <v>10.283988516999999</v>
      </c>
      <c r="L201" s="270">
        <f t="shared" ref="L201" si="122">E201*K201</f>
        <v>3907.9156364599999</v>
      </c>
      <c r="M201" s="270">
        <f>I201+L201</f>
        <v>10302.686677940001</v>
      </c>
      <c r="N201" s="268"/>
      <c r="O201" s="1163">
        <v>0.93490804699999996</v>
      </c>
    </row>
    <row r="202" spans="1:18" ht="18.95" customHeight="1">
      <c r="A202" s="224"/>
      <c r="B202" s="198">
        <v>7.6</v>
      </c>
      <c r="C202" s="524" t="s">
        <v>1336</v>
      </c>
      <c r="D202" s="525"/>
      <c r="E202" s="267"/>
      <c r="F202" s="356"/>
      <c r="G202" s="269"/>
      <c r="H202" s="269"/>
      <c r="I202" s="269"/>
      <c r="J202" s="267"/>
      <c r="K202" s="267"/>
      <c r="L202" s="270"/>
      <c r="M202" s="270"/>
      <c r="N202" s="268"/>
      <c r="O202" s="1163">
        <v>0.93490804699999996</v>
      </c>
    </row>
    <row r="203" spans="1:18" ht="18.95" customHeight="1">
      <c r="A203" s="224"/>
      <c r="B203" s="198">
        <v>7.7</v>
      </c>
      <c r="C203" s="510" t="s">
        <v>1337</v>
      </c>
      <c r="D203" s="514"/>
      <c r="E203" s="513">
        <v>30</v>
      </c>
      <c r="F203" s="356" t="s">
        <v>1079</v>
      </c>
      <c r="G203" s="269">
        <v>5500</v>
      </c>
      <c r="H203" s="269">
        <f t="shared" si="115"/>
        <v>5141.9942584999999</v>
      </c>
      <c r="I203" s="269">
        <f t="shared" si="116"/>
        <v>154259.82775500001</v>
      </c>
      <c r="J203" s="267">
        <v>2000</v>
      </c>
      <c r="K203" s="267">
        <f t="shared" ref="K203" si="123">J203*O203</f>
        <v>1869.816094</v>
      </c>
      <c r="L203" s="270">
        <f t="shared" ref="L203" si="124">E203*K203</f>
        <v>56094.482819999997</v>
      </c>
      <c r="M203" s="270">
        <f>I203+L203</f>
        <v>210354.31057500001</v>
      </c>
      <c r="N203" s="270"/>
      <c r="O203" s="1163">
        <v>0.93490804699999996</v>
      </c>
    </row>
    <row r="204" spans="1:18" ht="18.95" customHeight="1">
      <c r="A204" s="224"/>
      <c r="B204" s="198">
        <v>7.8</v>
      </c>
      <c r="C204" s="510" t="s">
        <v>1338</v>
      </c>
      <c r="D204" s="514"/>
      <c r="E204" s="513">
        <v>1</v>
      </c>
      <c r="F204" s="268" t="s">
        <v>402</v>
      </c>
      <c r="G204" s="269">
        <v>80000</v>
      </c>
      <c r="H204" s="269">
        <f t="shared" si="115"/>
        <v>74792.643759999992</v>
      </c>
      <c r="I204" s="269">
        <f t="shared" si="116"/>
        <v>74792.643759999992</v>
      </c>
      <c r="J204" s="267">
        <v>5000</v>
      </c>
      <c r="K204" s="267">
        <f t="shared" ref="K204:K205" si="125">J204*O204</f>
        <v>4674.5402349999995</v>
      </c>
      <c r="L204" s="270">
        <f t="shared" ref="L204:L205" si="126">E204*K204</f>
        <v>4674.5402349999995</v>
      </c>
      <c r="M204" s="270">
        <f>I204+L204</f>
        <v>79467.183994999985</v>
      </c>
      <c r="N204" s="270"/>
      <c r="O204" s="1163">
        <v>0.93490804699999996</v>
      </c>
    </row>
    <row r="205" spans="1:18" ht="18.95" customHeight="1">
      <c r="A205" s="224"/>
      <c r="B205" s="198">
        <v>7.9</v>
      </c>
      <c r="C205" s="524" t="s">
        <v>1339</v>
      </c>
      <c r="D205" s="525"/>
      <c r="E205" s="267">
        <v>1</v>
      </c>
      <c r="F205" s="268" t="s">
        <v>1321</v>
      </c>
      <c r="G205" s="269">
        <v>130656</v>
      </c>
      <c r="H205" s="269">
        <f t="shared" si="115"/>
        <v>122151.345788832</v>
      </c>
      <c r="I205" s="269">
        <f t="shared" si="116"/>
        <v>122151.345788832</v>
      </c>
      <c r="J205" s="267">
        <v>39197</v>
      </c>
      <c r="K205" s="267">
        <f t="shared" si="125"/>
        <v>36645.590718259002</v>
      </c>
      <c r="L205" s="270">
        <f t="shared" si="126"/>
        <v>36645.590718259002</v>
      </c>
      <c r="M205" s="270">
        <f>I205+L205</f>
        <v>158796.93650709098</v>
      </c>
      <c r="N205" s="268"/>
      <c r="O205" s="1163">
        <v>0.93490804699999996</v>
      </c>
      <c r="Q205" s="526"/>
      <c r="R205" s="522"/>
    </row>
    <row r="206" spans="1:18" ht="18.95" customHeight="1">
      <c r="A206" s="515"/>
      <c r="B206" s="1345" t="s">
        <v>1340</v>
      </c>
      <c r="C206" s="1346"/>
      <c r="D206" s="1356"/>
      <c r="E206" s="271"/>
      <c r="F206" s="281"/>
      <c r="G206" s="271"/>
      <c r="H206" s="271"/>
      <c r="I206" s="271">
        <f>SUM(I187:I205)</f>
        <v>1279605.7457139543</v>
      </c>
      <c r="J206" s="271"/>
      <c r="K206" s="271"/>
      <c r="L206" s="271">
        <f>SUM(L187:L205)</f>
        <v>623665.00434908888</v>
      </c>
      <c r="M206" s="271">
        <f>SUM(M187:M205)</f>
        <v>1903270.7500630433</v>
      </c>
      <c r="N206" s="281"/>
      <c r="O206" s="1163">
        <v>0.93490804699999996</v>
      </c>
      <c r="Q206" s="526"/>
      <c r="R206" s="522"/>
    </row>
    <row r="207" spans="1:18" ht="18.95" customHeight="1">
      <c r="A207" s="515"/>
      <c r="B207" s="422"/>
      <c r="C207" s="451"/>
      <c r="D207" s="516"/>
      <c r="E207" s="271"/>
      <c r="F207" s="281"/>
      <c r="G207" s="271"/>
      <c r="H207" s="271"/>
      <c r="I207" s="271"/>
      <c r="J207" s="271"/>
      <c r="K207" s="271"/>
      <c r="L207" s="271"/>
      <c r="M207" s="271"/>
      <c r="N207" s="281"/>
      <c r="O207" s="1163">
        <v>0.93490804699999996</v>
      </c>
      <c r="Q207" s="526"/>
      <c r="R207" s="522"/>
    </row>
    <row r="208" spans="1:18" ht="18.95" customHeight="1">
      <c r="A208" s="515"/>
      <c r="B208" s="422"/>
      <c r="C208" s="451"/>
      <c r="D208" s="516"/>
      <c r="E208" s="271"/>
      <c r="F208" s="281"/>
      <c r="G208" s="271"/>
      <c r="H208" s="271"/>
      <c r="I208" s="271"/>
      <c r="J208" s="271"/>
      <c r="K208" s="271"/>
      <c r="L208" s="271"/>
      <c r="M208" s="271"/>
      <c r="N208" s="281"/>
      <c r="O208" s="1163">
        <v>0.93490804699999996</v>
      </c>
      <c r="Q208" s="526"/>
      <c r="R208" s="522"/>
    </row>
    <row r="209" spans="1:18" ht="18.95" customHeight="1">
      <c r="A209" s="515"/>
      <c r="B209" s="422"/>
      <c r="C209" s="451"/>
      <c r="D209" s="516"/>
      <c r="E209" s="271"/>
      <c r="F209" s="281"/>
      <c r="G209" s="271"/>
      <c r="H209" s="271"/>
      <c r="I209" s="271"/>
      <c r="J209" s="271"/>
      <c r="K209" s="271"/>
      <c r="L209" s="271"/>
      <c r="M209" s="271"/>
      <c r="N209" s="281"/>
      <c r="O209" s="1163">
        <v>0.93490804699999996</v>
      </c>
      <c r="Q209" s="526"/>
      <c r="R209" s="522"/>
    </row>
    <row r="210" spans="1:18" ht="18.95" customHeight="1">
      <c r="A210" s="336">
        <v>8</v>
      </c>
      <c r="B210" s="527" t="s">
        <v>1186</v>
      </c>
      <c r="C210" s="528"/>
      <c r="D210" s="529"/>
      <c r="E210" s="288"/>
      <c r="F210" s="281"/>
      <c r="G210" s="288"/>
      <c r="H210" s="288"/>
      <c r="I210" s="288"/>
      <c r="J210" s="281"/>
      <c r="K210" s="281"/>
      <c r="L210" s="288"/>
      <c r="M210" s="281"/>
      <c r="N210" s="281"/>
      <c r="O210" s="1163">
        <v>0.93490804699999996</v>
      </c>
      <c r="Q210" s="526"/>
      <c r="R210" s="522"/>
    </row>
    <row r="211" spans="1:18" ht="18.95" customHeight="1">
      <c r="A211" s="336"/>
      <c r="B211" s="527" t="s">
        <v>1341</v>
      </c>
      <c r="C211" s="530"/>
      <c r="D211" s="531"/>
      <c r="E211" s="270"/>
      <c r="F211" s="268"/>
      <c r="G211" s="268"/>
      <c r="H211" s="268"/>
      <c r="I211" s="268"/>
      <c r="J211" s="268"/>
      <c r="K211" s="268"/>
      <c r="L211" s="270"/>
      <c r="M211" s="270"/>
      <c r="N211" s="281"/>
      <c r="O211" s="1163">
        <v>0.93490804699999996</v>
      </c>
      <c r="Q211" s="526"/>
      <c r="R211" s="522"/>
    </row>
    <row r="212" spans="1:18" ht="47.1" customHeight="1">
      <c r="A212" s="336"/>
      <c r="B212" s="412">
        <v>8.1</v>
      </c>
      <c r="C212" s="532" t="s">
        <v>1342</v>
      </c>
      <c r="D212" s="533" t="s">
        <v>1343</v>
      </c>
      <c r="E212" s="534">
        <v>10</v>
      </c>
      <c r="F212" s="268" t="s">
        <v>402</v>
      </c>
      <c r="G212" s="534">
        <v>14485</v>
      </c>
      <c r="H212" s="269">
        <f t="shared" ref="H212:H214" si="127">G212*O212</f>
        <v>13542.143060794999</v>
      </c>
      <c r="I212" s="269">
        <f t="shared" ref="I212:I214" si="128">E212*H212</f>
        <v>135421.43060794999</v>
      </c>
      <c r="J212" s="534">
        <v>115</v>
      </c>
      <c r="K212" s="267">
        <f t="shared" ref="K212:K214" si="129">J212*O212</f>
        <v>107.514425405</v>
      </c>
      <c r="L212" s="270">
        <f t="shared" ref="L212:L214" si="130">E212*K212</f>
        <v>1075.14425405</v>
      </c>
      <c r="M212" s="270">
        <f t="shared" ref="M212:M219" si="131">I212+L212</f>
        <v>136496.57486200001</v>
      </c>
      <c r="N212" s="281"/>
      <c r="O212" s="1163">
        <v>0.93490804699999996</v>
      </c>
      <c r="Q212" s="526"/>
      <c r="R212" s="522"/>
    </row>
    <row r="213" spans="1:18" ht="47.1" customHeight="1">
      <c r="A213" s="336"/>
      <c r="B213" s="412">
        <v>8.1999999999999993</v>
      </c>
      <c r="C213" s="532" t="s">
        <v>1344</v>
      </c>
      <c r="D213" s="533" t="s">
        <v>1345</v>
      </c>
      <c r="E213" s="534">
        <v>1</v>
      </c>
      <c r="F213" s="268" t="s">
        <v>402</v>
      </c>
      <c r="G213" s="534">
        <v>14485</v>
      </c>
      <c r="H213" s="269">
        <f t="shared" si="127"/>
        <v>13542.143060794999</v>
      </c>
      <c r="I213" s="269">
        <f t="shared" si="128"/>
        <v>13542.143060794999</v>
      </c>
      <c r="J213" s="534">
        <v>115</v>
      </c>
      <c r="K213" s="267">
        <f t="shared" si="129"/>
        <v>107.514425405</v>
      </c>
      <c r="L213" s="270">
        <f t="shared" si="130"/>
        <v>107.514425405</v>
      </c>
      <c r="M213" s="270">
        <f t="shared" si="131"/>
        <v>13649.657486199998</v>
      </c>
      <c r="N213" s="281"/>
      <c r="O213" s="1163">
        <v>0.93490804699999996</v>
      </c>
      <c r="Q213" s="526"/>
      <c r="R213" s="522"/>
    </row>
    <row r="214" spans="1:18" ht="47.1" customHeight="1">
      <c r="A214" s="336"/>
      <c r="B214" s="412">
        <v>8.3000000000000007</v>
      </c>
      <c r="C214" s="532" t="s">
        <v>1346</v>
      </c>
      <c r="D214" s="533" t="s">
        <v>1347</v>
      </c>
      <c r="E214" s="534">
        <v>8</v>
      </c>
      <c r="F214" s="268" t="s">
        <v>402</v>
      </c>
      <c r="G214" s="534">
        <v>15700</v>
      </c>
      <c r="H214" s="269">
        <f t="shared" si="127"/>
        <v>14678.0563379</v>
      </c>
      <c r="I214" s="269">
        <f t="shared" si="128"/>
        <v>117424.4507032</v>
      </c>
      <c r="J214" s="534">
        <v>115</v>
      </c>
      <c r="K214" s="267">
        <f t="shared" si="129"/>
        <v>107.514425405</v>
      </c>
      <c r="L214" s="270">
        <f t="shared" si="130"/>
        <v>860.11540323999998</v>
      </c>
      <c r="M214" s="270">
        <f t="shared" si="131"/>
        <v>118284.56610643999</v>
      </c>
      <c r="N214" s="281"/>
      <c r="O214" s="1163">
        <v>0.93490804699999996</v>
      </c>
      <c r="Q214" s="526"/>
      <c r="R214" s="522"/>
    </row>
    <row r="215" spans="1:18" ht="47.1" customHeight="1">
      <c r="A215" s="336"/>
      <c r="B215" s="412">
        <v>8.4</v>
      </c>
      <c r="C215" s="532" t="s">
        <v>1348</v>
      </c>
      <c r="D215" s="533" t="s">
        <v>1349</v>
      </c>
      <c r="E215" s="534">
        <v>7</v>
      </c>
      <c r="F215" s="268" t="s">
        <v>402</v>
      </c>
      <c r="G215" s="534">
        <v>41800</v>
      </c>
      <c r="H215" s="269">
        <f t="shared" ref="H215:H219" si="132">G215*O215</f>
        <v>39079.1563646</v>
      </c>
      <c r="I215" s="269">
        <f t="shared" ref="I215:I219" si="133">E215*H215</f>
        <v>273554.0945522</v>
      </c>
      <c r="J215" s="534">
        <v>115</v>
      </c>
      <c r="K215" s="267">
        <f t="shared" ref="K215:K219" si="134">J215*O215</f>
        <v>107.514425405</v>
      </c>
      <c r="L215" s="270">
        <f t="shared" ref="L215:L219" si="135">E215*K215</f>
        <v>752.60097783499998</v>
      </c>
      <c r="M215" s="270">
        <f t="shared" si="131"/>
        <v>274306.69553003501</v>
      </c>
      <c r="N215" s="281"/>
      <c r="O215" s="1163">
        <v>0.93490804699999996</v>
      </c>
      <c r="Q215" s="526"/>
      <c r="R215" s="522"/>
    </row>
    <row r="216" spans="1:18" ht="47.1" customHeight="1">
      <c r="A216" s="336"/>
      <c r="B216" s="412">
        <v>8.5</v>
      </c>
      <c r="C216" s="532" t="s">
        <v>1350</v>
      </c>
      <c r="D216" s="533" t="s">
        <v>1351</v>
      </c>
      <c r="E216" s="534">
        <v>3</v>
      </c>
      <c r="F216" s="268" t="s">
        <v>402</v>
      </c>
      <c r="G216" s="534">
        <v>41800</v>
      </c>
      <c r="H216" s="269">
        <f t="shared" si="132"/>
        <v>39079.1563646</v>
      </c>
      <c r="I216" s="269">
        <f t="shared" si="133"/>
        <v>117237.4690938</v>
      </c>
      <c r="J216" s="534">
        <v>115</v>
      </c>
      <c r="K216" s="267">
        <f t="shared" si="134"/>
        <v>107.514425405</v>
      </c>
      <c r="L216" s="270">
        <f t="shared" si="135"/>
        <v>322.54327621499999</v>
      </c>
      <c r="M216" s="270">
        <f t="shared" si="131"/>
        <v>117560.012370015</v>
      </c>
      <c r="N216" s="281"/>
      <c r="O216" s="1163">
        <v>0.93490804699999996</v>
      </c>
      <c r="Q216" s="526"/>
      <c r="R216" s="522"/>
    </row>
    <row r="217" spans="1:18" ht="47.1" customHeight="1">
      <c r="A217" s="336"/>
      <c r="B217" s="412">
        <v>8.6</v>
      </c>
      <c r="C217" s="532" t="s">
        <v>1352</v>
      </c>
      <c r="D217" s="533" t="s">
        <v>1353</v>
      </c>
      <c r="E217" s="534">
        <v>1</v>
      </c>
      <c r="F217" s="268" t="s">
        <v>402</v>
      </c>
      <c r="G217" s="534">
        <v>41800</v>
      </c>
      <c r="H217" s="269">
        <f t="shared" si="132"/>
        <v>39079.1563646</v>
      </c>
      <c r="I217" s="269">
        <f t="shared" si="133"/>
        <v>39079.1563646</v>
      </c>
      <c r="J217" s="534">
        <v>115</v>
      </c>
      <c r="K217" s="267">
        <f t="shared" si="134"/>
        <v>107.514425405</v>
      </c>
      <c r="L217" s="270">
        <f t="shared" si="135"/>
        <v>107.514425405</v>
      </c>
      <c r="M217" s="270">
        <f t="shared" si="131"/>
        <v>39186.670790005002</v>
      </c>
      <c r="N217" s="281"/>
      <c r="O217" s="1163">
        <v>0.93490804699999996</v>
      </c>
      <c r="Q217" s="526"/>
      <c r="R217" s="522"/>
    </row>
    <row r="218" spans="1:18" ht="47.1" customHeight="1">
      <c r="A218" s="336"/>
      <c r="B218" s="412">
        <v>8.6999999999999993</v>
      </c>
      <c r="C218" s="532" t="s">
        <v>1354</v>
      </c>
      <c r="D218" s="533" t="s">
        <v>1355</v>
      </c>
      <c r="E218" s="534">
        <v>21</v>
      </c>
      <c r="F218" s="268" t="s">
        <v>402</v>
      </c>
      <c r="G218" s="534">
        <v>6558</v>
      </c>
      <c r="H218" s="269">
        <f t="shared" si="132"/>
        <v>6131.1269722259995</v>
      </c>
      <c r="I218" s="269">
        <f t="shared" si="133"/>
        <v>128753.66641674598</v>
      </c>
      <c r="J218" s="534">
        <v>150</v>
      </c>
      <c r="K218" s="267">
        <f t="shared" si="134"/>
        <v>140.23620704999999</v>
      </c>
      <c r="L218" s="270">
        <f t="shared" si="135"/>
        <v>2944.96034805</v>
      </c>
      <c r="M218" s="270">
        <f t="shared" si="131"/>
        <v>131698.62676479598</v>
      </c>
      <c r="N218" s="281"/>
      <c r="O218" s="1163">
        <v>0.93490804699999996</v>
      </c>
      <c r="Q218" s="526"/>
      <c r="R218" s="522"/>
    </row>
    <row r="219" spans="1:18" ht="47.1" customHeight="1">
      <c r="A219" s="336"/>
      <c r="B219" s="412">
        <v>8.8000000000000007</v>
      </c>
      <c r="C219" s="532" t="s">
        <v>1356</v>
      </c>
      <c r="D219" s="533" t="s">
        <v>1357</v>
      </c>
      <c r="E219" s="535">
        <v>4</v>
      </c>
      <c r="F219" s="268" t="s">
        <v>402</v>
      </c>
      <c r="G219" s="535">
        <v>23660</v>
      </c>
      <c r="H219" s="269">
        <f t="shared" si="132"/>
        <v>22119.924392019999</v>
      </c>
      <c r="I219" s="269">
        <f t="shared" si="133"/>
        <v>88479.697568079995</v>
      </c>
      <c r="J219" s="534">
        <v>150</v>
      </c>
      <c r="K219" s="267">
        <f t="shared" si="134"/>
        <v>140.23620704999999</v>
      </c>
      <c r="L219" s="270">
        <f t="shared" si="135"/>
        <v>560.94482819999996</v>
      </c>
      <c r="M219" s="270">
        <f t="shared" si="131"/>
        <v>89040.642396279989</v>
      </c>
      <c r="N219" s="281"/>
      <c r="O219" s="1163">
        <v>0.93490804699999996</v>
      </c>
      <c r="Q219" s="526"/>
      <c r="R219" s="522"/>
    </row>
    <row r="220" spans="1:18" ht="18.95" customHeight="1">
      <c r="A220" s="336"/>
      <c r="B220" s="527" t="s">
        <v>1358</v>
      </c>
      <c r="C220" s="532"/>
      <c r="D220" s="533"/>
      <c r="E220" s="534"/>
      <c r="F220" s="268"/>
      <c r="G220" s="534"/>
      <c r="H220" s="1167"/>
      <c r="I220" s="536"/>
      <c r="J220" s="285"/>
      <c r="K220" s="285"/>
      <c r="L220" s="270"/>
      <c r="M220" s="270"/>
      <c r="N220" s="281"/>
      <c r="O220" s="1163">
        <v>0.93490804699999996</v>
      </c>
      <c r="Q220" s="526"/>
      <c r="R220" s="522"/>
    </row>
    <row r="221" spans="1:18" ht="47.1" customHeight="1">
      <c r="A221" s="336"/>
      <c r="B221" s="412">
        <v>8.9</v>
      </c>
      <c r="C221" s="532" t="s">
        <v>1359</v>
      </c>
      <c r="D221" s="533" t="s">
        <v>1360</v>
      </c>
      <c r="E221" s="534">
        <v>35</v>
      </c>
      <c r="F221" s="268" t="s">
        <v>402</v>
      </c>
      <c r="G221" s="534">
        <v>2016</v>
      </c>
      <c r="H221" s="269">
        <f t="shared" ref="H221:H275" si="136">G221*O221</f>
        <v>1884.7746227519999</v>
      </c>
      <c r="I221" s="269">
        <f t="shared" ref="I221:I275" si="137">E221*H221</f>
        <v>65967.111796319994</v>
      </c>
      <c r="J221" s="534">
        <v>115</v>
      </c>
      <c r="K221" s="267">
        <f t="shared" ref="K221:K236" si="138">J221*O221</f>
        <v>107.514425405</v>
      </c>
      <c r="L221" s="270">
        <f t="shared" ref="L221:L236" si="139">E221*K221</f>
        <v>3763.0048891749998</v>
      </c>
      <c r="M221" s="270">
        <f t="shared" ref="M221:M242" si="140">I221+L221</f>
        <v>69730.116685494999</v>
      </c>
      <c r="N221" s="281"/>
      <c r="O221" s="1163">
        <v>0.93490804699999996</v>
      </c>
      <c r="Q221" s="526"/>
      <c r="R221" s="522"/>
    </row>
    <row r="222" spans="1:18" ht="47.1" customHeight="1">
      <c r="A222" s="336"/>
      <c r="B222" s="537">
        <v>8.1</v>
      </c>
      <c r="C222" s="532" t="s">
        <v>1361</v>
      </c>
      <c r="D222" s="533" t="s">
        <v>1362</v>
      </c>
      <c r="E222" s="534">
        <v>63</v>
      </c>
      <c r="F222" s="268" t="s">
        <v>402</v>
      </c>
      <c r="G222" s="534">
        <v>958.5</v>
      </c>
      <c r="H222" s="269">
        <f t="shared" si="136"/>
        <v>896.10936304949996</v>
      </c>
      <c r="I222" s="269">
        <f t="shared" si="137"/>
        <v>56454.889872118496</v>
      </c>
      <c r="J222" s="534">
        <v>115</v>
      </c>
      <c r="K222" s="267">
        <f t="shared" si="138"/>
        <v>107.514425405</v>
      </c>
      <c r="L222" s="270">
        <f t="shared" si="139"/>
        <v>6773.4088005149997</v>
      </c>
      <c r="M222" s="270">
        <f t="shared" si="140"/>
        <v>63228.298672633493</v>
      </c>
      <c r="N222" s="281"/>
      <c r="O222" s="1163">
        <v>0.93490804699999996</v>
      </c>
      <c r="Q222" s="526"/>
      <c r="R222" s="522"/>
    </row>
    <row r="223" spans="1:18" ht="47.1" customHeight="1">
      <c r="A223" s="336"/>
      <c r="B223" s="412">
        <v>8.11</v>
      </c>
      <c r="C223" s="532" t="s">
        <v>1363</v>
      </c>
      <c r="D223" s="533" t="s">
        <v>1364</v>
      </c>
      <c r="E223" s="534">
        <v>40</v>
      </c>
      <c r="F223" s="268" t="s">
        <v>402</v>
      </c>
      <c r="G223" s="534">
        <v>495</v>
      </c>
      <c r="H223" s="269">
        <f t="shared" si="136"/>
        <v>462.77948326500001</v>
      </c>
      <c r="I223" s="269">
        <f t="shared" si="137"/>
        <v>18511.1793306</v>
      </c>
      <c r="J223" s="534">
        <v>115</v>
      </c>
      <c r="K223" s="267">
        <f t="shared" si="138"/>
        <v>107.514425405</v>
      </c>
      <c r="L223" s="270">
        <f t="shared" si="139"/>
        <v>4300.5770161999999</v>
      </c>
      <c r="M223" s="270">
        <f t="shared" si="140"/>
        <v>22811.756346800001</v>
      </c>
      <c r="N223" s="281"/>
      <c r="O223" s="1163">
        <v>0.93490804699999996</v>
      </c>
      <c r="Q223" s="526"/>
      <c r="R223" s="522"/>
    </row>
    <row r="224" spans="1:18" ht="47.1" customHeight="1">
      <c r="A224" s="336"/>
      <c r="B224" s="412">
        <v>8.1199999999999992</v>
      </c>
      <c r="C224" s="532" t="s">
        <v>1365</v>
      </c>
      <c r="D224" s="533" t="s">
        <v>1366</v>
      </c>
      <c r="E224" s="534">
        <v>2</v>
      </c>
      <c r="F224" s="268" t="s">
        <v>402</v>
      </c>
      <c r="G224" s="534">
        <v>1426.5</v>
      </c>
      <c r="H224" s="269">
        <f t="shared" si="136"/>
        <v>1333.6463290454999</v>
      </c>
      <c r="I224" s="269">
        <f t="shared" si="137"/>
        <v>2667.2926580909998</v>
      </c>
      <c r="J224" s="534">
        <v>115</v>
      </c>
      <c r="K224" s="267">
        <f t="shared" si="138"/>
        <v>107.514425405</v>
      </c>
      <c r="L224" s="270">
        <f t="shared" si="139"/>
        <v>215.02885080999999</v>
      </c>
      <c r="M224" s="270">
        <f t="shared" si="140"/>
        <v>2882.321508901</v>
      </c>
      <c r="N224" s="281"/>
      <c r="O224" s="1163">
        <v>0.93490804699999996</v>
      </c>
      <c r="Q224" s="526"/>
      <c r="R224" s="522"/>
    </row>
    <row r="225" spans="1:18" ht="47.1" customHeight="1">
      <c r="A225" s="336"/>
      <c r="B225" s="412">
        <v>8.1300000000000008</v>
      </c>
      <c r="C225" s="532" t="s">
        <v>1367</v>
      </c>
      <c r="D225" s="533" t="s">
        <v>1368</v>
      </c>
      <c r="E225" s="534">
        <v>6</v>
      </c>
      <c r="F225" s="268" t="s">
        <v>402</v>
      </c>
      <c r="G225" s="534">
        <v>2115</v>
      </c>
      <c r="H225" s="269">
        <f t="shared" si="136"/>
        <v>1977.3305194049999</v>
      </c>
      <c r="I225" s="269">
        <f t="shared" si="137"/>
        <v>11863.983116429999</v>
      </c>
      <c r="J225" s="534">
        <v>115</v>
      </c>
      <c r="K225" s="267">
        <f t="shared" si="138"/>
        <v>107.514425405</v>
      </c>
      <c r="L225" s="270">
        <f t="shared" si="139"/>
        <v>645.08655242999998</v>
      </c>
      <c r="M225" s="270">
        <f t="shared" si="140"/>
        <v>12509.06966886</v>
      </c>
      <c r="N225" s="281"/>
      <c r="O225" s="1163">
        <v>0.93490804699999996</v>
      </c>
      <c r="Q225" s="526"/>
      <c r="R225" s="522"/>
    </row>
    <row r="226" spans="1:18" ht="47.1" customHeight="1">
      <c r="A226" s="336"/>
      <c r="B226" s="412">
        <v>8.14</v>
      </c>
      <c r="C226" s="532" t="s">
        <v>1369</v>
      </c>
      <c r="D226" s="533" t="s">
        <v>1370</v>
      </c>
      <c r="E226" s="534">
        <v>133</v>
      </c>
      <c r="F226" s="268" t="s">
        <v>1079</v>
      </c>
      <c r="G226" s="534">
        <v>1541</v>
      </c>
      <c r="H226" s="269">
        <f t="shared" si="136"/>
        <v>1440.6933004269999</v>
      </c>
      <c r="I226" s="269">
        <f t="shared" si="137"/>
        <v>191612.208956791</v>
      </c>
      <c r="J226" s="534">
        <v>115</v>
      </c>
      <c r="K226" s="267">
        <f t="shared" si="138"/>
        <v>107.514425405</v>
      </c>
      <c r="L226" s="270">
        <f t="shared" si="139"/>
        <v>14299.418578864999</v>
      </c>
      <c r="M226" s="270">
        <f t="shared" si="140"/>
        <v>205911.62753565601</v>
      </c>
      <c r="N226" s="281"/>
      <c r="O226" s="1163">
        <v>0.93490804699999996</v>
      </c>
      <c r="Q226" s="526"/>
      <c r="R226" s="522"/>
    </row>
    <row r="227" spans="1:18" ht="47.1" customHeight="1">
      <c r="A227" s="336"/>
      <c r="B227" s="412">
        <v>8.15</v>
      </c>
      <c r="C227" s="532" t="s">
        <v>1371</v>
      </c>
      <c r="D227" s="533" t="s">
        <v>1372</v>
      </c>
      <c r="E227" s="534">
        <v>95</v>
      </c>
      <c r="F227" s="268" t="s">
        <v>1079</v>
      </c>
      <c r="G227" s="534">
        <v>1349</v>
      </c>
      <c r="H227" s="269">
        <f t="shared" si="136"/>
        <v>1261.1909554029999</v>
      </c>
      <c r="I227" s="269">
        <f t="shared" si="137"/>
        <v>119813.14076328499</v>
      </c>
      <c r="J227" s="534">
        <v>115</v>
      </c>
      <c r="K227" s="267">
        <f t="shared" si="138"/>
        <v>107.514425405</v>
      </c>
      <c r="L227" s="270">
        <f t="shared" si="139"/>
        <v>10213.870413475001</v>
      </c>
      <c r="M227" s="270">
        <f t="shared" si="140"/>
        <v>130027.01117675999</v>
      </c>
      <c r="N227" s="281"/>
      <c r="O227" s="1163">
        <v>0.93490804699999996</v>
      </c>
      <c r="Q227" s="526"/>
      <c r="R227" s="522"/>
    </row>
    <row r="228" spans="1:18" ht="47.1" customHeight="1">
      <c r="A228" s="336"/>
      <c r="B228" s="412">
        <v>8.16</v>
      </c>
      <c r="C228" s="532" t="s">
        <v>1373</v>
      </c>
      <c r="D228" s="533" t="s">
        <v>1374</v>
      </c>
      <c r="E228" s="534">
        <v>6</v>
      </c>
      <c r="F228" s="268" t="s">
        <v>1079</v>
      </c>
      <c r="G228" s="534">
        <v>1937</v>
      </c>
      <c r="H228" s="269">
        <f t="shared" si="136"/>
        <v>1810.9168870389999</v>
      </c>
      <c r="I228" s="269">
        <f t="shared" si="137"/>
        <v>10865.501322233999</v>
      </c>
      <c r="J228" s="534">
        <v>115</v>
      </c>
      <c r="K228" s="267">
        <f t="shared" si="138"/>
        <v>107.514425405</v>
      </c>
      <c r="L228" s="270">
        <f t="shared" si="139"/>
        <v>645.08655242999998</v>
      </c>
      <c r="M228" s="270">
        <f t="shared" si="140"/>
        <v>11510.587874663999</v>
      </c>
      <c r="N228" s="281"/>
      <c r="O228" s="1163">
        <v>0.93490804699999996</v>
      </c>
      <c r="Q228" s="526"/>
      <c r="R228" s="522"/>
    </row>
    <row r="229" spans="1:18" ht="47.1" customHeight="1">
      <c r="A229" s="336"/>
      <c r="B229" s="412">
        <v>8.17</v>
      </c>
      <c r="C229" s="532" t="s">
        <v>1375</v>
      </c>
      <c r="D229" s="533" t="s">
        <v>1376</v>
      </c>
      <c r="E229" s="534">
        <v>54</v>
      </c>
      <c r="F229" s="268" t="s">
        <v>1079</v>
      </c>
      <c r="G229" s="534">
        <v>1349</v>
      </c>
      <c r="H229" s="269">
        <f t="shared" si="136"/>
        <v>1261.1909554029999</v>
      </c>
      <c r="I229" s="269">
        <f t="shared" si="137"/>
        <v>68104.311591761987</v>
      </c>
      <c r="J229" s="534">
        <v>115</v>
      </c>
      <c r="K229" s="267">
        <f t="shared" si="138"/>
        <v>107.514425405</v>
      </c>
      <c r="L229" s="270">
        <f t="shared" si="139"/>
        <v>5805.7789718699996</v>
      </c>
      <c r="M229" s="270">
        <f t="shared" si="140"/>
        <v>73910.09056363198</v>
      </c>
      <c r="N229" s="281"/>
      <c r="O229" s="1163">
        <v>0.93490804699999996</v>
      </c>
      <c r="Q229" s="526"/>
      <c r="R229" s="522"/>
    </row>
    <row r="230" spans="1:18" ht="47.1" customHeight="1">
      <c r="A230" s="336"/>
      <c r="B230" s="412">
        <v>8.18</v>
      </c>
      <c r="C230" s="532" t="s">
        <v>1377</v>
      </c>
      <c r="D230" s="533" t="s">
        <v>1378</v>
      </c>
      <c r="E230" s="534">
        <v>2</v>
      </c>
      <c r="F230" s="268" t="s">
        <v>402</v>
      </c>
      <c r="G230" s="534">
        <v>6840</v>
      </c>
      <c r="H230" s="269">
        <f t="shared" si="136"/>
        <v>6394.7710414799994</v>
      </c>
      <c r="I230" s="269">
        <f t="shared" si="137"/>
        <v>12789.542082959999</v>
      </c>
      <c r="J230" s="534">
        <v>115</v>
      </c>
      <c r="K230" s="267">
        <f t="shared" si="138"/>
        <v>107.514425405</v>
      </c>
      <c r="L230" s="270">
        <f t="shared" si="139"/>
        <v>215.02885080999999</v>
      </c>
      <c r="M230" s="270">
        <f t="shared" si="140"/>
        <v>13004.570933769999</v>
      </c>
      <c r="N230" s="281"/>
      <c r="O230" s="1163">
        <v>0.93490804699999996</v>
      </c>
      <c r="Q230" s="526"/>
      <c r="R230" s="522"/>
    </row>
    <row r="231" spans="1:18" ht="47.1" customHeight="1">
      <c r="A231" s="336"/>
      <c r="B231" s="412">
        <v>8.19</v>
      </c>
      <c r="C231" s="532" t="s">
        <v>1379</v>
      </c>
      <c r="D231" s="533" t="s">
        <v>1380</v>
      </c>
      <c r="E231" s="534">
        <v>4</v>
      </c>
      <c r="F231" s="268" t="s">
        <v>402</v>
      </c>
      <c r="G231" s="534">
        <v>1800</v>
      </c>
      <c r="H231" s="269">
        <f t="shared" si="136"/>
        <v>1682.8344846</v>
      </c>
      <c r="I231" s="269">
        <f t="shared" si="137"/>
        <v>6731.3379384</v>
      </c>
      <c r="J231" s="534">
        <v>135</v>
      </c>
      <c r="K231" s="267">
        <f t="shared" si="138"/>
        <v>126.21258634499999</v>
      </c>
      <c r="L231" s="270">
        <f t="shared" si="139"/>
        <v>504.85034537999996</v>
      </c>
      <c r="M231" s="270">
        <f t="shared" si="140"/>
        <v>7236.1882837800003</v>
      </c>
      <c r="N231" s="281"/>
      <c r="O231" s="1163">
        <v>0.93490804699999996</v>
      </c>
      <c r="Q231" s="526"/>
      <c r="R231" s="522"/>
    </row>
    <row r="232" spans="1:18" ht="47.1" customHeight="1">
      <c r="A232" s="336"/>
      <c r="B232" s="537">
        <v>8.1999999999999993</v>
      </c>
      <c r="C232" s="532" t="s">
        <v>1381</v>
      </c>
      <c r="D232" s="533" t="s">
        <v>1382</v>
      </c>
      <c r="E232" s="534">
        <v>5</v>
      </c>
      <c r="F232" s="268" t="s">
        <v>402</v>
      </c>
      <c r="G232" s="534">
        <v>3600</v>
      </c>
      <c r="H232" s="269">
        <f t="shared" si="136"/>
        <v>3365.6689692</v>
      </c>
      <c r="I232" s="269">
        <f t="shared" si="137"/>
        <v>16828.344846</v>
      </c>
      <c r="J232" s="534">
        <v>135</v>
      </c>
      <c r="K232" s="267">
        <f t="shared" si="138"/>
        <v>126.21258634499999</v>
      </c>
      <c r="L232" s="270">
        <f t="shared" si="139"/>
        <v>631.062931725</v>
      </c>
      <c r="M232" s="270">
        <f t="shared" si="140"/>
        <v>17459.407777724999</v>
      </c>
      <c r="N232" s="281"/>
      <c r="O232" s="1163">
        <v>0.93490804699999996</v>
      </c>
      <c r="Q232" s="526"/>
      <c r="R232" s="522"/>
    </row>
    <row r="233" spans="1:18" ht="47.1" customHeight="1">
      <c r="A233" s="336"/>
      <c r="B233" s="412">
        <v>8.2100000000000009</v>
      </c>
      <c r="C233" s="532" t="s">
        <v>1383</v>
      </c>
      <c r="D233" s="533" t="s">
        <v>1384</v>
      </c>
      <c r="E233" s="534">
        <v>7</v>
      </c>
      <c r="F233" s="268" t="s">
        <v>402</v>
      </c>
      <c r="G233" s="534">
        <v>5260.5</v>
      </c>
      <c r="H233" s="269">
        <f t="shared" si="136"/>
        <v>4918.0837812435002</v>
      </c>
      <c r="I233" s="269">
        <f t="shared" si="137"/>
        <v>34426.586468704503</v>
      </c>
      <c r="J233" s="534">
        <v>135</v>
      </c>
      <c r="K233" s="267">
        <f t="shared" si="138"/>
        <v>126.21258634499999</v>
      </c>
      <c r="L233" s="270">
        <f t="shared" si="139"/>
        <v>883.48810441499995</v>
      </c>
      <c r="M233" s="270">
        <f t="shared" si="140"/>
        <v>35310.074573119506</v>
      </c>
      <c r="N233" s="281"/>
      <c r="O233" s="1163">
        <v>0.93490804699999996</v>
      </c>
      <c r="Q233" s="526"/>
      <c r="R233" s="522"/>
    </row>
    <row r="234" spans="1:18" ht="47.1" customHeight="1">
      <c r="A234" s="538"/>
      <c r="B234" s="539">
        <v>8.2200000000000006</v>
      </c>
      <c r="C234" s="540" t="s">
        <v>1385</v>
      </c>
      <c r="D234" s="541" t="s">
        <v>1386</v>
      </c>
      <c r="E234" s="542">
        <v>4</v>
      </c>
      <c r="F234" s="543" t="s">
        <v>402</v>
      </c>
      <c r="G234" s="534">
        <v>7200</v>
      </c>
      <c r="H234" s="269">
        <f t="shared" si="136"/>
        <v>6731.3379384</v>
      </c>
      <c r="I234" s="269">
        <f t="shared" si="137"/>
        <v>26925.3517536</v>
      </c>
      <c r="J234" s="542">
        <v>135</v>
      </c>
      <c r="K234" s="267">
        <f t="shared" si="138"/>
        <v>126.21258634499999</v>
      </c>
      <c r="L234" s="270">
        <f t="shared" si="139"/>
        <v>504.85034537999996</v>
      </c>
      <c r="M234" s="544">
        <f t="shared" si="140"/>
        <v>27430.20209898</v>
      </c>
      <c r="N234" s="545"/>
      <c r="O234" s="1163">
        <v>0.93490804699999996</v>
      </c>
      <c r="Q234" s="526"/>
      <c r="R234" s="522"/>
    </row>
    <row r="235" spans="1:18" ht="47.1" customHeight="1">
      <c r="A235" s="336"/>
      <c r="B235" s="412">
        <v>8.23</v>
      </c>
      <c r="C235" s="532" t="s">
        <v>1387</v>
      </c>
      <c r="D235" s="533" t="s">
        <v>1388</v>
      </c>
      <c r="E235" s="534">
        <v>1</v>
      </c>
      <c r="F235" s="268" t="s">
        <v>402</v>
      </c>
      <c r="G235" s="534">
        <v>12150</v>
      </c>
      <c r="H235" s="269">
        <f t="shared" si="136"/>
        <v>11359.132771049999</v>
      </c>
      <c r="I235" s="269">
        <f t="shared" si="137"/>
        <v>11359.132771049999</v>
      </c>
      <c r="J235" s="534">
        <v>135</v>
      </c>
      <c r="K235" s="267">
        <f t="shared" si="138"/>
        <v>126.21258634499999</v>
      </c>
      <c r="L235" s="270">
        <f t="shared" si="139"/>
        <v>126.21258634499999</v>
      </c>
      <c r="M235" s="270">
        <f t="shared" si="140"/>
        <v>11485.345357394999</v>
      </c>
      <c r="N235" s="281"/>
      <c r="O235" s="1163">
        <v>0.93490804699999996</v>
      </c>
      <c r="Q235" s="526"/>
      <c r="R235" s="522"/>
    </row>
    <row r="236" spans="1:18" ht="47.1" customHeight="1">
      <c r="A236" s="538"/>
      <c r="B236" s="539">
        <v>8.24</v>
      </c>
      <c r="C236" s="540" t="s">
        <v>1389</v>
      </c>
      <c r="D236" s="541" t="s">
        <v>1390</v>
      </c>
      <c r="E236" s="542">
        <v>9</v>
      </c>
      <c r="F236" s="543" t="s">
        <v>1079</v>
      </c>
      <c r="G236" s="534">
        <v>2121.3000000000002</v>
      </c>
      <c r="H236" s="269">
        <f t="shared" si="136"/>
        <v>1983.2204401011002</v>
      </c>
      <c r="I236" s="269">
        <f t="shared" si="137"/>
        <v>17848.9839609099</v>
      </c>
      <c r="J236" s="542">
        <v>115</v>
      </c>
      <c r="K236" s="267">
        <f t="shared" si="138"/>
        <v>107.514425405</v>
      </c>
      <c r="L236" s="270">
        <f t="shared" si="139"/>
        <v>967.62982864499998</v>
      </c>
      <c r="M236" s="544">
        <f t="shared" si="140"/>
        <v>18816.6137895549</v>
      </c>
      <c r="N236" s="545"/>
      <c r="O236" s="1163">
        <v>0.93490804699999996</v>
      </c>
      <c r="Q236" s="526"/>
      <c r="R236" s="522"/>
    </row>
    <row r="237" spans="1:18" ht="47.1" customHeight="1">
      <c r="A237" s="336"/>
      <c r="B237" s="412">
        <v>8.25</v>
      </c>
      <c r="C237" s="532" t="s">
        <v>1391</v>
      </c>
      <c r="D237" s="533" t="s">
        <v>1392</v>
      </c>
      <c r="E237" s="534">
        <v>4</v>
      </c>
      <c r="F237" s="268" t="s">
        <v>402</v>
      </c>
      <c r="G237" s="534">
        <v>2484</v>
      </c>
      <c r="H237" s="269">
        <f t="shared" si="136"/>
        <v>2322.3115887479998</v>
      </c>
      <c r="I237" s="269">
        <f t="shared" si="137"/>
        <v>9289.2463549919994</v>
      </c>
      <c r="J237" s="534">
        <v>115</v>
      </c>
      <c r="K237" s="267">
        <f t="shared" ref="K237:K242" si="141">J237*O237</f>
        <v>107.514425405</v>
      </c>
      <c r="L237" s="270">
        <f t="shared" ref="L237:L242" si="142">E237*K237</f>
        <v>430.05770161999999</v>
      </c>
      <c r="M237" s="270">
        <f t="shared" si="140"/>
        <v>9719.3040566119998</v>
      </c>
      <c r="N237" s="281"/>
      <c r="O237" s="1163">
        <v>0.93490804699999996</v>
      </c>
      <c r="Q237" s="526"/>
      <c r="R237" s="522"/>
    </row>
    <row r="238" spans="1:18" ht="47.1" customHeight="1">
      <c r="A238" s="336"/>
      <c r="B238" s="412">
        <v>8.26</v>
      </c>
      <c r="C238" s="532" t="s">
        <v>1393</v>
      </c>
      <c r="D238" s="533" t="s">
        <v>1394</v>
      </c>
      <c r="E238" s="534">
        <v>3</v>
      </c>
      <c r="F238" s="268" t="s">
        <v>402</v>
      </c>
      <c r="G238" s="534">
        <v>12665</v>
      </c>
      <c r="H238" s="269">
        <f t="shared" si="136"/>
        <v>11840.610415255</v>
      </c>
      <c r="I238" s="269">
        <f t="shared" si="137"/>
        <v>35521.831245765003</v>
      </c>
      <c r="J238" s="534">
        <v>115</v>
      </c>
      <c r="K238" s="267">
        <f t="shared" si="141"/>
        <v>107.514425405</v>
      </c>
      <c r="L238" s="270">
        <f t="shared" si="142"/>
        <v>322.54327621499999</v>
      </c>
      <c r="M238" s="270">
        <f t="shared" si="140"/>
        <v>35844.374521980004</v>
      </c>
      <c r="N238" s="281"/>
      <c r="O238" s="1163">
        <v>0.93490804699999996</v>
      </c>
      <c r="Q238" s="526"/>
      <c r="R238" s="522"/>
    </row>
    <row r="239" spans="1:18" ht="18.95" customHeight="1">
      <c r="A239" s="336"/>
      <c r="B239" s="412">
        <v>8.27</v>
      </c>
      <c r="C239" s="532" t="s">
        <v>1395</v>
      </c>
      <c r="D239" s="533" t="s">
        <v>1396</v>
      </c>
      <c r="E239" s="534">
        <v>4</v>
      </c>
      <c r="F239" s="268" t="s">
        <v>1079</v>
      </c>
      <c r="G239" s="534">
        <v>927</v>
      </c>
      <c r="H239" s="269">
        <f t="shared" si="136"/>
        <v>866.65975956900002</v>
      </c>
      <c r="I239" s="269">
        <f t="shared" si="137"/>
        <v>3466.6390382760001</v>
      </c>
      <c r="J239" s="534">
        <v>115</v>
      </c>
      <c r="K239" s="267">
        <f t="shared" si="141"/>
        <v>107.514425405</v>
      </c>
      <c r="L239" s="270">
        <f t="shared" si="142"/>
        <v>430.05770161999999</v>
      </c>
      <c r="M239" s="270">
        <f t="shared" si="140"/>
        <v>3896.6967398960001</v>
      </c>
      <c r="N239" s="281"/>
      <c r="O239" s="1163">
        <v>0.93490804699999996</v>
      </c>
      <c r="Q239" s="526"/>
      <c r="R239" s="522"/>
    </row>
    <row r="240" spans="1:18" ht="47.1" customHeight="1">
      <c r="A240" s="336"/>
      <c r="B240" s="412">
        <v>8.2799999999999994</v>
      </c>
      <c r="C240" s="532" t="s">
        <v>1397</v>
      </c>
      <c r="D240" s="533" t="s">
        <v>1398</v>
      </c>
      <c r="E240" s="534">
        <v>2</v>
      </c>
      <c r="F240" s="268" t="s">
        <v>402</v>
      </c>
      <c r="G240" s="534">
        <v>3502</v>
      </c>
      <c r="H240" s="269">
        <f t="shared" si="136"/>
        <v>3274.0479805939999</v>
      </c>
      <c r="I240" s="269">
        <f t="shared" si="137"/>
        <v>6548.0959611879998</v>
      </c>
      <c r="J240" s="534">
        <v>165</v>
      </c>
      <c r="K240" s="267">
        <f t="shared" si="141"/>
        <v>154.259827755</v>
      </c>
      <c r="L240" s="270">
        <f t="shared" si="142"/>
        <v>308.51965551000001</v>
      </c>
      <c r="M240" s="270">
        <f t="shared" si="140"/>
        <v>6856.6156166979999</v>
      </c>
      <c r="N240" s="281"/>
      <c r="O240" s="1163">
        <v>0.93490804699999996</v>
      </c>
      <c r="Q240" s="526"/>
      <c r="R240" s="522"/>
    </row>
    <row r="241" spans="1:18" ht="47.1" customHeight="1">
      <c r="A241" s="336"/>
      <c r="B241" s="412">
        <v>8.2899999999999991</v>
      </c>
      <c r="C241" s="532" t="s">
        <v>1399</v>
      </c>
      <c r="D241" s="533" t="s">
        <v>1400</v>
      </c>
      <c r="E241" s="534">
        <v>63</v>
      </c>
      <c r="F241" s="268" t="s">
        <v>402</v>
      </c>
      <c r="G241" s="534">
        <v>1350</v>
      </c>
      <c r="H241" s="269">
        <f t="shared" si="136"/>
        <v>1262.12586345</v>
      </c>
      <c r="I241" s="269">
        <f t="shared" si="137"/>
        <v>79513.929397350003</v>
      </c>
      <c r="J241" s="534">
        <v>115</v>
      </c>
      <c r="K241" s="267">
        <f t="shared" si="141"/>
        <v>107.514425405</v>
      </c>
      <c r="L241" s="270">
        <f t="shared" si="142"/>
        <v>6773.4088005149997</v>
      </c>
      <c r="M241" s="270">
        <f t="shared" si="140"/>
        <v>86287.338197865</v>
      </c>
      <c r="N241" s="281"/>
      <c r="O241" s="1163">
        <v>0.93490804699999996</v>
      </c>
      <c r="Q241" s="526"/>
      <c r="R241" s="522"/>
    </row>
    <row r="242" spans="1:18" ht="47.1" customHeight="1">
      <c r="A242" s="336"/>
      <c r="B242" s="537">
        <v>8.3000000000000007</v>
      </c>
      <c r="C242" s="532" t="s">
        <v>1401</v>
      </c>
      <c r="D242" s="533" t="s">
        <v>1402</v>
      </c>
      <c r="E242" s="534">
        <v>24</v>
      </c>
      <c r="F242" s="268" t="s">
        <v>402</v>
      </c>
      <c r="G242" s="534">
        <v>12665</v>
      </c>
      <c r="H242" s="269">
        <f t="shared" si="136"/>
        <v>11840.610415255</v>
      </c>
      <c r="I242" s="269">
        <f t="shared" si="137"/>
        <v>284174.64996612002</v>
      </c>
      <c r="J242" s="534">
        <v>115</v>
      </c>
      <c r="K242" s="267">
        <f t="shared" si="141"/>
        <v>107.514425405</v>
      </c>
      <c r="L242" s="270">
        <f t="shared" si="142"/>
        <v>2580.3462097199999</v>
      </c>
      <c r="M242" s="270">
        <f t="shared" si="140"/>
        <v>286754.99617584003</v>
      </c>
      <c r="N242" s="281"/>
      <c r="O242" s="1163">
        <v>0.93490804699999996</v>
      </c>
      <c r="Q242" s="526"/>
      <c r="R242" s="522"/>
    </row>
    <row r="243" spans="1:18" ht="18.75" customHeight="1">
      <c r="A243" s="336"/>
      <c r="B243" s="537"/>
      <c r="C243" s="532"/>
      <c r="D243" s="533"/>
      <c r="E243" s="534"/>
      <c r="F243" s="268"/>
      <c r="G243" s="534"/>
      <c r="H243" s="269"/>
      <c r="I243" s="269"/>
      <c r="J243" s="534"/>
      <c r="K243" s="267"/>
      <c r="L243" s="270"/>
      <c r="M243" s="270"/>
      <c r="N243" s="281"/>
      <c r="O243" s="1163"/>
      <c r="Q243" s="526"/>
      <c r="R243" s="522"/>
    </row>
    <row r="244" spans="1:18" ht="18.95" customHeight="1">
      <c r="A244" s="336"/>
      <c r="B244" s="527" t="s">
        <v>1403</v>
      </c>
      <c r="C244" s="532"/>
      <c r="D244" s="533"/>
      <c r="E244" s="534"/>
      <c r="F244" s="268"/>
      <c r="G244" s="534"/>
      <c r="H244" s="269">
        <f t="shared" si="136"/>
        <v>0</v>
      </c>
      <c r="I244" s="269">
        <f t="shared" si="137"/>
        <v>0</v>
      </c>
      <c r="J244" s="285"/>
      <c r="K244" s="285"/>
      <c r="L244" s="270"/>
      <c r="M244" s="270"/>
      <c r="N244" s="281"/>
      <c r="O244" s="1163">
        <v>0.93490804699999996</v>
      </c>
      <c r="Q244" s="526"/>
      <c r="R244" s="522"/>
    </row>
    <row r="245" spans="1:18" ht="47.1" customHeight="1">
      <c r="A245" s="336"/>
      <c r="B245" s="412">
        <v>8.31</v>
      </c>
      <c r="C245" s="532" t="s">
        <v>1404</v>
      </c>
      <c r="D245" s="533" t="s">
        <v>1405</v>
      </c>
      <c r="E245" s="534">
        <v>4</v>
      </c>
      <c r="F245" s="268" t="s">
        <v>402</v>
      </c>
      <c r="G245" s="534">
        <v>1188</v>
      </c>
      <c r="H245" s="269">
        <f t="shared" si="136"/>
        <v>1110.6707598359999</v>
      </c>
      <c r="I245" s="269">
        <f t="shared" si="137"/>
        <v>4442.6830393439996</v>
      </c>
      <c r="J245" s="534">
        <v>115</v>
      </c>
      <c r="K245" s="267">
        <f t="shared" ref="K245:K272" si="143">J245*O245</f>
        <v>107.514425405</v>
      </c>
      <c r="L245" s="270">
        <f t="shared" ref="L245:L272" si="144">E245*K245</f>
        <v>430.05770161999999</v>
      </c>
      <c r="M245" s="270">
        <f t="shared" ref="M245:M275" si="145">I245+L245</f>
        <v>4872.740740964</v>
      </c>
      <c r="N245" s="281"/>
      <c r="O245" s="1163">
        <v>0.93490804699999996</v>
      </c>
      <c r="Q245" s="526"/>
      <c r="R245" s="522"/>
    </row>
    <row r="246" spans="1:18" ht="47.1" customHeight="1">
      <c r="A246" s="336"/>
      <c r="B246" s="412">
        <v>8.32</v>
      </c>
      <c r="C246" s="532" t="s">
        <v>1406</v>
      </c>
      <c r="D246" s="533" t="s">
        <v>1407</v>
      </c>
      <c r="E246" s="534">
        <v>22</v>
      </c>
      <c r="F246" s="268" t="s">
        <v>402</v>
      </c>
      <c r="G246" s="534">
        <v>1450</v>
      </c>
      <c r="H246" s="269">
        <f t="shared" si="136"/>
        <v>1355.6166681499999</v>
      </c>
      <c r="I246" s="269">
        <f t="shared" si="137"/>
        <v>29823.566699299998</v>
      </c>
      <c r="J246" s="534">
        <v>115</v>
      </c>
      <c r="K246" s="267">
        <f t="shared" si="143"/>
        <v>107.514425405</v>
      </c>
      <c r="L246" s="270">
        <f t="shared" si="144"/>
        <v>2365.3173589099997</v>
      </c>
      <c r="M246" s="270">
        <f t="shared" si="145"/>
        <v>32188.884058209998</v>
      </c>
      <c r="N246" s="281"/>
      <c r="O246" s="1163">
        <v>0.93490804699999996</v>
      </c>
      <c r="Q246" s="526"/>
      <c r="R246" s="522"/>
    </row>
    <row r="247" spans="1:18" ht="47.1" customHeight="1">
      <c r="A247" s="336"/>
      <c r="B247" s="412">
        <v>8.33</v>
      </c>
      <c r="C247" s="532" t="s">
        <v>1408</v>
      </c>
      <c r="D247" s="533" t="s">
        <v>1409</v>
      </c>
      <c r="E247" s="534">
        <v>17</v>
      </c>
      <c r="F247" s="268" t="s">
        <v>402</v>
      </c>
      <c r="G247" s="534">
        <v>1150</v>
      </c>
      <c r="H247" s="269">
        <f t="shared" si="136"/>
        <v>1075.14425405</v>
      </c>
      <c r="I247" s="269">
        <f t="shared" si="137"/>
        <v>18277.452318849999</v>
      </c>
      <c r="J247" s="534">
        <v>115</v>
      </c>
      <c r="K247" s="267">
        <f t="shared" si="143"/>
        <v>107.514425405</v>
      </c>
      <c r="L247" s="270">
        <f t="shared" si="144"/>
        <v>1827.7452318850001</v>
      </c>
      <c r="M247" s="270">
        <f t="shared" si="145"/>
        <v>20105.197550735</v>
      </c>
      <c r="N247" s="281"/>
      <c r="O247" s="1163">
        <v>0.93490804699999996</v>
      </c>
      <c r="Q247" s="526"/>
      <c r="R247" s="522"/>
    </row>
    <row r="248" spans="1:18" ht="47.1" customHeight="1">
      <c r="A248" s="336"/>
      <c r="B248" s="412">
        <v>8.34</v>
      </c>
      <c r="C248" s="532" t="s">
        <v>1410</v>
      </c>
      <c r="D248" s="533" t="s">
        <v>1411</v>
      </c>
      <c r="E248" s="534">
        <v>6</v>
      </c>
      <c r="F248" s="268" t="s">
        <v>402</v>
      </c>
      <c r="G248" s="534">
        <v>1150</v>
      </c>
      <c r="H248" s="269">
        <f t="shared" si="136"/>
        <v>1075.14425405</v>
      </c>
      <c r="I248" s="269">
        <f t="shared" si="137"/>
        <v>6450.8655242999994</v>
      </c>
      <c r="J248" s="534">
        <v>115</v>
      </c>
      <c r="K248" s="267">
        <f t="shared" si="143"/>
        <v>107.514425405</v>
      </c>
      <c r="L248" s="270">
        <f t="shared" si="144"/>
        <v>645.08655242999998</v>
      </c>
      <c r="M248" s="270">
        <f t="shared" si="145"/>
        <v>7095.9520767299991</v>
      </c>
      <c r="N248" s="281"/>
      <c r="O248" s="1163">
        <v>0.93490804699999996</v>
      </c>
      <c r="Q248" s="526"/>
      <c r="R248" s="522"/>
    </row>
    <row r="249" spans="1:18" ht="25.5" customHeight="1">
      <c r="A249" s="336"/>
      <c r="B249" s="412">
        <v>8.35</v>
      </c>
      <c r="C249" s="532" t="s">
        <v>1412</v>
      </c>
      <c r="D249" s="533" t="s">
        <v>1413</v>
      </c>
      <c r="E249" s="534">
        <v>6</v>
      </c>
      <c r="F249" s="268" t="s">
        <v>402</v>
      </c>
      <c r="G249" s="534">
        <v>1065</v>
      </c>
      <c r="H249" s="269">
        <f t="shared" si="136"/>
        <v>995.67707005499994</v>
      </c>
      <c r="I249" s="269">
        <f t="shared" si="137"/>
        <v>5974.0624203299994</v>
      </c>
      <c r="J249" s="534">
        <v>135</v>
      </c>
      <c r="K249" s="267">
        <f t="shared" si="143"/>
        <v>126.21258634499999</v>
      </c>
      <c r="L249" s="270">
        <f t="shared" si="144"/>
        <v>757.27551806999998</v>
      </c>
      <c r="M249" s="270">
        <f t="shared" si="145"/>
        <v>6731.3379383999991</v>
      </c>
      <c r="N249" s="281"/>
      <c r="O249" s="1163">
        <v>0.93490804699999996</v>
      </c>
      <c r="Q249" s="526"/>
      <c r="R249" s="522"/>
    </row>
    <row r="250" spans="1:18" ht="47.1" customHeight="1">
      <c r="A250" s="336"/>
      <c r="B250" s="412">
        <v>8.36</v>
      </c>
      <c r="C250" s="532" t="s">
        <v>1414</v>
      </c>
      <c r="D250" s="533" t="s">
        <v>1415</v>
      </c>
      <c r="E250" s="534">
        <v>2</v>
      </c>
      <c r="F250" s="268" t="s">
        <v>402</v>
      </c>
      <c r="G250" s="534">
        <v>11345</v>
      </c>
      <c r="H250" s="269">
        <f t="shared" si="136"/>
        <v>10606.531793214999</v>
      </c>
      <c r="I250" s="269">
        <f t="shared" si="137"/>
        <v>21213.063586429998</v>
      </c>
      <c r="J250" s="534">
        <v>135</v>
      </c>
      <c r="K250" s="267">
        <f t="shared" si="143"/>
        <v>126.21258634499999</v>
      </c>
      <c r="L250" s="270">
        <f t="shared" si="144"/>
        <v>252.42517268999998</v>
      </c>
      <c r="M250" s="270">
        <f t="shared" si="145"/>
        <v>21465.488759119999</v>
      </c>
      <c r="N250" s="281"/>
      <c r="O250" s="1163">
        <v>0.93490804699999996</v>
      </c>
      <c r="Q250" s="526"/>
      <c r="R250" s="522"/>
    </row>
    <row r="251" spans="1:18" ht="47.1" customHeight="1">
      <c r="A251" s="336"/>
      <c r="B251" s="412">
        <v>8.3699999999999992</v>
      </c>
      <c r="C251" s="532" t="s">
        <v>1416</v>
      </c>
      <c r="D251" s="533" t="s">
        <v>1417</v>
      </c>
      <c r="E251" s="534">
        <v>31</v>
      </c>
      <c r="F251" s="268" t="s">
        <v>402</v>
      </c>
      <c r="G251" s="534">
        <v>2101.5</v>
      </c>
      <c r="H251" s="269">
        <f t="shared" si="136"/>
        <v>1964.7092607704999</v>
      </c>
      <c r="I251" s="269">
        <f t="shared" si="137"/>
        <v>60905.987083885499</v>
      </c>
      <c r="J251" s="534">
        <v>115</v>
      </c>
      <c r="K251" s="267">
        <f t="shared" si="143"/>
        <v>107.514425405</v>
      </c>
      <c r="L251" s="270">
        <f t="shared" si="144"/>
        <v>3332.9471875549998</v>
      </c>
      <c r="M251" s="270">
        <f t="shared" si="145"/>
        <v>64238.934271440499</v>
      </c>
      <c r="N251" s="281"/>
      <c r="O251" s="1163">
        <v>0.93490804699999996</v>
      </c>
      <c r="Q251" s="526"/>
      <c r="R251" s="522"/>
    </row>
    <row r="252" spans="1:18" ht="47.1" customHeight="1">
      <c r="A252" s="336"/>
      <c r="B252" s="412">
        <v>8.3800000000000008</v>
      </c>
      <c r="C252" s="532" t="s">
        <v>1418</v>
      </c>
      <c r="D252" s="533" t="s">
        <v>1419</v>
      </c>
      <c r="E252" s="534">
        <v>50</v>
      </c>
      <c r="F252" s="268" t="s">
        <v>402</v>
      </c>
      <c r="G252" s="534">
        <v>2101.5</v>
      </c>
      <c r="H252" s="269">
        <f t="shared" si="136"/>
        <v>1964.7092607704999</v>
      </c>
      <c r="I252" s="269">
        <f t="shared" si="137"/>
        <v>98235.463038524991</v>
      </c>
      <c r="J252" s="534">
        <v>115</v>
      </c>
      <c r="K252" s="267">
        <f t="shared" si="143"/>
        <v>107.514425405</v>
      </c>
      <c r="L252" s="270">
        <f t="shared" si="144"/>
        <v>5375.7212702500001</v>
      </c>
      <c r="M252" s="270">
        <f t="shared" si="145"/>
        <v>103611.18430877499</v>
      </c>
      <c r="N252" s="281"/>
      <c r="O252" s="1163">
        <v>0.93490804699999996</v>
      </c>
      <c r="Q252" s="526"/>
      <c r="R252" s="522"/>
    </row>
    <row r="253" spans="1:18" ht="47.1" customHeight="1">
      <c r="A253" s="336"/>
      <c r="B253" s="412">
        <v>8.39</v>
      </c>
      <c r="C253" s="532" t="s">
        <v>1420</v>
      </c>
      <c r="D253" s="533" t="s">
        <v>1421</v>
      </c>
      <c r="E253" s="534">
        <v>28</v>
      </c>
      <c r="F253" s="268" t="s">
        <v>402</v>
      </c>
      <c r="G253" s="534">
        <v>958.5</v>
      </c>
      <c r="H253" s="269">
        <f t="shared" si="136"/>
        <v>896.10936304949996</v>
      </c>
      <c r="I253" s="269">
        <f t="shared" si="137"/>
        <v>25091.062165386</v>
      </c>
      <c r="J253" s="534">
        <v>115</v>
      </c>
      <c r="K253" s="267">
        <f t="shared" si="143"/>
        <v>107.514425405</v>
      </c>
      <c r="L253" s="270">
        <f t="shared" si="144"/>
        <v>3010.4039113399999</v>
      </c>
      <c r="M253" s="270">
        <f t="shared" si="145"/>
        <v>28101.466076725999</v>
      </c>
      <c r="N253" s="281"/>
      <c r="O253" s="1163">
        <v>0.93490804699999996</v>
      </c>
      <c r="Q253" s="526"/>
      <c r="R253" s="522"/>
    </row>
    <row r="254" spans="1:18" ht="47.1" customHeight="1">
      <c r="A254" s="336"/>
      <c r="B254" s="537">
        <v>8.4</v>
      </c>
      <c r="C254" s="532" t="s">
        <v>1422</v>
      </c>
      <c r="D254" s="533" t="s">
        <v>1423</v>
      </c>
      <c r="E254" s="534">
        <v>20</v>
      </c>
      <c r="F254" s="268" t="s">
        <v>402</v>
      </c>
      <c r="G254" s="534">
        <v>958.5</v>
      </c>
      <c r="H254" s="269">
        <f t="shared" si="136"/>
        <v>896.10936304949996</v>
      </c>
      <c r="I254" s="269">
        <f t="shared" si="137"/>
        <v>17922.187260989998</v>
      </c>
      <c r="J254" s="534">
        <v>115</v>
      </c>
      <c r="K254" s="267">
        <f t="shared" si="143"/>
        <v>107.514425405</v>
      </c>
      <c r="L254" s="270">
        <f t="shared" si="144"/>
        <v>2150.2885080999999</v>
      </c>
      <c r="M254" s="270">
        <f t="shared" si="145"/>
        <v>20072.475769089997</v>
      </c>
      <c r="N254" s="281"/>
      <c r="O254" s="1163">
        <v>0.93490804699999996</v>
      </c>
      <c r="Q254" s="526"/>
      <c r="R254" s="522"/>
    </row>
    <row r="255" spans="1:18" ht="18.95" customHeight="1">
      <c r="A255" s="336"/>
      <c r="B255" s="412">
        <v>8.41</v>
      </c>
      <c r="C255" s="532" t="s">
        <v>1424</v>
      </c>
      <c r="D255" s="533" t="s">
        <v>1425</v>
      </c>
      <c r="E255" s="534">
        <v>17</v>
      </c>
      <c r="F255" s="268" t="s">
        <v>402</v>
      </c>
      <c r="G255" s="534">
        <v>270</v>
      </c>
      <c r="H255" s="269">
        <f t="shared" si="136"/>
        <v>252.42517268999998</v>
      </c>
      <c r="I255" s="269">
        <f t="shared" si="137"/>
        <v>4291.2279357299994</v>
      </c>
      <c r="J255" s="534">
        <v>115</v>
      </c>
      <c r="K255" s="267">
        <f t="shared" si="143"/>
        <v>107.514425405</v>
      </c>
      <c r="L255" s="270">
        <f t="shared" si="144"/>
        <v>1827.7452318850001</v>
      </c>
      <c r="M255" s="270">
        <f t="shared" si="145"/>
        <v>6118.9731676149995</v>
      </c>
      <c r="N255" s="281"/>
      <c r="O255" s="1163">
        <v>0.93490804699999996</v>
      </c>
      <c r="Q255" s="526"/>
      <c r="R255" s="522"/>
    </row>
    <row r="256" spans="1:18" ht="18.95" customHeight="1">
      <c r="A256" s="336"/>
      <c r="B256" s="412">
        <v>8.42</v>
      </c>
      <c r="C256" s="532" t="s">
        <v>1426</v>
      </c>
      <c r="D256" s="533" t="s">
        <v>1427</v>
      </c>
      <c r="E256" s="534">
        <v>7</v>
      </c>
      <c r="F256" s="268" t="s">
        <v>402</v>
      </c>
      <c r="G256" s="534">
        <v>504</v>
      </c>
      <c r="H256" s="269">
        <f t="shared" si="136"/>
        <v>471.19365568799998</v>
      </c>
      <c r="I256" s="269">
        <f t="shared" si="137"/>
        <v>3298.3555898159998</v>
      </c>
      <c r="J256" s="534">
        <v>115</v>
      </c>
      <c r="K256" s="267">
        <f t="shared" si="143"/>
        <v>107.514425405</v>
      </c>
      <c r="L256" s="270">
        <f t="shared" si="144"/>
        <v>752.60097783499998</v>
      </c>
      <c r="M256" s="270">
        <f t="shared" si="145"/>
        <v>4050.9565676509997</v>
      </c>
      <c r="N256" s="281"/>
      <c r="O256" s="1163">
        <v>0.93490804699999996</v>
      </c>
      <c r="Q256" s="526"/>
      <c r="R256" s="522"/>
    </row>
    <row r="257" spans="1:18" ht="18.95" customHeight="1">
      <c r="A257" s="336"/>
      <c r="B257" s="412">
        <v>8.43</v>
      </c>
      <c r="C257" s="532" t="s">
        <v>1428</v>
      </c>
      <c r="D257" s="533" t="s">
        <v>1429</v>
      </c>
      <c r="E257" s="534">
        <v>1</v>
      </c>
      <c r="F257" s="268" t="s">
        <v>402</v>
      </c>
      <c r="G257" s="534">
        <v>504</v>
      </c>
      <c r="H257" s="269">
        <f t="shared" si="136"/>
        <v>471.19365568799998</v>
      </c>
      <c r="I257" s="269">
        <f t="shared" si="137"/>
        <v>471.19365568799998</v>
      </c>
      <c r="J257" s="534">
        <v>115</v>
      </c>
      <c r="K257" s="267">
        <f t="shared" si="143"/>
        <v>107.514425405</v>
      </c>
      <c r="L257" s="270">
        <f t="shared" si="144"/>
        <v>107.514425405</v>
      </c>
      <c r="M257" s="270">
        <f t="shared" si="145"/>
        <v>578.70808109299992</v>
      </c>
      <c r="N257" s="281"/>
      <c r="O257" s="1163">
        <v>0.93490804699999996</v>
      </c>
      <c r="Q257" s="526"/>
      <c r="R257" s="522"/>
    </row>
    <row r="258" spans="1:18" ht="18.95" customHeight="1">
      <c r="A258" s="336"/>
      <c r="B258" s="412">
        <v>8.44</v>
      </c>
      <c r="C258" s="532" t="s">
        <v>1430</v>
      </c>
      <c r="D258" s="533" t="s">
        <v>1431</v>
      </c>
      <c r="E258" s="534">
        <v>14</v>
      </c>
      <c r="F258" s="268" t="s">
        <v>402</v>
      </c>
      <c r="G258" s="534">
        <v>504</v>
      </c>
      <c r="H258" s="269">
        <f t="shared" si="136"/>
        <v>471.19365568799998</v>
      </c>
      <c r="I258" s="269">
        <f t="shared" si="137"/>
        <v>6596.7111796319996</v>
      </c>
      <c r="J258" s="534">
        <v>115</v>
      </c>
      <c r="K258" s="267">
        <f t="shared" si="143"/>
        <v>107.514425405</v>
      </c>
      <c r="L258" s="270">
        <f t="shared" si="144"/>
        <v>1505.20195567</v>
      </c>
      <c r="M258" s="270">
        <f t="shared" si="145"/>
        <v>8101.9131353019993</v>
      </c>
      <c r="N258" s="281"/>
      <c r="O258" s="1163">
        <v>0.93490804699999996</v>
      </c>
      <c r="Q258" s="526"/>
      <c r="R258" s="522"/>
    </row>
    <row r="259" spans="1:18" ht="18.95" customHeight="1">
      <c r="A259" s="336"/>
      <c r="B259" s="412">
        <v>8.4499999999999993</v>
      </c>
      <c r="C259" s="532" t="s">
        <v>1432</v>
      </c>
      <c r="D259" s="533" t="s">
        <v>1433</v>
      </c>
      <c r="E259" s="534">
        <v>3</v>
      </c>
      <c r="F259" s="268" t="s">
        <v>402</v>
      </c>
      <c r="G259" s="534">
        <v>504</v>
      </c>
      <c r="H259" s="269">
        <f t="shared" si="136"/>
        <v>471.19365568799998</v>
      </c>
      <c r="I259" s="269">
        <f t="shared" si="137"/>
        <v>1413.5809670639999</v>
      </c>
      <c r="J259" s="534">
        <v>115</v>
      </c>
      <c r="K259" s="267">
        <f t="shared" si="143"/>
        <v>107.514425405</v>
      </c>
      <c r="L259" s="270">
        <f t="shared" si="144"/>
        <v>322.54327621499999</v>
      </c>
      <c r="M259" s="270">
        <f t="shared" si="145"/>
        <v>1736.124243279</v>
      </c>
      <c r="N259" s="281"/>
      <c r="O259" s="1163">
        <v>0.93490804699999996</v>
      </c>
      <c r="Q259" s="526"/>
      <c r="R259" s="522"/>
    </row>
    <row r="260" spans="1:18" ht="18.95" customHeight="1">
      <c r="A260" s="336"/>
      <c r="B260" s="412">
        <v>8.4600000000000009</v>
      </c>
      <c r="C260" s="532" t="s">
        <v>1434</v>
      </c>
      <c r="D260" s="533" t="s">
        <v>1435</v>
      </c>
      <c r="E260" s="534">
        <v>11</v>
      </c>
      <c r="F260" s="268" t="s">
        <v>402</v>
      </c>
      <c r="G260" s="534">
        <v>504</v>
      </c>
      <c r="H260" s="269">
        <f t="shared" si="136"/>
        <v>471.19365568799998</v>
      </c>
      <c r="I260" s="269">
        <f t="shared" si="137"/>
        <v>5183.1302125679995</v>
      </c>
      <c r="J260" s="534">
        <v>115</v>
      </c>
      <c r="K260" s="267">
        <f t="shared" si="143"/>
        <v>107.514425405</v>
      </c>
      <c r="L260" s="270">
        <f t="shared" si="144"/>
        <v>1182.6586794549999</v>
      </c>
      <c r="M260" s="270">
        <f t="shared" si="145"/>
        <v>6365.7888920229998</v>
      </c>
      <c r="N260" s="281"/>
      <c r="O260" s="1163">
        <v>0.93490804699999996</v>
      </c>
      <c r="Q260" s="526"/>
      <c r="R260" s="522"/>
    </row>
    <row r="261" spans="1:18" ht="18.95" customHeight="1">
      <c r="A261" s="336"/>
      <c r="B261" s="412">
        <v>8.4700000000000006</v>
      </c>
      <c r="C261" s="532" t="s">
        <v>1436</v>
      </c>
      <c r="D261" s="533" t="s">
        <v>1437</v>
      </c>
      <c r="E261" s="534">
        <v>15</v>
      </c>
      <c r="F261" s="268" t="s">
        <v>402</v>
      </c>
      <c r="G261" s="534">
        <v>864</v>
      </c>
      <c r="H261" s="269">
        <f t="shared" si="136"/>
        <v>807.76055260800001</v>
      </c>
      <c r="I261" s="269">
        <f t="shared" si="137"/>
        <v>12116.40828912</v>
      </c>
      <c r="J261" s="534">
        <v>115</v>
      </c>
      <c r="K261" s="267">
        <f t="shared" si="143"/>
        <v>107.514425405</v>
      </c>
      <c r="L261" s="270">
        <f t="shared" si="144"/>
        <v>1612.7163810749998</v>
      </c>
      <c r="M261" s="270">
        <f t="shared" si="145"/>
        <v>13729.124670195</v>
      </c>
      <c r="N261" s="281"/>
      <c r="O261" s="1163">
        <v>0.93490804699999996</v>
      </c>
      <c r="Q261" s="526"/>
      <c r="R261" s="522"/>
    </row>
    <row r="262" spans="1:18" ht="18.95" customHeight="1">
      <c r="A262" s="336"/>
      <c r="B262" s="412">
        <v>8.48</v>
      </c>
      <c r="C262" s="532" t="s">
        <v>1438</v>
      </c>
      <c r="D262" s="533" t="s">
        <v>1439</v>
      </c>
      <c r="E262" s="534">
        <v>2</v>
      </c>
      <c r="F262" s="268" t="s">
        <v>402</v>
      </c>
      <c r="G262" s="534">
        <v>864</v>
      </c>
      <c r="H262" s="269">
        <f t="shared" si="136"/>
        <v>807.76055260800001</v>
      </c>
      <c r="I262" s="269">
        <f t="shared" si="137"/>
        <v>1615.521105216</v>
      </c>
      <c r="J262" s="534">
        <v>115</v>
      </c>
      <c r="K262" s="267">
        <f t="shared" si="143"/>
        <v>107.514425405</v>
      </c>
      <c r="L262" s="270">
        <f t="shared" si="144"/>
        <v>215.02885080999999</v>
      </c>
      <c r="M262" s="270">
        <f t="shared" si="145"/>
        <v>1830.549956026</v>
      </c>
      <c r="N262" s="281"/>
      <c r="O262" s="1163">
        <v>0.93490804699999996</v>
      </c>
      <c r="Q262" s="526"/>
      <c r="R262" s="522"/>
    </row>
    <row r="263" spans="1:18" ht="18.95" customHeight="1">
      <c r="A263" s="336"/>
      <c r="B263" s="412">
        <v>8.49</v>
      </c>
      <c r="C263" s="532" t="s">
        <v>1440</v>
      </c>
      <c r="D263" s="533" t="s">
        <v>1441</v>
      </c>
      <c r="E263" s="534">
        <v>3</v>
      </c>
      <c r="F263" s="268" t="s">
        <v>402</v>
      </c>
      <c r="G263" s="534">
        <v>1008</v>
      </c>
      <c r="H263" s="269">
        <f t="shared" si="136"/>
        <v>942.38731137599996</v>
      </c>
      <c r="I263" s="269">
        <f t="shared" si="137"/>
        <v>2827.1619341279998</v>
      </c>
      <c r="J263" s="534">
        <v>115</v>
      </c>
      <c r="K263" s="267">
        <f t="shared" si="143"/>
        <v>107.514425405</v>
      </c>
      <c r="L263" s="270">
        <f t="shared" si="144"/>
        <v>322.54327621499999</v>
      </c>
      <c r="M263" s="270">
        <f t="shared" si="145"/>
        <v>3149.7052103429996</v>
      </c>
      <c r="N263" s="281"/>
      <c r="O263" s="1163">
        <v>0.93490804699999996</v>
      </c>
      <c r="Q263" s="526"/>
      <c r="R263" s="522"/>
    </row>
    <row r="264" spans="1:18" ht="47.1" customHeight="1">
      <c r="A264" s="336"/>
      <c r="B264" s="537">
        <v>8.5</v>
      </c>
      <c r="C264" s="532" t="s">
        <v>1442</v>
      </c>
      <c r="D264" s="533" t="s">
        <v>1443</v>
      </c>
      <c r="E264" s="534">
        <v>16</v>
      </c>
      <c r="F264" s="268" t="s">
        <v>402</v>
      </c>
      <c r="G264" s="534">
        <v>1800</v>
      </c>
      <c r="H264" s="269">
        <f t="shared" si="136"/>
        <v>1682.8344846</v>
      </c>
      <c r="I264" s="269">
        <f t="shared" si="137"/>
        <v>26925.3517536</v>
      </c>
      <c r="J264" s="534">
        <v>115</v>
      </c>
      <c r="K264" s="267">
        <f t="shared" si="143"/>
        <v>107.514425405</v>
      </c>
      <c r="L264" s="270">
        <f t="shared" si="144"/>
        <v>1720.23080648</v>
      </c>
      <c r="M264" s="270">
        <f t="shared" si="145"/>
        <v>28645.582560080002</v>
      </c>
      <c r="N264" s="281"/>
      <c r="O264" s="1163">
        <v>0.93490804699999996</v>
      </c>
      <c r="Q264" s="526"/>
      <c r="R264" s="522"/>
    </row>
    <row r="265" spans="1:18" ht="47.1" customHeight="1">
      <c r="A265" s="336"/>
      <c r="B265" s="412">
        <v>8.51</v>
      </c>
      <c r="C265" s="532" t="s">
        <v>1444</v>
      </c>
      <c r="D265" s="533" t="s">
        <v>1443</v>
      </c>
      <c r="E265" s="534">
        <v>1</v>
      </c>
      <c r="F265" s="268" t="s">
        <v>402</v>
      </c>
      <c r="G265" s="534">
        <v>3600</v>
      </c>
      <c r="H265" s="269">
        <f t="shared" si="136"/>
        <v>3365.6689692</v>
      </c>
      <c r="I265" s="269">
        <f t="shared" si="137"/>
        <v>3365.6689692</v>
      </c>
      <c r="J265" s="534">
        <v>115</v>
      </c>
      <c r="K265" s="267">
        <f t="shared" si="143"/>
        <v>107.514425405</v>
      </c>
      <c r="L265" s="270">
        <f t="shared" si="144"/>
        <v>107.514425405</v>
      </c>
      <c r="M265" s="270">
        <f t="shared" si="145"/>
        <v>3473.1833946050001</v>
      </c>
      <c r="N265" s="281"/>
      <c r="O265" s="1163">
        <v>0.93490804699999996</v>
      </c>
      <c r="Q265" s="526"/>
      <c r="R265" s="522"/>
    </row>
    <row r="266" spans="1:18" ht="47.1" customHeight="1">
      <c r="A266" s="336"/>
      <c r="B266" s="412">
        <v>8.52</v>
      </c>
      <c r="C266" s="532" t="s">
        <v>1445</v>
      </c>
      <c r="D266" s="533" t="s">
        <v>1443</v>
      </c>
      <c r="E266" s="534">
        <v>27</v>
      </c>
      <c r="F266" s="268" t="s">
        <v>402</v>
      </c>
      <c r="G266" s="534">
        <v>10822.5</v>
      </c>
      <c r="H266" s="269">
        <f t="shared" si="136"/>
        <v>10118.0423386575</v>
      </c>
      <c r="I266" s="269">
        <f t="shared" si="137"/>
        <v>273187.14314375253</v>
      </c>
      <c r="J266" s="534">
        <v>115</v>
      </c>
      <c r="K266" s="267">
        <f t="shared" si="143"/>
        <v>107.514425405</v>
      </c>
      <c r="L266" s="270">
        <f t="shared" si="144"/>
        <v>2902.8894859349998</v>
      </c>
      <c r="M266" s="270">
        <f t="shared" si="145"/>
        <v>276090.03262968751</v>
      </c>
      <c r="N266" s="281"/>
      <c r="O266" s="1163">
        <v>0.93490804699999996</v>
      </c>
      <c r="Q266" s="526"/>
      <c r="R266" s="522"/>
    </row>
    <row r="267" spans="1:18" ht="47.1" customHeight="1">
      <c r="A267" s="336"/>
      <c r="B267" s="412">
        <v>8.5299999999999994</v>
      </c>
      <c r="C267" s="532" t="s">
        <v>1446</v>
      </c>
      <c r="D267" s="533" t="s">
        <v>1447</v>
      </c>
      <c r="E267" s="534">
        <v>4</v>
      </c>
      <c r="F267" s="268" t="s">
        <v>402</v>
      </c>
      <c r="G267" s="534">
        <v>13522.5</v>
      </c>
      <c r="H267" s="269">
        <f t="shared" si="136"/>
        <v>12642.2940655575</v>
      </c>
      <c r="I267" s="269">
        <f t="shared" si="137"/>
        <v>50569.176262230001</v>
      </c>
      <c r="J267" s="534">
        <v>115</v>
      </c>
      <c r="K267" s="267">
        <f t="shared" si="143"/>
        <v>107.514425405</v>
      </c>
      <c r="L267" s="270">
        <f t="shared" si="144"/>
        <v>430.05770161999999</v>
      </c>
      <c r="M267" s="270">
        <f t="shared" si="145"/>
        <v>50999.233963849998</v>
      </c>
      <c r="N267" s="281"/>
      <c r="O267" s="1163">
        <v>0.93490804699999996</v>
      </c>
      <c r="Q267" s="526"/>
      <c r="R267" s="522"/>
    </row>
    <row r="268" spans="1:18" ht="47.1" customHeight="1">
      <c r="A268" s="336"/>
      <c r="B268" s="412">
        <v>8.5399999999999991</v>
      </c>
      <c r="C268" s="532" t="s">
        <v>1448</v>
      </c>
      <c r="D268" s="533" t="s">
        <v>1449</v>
      </c>
      <c r="E268" s="534">
        <v>16</v>
      </c>
      <c r="F268" s="268" t="s">
        <v>1079</v>
      </c>
      <c r="G268" s="534">
        <v>1767</v>
      </c>
      <c r="H268" s="269">
        <f t="shared" si="136"/>
        <v>1651.9825190489998</v>
      </c>
      <c r="I268" s="269">
        <f t="shared" si="137"/>
        <v>26431.720304783998</v>
      </c>
      <c r="J268" s="534">
        <v>115</v>
      </c>
      <c r="K268" s="267">
        <f t="shared" si="143"/>
        <v>107.514425405</v>
      </c>
      <c r="L268" s="270">
        <f t="shared" si="144"/>
        <v>1720.23080648</v>
      </c>
      <c r="M268" s="270">
        <f t="shared" si="145"/>
        <v>28151.951111263996</v>
      </c>
      <c r="N268" s="281"/>
      <c r="O268" s="1163">
        <v>0.93490804699999996</v>
      </c>
      <c r="Q268" s="526"/>
      <c r="R268" s="522"/>
    </row>
    <row r="269" spans="1:18" ht="47.1" customHeight="1">
      <c r="A269" s="336"/>
      <c r="B269" s="412">
        <v>8.5500000000000007</v>
      </c>
      <c r="C269" s="532" t="s">
        <v>1450</v>
      </c>
      <c r="D269" s="533" t="s">
        <v>1451</v>
      </c>
      <c r="E269" s="534">
        <v>9</v>
      </c>
      <c r="F269" s="268" t="s">
        <v>1079</v>
      </c>
      <c r="G269" s="534">
        <v>1250</v>
      </c>
      <c r="H269" s="269">
        <f t="shared" si="136"/>
        <v>1168.6350587499999</v>
      </c>
      <c r="I269" s="269">
        <f t="shared" si="137"/>
        <v>10517.715528749999</v>
      </c>
      <c r="J269" s="534">
        <v>115</v>
      </c>
      <c r="K269" s="267">
        <f t="shared" si="143"/>
        <v>107.514425405</v>
      </c>
      <c r="L269" s="270">
        <f t="shared" si="144"/>
        <v>967.62982864499998</v>
      </c>
      <c r="M269" s="270">
        <f t="shared" si="145"/>
        <v>11485.345357394999</v>
      </c>
      <c r="N269" s="281"/>
      <c r="O269" s="1163">
        <v>0.93490804699999996</v>
      </c>
      <c r="Q269" s="526"/>
      <c r="R269" s="522"/>
    </row>
    <row r="270" spans="1:18" ht="47.1" customHeight="1">
      <c r="A270" s="336"/>
      <c r="B270" s="412">
        <v>8.56</v>
      </c>
      <c r="C270" s="532" t="s">
        <v>1452</v>
      </c>
      <c r="D270" s="533" t="s">
        <v>1453</v>
      </c>
      <c r="E270" s="534">
        <v>61</v>
      </c>
      <c r="F270" s="268" t="s">
        <v>1079</v>
      </c>
      <c r="G270" s="534">
        <v>1817</v>
      </c>
      <c r="H270" s="269">
        <f t="shared" si="136"/>
        <v>1698.727921399</v>
      </c>
      <c r="I270" s="269">
        <f t="shared" si="137"/>
        <v>103622.403205339</v>
      </c>
      <c r="J270" s="534">
        <v>115</v>
      </c>
      <c r="K270" s="267">
        <f t="shared" si="143"/>
        <v>107.514425405</v>
      </c>
      <c r="L270" s="270">
        <f t="shared" si="144"/>
        <v>6558.3799497049995</v>
      </c>
      <c r="M270" s="270">
        <f t="shared" si="145"/>
        <v>110180.783155044</v>
      </c>
      <c r="N270" s="281"/>
      <c r="O270" s="1163">
        <v>0.93490804699999996</v>
      </c>
      <c r="Q270" s="526"/>
      <c r="R270" s="522"/>
    </row>
    <row r="271" spans="1:18" ht="47.1" customHeight="1">
      <c r="A271" s="336"/>
      <c r="B271" s="412">
        <v>8.57</v>
      </c>
      <c r="C271" s="532" t="s">
        <v>1454</v>
      </c>
      <c r="D271" s="533" t="s">
        <v>1455</v>
      </c>
      <c r="E271" s="534">
        <v>59</v>
      </c>
      <c r="F271" s="268" t="s">
        <v>1079</v>
      </c>
      <c r="G271" s="534">
        <v>1486</v>
      </c>
      <c r="H271" s="269">
        <f t="shared" si="136"/>
        <v>1389.273357842</v>
      </c>
      <c r="I271" s="269">
        <f t="shared" si="137"/>
        <v>81967.128112677994</v>
      </c>
      <c r="J271" s="534">
        <v>115</v>
      </c>
      <c r="K271" s="267">
        <f t="shared" si="143"/>
        <v>107.514425405</v>
      </c>
      <c r="L271" s="270">
        <f t="shared" si="144"/>
        <v>6343.3510988950002</v>
      </c>
      <c r="M271" s="270">
        <f t="shared" si="145"/>
        <v>88310.479211572994</v>
      </c>
      <c r="N271" s="281"/>
      <c r="O271" s="1163">
        <v>0.93490804699999996</v>
      </c>
      <c r="Q271" s="526"/>
      <c r="R271" s="522"/>
    </row>
    <row r="272" spans="1:18" ht="47.1" customHeight="1">
      <c r="A272" s="336"/>
      <c r="B272" s="412">
        <v>8.58</v>
      </c>
      <c r="C272" s="532" t="s">
        <v>1456</v>
      </c>
      <c r="D272" s="533" t="s">
        <v>1453</v>
      </c>
      <c r="E272" s="534">
        <v>12</v>
      </c>
      <c r="F272" s="268" t="s">
        <v>1079</v>
      </c>
      <c r="G272" s="534">
        <v>1767</v>
      </c>
      <c r="H272" s="269">
        <f t="shared" si="136"/>
        <v>1651.9825190489998</v>
      </c>
      <c r="I272" s="269">
        <f t="shared" si="137"/>
        <v>19823.790228587997</v>
      </c>
      <c r="J272" s="534">
        <v>115</v>
      </c>
      <c r="K272" s="267">
        <f t="shared" si="143"/>
        <v>107.514425405</v>
      </c>
      <c r="L272" s="270">
        <f t="shared" si="144"/>
        <v>1290.17310486</v>
      </c>
      <c r="M272" s="270">
        <f t="shared" si="145"/>
        <v>21113.963333447999</v>
      </c>
      <c r="N272" s="281"/>
      <c r="O272" s="1163">
        <v>0.93490804699999996</v>
      </c>
      <c r="Q272" s="526"/>
      <c r="R272" s="522"/>
    </row>
    <row r="273" spans="1:18" ht="47.1" customHeight="1">
      <c r="A273" s="336"/>
      <c r="B273" s="412">
        <v>8.59</v>
      </c>
      <c r="C273" s="532" t="s">
        <v>1457</v>
      </c>
      <c r="D273" s="533" t="s">
        <v>1458</v>
      </c>
      <c r="E273" s="534">
        <v>45</v>
      </c>
      <c r="F273" s="268" t="s">
        <v>1079</v>
      </c>
      <c r="G273" s="534">
        <v>1767</v>
      </c>
      <c r="H273" s="269">
        <f t="shared" si="136"/>
        <v>1651.9825190489998</v>
      </c>
      <c r="I273" s="269">
        <f t="shared" si="137"/>
        <v>74339.213357204993</v>
      </c>
      <c r="J273" s="534">
        <v>115</v>
      </c>
      <c r="K273" s="267">
        <f t="shared" ref="K273:K275" si="146">J273*O273</f>
        <v>107.514425405</v>
      </c>
      <c r="L273" s="270">
        <f t="shared" ref="L273:L275" si="147">E273*K273</f>
        <v>4838.1491432249995</v>
      </c>
      <c r="M273" s="270">
        <f t="shared" si="145"/>
        <v>79177.362500429997</v>
      </c>
      <c r="N273" s="281"/>
      <c r="O273" s="1163">
        <v>0.93490804699999996</v>
      </c>
      <c r="Q273" s="526"/>
      <c r="R273" s="522"/>
    </row>
    <row r="274" spans="1:18" ht="18.95" customHeight="1">
      <c r="A274" s="336"/>
      <c r="B274" s="537">
        <v>8.6</v>
      </c>
      <c r="C274" s="532" t="s">
        <v>1459</v>
      </c>
      <c r="D274" s="533" t="s">
        <v>1460</v>
      </c>
      <c r="E274" s="534">
        <v>20</v>
      </c>
      <c r="F274" s="268" t="s">
        <v>1079</v>
      </c>
      <c r="G274" s="534">
        <v>5125</v>
      </c>
      <c r="H274" s="269">
        <f t="shared" si="136"/>
        <v>4791.403740875</v>
      </c>
      <c r="I274" s="269">
        <f t="shared" si="137"/>
        <v>95828.074817500004</v>
      </c>
      <c r="J274" s="534">
        <v>115</v>
      </c>
      <c r="K274" s="267">
        <f t="shared" si="146"/>
        <v>107.514425405</v>
      </c>
      <c r="L274" s="270">
        <f t="shared" si="147"/>
        <v>2150.2885080999999</v>
      </c>
      <c r="M274" s="270">
        <f t="shared" si="145"/>
        <v>97978.363325600003</v>
      </c>
      <c r="N274" s="281"/>
      <c r="O274" s="1163">
        <v>0.93490804699999996</v>
      </c>
      <c r="Q274" s="526"/>
      <c r="R274" s="522"/>
    </row>
    <row r="275" spans="1:18" ht="18.95" customHeight="1">
      <c r="A275" s="336"/>
      <c r="B275" s="412">
        <v>8.61</v>
      </c>
      <c r="C275" s="532" t="s">
        <v>1461</v>
      </c>
      <c r="D275" s="533" t="s">
        <v>1462</v>
      </c>
      <c r="E275" s="534">
        <v>50</v>
      </c>
      <c r="F275" s="268" t="s">
        <v>1079</v>
      </c>
      <c r="G275" s="534">
        <v>1589</v>
      </c>
      <c r="H275" s="269">
        <f t="shared" si="136"/>
        <v>1485.5688866829998</v>
      </c>
      <c r="I275" s="269">
        <f t="shared" si="137"/>
        <v>74278.444334149986</v>
      </c>
      <c r="J275" s="534">
        <v>115</v>
      </c>
      <c r="K275" s="267">
        <f t="shared" si="146"/>
        <v>107.514425405</v>
      </c>
      <c r="L275" s="270">
        <f t="shared" si="147"/>
        <v>5375.7212702500001</v>
      </c>
      <c r="M275" s="270">
        <f t="shared" si="145"/>
        <v>79654.165604399983</v>
      </c>
      <c r="N275" s="281"/>
      <c r="O275" s="1163">
        <v>0.93490804699999996</v>
      </c>
      <c r="Q275" s="526"/>
      <c r="R275" s="522"/>
    </row>
    <row r="276" spans="1:18" ht="18.95" customHeight="1">
      <c r="A276" s="336"/>
      <c r="B276" s="527" t="s">
        <v>1463</v>
      </c>
      <c r="C276" s="532"/>
      <c r="D276" s="533"/>
      <c r="E276" s="534"/>
      <c r="F276" s="268"/>
      <c r="G276" s="534"/>
      <c r="H276" s="534"/>
      <c r="I276" s="535"/>
      <c r="J276" s="285"/>
      <c r="K276" s="285"/>
      <c r="L276" s="270"/>
      <c r="M276" s="270"/>
      <c r="N276" s="281"/>
      <c r="O276" s="1163">
        <v>0.93490804699999996</v>
      </c>
      <c r="Q276" s="526"/>
      <c r="R276" s="522"/>
    </row>
    <row r="277" spans="1:18" ht="47.1" customHeight="1">
      <c r="A277" s="336"/>
      <c r="B277" s="412">
        <v>8.6199999999999992</v>
      </c>
      <c r="C277" s="532" t="s">
        <v>1464</v>
      </c>
      <c r="D277" s="533" t="s">
        <v>1465</v>
      </c>
      <c r="E277" s="534">
        <v>3</v>
      </c>
      <c r="F277" s="268" t="s">
        <v>402</v>
      </c>
      <c r="G277" s="534">
        <v>4100</v>
      </c>
      <c r="H277" s="269">
        <f t="shared" ref="H277:H340" si="148">G277*O277</f>
        <v>3833.1229926999999</v>
      </c>
      <c r="I277" s="269">
        <f t="shared" ref="I277:I340" si="149">E277*H277</f>
        <v>11499.368978099999</v>
      </c>
      <c r="J277" s="534">
        <v>115</v>
      </c>
      <c r="K277" s="267">
        <f t="shared" ref="K277:K310" si="150">J277*O277</f>
        <v>107.514425405</v>
      </c>
      <c r="L277" s="270">
        <f t="shared" ref="L277:L310" si="151">E277*K277</f>
        <v>322.54327621499999</v>
      </c>
      <c r="M277" s="270">
        <f t="shared" ref="M277:M313" si="152">I277+L277</f>
        <v>11821.912254314999</v>
      </c>
      <c r="N277" s="281"/>
      <c r="O277" s="1163">
        <v>0.93490804699999996</v>
      </c>
      <c r="Q277" s="526"/>
      <c r="R277" s="522"/>
    </row>
    <row r="278" spans="1:18" ht="47.1" customHeight="1">
      <c r="A278" s="336"/>
      <c r="B278" s="412">
        <v>8.6300000000000008</v>
      </c>
      <c r="C278" s="532" t="s">
        <v>1466</v>
      </c>
      <c r="D278" s="533" t="s">
        <v>1467</v>
      </c>
      <c r="E278" s="534">
        <v>25</v>
      </c>
      <c r="F278" s="268" t="s">
        <v>402</v>
      </c>
      <c r="G278" s="534">
        <v>4100</v>
      </c>
      <c r="H278" s="269">
        <f t="shared" si="148"/>
        <v>3833.1229926999999</v>
      </c>
      <c r="I278" s="269">
        <f t="shared" si="149"/>
        <v>95828.074817500004</v>
      </c>
      <c r="J278" s="534">
        <v>115</v>
      </c>
      <c r="K278" s="267">
        <f t="shared" si="150"/>
        <v>107.514425405</v>
      </c>
      <c r="L278" s="270">
        <f t="shared" si="151"/>
        <v>2687.860635125</v>
      </c>
      <c r="M278" s="270">
        <f t="shared" si="152"/>
        <v>98515.93545262501</v>
      </c>
      <c r="N278" s="281"/>
      <c r="O278" s="1163">
        <v>0.93490804699999996</v>
      </c>
      <c r="Q278" s="526"/>
      <c r="R278" s="522"/>
    </row>
    <row r="279" spans="1:18" ht="47.1" customHeight="1">
      <c r="A279" s="336"/>
      <c r="B279" s="412">
        <v>8.64</v>
      </c>
      <c r="C279" s="532" t="s">
        <v>1468</v>
      </c>
      <c r="D279" s="533" t="s">
        <v>1469</v>
      </c>
      <c r="E279" s="534">
        <v>10</v>
      </c>
      <c r="F279" s="268" t="s">
        <v>402</v>
      </c>
      <c r="G279" s="534">
        <v>4100</v>
      </c>
      <c r="H279" s="269">
        <f t="shared" si="148"/>
        <v>3833.1229926999999</v>
      </c>
      <c r="I279" s="269">
        <f t="shared" si="149"/>
        <v>38331.229927</v>
      </c>
      <c r="J279" s="534">
        <v>115</v>
      </c>
      <c r="K279" s="267">
        <f t="shared" si="150"/>
        <v>107.514425405</v>
      </c>
      <c r="L279" s="270">
        <f t="shared" si="151"/>
        <v>1075.14425405</v>
      </c>
      <c r="M279" s="270">
        <f t="shared" si="152"/>
        <v>39406.37418105</v>
      </c>
      <c r="N279" s="281"/>
      <c r="O279" s="1163">
        <v>0.93490804699999996</v>
      </c>
      <c r="Q279" s="526"/>
      <c r="R279" s="522"/>
    </row>
    <row r="280" spans="1:18" ht="47.1" customHeight="1">
      <c r="A280" s="336"/>
      <c r="B280" s="412">
        <v>8.65</v>
      </c>
      <c r="C280" s="532" t="s">
        <v>1470</v>
      </c>
      <c r="D280" s="533" t="s">
        <v>1471</v>
      </c>
      <c r="E280" s="534">
        <v>10</v>
      </c>
      <c r="F280" s="268" t="s">
        <v>402</v>
      </c>
      <c r="G280" s="534">
        <v>4100</v>
      </c>
      <c r="H280" s="269">
        <f t="shared" si="148"/>
        <v>3833.1229926999999</v>
      </c>
      <c r="I280" s="269">
        <f t="shared" si="149"/>
        <v>38331.229927</v>
      </c>
      <c r="J280" s="534">
        <v>115</v>
      </c>
      <c r="K280" s="267">
        <f t="shared" si="150"/>
        <v>107.514425405</v>
      </c>
      <c r="L280" s="270">
        <f t="shared" si="151"/>
        <v>1075.14425405</v>
      </c>
      <c r="M280" s="270">
        <f t="shared" si="152"/>
        <v>39406.37418105</v>
      </c>
      <c r="N280" s="281"/>
      <c r="O280" s="1163">
        <v>0.93490804699999996</v>
      </c>
      <c r="Q280" s="526"/>
      <c r="R280" s="522"/>
    </row>
    <row r="281" spans="1:18" ht="47.1" customHeight="1">
      <c r="A281" s="336"/>
      <c r="B281" s="412">
        <v>8.66</v>
      </c>
      <c r="C281" s="532" t="s">
        <v>1472</v>
      </c>
      <c r="D281" s="533" t="s">
        <v>1473</v>
      </c>
      <c r="E281" s="534">
        <v>8</v>
      </c>
      <c r="F281" s="268" t="s">
        <v>402</v>
      </c>
      <c r="G281" s="534">
        <v>1450</v>
      </c>
      <c r="H281" s="269">
        <f t="shared" si="148"/>
        <v>1355.6166681499999</v>
      </c>
      <c r="I281" s="269">
        <f t="shared" si="149"/>
        <v>10844.933345199999</v>
      </c>
      <c r="J281" s="534">
        <v>115</v>
      </c>
      <c r="K281" s="267">
        <f t="shared" si="150"/>
        <v>107.514425405</v>
      </c>
      <c r="L281" s="270">
        <f t="shared" si="151"/>
        <v>860.11540323999998</v>
      </c>
      <c r="M281" s="270">
        <f t="shared" si="152"/>
        <v>11705.04874844</v>
      </c>
      <c r="N281" s="281"/>
      <c r="O281" s="1163">
        <v>0.93490804699999996</v>
      </c>
      <c r="Q281" s="526"/>
      <c r="R281" s="522"/>
    </row>
    <row r="282" spans="1:18" ht="47.1" customHeight="1">
      <c r="A282" s="336"/>
      <c r="B282" s="412">
        <v>8.67</v>
      </c>
      <c r="C282" s="532" t="s">
        <v>1474</v>
      </c>
      <c r="D282" s="533" t="s">
        <v>1475</v>
      </c>
      <c r="E282" s="534">
        <v>3</v>
      </c>
      <c r="F282" s="268" t="s">
        <v>402</v>
      </c>
      <c r="G282" s="534">
        <v>2250</v>
      </c>
      <c r="H282" s="269">
        <f t="shared" si="148"/>
        <v>2103.54310575</v>
      </c>
      <c r="I282" s="269">
        <f t="shared" si="149"/>
        <v>6310.62931725</v>
      </c>
      <c r="J282" s="534">
        <v>115</v>
      </c>
      <c r="K282" s="267">
        <f t="shared" si="150"/>
        <v>107.514425405</v>
      </c>
      <c r="L282" s="270">
        <f t="shared" si="151"/>
        <v>322.54327621499999</v>
      </c>
      <c r="M282" s="270">
        <f t="shared" si="152"/>
        <v>6633.1725934650003</v>
      </c>
      <c r="N282" s="281"/>
      <c r="O282" s="1163">
        <v>0.93490804699999996</v>
      </c>
      <c r="Q282" s="526"/>
      <c r="R282" s="522"/>
    </row>
    <row r="283" spans="1:18" ht="47.1" customHeight="1">
      <c r="A283" s="336"/>
      <c r="B283" s="412">
        <v>8.68</v>
      </c>
      <c r="C283" s="532" t="s">
        <v>1476</v>
      </c>
      <c r="D283" s="533" t="s">
        <v>1477</v>
      </c>
      <c r="E283" s="534">
        <v>130</v>
      </c>
      <c r="F283" s="268" t="s">
        <v>402</v>
      </c>
      <c r="G283" s="534">
        <v>1450</v>
      </c>
      <c r="H283" s="269">
        <f t="shared" si="148"/>
        <v>1355.6166681499999</v>
      </c>
      <c r="I283" s="269">
        <f t="shared" si="149"/>
        <v>176230.16685949999</v>
      </c>
      <c r="J283" s="534">
        <v>115</v>
      </c>
      <c r="K283" s="267">
        <f t="shared" si="150"/>
        <v>107.514425405</v>
      </c>
      <c r="L283" s="270">
        <f t="shared" si="151"/>
        <v>13976.87530265</v>
      </c>
      <c r="M283" s="270">
        <f t="shared" si="152"/>
        <v>190207.04216215</v>
      </c>
      <c r="N283" s="281"/>
      <c r="O283" s="1163">
        <v>0.93490804699999996</v>
      </c>
      <c r="Q283" s="526"/>
      <c r="R283" s="522"/>
    </row>
    <row r="284" spans="1:18" ht="47.1" customHeight="1">
      <c r="A284" s="336"/>
      <c r="B284" s="412">
        <v>8.69</v>
      </c>
      <c r="C284" s="532" t="s">
        <v>1478</v>
      </c>
      <c r="D284" s="533" t="s">
        <v>1479</v>
      </c>
      <c r="E284" s="534">
        <v>17</v>
      </c>
      <c r="F284" s="268" t="s">
        <v>402</v>
      </c>
      <c r="G284" s="534">
        <v>2250</v>
      </c>
      <c r="H284" s="269">
        <f t="shared" si="148"/>
        <v>2103.54310575</v>
      </c>
      <c r="I284" s="269">
        <f t="shared" si="149"/>
        <v>35760.232797750003</v>
      </c>
      <c r="J284" s="534">
        <v>115</v>
      </c>
      <c r="K284" s="267">
        <f t="shared" si="150"/>
        <v>107.514425405</v>
      </c>
      <c r="L284" s="270">
        <f t="shared" si="151"/>
        <v>1827.7452318850001</v>
      </c>
      <c r="M284" s="270">
        <f t="shared" si="152"/>
        <v>37587.978029635</v>
      </c>
      <c r="N284" s="281"/>
      <c r="O284" s="1163">
        <v>0.93490804699999996</v>
      </c>
      <c r="Q284" s="526"/>
      <c r="R284" s="522"/>
    </row>
    <row r="285" spans="1:18" ht="47.1" customHeight="1">
      <c r="A285" s="336"/>
      <c r="B285" s="537">
        <v>8.6999999999999993</v>
      </c>
      <c r="C285" s="532" t="s">
        <v>1480</v>
      </c>
      <c r="D285" s="533" t="s">
        <v>1481</v>
      </c>
      <c r="E285" s="534">
        <v>11</v>
      </c>
      <c r="F285" s="268" t="s">
        <v>402</v>
      </c>
      <c r="G285" s="534">
        <v>2250</v>
      </c>
      <c r="H285" s="269">
        <f t="shared" si="148"/>
        <v>2103.54310575</v>
      </c>
      <c r="I285" s="269">
        <f t="shared" si="149"/>
        <v>23138.974163250001</v>
      </c>
      <c r="J285" s="534">
        <v>115</v>
      </c>
      <c r="K285" s="267">
        <f t="shared" si="150"/>
        <v>107.514425405</v>
      </c>
      <c r="L285" s="270">
        <f t="shared" si="151"/>
        <v>1182.6586794549999</v>
      </c>
      <c r="M285" s="270">
        <f t="shared" si="152"/>
        <v>24321.632842704999</v>
      </c>
      <c r="N285" s="281"/>
      <c r="O285" s="1163">
        <v>0.93490804699999996</v>
      </c>
      <c r="Q285" s="526"/>
      <c r="R285" s="522"/>
    </row>
    <row r="286" spans="1:18" ht="47.1" customHeight="1">
      <c r="A286" s="336"/>
      <c r="B286" s="412">
        <v>8.7100000000000009</v>
      </c>
      <c r="C286" s="532" t="s">
        <v>1482</v>
      </c>
      <c r="D286" s="533" t="s">
        <v>1483</v>
      </c>
      <c r="E286" s="534">
        <v>2</v>
      </c>
      <c r="F286" s="268" t="s">
        <v>402</v>
      </c>
      <c r="G286" s="534">
        <v>2250</v>
      </c>
      <c r="H286" s="269">
        <f t="shared" si="148"/>
        <v>2103.54310575</v>
      </c>
      <c r="I286" s="269">
        <f t="shared" si="149"/>
        <v>4207.0862115</v>
      </c>
      <c r="J286" s="534">
        <v>115</v>
      </c>
      <c r="K286" s="267">
        <f t="shared" si="150"/>
        <v>107.514425405</v>
      </c>
      <c r="L286" s="270">
        <f t="shared" si="151"/>
        <v>215.02885080999999</v>
      </c>
      <c r="M286" s="270">
        <f t="shared" si="152"/>
        <v>4422.1150623100002</v>
      </c>
      <c r="N286" s="281"/>
      <c r="O286" s="1163">
        <v>0.93490804699999996</v>
      </c>
      <c r="Q286" s="526"/>
      <c r="R286" s="522"/>
    </row>
    <row r="287" spans="1:18" ht="47.1" customHeight="1">
      <c r="A287" s="336"/>
      <c r="B287" s="412">
        <v>8.7200000000000006</v>
      </c>
      <c r="C287" s="532" t="s">
        <v>1484</v>
      </c>
      <c r="D287" s="533" t="s">
        <v>1485</v>
      </c>
      <c r="E287" s="534">
        <v>38</v>
      </c>
      <c r="F287" s="268" t="s">
        <v>402</v>
      </c>
      <c r="G287" s="534">
        <v>2250</v>
      </c>
      <c r="H287" s="269">
        <f t="shared" si="148"/>
        <v>2103.54310575</v>
      </c>
      <c r="I287" s="269">
        <f t="shared" si="149"/>
        <v>79934.638018500002</v>
      </c>
      <c r="J287" s="534">
        <v>115</v>
      </c>
      <c r="K287" s="267">
        <f t="shared" si="150"/>
        <v>107.514425405</v>
      </c>
      <c r="L287" s="270">
        <f t="shared" si="151"/>
        <v>4085.5481653899997</v>
      </c>
      <c r="M287" s="270">
        <f t="shared" si="152"/>
        <v>84020.186183890008</v>
      </c>
      <c r="N287" s="281"/>
      <c r="O287" s="1163">
        <v>0.93490804699999996</v>
      </c>
      <c r="Q287" s="526"/>
      <c r="R287" s="522"/>
    </row>
    <row r="288" spans="1:18" ht="47.1" customHeight="1">
      <c r="A288" s="336"/>
      <c r="B288" s="412">
        <v>8.73</v>
      </c>
      <c r="C288" s="532" t="s">
        <v>1486</v>
      </c>
      <c r="D288" s="533" t="s">
        <v>1487</v>
      </c>
      <c r="E288" s="534">
        <v>8</v>
      </c>
      <c r="F288" s="268" t="s">
        <v>402</v>
      </c>
      <c r="G288" s="534">
        <v>2250</v>
      </c>
      <c r="H288" s="269">
        <f t="shared" si="148"/>
        <v>2103.54310575</v>
      </c>
      <c r="I288" s="269">
        <f t="shared" si="149"/>
        <v>16828.344846</v>
      </c>
      <c r="J288" s="534">
        <v>115</v>
      </c>
      <c r="K288" s="267">
        <f t="shared" si="150"/>
        <v>107.514425405</v>
      </c>
      <c r="L288" s="270">
        <f t="shared" si="151"/>
        <v>860.11540323999998</v>
      </c>
      <c r="M288" s="270">
        <f t="shared" si="152"/>
        <v>17688.460249240001</v>
      </c>
      <c r="N288" s="281"/>
      <c r="O288" s="1163">
        <v>0.93490804699999996</v>
      </c>
      <c r="Q288" s="526"/>
      <c r="R288" s="522"/>
    </row>
    <row r="289" spans="1:18" ht="47.1" customHeight="1">
      <c r="A289" s="336"/>
      <c r="B289" s="412">
        <v>8.74</v>
      </c>
      <c r="C289" s="532" t="s">
        <v>1488</v>
      </c>
      <c r="D289" s="533" t="s">
        <v>1489</v>
      </c>
      <c r="E289" s="534">
        <v>4</v>
      </c>
      <c r="F289" s="268" t="s">
        <v>402</v>
      </c>
      <c r="G289" s="534">
        <v>1450</v>
      </c>
      <c r="H289" s="269">
        <f t="shared" si="148"/>
        <v>1355.6166681499999</v>
      </c>
      <c r="I289" s="269">
        <f t="shared" si="149"/>
        <v>5422.4666725999996</v>
      </c>
      <c r="J289" s="534">
        <v>115</v>
      </c>
      <c r="K289" s="267">
        <f t="shared" si="150"/>
        <v>107.514425405</v>
      </c>
      <c r="L289" s="270">
        <f t="shared" si="151"/>
        <v>430.05770161999999</v>
      </c>
      <c r="M289" s="270">
        <f t="shared" si="152"/>
        <v>5852.52437422</v>
      </c>
      <c r="N289" s="281"/>
      <c r="O289" s="1163">
        <v>0.93490804699999996</v>
      </c>
      <c r="Q289" s="526"/>
      <c r="R289" s="522"/>
    </row>
    <row r="290" spans="1:18" ht="47.1" customHeight="1">
      <c r="A290" s="336"/>
      <c r="B290" s="412">
        <v>8.75</v>
      </c>
      <c r="C290" s="532" t="s">
        <v>1490</v>
      </c>
      <c r="D290" s="533" t="s">
        <v>1491</v>
      </c>
      <c r="E290" s="534">
        <v>1</v>
      </c>
      <c r="F290" s="268" t="s">
        <v>402</v>
      </c>
      <c r="G290" s="534">
        <v>2600</v>
      </c>
      <c r="H290" s="269">
        <f t="shared" si="148"/>
        <v>2430.7609222000001</v>
      </c>
      <c r="I290" s="269">
        <f t="shared" si="149"/>
        <v>2430.7609222000001</v>
      </c>
      <c r="J290" s="534">
        <v>115</v>
      </c>
      <c r="K290" s="267">
        <f t="shared" si="150"/>
        <v>107.514425405</v>
      </c>
      <c r="L290" s="270">
        <f t="shared" si="151"/>
        <v>107.514425405</v>
      </c>
      <c r="M290" s="270">
        <f t="shared" si="152"/>
        <v>2538.2753476050002</v>
      </c>
      <c r="N290" s="281"/>
      <c r="O290" s="1163">
        <v>0.93490804699999996</v>
      </c>
      <c r="Q290" s="526"/>
      <c r="R290" s="522"/>
    </row>
    <row r="291" spans="1:18" ht="47.1" customHeight="1">
      <c r="A291" s="336"/>
      <c r="B291" s="412">
        <v>8.76</v>
      </c>
      <c r="C291" s="532" t="s">
        <v>1492</v>
      </c>
      <c r="D291" s="533" t="s">
        <v>1493</v>
      </c>
      <c r="E291" s="534">
        <v>2</v>
      </c>
      <c r="F291" s="268" t="s">
        <v>402</v>
      </c>
      <c r="G291" s="534">
        <v>2600</v>
      </c>
      <c r="H291" s="269">
        <f t="shared" si="148"/>
        <v>2430.7609222000001</v>
      </c>
      <c r="I291" s="269">
        <f t="shared" si="149"/>
        <v>4861.5218444000002</v>
      </c>
      <c r="J291" s="534">
        <v>115</v>
      </c>
      <c r="K291" s="267">
        <f t="shared" si="150"/>
        <v>107.514425405</v>
      </c>
      <c r="L291" s="270">
        <f t="shared" si="151"/>
        <v>215.02885080999999</v>
      </c>
      <c r="M291" s="270">
        <f t="shared" si="152"/>
        <v>5076.5506952100004</v>
      </c>
      <c r="N291" s="281"/>
      <c r="O291" s="1163">
        <v>0.93490804699999996</v>
      </c>
      <c r="Q291" s="526"/>
      <c r="R291" s="522"/>
    </row>
    <row r="292" spans="1:18" ht="47.1" customHeight="1">
      <c r="A292" s="336"/>
      <c r="B292" s="412">
        <v>8.77</v>
      </c>
      <c r="C292" s="532" t="s">
        <v>1494</v>
      </c>
      <c r="D292" s="533" t="s">
        <v>1495</v>
      </c>
      <c r="E292" s="534">
        <v>3</v>
      </c>
      <c r="F292" s="268" t="s">
        <v>402</v>
      </c>
      <c r="G292" s="534">
        <v>1100</v>
      </c>
      <c r="H292" s="269">
        <f t="shared" si="148"/>
        <v>1028.3988517</v>
      </c>
      <c r="I292" s="269">
        <f t="shared" si="149"/>
        <v>3085.1965551000003</v>
      </c>
      <c r="J292" s="534">
        <v>115</v>
      </c>
      <c r="K292" s="267">
        <f t="shared" si="150"/>
        <v>107.514425405</v>
      </c>
      <c r="L292" s="270">
        <f t="shared" si="151"/>
        <v>322.54327621499999</v>
      </c>
      <c r="M292" s="270">
        <f t="shared" si="152"/>
        <v>3407.7398313150002</v>
      </c>
      <c r="N292" s="281"/>
      <c r="O292" s="1163">
        <v>0.93490804699999996</v>
      </c>
      <c r="Q292" s="526"/>
      <c r="R292" s="522"/>
    </row>
    <row r="293" spans="1:18" ht="47.1" customHeight="1">
      <c r="A293" s="336"/>
      <c r="B293" s="412">
        <v>8.7799999999999994</v>
      </c>
      <c r="C293" s="532" t="s">
        <v>1496</v>
      </c>
      <c r="D293" s="533" t="s">
        <v>1497</v>
      </c>
      <c r="E293" s="534">
        <v>1</v>
      </c>
      <c r="F293" s="268" t="s">
        <v>402</v>
      </c>
      <c r="G293" s="534">
        <v>1100</v>
      </c>
      <c r="H293" s="269">
        <f t="shared" si="148"/>
        <v>1028.3988517</v>
      </c>
      <c r="I293" s="269">
        <f t="shared" si="149"/>
        <v>1028.3988517</v>
      </c>
      <c r="J293" s="534">
        <v>115</v>
      </c>
      <c r="K293" s="267">
        <f t="shared" si="150"/>
        <v>107.514425405</v>
      </c>
      <c r="L293" s="270">
        <f t="shared" si="151"/>
        <v>107.514425405</v>
      </c>
      <c r="M293" s="270">
        <f t="shared" si="152"/>
        <v>1135.9132771049999</v>
      </c>
      <c r="N293" s="281"/>
      <c r="O293" s="1163">
        <v>0.93490804699999996</v>
      </c>
      <c r="Q293" s="526"/>
      <c r="R293" s="522"/>
    </row>
    <row r="294" spans="1:18" ht="47.1" customHeight="1">
      <c r="A294" s="336"/>
      <c r="B294" s="412">
        <v>8.7899999999999991</v>
      </c>
      <c r="C294" s="532" t="s">
        <v>1498</v>
      </c>
      <c r="D294" s="533" t="s">
        <v>1499</v>
      </c>
      <c r="E294" s="534">
        <v>3</v>
      </c>
      <c r="F294" s="268" t="s">
        <v>402</v>
      </c>
      <c r="G294" s="534">
        <v>1336.5</v>
      </c>
      <c r="H294" s="269">
        <f t="shared" si="148"/>
        <v>1249.5046048155</v>
      </c>
      <c r="I294" s="269">
        <f t="shared" si="149"/>
        <v>3748.5138144465</v>
      </c>
      <c r="J294" s="534">
        <v>135</v>
      </c>
      <c r="K294" s="267">
        <f t="shared" si="150"/>
        <v>126.21258634499999</v>
      </c>
      <c r="L294" s="270">
        <f t="shared" si="151"/>
        <v>378.63775903499999</v>
      </c>
      <c r="M294" s="270">
        <f t="shared" si="152"/>
        <v>4127.1515734815002</v>
      </c>
      <c r="N294" s="281"/>
      <c r="O294" s="1163">
        <v>0.93490804699999996</v>
      </c>
      <c r="Q294" s="526"/>
      <c r="R294" s="522"/>
    </row>
    <row r="295" spans="1:18" ht="47.1" customHeight="1">
      <c r="A295" s="336"/>
      <c r="B295" s="537">
        <v>8.8000000000000007</v>
      </c>
      <c r="C295" s="532" t="s">
        <v>1500</v>
      </c>
      <c r="D295" s="533" t="s">
        <v>1501</v>
      </c>
      <c r="E295" s="534">
        <v>131</v>
      </c>
      <c r="F295" s="268" t="s">
        <v>1079</v>
      </c>
      <c r="G295" s="534">
        <v>2100</v>
      </c>
      <c r="H295" s="269">
        <f t="shared" si="148"/>
        <v>1963.3068986999999</v>
      </c>
      <c r="I295" s="269">
        <f t="shared" si="149"/>
        <v>257193.20372969998</v>
      </c>
      <c r="J295" s="534">
        <v>115</v>
      </c>
      <c r="K295" s="267">
        <f t="shared" si="150"/>
        <v>107.514425405</v>
      </c>
      <c r="L295" s="270">
        <f t="shared" si="151"/>
        <v>14084.389728054999</v>
      </c>
      <c r="M295" s="270">
        <f t="shared" si="152"/>
        <v>271277.59345775499</v>
      </c>
      <c r="N295" s="281"/>
      <c r="O295" s="1163">
        <v>0.93490804699999996</v>
      </c>
      <c r="Q295" s="526"/>
      <c r="R295" s="522"/>
    </row>
    <row r="296" spans="1:18" ht="47.1" customHeight="1">
      <c r="A296" s="336"/>
      <c r="B296" s="412">
        <v>8.81</v>
      </c>
      <c r="C296" s="532" t="s">
        <v>1502</v>
      </c>
      <c r="D296" s="533" t="s">
        <v>1501</v>
      </c>
      <c r="E296" s="534">
        <v>67</v>
      </c>
      <c r="F296" s="268" t="s">
        <v>1079</v>
      </c>
      <c r="G296" s="534">
        <v>2100</v>
      </c>
      <c r="H296" s="269">
        <f t="shared" si="148"/>
        <v>1963.3068986999999</v>
      </c>
      <c r="I296" s="269">
        <f t="shared" si="149"/>
        <v>131541.5622129</v>
      </c>
      <c r="J296" s="534">
        <v>115</v>
      </c>
      <c r="K296" s="267">
        <f t="shared" si="150"/>
        <v>107.514425405</v>
      </c>
      <c r="L296" s="270">
        <f t="shared" si="151"/>
        <v>7203.4665021350002</v>
      </c>
      <c r="M296" s="270">
        <f t="shared" si="152"/>
        <v>138745.02871503501</v>
      </c>
      <c r="N296" s="281"/>
      <c r="O296" s="1163">
        <v>0.93490804699999996</v>
      </c>
      <c r="Q296" s="526"/>
      <c r="R296" s="522"/>
    </row>
    <row r="297" spans="1:18" ht="47.1" customHeight="1">
      <c r="A297" s="336"/>
      <c r="B297" s="412">
        <v>8.82</v>
      </c>
      <c r="C297" s="532" t="s">
        <v>1503</v>
      </c>
      <c r="D297" s="533" t="s">
        <v>1504</v>
      </c>
      <c r="E297" s="534">
        <v>5</v>
      </c>
      <c r="F297" s="268" t="s">
        <v>1079</v>
      </c>
      <c r="G297" s="534">
        <v>1864</v>
      </c>
      <c r="H297" s="269">
        <f t="shared" si="148"/>
        <v>1742.668599608</v>
      </c>
      <c r="I297" s="269">
        <f t="shared" si="149"/>
        <v>8713.3429980399997</v>
      </c>
      <c r="J297" s="534">
        <v>115</v>
      </c>
      <c r="K297" s="267">
        <f t="shared" si="150"/>
        <v>107.514425405</v>
      </c>
      <c r="L297" s="270">
        <f t="shared" si="151"/>
        <v>537.57212702499999</v>
      </c>
      <c r="M297" s="270">
        <f t="shared" si="152"/>
        <v>9250.9151250649993</v>
      </c>
      <c r="N297" s="281"/>
      <c r="O297" s="1163">
        <v>0.93490804699999996</v>
      </c>
      <c r="Q297" s="526"/>
      <c r="R297" s="522"/>
    </row>
    <row r="298" spans="1:18" ht="47.1" customHeight="1">
      <c r="A298" s="336"/>
      <c r="B298" s="412">
        <v>8.83</v>
      </c>
      <c r="C298" s="532" t="s">
        <v>1505</v>
      </c>
      <c r="D298" s="533" t="s">
        <v>1506</v>
      </c>
      <c r="E298" s="534">
        <v>9</v>
      </c>
      <c r="F298" s="268" t="s">
        <v>1079</v>
      </c>
      <c r="G298" s="534">
        <v>2100</v>
      </c>
      <c r="H298" s="269">
        <f t="shared" si="148"/>
        <v>1963.3068986999999</v>
      </c>
      <c r="I298" s="269">
        <f t="shared" si="149"/>
        <v>17669.762088299998</v>
      </c>
      <c r="J298" s="534">
        <v>115</v>
      </c>
      <c r="K298" s="267">
        <f t="shared" si="150"/>
        <v>107.514425405</v>
      </c>
      <c r="L298" s="270">
        <f t="shared" si="151"/>
        <v>967.62982864499998</v>
      </c>
      <c r="M298" s="270">
        <f t="shared" si="152"/>
        <v>18637.391916944998</v>
      </c>
      <c r="N298" s="281"/>
      <c r="O298" s="1163">
        <v>0.93490804699999996</v>
      </c>
      <c r="Q298" s="526"/>
      <c r="R298" s="522"/>
    </row>
    <row r="299" spans="1:18" ht="47.1" customHeight="1">
      <c r="A299" s="336"/>
      <c r="B299" s="412">
        <v>8.84</v>
      </c>
      <c r="C299" s="532" t="s">
        <v>1507</v>
      </c>
      <c r="D299" s="533" t="s">
        <v>1508</v>
      </c>
      <c r="E299" s="534">
        <v>16</v>
      </c>
      <c r="F299" s="268" t="s">
        <v>1079</v>
      </c>
      <c r="G299" s="534">
        <v>1282</v>
      </c>
      <c r="H299" s="269">
        <f t="shared" si="148"/>
        <v>1198.5521162539999</v>
      </c>
      <c r="I299" s="269">
        <f t="shared" si="149"/>
        <v>19176.833860063998</v>
      </c>
      <c r="J299" s="534">
        <v>115</v>
      </c>
      <c r="K299" s="267">
        <f t="shared" si="150"/>
        <v>107.514425405</v>
      </c>
      <c r="L299" s="270">
        <f t="shared" si="151"/>
        <v>1720.23080648</v>
      </c>
      <c r="M299" s="270">
        <f t="shared" si="152"/>
        <v>20897.064666544</v>
      </c>
      <c r="N299" s="281"/>
      <c r="O299" s="1163">
        <v>0.93490804699999996</v>
      </c>
      <c r="Q299" s="526"/>
      <c r="R299" s="522"/>
    </row>
    <row r="300" spans="1:18" ht="47.1" customHeight="1">
      <c r="A300" s="336"/>
      <c r="B300" s="412">
        <v>8.85</v>
      </c>
      <c r="C300" s="532" t="s">
        <v>1509</v>
      </c>
      <c r="D300" s="533" t="s">
        <v>1510</v>
      </c>
      <c r="E300" s="534">
        <v>11</v>
      </c>
      <c r="F300" s="268" t="s">
        <v>1079</v>
      </c>
      <c r="G300" s="534">
        <v>1282</v>
      </c>
      <c r="H300" s="269">
        <f t="shared" si="148"/>
        <v>1198.5521162539999</v>
      </c>
      <c r="I300" s="269">
        <f t="shared" si="149"/>
        <v>13184.073278794</v>
      </c>
      <c r="J300" s="534">
        <v>115</v>
      </c>
      <c r="K300" s="267">
        <f t="shared" si="150"/>
        <v>107.514425405</v>
      </c>
      <c r="L300" s="270">
        <f t="shared" si="151"/>
        <v>1182.6586794549999</v>
      </c>
      <c r="M300" s="270">
        <f t="shared" si="152"/>
        <v>14366.731958249</v>
      </c>
      <c r="N300" s="281"/>
      <c r="O300" s="1163">
        <v>0.93490804699999996</v>
      </c>
      <c r="Q300" s="526"/>
      <c r="R300" s="522"/>
    </row>
    <row r="301" spans="1:18" ht="47.1" customHeight="1">
      <c r="A301" s="336"/>
      <c r="B301" s="412">
        <v>8.86</v>
      </c>
      <c r="C301" s="532" t="s">
        <v>1511</v>
      </c>
      <c r="D301" s="533" t="s">
        <v>1512</v>
      </c>
      <c r="E301" s="534">
        <v>12</v>
      </c>
      <c r="F301" s="268" t="s">
        <v>1079</v>
      </c>
      <c r="G301" s="534">
        <v>1282</v>
      </c>
      <c r="H301" s="269">
        <f t="shared" si="148"/>
        <v>1198.5521162539999</v>
      </c>
      <c r="I301" s="269">
        <f t="shared" si="149"/>
        <v>14382.625395047999</v>
      </c>
      <c r="J301" s="534">
        <v>115</v>
      </c>
      <c r="K301" s="267">
        <f t="shared" si="150"/>
        <v>107.514425405</v>
      </c>
      <c r="L301" s="270">
        <f t="shared" si="151"/>
        <v>1290.17310486</v>
      </c>
      <c r="M301" s="270">
        <f t="shared" si="152"/>
        <v>15672.798499907998</v>
      </c>
      <c r="N301" s="281"/>
      <c r="O301" s="1163">
        <v>0.93490804699999996</v>
      </c>
      <c r="Q301" s="526"/>
      <c r="R301" s="522"/>
    </row>
    <row r="302" spans="1:18" ht="47.1" customHeight="1">
      <c r="A302" s="336"/>
      <c r="B302" s="412">
        <v>8.8699999999999992</v>
      </c>
      <c r="C302" s="532" t="s">
        <v>1513</v>
      </c>
      <c r="D302" s="533" t="s">
        <v>1501</v>
      </c>
      <c r="E302" s="534">
        <v>53</v>
      </c>
      <c r="F302" s="268" t="s">
        <v>1079</v>
      </c>
      <c r="G302" s="534">
        <v>2100</v>
      </c>
      <c r="H302" s="269">
        <f t="shared" si="148"/>
        <v>1963.3068986999999</v>
      </c>
      <c r="I302" s="269">
        <f t="shared" si="149"/>
        <v>104055.2656311</v>
      </c>
      <c r="J302" s="534">
        <v>115</v>
      </c>
      <c r="K302" s="267">
        <f t="shared" si="150"/>
        <v>107.514425405</v>
      </c>
      <c r="L302" s="270">
        <f t="shared" si="151"/>
        <v>5698.2645464649995</v>
      </c>
      <c r="M302" s="270">
        <f t="shared" si="152"/>
        <v>109753.530177565</v>
      </c>
      <c r="N302" s="281"/>
      <c r="O302" s="1163">
        <v>0.93490804699999996</v>
      </c>
      <c r="Q302" s="526"/>
      <c r="R302" s="522"/>
    </row>
    <row r="303" spans="1:18" ht="47.1" customHeight="1">
      <c r="A303" s="336"/>
      <c r="B303" s="412">
        <v>8.8800000000000008</v>
      </c>
      <c r="C303" s="532" t="s">
        <v>1514</v>
      </c>
      <c r="D303" s="533" t="s">
        <v>1515</v>
      </c>
      <c r="E303" s="534">
        <v>5</v>
      </c>
      <c r="F303" s="268" t="s">
        <v>1079</v>
      </c>
      <c r="G303" s="534">
        <v>1282</v>
      </c>
      <c r="H303" s="269">
        <f t="shared" si="148"/>
        <v>1198.5521162539999</v>
      </c>
      <c r="I303" s="269">
        <f t="shared" si="149"/>
        <v>5992.7605812699994</v>
      </c>
      <c r="J303" s="534">
        <v>115</v>
      </c>
      <c r="K303" s="267">
        <f t="shared" si="150"/>
        <v>107.514425405</v>
      </c>
      <c r="L303" s="270">
        <f t="shared" si="151"/>
        <v>537.57212702499999</v>
      </c>
      <c r="M303" s="270">
        <f t="shared" si="152"/>
        <v>6530.3327082949991</v>
      </c>
      <c r="N303" s="281"/>
      <c r="O303" s="1163">
        <v>0.93490804699999996</v>
      </c>
      <c r="Q303" s="526"/>
      <c r="R303" s="522"/>
    </row>
    <row r="304" spans="1:18" ht="47.1" customHeight="1">
      <c r="A304" s="336"/>
      <c r="B304" s="412">
        <v>8.89</v>
      </c>
      <c r="C304" s="532" t="s">
        <v>1516</v>
      </c>
      <c r="D304" s="533" t="s">
        <v>1517</v>
      </c>
      <c r="E304" s="534">
        <v>16</v>
      </c>
      <c r="F304" s="268" t="s">
        <v>402</v>
      </c>
      <c r="G304" s="534">
        <v>1800</v>
      </c>
      <c r="H304" s="269">
        <f t="shared" si="148"/>
        <v>1682.8344846</v>
      </c>
      <c r="I304" s="269">
        <f t="shared" si="149"/>
        <v>26925.3517536</v>
      </c>
      <c r="J304" s="534">
        <v>135</v>
      </c>
      <c r="K304" s="267">
        <f t="shared" si="150"/>
        <v>126.21258634499999</v>
      </c>
      <c r="L304" s="270">
        <f t="shared" si="151"/>
        <v>2019.4013815199999</v>
      </c>
      <c r="M304" s="270">
        <f t="shared" si="152"/>
        <v>28944.753135120001</v>
      </c>
      <c r="N304" s="281"/>
      <c r="O304" s="1163">
        <v>0.93490804699999996</v>
      </c>
      <c r="Q304" s="526"/>
      <c r="R304" s="522"/>
    </row>
    <row r="305" spans="1:18" ht="47.1" customHeight="1">
      <c r="A305" s="336"/>
      <c r="B305" s="537">
        <v>8.9</v>
      </c>
      <c r="C305" s="532" t="s">
        <v>1518</v>
      </c>
      <c r="D305" s="533" t="s">
        <v>1519</v>
      </c>
      <c r="E305" s="534">
        <v>2</v>
      </c>
      <c r="F305" s="268" t="s">
        <v>402</v>
      </c>
      <c r="G305" s="534">
        <v>3600</v>
      </c>
      <c r="H305" s="269">
        <f t="shared" si="148"/>
        <v>3365.6689692</v>
      </c>
      <c r="I305" s="269">
        <f t="shared" si="149"/>
        <v>6731.3379384</v>
      </c>
      <c r="J305" s="534">
        <v>135</v>
      </c>
      <c r="K305" s="267">
        <f t="shared" si="150"/>
        <v>126.21258634499999</v>
      </c>
      <c r="L305" s="270">
        <f t="shared" si="151"/>
        <v>252.42517268999998</v>
      </c>
      <c r="M305" s="270">
        <f t="shared" si="152"/>
        <v>6983.7631110900002</v>
      </c>
      <c r="N305" s="281"/>
      <c r="O305" s="1163">
        <v>0.93490804699999996</v>
      </c>
      <c r="Q305" s="526"/>
      <c r="R305" s="522"/>
    </row>
    <row r="306" spans="1:18" ht="47.1" customHeight="1">
      <c r="A306" s="336"/>
      <c r="B306" s="412">
        <v>8.91</v>
      </c>
      <c r="C306" s="532" t="s">
        <v>1520</v>
      </c>
      <c r="D306" s="533" t="s">
        <v>1521</v>
      </c>
      <c r="E306" s="534">
        <v>12</v>
      </c>
      <c r="F306" s="268" t="s">
        <v>402</v>
      </c>
      <c r="G306" s="534">
        <v>7065</v>
      </c>
      <c r="H306" s="269">
        <f t="shared" si="148"/>
        <v>6605.1253520549999</v>
      </c>
      <c r="I306" s="269">
        <f t="shared" si="149"/>
        <v>79261.504224659991</v>
      </c>
      <c r="J306" s="534">
        <v>135</v>
      </c>
      <c r="K306" s="267">
        <f t="shared" si="150"/>
        <v>126.21258634499999</v>
      </c>
      <c r="L306" s="270">
        <f t="shared" si="151"/>
        <v>1514.55103614</v>
      </c>
      <c r="M306" s="270">
        <f t="shared" si="152"/>
        <v>80776.055260799985</v>
      </c>
      <c r="N306" s="281"/>
      <c r="O306" s="1163">
        <v>0.93490804699999996</v>
      </c>
      <c r="Q306" s="526"/>
      <c r="R306" s="522"/>
    </row>
    <row r="307" spans="1:18" ht="47.1" customHeight="1">
      <c r="A307" s="336"/>
      <c r="B307" s="412">
        <v>8.92</v>
      </c>
      <c r="C307" s="532" t="s">
        <v>1522</v>
      </c>
      <c r="D307" s="533" t="s">
        <v>1523</v>
      </c>
      <c r="E307" s="534">
        <v>2</v>
      </c>
      <c r="F307" s="268" t="s">
        <v>402</v>
      </c>
      <c r="G307" s="534">
        <v>12465</v>
      </c>
      <c r="H307" s="269">
        <f t="shared" si="148"/>
        <v>11653.628805855</v>
      </c>
      <c r="I307" s="269">
        <f t="shared" si="149"/>
        <v>23307.25761171</v>
      </c>
      <c r="J307" s="534">
        <v>135</v>
      </c>
      <c r="K307" s="267">
        <f t="shared" si="150"/>
        <v>126.21258634499999</v>
      </c>
      <c r="L307" s="270">
        <f t="shared" si="151"/>
        <v>252.42517268999998</v>
      </c>
      <c r="M307" s="270">
        <f t="shared" si="152"/>
        <v>23559.6827844</v>
      </c>
      <c r="N307" s="281"/>
      <c r="O307" s="1163">
        <v>0.93490804699999996</v>
      </c>
      <c r="Q307" s="526"/>
      <c r="R307" s="522"/>
    </row>
    <row r="308" spans="1:18" ht="47.1" customHeight="1">
      <c r="A308" s="336"/>
      <c r="B308" s="412">
        <v>8.93</v>
      </c>
      <c r="C308" s="532" t="s">
        <v>1524</v>
      </c>
      <c r="D308" s="533" t="s">
        <v>1525</v>
      </c>
      <c r="E308" s="534">
        <v>2</v>
      </c>
      <c r="F308" s="268" t="s">
        <v>402</v>
      </c>
      <c r="G308" s="534">
        <v>28125</v>
      </c>
      <c r="H308" s="269">
        <f t="shared" si="148"/>
        <v>26294.288821874998</v>
      </c>
      <c r="I308" s="269">
        <f t="shared" si="149"/>
        <v>52588.577643749995</v>
      </c>
      <c r="J308" s="534">
        <v>135</v>
      </c>
      <c r="K308" s="267">
        <f t="shared" si="150"/>
        <v>126.21258634499999</v>
      </c>
      <c r="L308" s="270">
        <f t="shared" si="151"/>
        <v>252.42517268999998</v>
      </c>
      <c r="M308" s="270">
        <f t="shared" si="152"/>
        <v>52841.002816439992</v>
      </c>
      <c r="N308" s="281"/>
      <c r="O308" s="1163">
        <v>0.93490804699999996</v>
      </c>
      <c r="Q308" s="526"/>
      <c r="R308" s="522"/>
    </row>
    <row r="309" spans="1:18" ht="47.1" customHeight="1">
      <c r="A309" s="336"/>
      <c r="B309" s="412">
        <v>8.94</v>
      </c>
      <c r="C309" s="532" t="s">
        <v>1526</v>
      </c>
      <c r="D309" s="533" t="s">
        <v>1527</v>
      </c>
      <c r="E309" s="534">
        <v>3</v>
      </c>
      <c r="F309" s="268" t="s">
        <v>402</v>
      </c>
      <c r="G309" s="534">
        <v>1953</v>
      </c>
      <c r="H309" s="269">
        <f t="shared" si="148"/>
        <v>1825.875415791</v>
      </c>
      <c r="I309" s="269">
        <f t="shared" si="149"/>
        <v>5477.6262473730003</v>
      </c>
      <c r="J309" s="534">
        <v>115</v>
      </c>
      <c r="K309" s="267">
        <f t="shared" si="150"/>
        <v>107.514425405</v>
      </c>
      <c r="L309" s="270">
        <f t="shared" si="151"/>
        <v>322.54327621499999</v>
      </c>
      <c r="M309" s="270">
        <f t="shared" si="152"/>
        <v>5800.1695235880006</v>
      </c>
      <c r="N309" s="281"/>
      <c r="O309" s="1163">
        <v>0.93490804699999996</v>
      </c>
      <c r="Q309" s="526"/>
      <c r="R309" s="522"/>
    </row>
    <row r="310" spans="1:18" ht="47.1" customHeight="1">
      <c r="A310" s="336"/>
      <c r="B310" s="412">
        <v>8.9499999999999993</v>
      </c>
      <c r="C310" s="532" t="s">
        <v>1528</v>
      </c>
      <c r="D310" s="533" t="s">
        <v>1529</v>
      </c>
      <c r="E310" s="534">
        <v>3</v>
      </c>
      <c r="F310" s="268" t="s">
        <v>402</v>
      </c>
      <c r="G310" s="534">
        <v>1953</v>
      </c>
      <c r="H310" s="269">
        <f t="shared" si="148"/>
        <v>1825.875415791</v>
      </c>
      <c r="I310" s="269">
        <f t="shared" si="149"/>
        <v>5477.6262473730003</v>
      </c>
      <c r="J310" s="534">
        <v>115</v>
      </c>
      <c r="K310" s="267">
        <f t="shared" si="150"/>
        <v>107.514425405</v>
      </c>
      <c r="L310" s="270">
        <f t="shared" si="151"/>
        <v>322.54327621499999</v>
      </c>
      <c r="M310" s="270">
        <f t="shared" si="152"/>
        <v>5800.1695235880006</v>
      </c>
      <c r="N310" s="281"/>
      <c r="O310" s="1163">
        <v>0.93490804699999996</v>
      </c>
      <c r="Q310" s="526"/>
      <c r="R310" s="522"/>
    </row>
    <row r="311" spans="1:18" ht="46.5" customHeight="1">
      <c r="A311" s="336"/>
      <c r="B311" s="412">
        <v>8.9600000000000009</v>
      </c>
      <c r="C311" s="532" t="s">
        <v>1530</v>
      </c>
      <c r="D311" s="533" t="s">
        <v>1531</v>
      </c>
      <c r="E311" s="534">
        <v>1</v>
      </c>
      <c r="F311" s="268" t="s">
        <v>402</v>
      </c>
      <c r="G311" s="534">
        <v>504</v>
      </c>
      <c r="H311" s="269">
        <f t="shared" si="148"/>
        <v>471.19365568799998</v>
      </c>
      <c r="I311" s="269">
        <f t="shared" si="149"/>
        <v>471.19365568799998</v>
      </c>
      <c r="J311" s="534">
        <v>115</v>
      </c>
      <c r="K311" s="267">
        <f t="shared" ref="K311:K313" si="153">J311*O311</f>
        <v>107.514425405</v>
      </c>
      <c r="L311" s="270">
        <f t="shared" ref="L311:L313" si="154">E311*K311</f>
        <v>107.514425405</v>
      </c>
      <c r="M311" s="270">
        <f t="shared" si="152"/>
        <v>578.70808109299992</v>
      </c>
      <c r="N311" s="281"/>
      <c r="O311" s="1163">
        <v>0.93490804699999996</v>
      </c>
      <c r="Q311" s="526"/>
      <c r="R311" s="522"/>
    </row>
    <row r="312" spans="1:18" ht="47.1" customHeight="1">
      <c r="A312" s="336"/>
      <c r="B312" s="412">
        <v>8.9700000000000006</v>
      </c>
      <c r="C312" s="532" t="s">
        <v>1532</v>
      </c>
      <c r="D312" s="533" t="s">
        <v>1533</v>
      </c>
      <c r="E312" s="534">
        <v>1</v>
      </c>
      <c r="F312" s="268" t="s">
        <v>402</v>
      </c>
      <c r="G312" s="534">
        <v>504</v>
      </c>
      <c r="H312" s="269">
        <f t="shared" si="148"/>
        <v>471.19365568799998</v>
      </c>
      <c r="I312" s="269">
        <f t="shared" si="149"/>
        <v>471.19365568799998</v>
      </c>
      <c r="J312" s="534">
        <v>115</v>
      </c>
      <c r="K312" s="267">
        <f t="shared" si="153"/>
        <v>107.514425405</v>
      </c>
      <c r="L312" s="270">
        <f t="shared" si="154"/>
        <v>107.514425405</v>
      </c>
      <c r="M312" s="270">
        <f t="shared" si="152"/>
        <v>578.70808109299992</v>
      </c>
      <c r="N312" s="281"/>
      <c r="O312" s="1163">
        <v>0.93490804699999996</v>
      </c>
      <c r="Q312" s="526"/>
      <c r="R312" s="522"/>
    </row>
    <row r="313" spans="1:18" ht="47.1" customHeight="1">
      <c r="A313" s="336"/>
      <c r="B313" s="412">
        <v>8.98</v>
      </c>
      <c r="C313" s="532" t="s">
        <v>1534</v>
      </c>
      <c r="D313" s="533" t="s">
        <v>1535</v>
      </c>
      <c r="E313" s="534">
        <v>18</v>
      </c>
      <c r="F313" s="268" t="s">
        <v>402</v>
      </c>
      <c r="G313" s="534">
        <v>1850</v>
      </c>
      <c r="H313" s="269">
        <f t="shared" si="148"/>
        <v>1729.5798869499999</v>
      </c>
      <c r="I313" s="269">
        <f t="shared" si="149"/>
        <v>31132.437965099998</v>
      </c>
      <c r="J313" s="534">
        <v>115</v>
      </c>
      <c r="K313" s="267">
        <f t="shared" si="153"/>
        <v>107.514425405</v>
      </c>
      <c r="L313" s="270">
        <f t="shared" si="154"/>
        <v>1935.25965729</v>
      </c>
      <c r="M313" s="270">
        <f t="shared" si="152"/>
        <v>33067.697622389998</v>
      </c>
      <c r="N313" s="281"/>
      <c r="O313" s="1163">
        <v>0.93490804699999996</v>
      </c>
      <c r="Q313" s="526"/>
      <c r="R313" s="522"/>
    </row>
    <row r="314" spans="1:18" ht="18.95" customHeight="1">
      <c r="A314" s="336"/>
      <c r="B314" s="412"/>
      <c r="C314" s="532"/>
      <c r="D314" s="533"/>
      <c r="E314" s="534"/>
      <c r="F314" s="268"/>
      <c r="G314" s="285"/>
      <c r="H314" s="269"/>
      <c r="I314" s="269"/>
      <c r="J314" s="285"/>
      <c r="K314" s="285"/>
      <c r="L314" s="270"/>
      <c r="M314" s="270"/>
      <c r="N314" s="281"/>
      <c r="O314" s="1163">
        <v>0.93490804699999996</v>
      </c>
      <c r="Q314" s="526"/>
      <c r="R314" s="522"/>
    </row>
    <row r="315" spans="1:18" ht="18.95" customHeight="1">
      <c r="A315" s="336"/>
      <c r="B315" s="527" t="s">
        <v>1536</v>
      </c>
      <c r="C315" s="532"/>
      <c r="D315" s="533"/>
      <c r="E315" s="534"/>
      <c r="F315" s="268"/>
      <c r="G315" s="285"/>
      <c r="H315" s="269"/>
      <c r="I315" s="269"/>
      <c r="J315" s="285"/>
      <c r="K315" s="285"/>
      <c r="L315" s="270"/>
      <c r="M315" s="270"/>
      <c r="N315" s="281"/>
      <c r="O315" s="1163">
        <v>0.93490804699999996</v>
      </c>
      <c r="Q315" s="526"/>
      <c r="R315" s="522"/>
    </row>
    <row r="316" spans="1:18" ht="18.95" customHeight="1">
      <c r="A316" s="336"/>
      <c r="B316" s="546">
        <v>8.1</v>
      </c>
      <c r="C316" s="532" t="s">
        <v>1537</v>
      </c>
      <c r="D316" s="533" t="s">
        <v>1538</v>
      </c>
      <c r="E316" s="283">
        <v>44</v>
      </c>
      <c r="F316" s="287" t="s">
        <v>1539</v>
      </c>
      <c r="G316" s="547">
        <v>1128</v>
      </c>
      <c r="H316" s="269">
        <f t="shared" si="148"/>
        <v>1054.5762770159999</v>
      </c>
      <c r="I316" s="269">
        <f t="shared" si="149"/>
        <v>46401.356188703998</v>
      </c>
      <c r="J316" s="547">
        <v>115</v>
      </c>
      <c r="K316" s="267">
        <f t="shared" ref="K316:K335" si="155">J316*O316</f>
        <v>107.514425405</v>
      </c>
      <c r="L316" s="270">
        <f t="shared" ref="L316:L335" si="156">E316*K316</f>
        <v>4730.6347178199994</v>
      </c>
      <c r="M316" s="270">
        <f t="shared" ref="M316:M342" si="157">I316+L316</f>
        <v>51131.990906523999</v>
      </c>
      <c r="N316" s="281"/>
      <c r="O316" s="1163">
        <v>0.93490804699999996</v>
      </c>
      <c r="Q316" s="526"/>
      <c r="R316" s="522"/>
    </row>
    <row r="317" spans="1:18" ht="18.95" customHeight="1">
      <c r="A317" s="336"/>
      <c r="B317" s="412">
        <v>8.1010000000000009</v>
      </c>
      <c r="C317" s="532" t="s">
        <v>1540</v>
      </c>
      <c r="D317" s="533" t="s">
        <v>1538</v>
      </c>
      <c r="E317" s="283">
        <v>45</v>
      </c>
      <c r="F317" s="287" t="s">
        <v>1539</v>
      </c>
      <c r="G317" s="547">
        <v>1128</v>
      </c>
      <c r="H317" s="269">
        <f t="shared" si="148"/>
        <v>1054.5762770159999</v>
      </c>
      <c r="I317" s="269">
        <f t="shared" si="149"/>
        <v>47455.932465719998</v>
      </c>
      <c r="J317" s="547">
        <v>115</v>
      </c>
      <c r="K317" s="267">
        <f t="shared" si="155"/>
        <v>107.514425405</v>
      </c>
      <c r="L317" s="270">
        <f t="shared" si="156"/>
        <v>4838.1491432249995</v>
      </c>
      <c r="M317" s="270">
        <f t="shared" si="157"/>
        <v>52294.081608944995</v>
      </c>
      <c r="N317" s="281"/>
      <c r="O317" s="1163">
        <v>0.93490804699999996</v>
      </c>
      <c r="Q317" s="526"/>
      <c r="R317" s="522"/>
    </row>
    <row r="318" spans="1:18" ht="18.95" customHeight="1">
      <c r="A318" s="336"/>
      <c r="B318" s="412">
        <v>8.1020000000000003</v>
      </c>
      <c r="C318" s="532" t="s">
        <v>1541</v>
      </c>
      <c r="D318" s="533" t="s">
        <v>1538</v>
      </c>
      <c r="E318" s="283">
        <v>39</v>
      </c>
      <c r="F318" s="287" t="s">
        <v>1539</v>
      </c>
      <c r="G318" s="547">
        <v>1128</v>
      </c>
      <c r="H318" s="269">
        <f t="shared" si="148"/>
        <v>1054.5762770159999</v>
      </c>
      <c r="I318" s="269">
        <f t="shared" si="149"/>
        <v>41128.474803623998</v>
      </c>
      <c r="J318" s="283">
        <v>115</v>
      </c>
      <c r="K318" s="267">
        <f t="shared" si="155"/>
        <v>107.514425405</v>
      </c>
      <c r="L318" s="270">
        <f t="shared" si="156"/>
        <v>4193.0625907949998</v>
      </c>
      <c r="M318" s="270">
        <f t="shared" si="157"/>
        <v>45321.537394419</v>
      </c>
      <c r="N318" s="281"/>
      <c r="O318" s="1163">
        <v>0.93490804699999996</v>
      </c>
      <c r="Q318" s="526"/>
      <c r="R318" s="522"/>
    </row>
    <row r="319" spans="1:18" ht="18.95" customHeight="1">
      <c r="A319" s="336"/>
      <c r="B319" s="412">
        <v>8.1029999999999998</v>
      </c>
      <c r="C319" s="532" t="s">
        <v>1542</v>
      </c>
      <c r="D319" s="533" t="s">
        <v>1543</v>
      </c>
      <c r="E319" s="283">
        <v>2</v>
      </c>
      <c r="F319" s="287" t="s">
        <v>1539</v>
      </c>
      <c r="G319" s="547">
        <v>1128</v>
      </c>
      <c r="H319" s="269">
        <f t="shared" si="148"/>
        <v>1054.5762770159999</v>
      </c>
      <c r="I319" s="269">
        <f t="shared" si="149"/>
        <v>2109.1525540319999</v>
      </c>
      <c r="J319" s="547">
        <v>115</v>
      </c>
      <c r="K319" s="267">
        <f t="shared" si="155"/>
        <v>107.514425405</v>
      </c>
      <c r="L319" s="270">
        <f t="shared" si="156"/>
        <v>215.02885080999999</v>
      </c>
      <c r="M319" s="270">
        <f t="shared" si="157"/>
        <v>2324.1814048420001</v>
      </c>
      <c r="N319" s="281"/>
      <c r="O319" s="1163">
        <v>0.93490804699999996</v>
      </c>
      <c r="Q319" s="526"/>
      <c r="R319" s="522"/>
    </row>
    <row r="320" spans="1:18" ht="18.95" customHeight="1">
      <c r="A320" s="336"/>
      <c r="B320" s="412">
        <v>8.1039999999999992</v>
      </c>
      <c r="C320" s="532" t="s">
        <v>1544</v>
      </c>
      <c r="D320" s="533" t="s">
        <v>1543</v>
      </c>
      <c r="E320" s="283">
        <v>23</v>
      </c>
      <c r="F320" s="287" t="s">
        <v>1539</v>
      </c>
      <c r="G320" s="547">
        <v>1128</v>
      </c>
      <c r="H320" s="269">
        <f t="shared" si="148"/>
        <v>1054.5762770159999</v>
      </c>
      <c r="I320" s="269">
        <f t="shared" si="149"/>
        <v>24255.254371367999</v>
      </c>
      <c r="J320" s="547">
        <v>115</v>
      </c>
      <c r="K320" s="267">
        <f t="shared" si="155"/>
        <v>107.514425405</v>
      </c>
      <c r="L320" s="270">
        <f t="shared" si="156"/>
        <v>2472.8317843149998</v>
      </c>
      <c r="M320" s="270">
        <f t="shared" si="157"/>
        <v>26728.086155682999</v>
      </c>
      <c r="N320" s="281"/>
      <c r="O320" s="1163">
        <v>0.93490804699999996</v>
      </c>
      <c r="Q320" s="526"/>
      <c r="R320" s="522"/>
    </row>
    <row r="321" spans="1:18" ht="18.95" customHeight="1">
      <c r="A321" s="336"/>
      <c r="B321" s="412">
        <v>8.1050000000000004</v>
      </c>
      <c r="C321" s="532" t="s">
        <v>1545</v>
      </c>
      <c r="D321" s="548" t="s">
        <v>1546</v>
      </c>
      <c r="E321" s="283">
        <v>14</v>
      </c>
      <c r="F321" s="287" t="s">
        <v>1539</v>
      </c>
      <c r="G321" s="547">
        <v>1180</v>
      </c>
      <c r="H321" s="269">
        <f t="shared" si="148"/>
        <v>1103.1914954599999</v>
      </c>
      <c r="I321" s="269">
        <f t="shared" si="149"/>
        <v>15444.68093644</v>
      </c>
      <c r="J321" s="547">
        <v>115</v>
      </c>
      <c r="K321" s="267">
        <f t="shared" si="155"/>
        <v>107.514425405</v>
      </c>
      <c r="L321" s="270">
        <f t="shared" si="156"/>
        <v>1505.20195567</v>
      </c>
      <c r="M321" s="270">
        <f t="shared" si="157"/>
        <v>16949.882892109999</v>
      </c>
      <c r="N321" s="281"/>
      <c r="O321" s="1163">
        <v>0.93490804699999996</v>
      </c>
      <c r="Q321" s="526"/>
      <c r="R321" s="522"/>
    </row>
    <row r="322" spans="1:18" ht="18.95" customHeight="1">
      <c r="A322" s="336"/>
      <c r="B322" s="412">
        <v>8.1059999999999999</v>
      </c>
      <c r="C322" s="532" t="s">
        <v>1547</v>
      </c>
      <c r="D322" s="548" t="s">
        <v>1548</v>
      </c>
      <c r="E322" s="283">
        <v>5</v>
      </c>
      <c r="F322" s="287" t="s">
        <v>1539</v>
      </c>
      <c r="G322" s="547">
        <v>4700</v>
      </c>
      <c r="H322" s="269">
        <f t="shared" si="148"/>
        <v>4394.0678208999998</v>
      </c>
      <c r="I322" s="269">
        <f t="shared" si="149"/>
        <v>21970.339104499999</v>
      </c>
      <c r="J322" s="547">
        <v>115</v>
      </c>
      <c r="K322" s="267">
        <f t="shared" si="155"/>
        <v>107.514425405</v>
      </c>
      <c r="L322" s="270">
        <f t="shared" si="156"/>
        <v>537.57212702499999</v>
      </c>
      <c r="M322" s="270">
        <f t="shared" si="157"/>
        <v>22507.911231524999</v>
      </c>
      <c r="N322" s="281"/>
      <c r="O322" s="1163">
        <v>0.93490804699999996</v>
      </c>
      <c r="Q322" s="526"/>
      <c r="R322" s="522"/>
    </row>
    <row r="323" spans="1:18" ht="18.95" customHeight="1">
      <c r="A323" s="336"/>
      <c r="B323" s="412">
        <v>8.1069999999999993</v>
      </c>
      <c r="C323" s="532" t="s">
        <v>1549</v>
      </c>
      <c r="D323" s="533" t="s">
        <v>1550</v>
      </c>
      <c r="E323" s="283">
        <v>42</v>
      </c>
      <c r="F323" s="287" t="s">
        <v>1539</v>
      </c>
      <c r="G323" s="547">
        <v>2052</v>
      </c>
      <c r="H323" s="269">
        <f t="shared" si="148"/>
        <v>1918.431312444</v>
      </c>
      <c r="I323" s="269">
        <f t="shared" si="149"/>
        <v>80574.115122648</v>
      </c>
      <c r="J323" s="547">
        <v>115</v>
      </c>
      <c r="K323" s="267">
        <f t="shared" si="155"/>
        <v>107.514425405</v>
      </c>
      <c r="L323" s="270">
        <f t="shared" si="156"/>
        <v>4515.6058670100001</v>
      </c>
      <c r="M323" s="270">
        <f t="shared" si="157"/>
        <v>85089.720989658003</v>
      </c>
      <c r="N323" s="281"/>
      <c r="O323" s="1163">
        <v>0.93490804699999996</v>
      </c>
      <c r="Q323" s="526"/>
      <c r="R323" s="522"/>
    </row>
    <row r="324" spans="1:18" ht="18.95" customHeight="1">
      <c r="A324" s="336"/>
      <c r="B324" s="412">
        <v>8.1080000000000005</v>
      </c>
      <c r="C324" s="532" t="s">
        <v>1551</v>
      </c>
      <c r="D324" s="533" t="s">
        <v>1552</v>
      </c>
      <c r="E324" s="283">
        <v>4</v>
      </c>
      <c r="F324" s="287" t="s">
        <v>1539</v>
      </c>
      <c r="G324" s="547">
        <v>1692</v>
      </c>
      <c r="H324" s="269">
        <f t="shared" si="148"/>
        <v>1581.8644155239999</v>
      </c>
      <c r="I324" s="269">
        <f t="shared" si="149"/>
        <v>6327.4576620959997</v>
      </c>
      <c r="J324" s="547">
        <v>115</v>
      </c>
      <c r="K324" s="267">
        <f t="shared" si="155"/>
        <v>107.514425405</v>
      </c>
      <c r="L324" s="270">
        <f t="shared" si="156"/>
        <v>430.05770161999999</v>
      </c>
      <c r="M324" s="270">
        <f t="shared" si="157"/>
        <v>6757.5153637160001</v>
      </c>
      <c r="N324" s="281"/>
      <c r="O324" s="1163">
        <v>0.93490804699999996</v>
      </c>
      <c r="Q324" s="526"/>
      <c r="R324" s="522"/>
    </row>
    <row r="325" spans="1:18" ht="18.95" customHeight="1">
      <c r="A325" s="336"/>
      <c r="B325" s="412">
        <v>8.109</v>
      </c>
      <c r="C325" s="532" t="s">
        <v>1553</v>
      </c>
      <c r="D325" s="533" t="s">
        <v>1554</v>
      </c>
      <c r="E325" s="283">
        <v>6</v>
      </c>
      <c r="F325" s="287" t="s">
        <v>1539</v>
      </c>
      <c r="G325" s="547">
        <v>1575</v>
      </c>
      <c r="H325" s="269">
        <f t="shared" si="148"/>
        <v>1472.480174025</v>
      </c>
      <c r="I325" s="269">
        <f t="shared" si="149"/>
        <v>8834.8810441499991</v>
      </c>
      <c r="J325" s="547">
        <v>115</v>
      </c>
      <c r="K325" s="267">
        <f t="shared" si="155"/>
        <v>107.514425405</v>
      </c>
      <c r="L325" s="270">
        <f t="shared" si="156"/>
        <v>645.08655242999998</v>
      </c>
      <c r="M325" s="270">
        <f t="shared" si="157"/>
        <v>9479.9675965799997</v>
      </c>
      <c r="N325" s="281"/>
      <c r="O325" s="1163">
        <v>0.93490804699999996</v>
      </c>
      <c r="Q325" s="526"/>
      <c r="R325" s="522"/>
    </row>
    <row r="326" spans="1:18" ht="18.95" customHeight="1">
      <c r="A326" s="336"/>
      <c r="B326" s="546">
        <v>8.11</v>
      </c>
      <c r="C326" s="532" t="s">
        <v>1555</v>
      </c>
      <c r="D326" s="548" t="s">
        <v>1556</v>
      </c>
      <c r="E326" s="283">
        <v>6</v>
      </c>
      <c r="F326" s="287" t="s">
        <v>1539</v>
      </c>
      <c r="G326" s="547">
        <v>3650</v>
      </c>
      <c r="H326" s="269">
        <f t="shared" si="148"/>
        <v>3412.4143715499999</v>
      </c>
      <c r="I326" s="269">
        <f t="shared" si="149"/>
        <v>20474.486229300001</v>
      </c>
      <c r="J326" s="547">
        <v>115</v>
      </c>
      <c r="K326" s="267">
        <f t="shared" si="155"/>
        <v>107.514425405</v>
      </c>
      <c r="L326" s="270">
        <f t="shared" si="156"/>
        <v>645.08655242999998</v>
      </c>
      <c r="M326" s="270">
        <f t="shared" si="157"/>
        <v>21119.572781729999</v>
      </c>
      <c r="N326" s="281"/>
      <c r="O326" s="1163">
        <v>0.93490804699999996</v>
      </c>
      <c r="Q326" s="526"/>
      <c r="R326" s="522"/>
    </row>
    <row r="327" spans="1:18" ht="18.95" customHeight="1">
      <c r="A327" s="336"/>
      <c r="B327" s="412">
        <v>8.1110000000000007</v>
      </c>
      <c r="C327" s="532" t="s">
        <v>1557</v>
      </c>
      <c r="D327" s="548" t="s">
        <v>1556</v>
      </c>
      <c r="E327" s="283">
        <v>4</v>
      </c>
      <c r="F327" s="287" t="s">
        <v>1539</v>
      </c>
      <c r="G327" s="547">
        <v>3650</v>
      </c>
      <c r="H327" s="269">
        <f t="shared" si="148"/>
        <v>3412.4143715499999</v>
      </c>
      <c r="I327" s="269">
        <f t="shared" si="149"/>
        <v>13649.6574862</v>
      </c>
      <c r="J327" s="547">
        <v>115</v>
      </c>
      <c r="K327" s="267">
        <f t="shared" si="155"/>
        <v>107.514425405</v>
      </c>
      <c r="L327" s="270">
        <f t="shared" si="156"/>
        <v>430.05770161999999</v>
      </c>
      <c r="M327" s="270">
        <f t="shared" si="157"/>
        <v>14079.71518782</v>
      </c>
      <c r="N327" s="281"/>
      <c r="O327" s="1163">
        <v>0.93490804699999996</v>
      </c>
      <c r="Q327" s="526"/>
      <c r="R327" s="522"/>
    </row>
    <row r="328" spans="1:18" ht="18.95" customHeight="1">
      <c r="A328" s="336"/>
      <c r="B328" s="412">
        <v>8.1120000000000001</v>
      </c>
      <c r="C328" s="532" t="s">
        <v>1558</v>
      </c>
      <c r="D328" s="548" t="s">
        <v>1556</v>
      </c>
      <c r="E328" s="283">
        <v>10</v>
      </c>
      <c r="F328" s="287" t="s">
        <v>1539</v>
      </c>
      <c r="G328" s="547">
        <v>3650</v>
      </c>
      <c r="H328" s="269">
        <f t="shared" si="148"/>
        <v>3412.4143715499999</v>
      </c>
      <c r="I328" s="269">
        <f t="shared" si="149"/>
        <v>34124.143715500002</v>
      </c>
      <c r="J328" s="547">
        <v>115</v>
      </c>
      <c r="K328" s="267">
        <f t="shared" si="155"/>
        <v>107.514425405</v>
      </c>
      <c r="L328" s="270">
        <f t="shared" si="156"/>
        <v>1075.14425405</v>
      </c>
      <c r="M328" s="270">
        <f t="shared" si="157"/>
        <v>35199.287969550001</v>
      </c>
      <c r="N328" s="281"/>
      <c r="O328" s="1163">
        <v>0.93490804699999996</v>
      </c>
      <c r="Q328" s="526"/>
      <c r="R328" s="522"/>
    </row>
    <row r="329" spans="1:18" ht="18.95" customHeight="1">
      <c r="A329" s="336"/>
      <c r="B329" s="412">
        <v>8.1129999999999995</v>
      </c>
      <c r="C329" s="532" t="s">
        <v>1559</v>
      </c>
      <c r="D329" s="548" t="s">
        <v>1560</v>
      </c>
      <c r="E329" s="283">
        <v>2</v>
      </c>
      <c r="F329" s="287" t="s">
        <v>1539</v>
      </c>
      <c r="G329" s="547">
        <v>2340</v>
      </c>
      <c r="H329" s="269">
        <f t="shared" si="148"/>
        <v>2187.6848299799999</v>
      </c>
      <c r="I329" s="269">
        <f t="shared" si="149"/>
        <v>4375.3696599599998</v>
      </c>
      <c r="J329" s="547">
        <v>115</v>
      </c>
      <c r="K329" s="267">
        <f t="shared" si="155"/>
        <v>107.514425405</v>
      </c>
      <c r="L329" s="270">
        <f t="shared" si="156"/>
        <v>215.02885080999999</v>
      </c>
      <c r="M329" s="270">
        <f t="shared" si="157"/>
        <v>4590.39851077</v>
      </c>
      <c r="N329" s="281"/>
      <c r="O329" s="1163">
        <v>0.93490804699999996</v>
      </c>
      <c r="Q329" s="526"/>
      <c r="R329" s="522"/>
    </row>
    <row r="330" spans="1:18" ht="18.95" customHeight="1">
      <c r="A330" s="336"/>
      <c r="B330" s="412">
        <v>8.1140000000000008</v>
      </c>
      <c r="C330" s="532" t="s">
        <v>1561</v>
      </c>
      <c r="D330" s="548" t="s">
        <v>1560</v>
      </c>
      <c r="E330" s="283">
        <v>5</v>
      </c>
      <c r="F330" s="287" t="s">
        <v>1539</v>
      </c>
      <c r="G330" s="547">
        <v>8350</v>
      </c>
      <c r="H330" s="269">
        <f t="shared" si="148"/>
        <v>7806.4821924499993</v>
      </c>
      <c r="I330" s="269">
        <f t="shared" si="149"/>
        <v>39032.410962249996</v>
      </c>
      <c r="J330" s="547">
        <v>115</v>
      </c>
      <c r="K330" s="267">
        <f t="shared" si="155"/>
        <v>107.514425405</v>
      </c>
      <c r="L330" s="270">
        <f t="shared" si="156"/>
        <v>537.57212702499999</v>
      </c>
      <c r="M330" s="270">
        <f t="shared" si="157"/>
        <v>39569.983089274996</v>
      </c>
      <c r="N330" s="281"/>
      <c r="O330" s="1163">
        <v>0.93490804699999996</v>
      </c>
      <c r="Q330" s="526"/>
      <c r="R330" s="522"/>
    </row>
    <row r="331" spans="1:18" ht="47.1" customHeight="1">
      <c r="A331" s="336"/>
      <c r="B331" s="412">
        <v>8.1150000000000002</v>
      </c>
      <c r="C331" s="532" t="s">
        <v>1562</v>
      </c>
      <c r="D331" s="548" t="s">
        <v>1563</v>
      </c>
      <c r="E331" s="283">
        <v>7</v>
      </c>
      <c r="F331" s="287" t="s">
        <v>1539</v>
      </c>
      <c r="G331" s="547">
        <v>2077</v>
      </c>
      <c r="H331" s="269">
        <f t="shared" si="148"/>
        <v>1941.804013619</v>
      </c>
      <c r="I331" s="269">
        <f t="shared" si="149"/>
        <v>13592.628095333001</v>
      </c>
      <c r="J331" s="547">
        <v>115</v>
      </c>
      <c r="K331" s="267">
        <f t="shared" si="155"/>
        <v>107.514425405</v>
      </c>
      <c r="L331" s="270">
        <f t="shared" si="156"/>
        <v>752.60097783499998</v>
      </c>
      <c r="M331" s="270">
        <f t="shared" si="157"/>
        <v>14345.229073168</v>
      </c>
      <c r="N331" s="281"/>
      <c r="O331" s="1163">
        <v>0.93490804699999996</v>
      </c>
      <c r="Q331" s="526"/>
      <c r="R331" s="522"/>
    </row>
    <row r="332" spans="1:18" ht="47.1" customHeight="1">
      <c r="A332" s="336"/>
      <c r="B332" s="412">
        <v>8.1159999999999997</v>
      </c>
      <c r="C332" s="532" t="s">
        <v>1564</v>
      </c>
      <c r="D332" s="548" t="s">
        <v>1565</v>
      </c>
      <c r="E332" s="283">
        <v>12</v>
      </c>
      <c r="F332" s="287" t="s">
        <v>1566</v>
      </c>
      <c r="G332" s="547">
        <v>2233</v>
      </c>
      <c r="H332" s="269">
        <f t="shared" si="148"/>
        <v>2087.649668951</v>
      </c>
      <c r="I332" s="269">
        <f t="shared" si="149"/>
        <v>25051.796027411998</v>
      </c>
      <c r="J332" s="547">
        <v>115</v>
      </c>
      <c r="K332" s="267">
        <f t="shared" si="155"/>
        <v>107.514425405</v>
      </c>
      <c r="L332" s="270">
        <f t="shared" si="156"/>
        <v>1290.17310486</v>
      </c>
      <c r="M332" s="270">
        <f t="shared" si="157"/>
        <v>26341.969132271999</v>
      </c>
      <c r="N332" s="281"/>
      <c r="O332" s="1163">
        <v>0.93490804699999996</v>
      </c>
      <c r="Q332" s="526"/>
      <c r="R332" s="522"/>
    </row>
    <row r="333" spans="1:18" ht="47.1" customHeight="1">
      <c r="A333" s="336"/>
      <c r="B333" s="412">
        <v>8.1170000000000009</v>
      </c>
      <c r="C333" s="532" t="s">
        <v>1567</v>
      </c>
      <c r="D333" s="548" t="s">
        <v>1565</v>
      </c>
      <c r="E333" s="283">
        <v>99</v>
      </c>
      <c r="F333" s="287" t="s">
        <v>1566</v>
      </c>
      <c r="G333" s="547">
        <v>1131</v>
      </c>
      <c r="H333" s="269">
        <f t="shared" si="148"/>
        <v>1057.3810011569999</v>
      </c>
      <c r="I333" s="269">
        <f t="shared" si="149"/>
        <v>104680.719114543</v>
      </c>
      <c r="J333" s="547">
        <v>115</v>
      </c>
      <c r="K333" s="267">
        <f t="shared" si="155"/>
        <v>107.514425405</v>
      </c>
      <c r="L333" s="270">
        <f t="shared" si="156"/>
        <v>10643.928115094999</v>
      </c>
      <c r="M333" s="270">
        <f t="shared" si="157"/>
        <v>115324.64722963799</v>
      </c>
      <c r="N333" s="281"/>
      <c r="O333" s="1163">
        <v>0.93490804699999996</v>
      </c>
      <c r="Q333" s="526"/>
      <c r="R333" s="522"/>
    </row>
    <row r="334" spans="1:18" ht="47.1" customHeight="1">
      <c r="A334" s="336"/>
      <c r="B334" s="412">
        <v>8.1180000000000003</v>
      </c>
      <c r="C334" s="532" t="s">
        <v>1568</v>
      </c>
      <c r="D334" s="548" t="s">
        <v>1565</v>
      </c>
      <c r="E334" s="283">
        <v>22</v>
      </c>
      <c r="F334" s="287" t="s">
        <v>1566</v>
      </c>
      <c r="G334" s="547">
        <v>1181</v>
      </c>
      <c r="H334" s="269">
        <f t="shared" si="148"/>
        <v>1104.1264035069998</v>
      </c>
      <c r="I334" s="269">
        <f t="shared" si="149"/>
        <v>24290.780877153997</v>
      </c>
      <c r="J334" s="547">
        <v>115</v>
      </c>
      <c r="K334" s="267">
        <f t="shared" si="155"/>
        <v>107.514425405</v>
      </c>
      <c r="L334" s="270">
        <f t="shared" si="156"/>
        <v>2365.3173589099997</v>
      </c>
      <c r="M334" s="270">
        <f t="shared" si="157"/>
        <v>26656.098236063997</v>
      </c>
      <c r="N334" s="281"/>
      <c r="O334" s="1163">
        <v>0.93490804699999996</v>
      </c>
      <c r="Q334" s="526"/>
      <c r="R334" s="522"/>
    </row>
    <row r="335" spans="1:18" ht="47.1" customHeight="1">
      <c r="A335" s="336"/>
      <c r="B335" s="412">
        <v>8.1189999999999998</v>
      </c>
      <c r="C335" s="532" t="s">
        <v>1569</v>
      </c>
      <c r="D335" s="548" t="s">
        <v>1565</v>
      </c>
      <c r="E335" s="283">
        <v>14</v>
      </c>
      <c r="F335" s="287" t="s">
        <v>1566</v>
      </c>
      <c r="G335" s="547">
        <v>1637</v>
      </c>
      <c r="H335" s="269">
        <f t="shared" si="148"/>
        <v>1530.444472939</v>
      </c>
      <c r="I335" s="269">
        <f t="shared" si="149"/>
        <v>21426.222621146</v>
      </c>
      <c r="J335" s="547">
        <v>115</v>
      </c>
      <c r="K335" s="267">
        <f t="shared" si="155"/>
        <v>107.514425405</v>
      </c>
      <c r="L335" s="270">
        <f t="shared" si="156"/>
        <v>1505.20195567</v>
      </c>
      <c r="M335" s="270">
        <f t="shared" si="157"/>
        <v>22931.424576816</v>
      </c>
      <c r="N335" s="281"/>
      <c r="O335" s="1163">
        <v>0.93490804699999996</v>
      </c>
      <c r="Q335" s="526"/>
      <c r="R335" s="522"/>
    </row>
    <row r="336" spans="1:18" ht="47.1" customHeight="1">
      <c r="A336" s="336"/>
      <c r="B336" s="546">
        <v>8.1199999999999992</v>
      </c>
      <c r="C336" s="532" t="s">
        <v>1570</v>
      </c>
      <c r="D336" s="548" t="s">
        <v>1565</v>
      </c>
      <c r="E336" s="283">
        <v>107</v>
      </c>
      <c r="F336" s="287" t="s">
        <v>1566</v>
      </c>
      <c r="G336" s="547">
        <v>1637</v>
      </c>
      <c r="H336" s="269">
        <f t="shared" si="148"/>
        <v>1530.444472939</v>
      </c>
      <c r="I336" s="269">
        <f t="shared" si="149"/>
        <v>163757.55860447299</v>
      </c>
      <c r="J336" s="547">
        <v>115</v>
      </c>
      <c r="K336" s="267">
        <f t="shared" ref="K336:K342" si="158">J336*O336</f>
        <v>107.514425405</v>
      </c>
      <c r="L336" s="270">
        <f t="shared" ref="L336:L342" si="159">E336*K336</f>
        <v>11504.043518335</v>
      </c>
      <c r="M336" s="270">
        <f t="shared" si="157"/>
        <v>175261.60212280799</v>
      </c>
      <c r="N336" s="281"/>
      <c r="O336" s="1163">
        <v>0.93490804699999996</v>
      </c>
      <c r="Q336" s="526"/>
      <c r="R336" s="522"/>
    </row>
    <row r="337" spans="1:18" ht="47.1" customHeight="1">
      <c r="A337" s="336"/>
      <c r="B337" s="412">
        <v>8.1210000000000004</v>
      </c>
      <c r="C337" s="532" t="s">
        <v>1571</v>
      </c>
      <c r="D337" s="548" t="s">
        <v>1565</v>
      </c>
      <c r="E337" s="283">
        <v>51</v>
      </c>
      <c r="F337" s="287" t="s">
        <v>1566</v>
      </c>
      <c r="G337" s="547">
        <v>2000</v>
      </c>
      <c r="H337" s="269">
        <f t="shared" si="148"/>
        <v>1869.816094</v>
      </c>
      <c r="I337" s="269">
        <f t="shared" si="149"/>
        <v>95360.620794000002</v>
      </c>
      <c r="J337" s="547">
        <v>115</v>
      </c>
      <c r="K337" s="267">
        <f t="shared" si="158"/>
        <v>107.514425405</v>
      </c>
      <c r="L337" s="270">
        <f t="shared" si="159"/>
        <v>5483.2356956550002</v>
      </c>
      <c r="M337" s="270">
        <f t="shared" si="157"/>
        <v>100843.85648965501</v>
      </c>
      <c r="N337" s="281"/>
      <c r="O337" s="1163">
        <v>0.93490804699999996</v>
      </c>
      <c r="R337" s="522"/>
    </row>
    <row r="338" spans="1:18" ht="18.95" customHeight="1">
      <c r="A338" s="336"/>
      <c r="B338" s="412">
        <v>8.1219999999999999</v>
      </c>
      <c r="C338" s="532" t="s">
        <v>1572</v>
      </c>
      <c r="D338" s="548" t="s">
        <v>1573</v>
      </c>
      <c r="E338" s="283">
        <v>18</v>
      </c>
      <c r="F338" s="287" t="s">
        <v>1539</v>
      </c>
      <c r="G338" s="547">
        <v>1800</v>
      </c>
      <c r="H338" s="269">
        <f t="shared" si="148"/>
        <v>1682.8344846</v>
      </c>
      <c r="I338" s="269">
        <f t="shared" si="149"/>
        <v>30291.0207228</v>
      </c>
      <c r="J338" s="547">
        <v>115</v>
      </c>
      <c r="K338" s="267">
        <f t="shared" si="158"/>
        <v>107.514425405</v>
      </c>
      <c r="L338" s="270">
        <f t="shared" si="159"/>
        <v>1935.25965729</v>
      </c>
      <c r="M338" s="270">
        <f t="shared" si="157"/>
        <v>32226.28038009</v>
      </c>
      <c r="N338" s="281"/>
      <c r="O338" s="1163">
        <v>0.93490804699999996</v>
      </c>
    </row>
    <row r="339" spans="1:18" ht="18.95" customHeight="1">
      <c r="A339" s="336"/>
      <c r="B339" s="412">
        <v>8.1229999999999993</v>
      </c>
      <c r="C339" s="532" t="s">
        <v>1574</v>
      </c>
      <c r="D339" s="548" t="s">
        <v>1573</v>
      </c>
      <c r="E339" s="283">
        <v>10</v>
      </c>
      <c r="F339" s="287" t="s">
        <v>1539</v>
      </c>
      <c r="G339" s="547">
        <v>2800</v>
      </c>
      <c r="H339" s="269">
        <f t="shared" si="148"/>
        <v>2617.7425315999999</v>
      </c>
      <c r="I339" s="269">
        <f t="shared" si="149"/>
        <v>26177.425316000001</v>
      </c>
      <c r="J339" s="547">
        <v>115</v>
      </c>
      <c r="K339" s="267">
        <f t="shared" si="158"/>
        <v>107.514425405</v>
      </c>
      <c r="L339" s="270">
        <f t="shared" si="159"/>
        <v>1075.14425405</v>
      </c>
      <c r="M339" s="270">
        <f t="shared" si="157"/>
        <v>27252.56957005</v>
      </c>
      <c r="N339" s="281"/>
      <c r="O339" s="1163">
        <v>0.93490804699999996</v>
      </c>
    </row>
    <row r="340" spans="1:18" ht="18.95" customHeight="1">
      <c r="A340" s="336"/>
      <c r="B340" s="412">
        <v>8.1240000000000006</v>
      </c>
      <c r="C340" s="532" t="s">
        <v>1575</v>
      </c>
      <c r="D340" s="548" t="s">
        <v>1573</v>
      </c>
      <c r="E340" s="283">
        <v>19</v>
      </c>
      <c r="F340" s="287" t="s">
        <v>1539</v>
      </c>
      <c r="G340" s="547">
        <v>11764</v>
      </c>
      <c r="H340" s="269">
        <f t="shared" si="148"/>
        <v>10998.258264908</v>
      </c>
      <c r="I340" s="269">
        <f t="shared" si="149"/>
        <v>208966.90703325201</v>
      </c>
      <c r="J340" s="547">
        <v>115</v>
      </c>
      <c r="K340" s="267">
        <f t="shared" si="158"/>
        <v>107.514425405</v>
      </c>
      <c r="L340" s="270">
        <f t="shared" si="159"/>
        <v>2042.7740826949998</v>
      </c>
      <c r="M340" s="270">
        <f t="shared" si="157"/>
        <v>211009.68111594699</v>
      </c>
      <c r="N340" s="281"/>
      <c r="O340" s="1163">
        <v>0.93490804699999996</v>
      </c>
    </row>
    <row r="341" spans="1:18" ht="18.95" customHeight="1">
      <c r="A341" s="336"/>
      <c r="B341" s="412">
        <v>8.125</v>
      </c>
      <c r="C341" s="532" t="s">
        <v>1576</v>
      </c>
      <c r="D341" s="548" t="s">
        <v>1573</v>
      </c>
      <c r="E341" s="283">
        <v>14</v>
      </c>
      <c r="F341" s="287" t="s">
        <v>1539</v>
      </c>
      <c r="G341" s="547">
        <v>8058</v>
      </c>
      <c r="H341" s="269">
        <f t="shared" ref="H341:H342" si="160">G341*O341</f>
        <v>7533.4890427259998</v>
      </c>
      <c r="I341" s="269">
        <f t="shared" ref="I341:I342" si="161">E341*H341</f>
        <v>105468.846598164</v>
      </c>
      <c r="J341" s="547">
        <v>115</v>
      </c>
      <c r="K341" s="267">
        <f t="shared" si="158"/>
        <v>107.514425405</v>
      </c>
      <c r="L341" s="270">
        <f t="shared" si="159"/>
        <v>1505.20195567</v>
      </c>
      <c r="M341" s="270">
        <f t="shared" si="157"/>
        <v>106974.048553834</v>
      </c>
      <c r="N341" s="281"/>
      <c r="O341" s="1163">
        <v>0.93490804699999996</v>
      </c>
    </row>
    <row r="342" spans="1:18" ht="18.95" customHeight="1">
      <c r="A342" s="336"/>
      <c r="B342" s="412">
        <v>8.1259999999999994</v>
      </c>
      <c r="C342" s="532" t="s">
        <v>1339</v>
      </c>
      <c r="D342" s="533"/>
      <c r="E342" s="534">
        <v>1</v>
      </c>
      <c r="F342" s="268" t="s">
        <v>1321</v>
      </c>
      <c r="G342" s="547">
        <v>123190</v>
      </c>
      <c r="H342" s="269">
        <f t="shared" si="160"/>
        <v>115171.32230992999</v>
      </c>
      <c r="I342" s="269">
        <f t="shared" si="161"/>
        <v>115171.32230992999</v>
      </c>
      <c r="J342" s="549">
        <v>36957</v>
      </c>
      <c r="K342" s="267">
        <f t="shared" si="158"/>
        <v>34551.396692978997</v>
      </c>
      <c r="L342" s="270">
        <f t="shared" si="159"/>
        <v>34551.396692978997</v>
      </c>
      <c r="M342" s="270">
        <f t="shared" si="157"/>
        <v>149722.719002909</v>
      </c>
      <c r="N342" s="281"/>
      <c r="O342" s="1163">
        <v>0.93490804699999996</v>
      </c>
    </row>
    <row r="343" spans="1:18" ht="18.95" customHeight="1">
      <c r="A343" s="336"/>
      <c r="B343" s="1376" t="s">
        <v>1577</v>
      </c>
      <c r="C343" s="1377"/>
      <c r="D343" s="1378"/>
      <c r="E343" s="288"/>
      <c r="F343" s="281"/>
      <c r="G343" s="288"/>
      <c r="H343" s="288"/>
      <c r="I343" s="271">
        <f>SUM(I212:I342)</f>
        <v>5873749.7785926526</v>
      </c>
      <c r="J343" s="271"/>
      <c r="K343" s="271"/>
      <c r="L343" s="271">
        <f>SUM(L212:L342)</f>
        <v>302472.67026200407</v>
      </c>
      <c r="M343" s="271">
        <f>SUM(M212:M342)</f>
        <v>6176222.4488546513</v>
      </c>
      <c r="N343" s="281"/>
      <c r="O343" s="1163">
        <v>0.93490804699999996</v>
      </c>
    </row>
    <row r="344" spans="1:18" ht="18.95" customHeight="1">
      <c r="A344" s="336"/>
      <c r="B344" s="550"/>
      <c r="C344" s="551"/>
      <c r="D344" s="552"/>
      <c r="E344" s="288"/>
      <c r="F344" s="281"/>
      <c r="G344" s="288"/>
      <c r="H344" s="288"/>
      <c r="I344" s="271"/>
      <c r="J344" s="271"/>
      <c r="K344" s="271"/>
      <c r="L344" s="271"/>
      <c r="M344" s="271"/>
      <c r="N344" s="281"/>
      <c r="O344" s="1163">
        <v>0.93490804699999996</v>
      </c>
    </row>
    <row r="345" spans="1:18" ht="18.95" customHeight="1">
      <c r="A345" s="336">
        <v>9</v>
      </c>
      <c r="B345" s="519" t="s">
        <v>1187</v>
      </c>
      <c r="C345" s="508"/>
      <c r="D345" s="509"/>
      <c r="E345" s="271"/>
      <c r="F345" s="281"/>
      <c r="G345" s="271"/>
      <c r="H345" s="271"/>
      <c r="I345" s="271"/>
      <c r="J345" s="339"/>
      <c r="K345" s="339"/>
      <c r="L345" s="271"/>
      <c r="M345" s="281"/>
      <c r="N345" s="281"/>
      <c r="O345" s="1163">
        <v>0.93490804699999996</v>
      </c>
    </row>
    <row r="346" spans="1:18" ht="18.95" customHeight="1">
      <c r="A346" s="340"/>
      <c r="B346" s="136">
        <v>9.1</v>
      </c>
      <c r="C346" s="510" t="s">
        <v>1578</v>
      </c>
      <c r="D346" s="521"/>
      <c r="E346" s="513">
        <v>57</v>
      </c>
      <c r="F346" s="268" t="s">
        <v>402</v>
      </c>
      <c r="G346" s="269">
        <v>1450</v>
      </c>
      <c r="H346" s="269">
        <f t="shared" ref="H346:H348" si="162">G346*O346</f>
        <v>1355.6166681499999</v>
      </c>
      <c r="I346" s="269">
        <f t="shared" ref="I346:I348" si="163">E346*H346</f>
        <v>77270.150084549998</v>
      </c>
      <c r="J346" s="267">
        <v>115</v>
      </c>
      <c r="K346" s="267">
        <f t="shared" ref="K346:K348" si="164">J346*O346</f>
        <v>107.514425405</v>
      </c>
      <c r="L346" s="270">
        <f t="shared" ref="L346:L348" si="165">E346*K346</f>
        <v>6128.322248085</v>
      </c>
      <c r="M346" s="270">
        <f>I346+L346</f>
        <v>83398.472332634992</v>
      </c>
      <c r="N346" s="268"/>
      <c r="O346" s="1163">
        <v>0.93490804699999996</v>
      </c>
    </row>
    <row r="347" spans="1:18" ht="18.95" customHeight="1">
      <c r="A347" s="224"/>
      <c r="B347" s="136">
        <v>9.1999999999999993</v>
      </c>
      <c r="C347" s="524" t="s">
        <v>1579</v>
      </c>
      <c r="D347" s="525"/>
      <c r="E347" s="513">
        <v>25</v>
      </c>
      <c r="F347" s="268" t="s">
        <v>402</v>
      </c>
      <c r="G347" s="269">
        <v>1750</v>
      </c>
      <c r="H347" s="269">
        <f t="shared" si="162"/>
        <v>1636.08908225</v>
      </c>
      <c r="I347" s="269">
        <f t="shared" si="163"/>
        <v>40902.227056249998</v>
      </c>
      <c r="J347" s="267">
        <v>115</v>
      </c>
      <c r="K347" s="267">
        <f t="shared" si="164"/>
        <v>107.514425405</v>
      </c>
      <c r="L347" s="270">
        <f t="shared" si="165"/>
        <v>2687.860635125</v>
      </c>
      <c r="M347" s="270">
        <f>I347+L347</f>
        <v>43590.087691374996</v>
      </c>
      <c r="N347" s="268"/>
      <c r="O347" s="1163">
        <v>0.93490804699999996</v>
      </c>
    </row>
    <row r="348" spans="1:18" ht="18.95" customHeight="1">
      <c r="A348" s="224"/>
      <c r="B348" s="136">
        <v>9.3000000000000007</v>
      </c>
      <c r="C348" s="524" t="s">
        <v>1580</v>
      </c>
      <c r="D348" s="525"/>
      <c r="E348" s="534">
        <v>1</v>
      </c>
      <c r="F348" s="268" t="s">
        <v>1321</v>
      </c>
      <c r="G348" s="547">
        <v>2528</v>
      </c>
      <c r="H348" s="269">
        <f t="shared" si="162"/>
        <v>2363.4475428159999</v>
      </c>
      <c r="I348" s="269">
        <f t="shared" si="163"/>
        <v>2363.4475428159999</v>
      </c>
      <c r="J348" s="549">
        <v>758</v>
      </c>
      <c r="K348" s="267">
        <f t="shared" si="164"/>
        <v>708.66029962599998</v>
      </c>
      <c r="L348" s="270">
        <f t="shared" si="165"/>
        <v>708.66029962599998</v>
      </c>
      <c r="M348" s="270">
        <f>I348+L348</f>
        <v>3072.1078424419998</v>
      </c>
      <c r="N348" s="268"/>
      <c r="O348" s="1163">
        <v>0.93490804699999996</v>
      </c>
    </row>
    <row r="349" spans="1:18" ht="18.95" customHeight="1">
      <c r="A349" s="224"/>
      <c r="B349" s="1345" t="s">
        <v>1581</v>
      </c>
      <c r="C349" s="1346"/>
      <c r="D349" s="1356"/>
      <c r="E349" s="271"/>
      <c r="F349" s="281"/>
      <c r="G349" s="271"/>
      <c r="H349" s="271"/>
      <c r="I349" s="271">
        <f>SUM(I346:I348)</f>
        <v>120535.824683616</v>
      </c>
      <c r="J349" s="271"/>
      <c r="K349" s="271"/>
      <c r="L349" s="271">
        <f>SUM(L346:L348)</f>
        <v>9524.8431828360008</v>
      </c>
      <c r="M349" s="271">
        <f>SUM(M346:M348)</f>
        <v>130060.66786645199</v>
      </c>
      <c r="N349" s="281"/>
      <c r="O349" s="1163">
        <v>0.93490804699999996</v>
      </c>
    </row>
    <row r="350" spans="1:18" ht="18.95" customHeight="1">
      <c r="A350" s="336"/>
      <c r="B350" s="519"/>
      <c r="C350" s="508"/>
      <c r="D350" s="509"/>
      <c r="E350" s="271"/>
      <c r="F350" s="281"/>
      <c r="G350" s="271"/>
      <c r="H350" s="271"/>
      <c r="I350" s="271"/>
      <c r="J350" s="271"/>
      <c r="K350" s="271"/>
      <c r="L350" s="271"/>
      <c r="M350" s="271"/>
      <c r="N350" s="281"/>
      <c r="O350" s="1163">
        <v>0.93490804699999996</v>
      </c>
    </row>
    <row r="351" spans="1:18" ht="18.95" customHeight="1">
      <c r="A351" s="336">
        <v>10</v>
      </c>
      <c r="B351" s="519" t="s">
        <v>1187</v>
      </c>
      <c r="C351" s="508"/>
      <c r="D351" s="509"/>
      <c r="E351" s="271"/>
      <c r="F351" s="281"/>
      <c r="G351" s="271"/>
      <c r="H351" s="271"/>
      <c r="I351" s="271"/>
      <c r="J351" s="271"/>
      <c r="K351" s="271"/>
      <c r="L351" s="271"/>
      <c r="M351" s="271"/>
      <c r="N351" s="281"/>
      <c r="O351" s="1163">
        <v>0.93490804699999996</v>
      </c>
    </row>
    <row r="352" spans="1:18" ht="18.95" customHeight="1">
      <c r="A352" s="340"/>
      <c r="B352" s="136">
        <v>10.1</v>
      </c>
      <c r="C352" s="510" t="s">
        <v>1582</v>
      </c>
      <c r="D352" s="511"/>
      <c r="E352" s="271"/>
      <c r="F352" s="281"/>
      <c r="G352" s="271"/>
      <c r="H352" s="271"/>
      <c r="I352" s="271"/>
      <c r="J352" s="339"/>
      <c r="K352" s="339"/>
      <c r="L352" s="271"/>
      <c r="M352" s="281"/>
      <c r="N352" s="281"/>
      <c r="O352" s="1163">
        <v>0.93490804699999996</v>
      </c>
    </row>
    <row r="353" spans="1:15" ht="18.95" customHeight="1">
      <c r="A353" s="340"/>
      <c r="B353" s="136"/>
      <c r="C353" s="510" t="s">
        <v>1583</v>
      </c>
      <c r="D353" s="521"/>
      <c r="E353" s="513">
        <v>36</v>
      </c>
      <c r="F353" s="268" t="s">
        <v>402</v>
      </c>
      <c r="G353" s="269">
        <v>95</v>
      </c>
      <c r="H353" s="269">
        <f t="shared" ref="H353:H355" si="166">G353*O353</f>
        <v>88.816264465000003</v>
      </c>
      <c r="I353" s="269">
        <f t="shared" ref="I353:I355" si="167">E353*H353</f>
        <v>3197.3855207400002</v>
      </c>
      <c r="J353" s="267">
        <v>80</v>
      </c>
      <c r="K353" s="267">
        <f t="shared" ref="K353:K355" si="168">J353*O353</f>
        <v>74.792643760000004</v>
      </c>
      <c r="L353" s="270">
        <f t="shared" ref="L353:L355" si="169">E353*K353</f>
        <v>2692.5351753600003</v>
      </c>
      <c r="M353" s="270">
        <f t="shared" ref="M353:M359" si="170">I353+L353</f>
        <v>5889.9206961</v>
      </c>
      <c r="N353" s="268"/>
      <c r="O353" s="1163">
        <v>0.93490804699999996</v>
      </c>
    </row>
    <row r="354" spans="1:15" ht="18.95" customHeight="1">
      <c r="A354" s="340"/>
      <c r="B354" s="136"/>
      <c r="C354" s="510" t="s">
        <v>1584</v>
      </c>
      <c r="D354" s="521"/>
      <c r="E354" s="513">
        <v>23</v>
      </c>
      <c r="F354" s="268" t="s">
        <v>402</v>
      </c>
      <c r="G354" s="269">
        <v>125</v>
      </c>
      <c r="H354" s="269">
        <f t="shared" si="166"/>
        <v>116.863505875</v>
      </c>
      <c r="I354" s="269">
        <f t="shared" si="167"/>
        <v>2687.860635125</v>
      </c>
      <c r="J354" s="267">
        <v>90</v>
      </c>
      <c r="K354" s="267">
        <f t="shared" si="168"/>
        <v>84.141724229999994</v>
      </c>
      <c r="L354" s="270">
        <f t="shared" si="169"/>
        <v>1935.25965729</v>
      </c>
      <c r="M354" s="270">
        <f t="shared" si="170"/>
        <v>4623.1202924150002</v>
      </c>
      <c r="N354" s="268"/>
      <c r="O354" s="1163">
        <v>0.93490804699999996</v>
      </c>
    </row>
    <row r="355" spans="1:15" ht="18.95" customHeight="1">
      <c r="A355" s="340"/>
      <c r="B355" s="136"/>
      <c r="C355" s="510" t="s">
        <v>1585</v>
      </c>
      <c r="D355" s="521"/>
      <c r="E355" s="513">
        <v>26</v>
      </c>
      <c r="F355" s="268" t="s">
        <v>402</v>
      </c>
      <c r="G355" s="269">
        <v>155</v>
      </c>
      <c r="H355" s="269">
        <f t="shared" si="166"/>
        <v>144.91074728499999</v>
      </c>
      <c r="I355" s="269">
        <f t="shared" si="167"/>
        <v>3767.6794294099996</v>
      </c>
      <c r="J355" s="267">
        <v>100</v>
      </c>
      <c r="K355" s="267">
        <f t="shared" si="168"/>
        <v>93.490804699999998</v>
      </c>
      <c r="L355" s="270">
        <f t="shared" si="169"/>
        <v>2430.7609222000001</v>
      </c>
      <c r="M355" s="270">
        <f t="shared" si="170"/>
        <v>6198.4403516099992</v>
      </c>
      <c r="N355" s="268"/>
      <c r="O355" s="1163">
        <v>0.93490804699999996</v>
      </c>
    </row>
    <row r="356" spans="1:15" ht="18.95" customHeight="1">
      <c r="A356" s="340"/>
      <c r="B356" s="136"/>
      <c r="C356" s="510" t="s">
        <v>1586</v>
      </c>
      <c r="D356" s="521"/>
      <c r="E356" s="513">
        <v>0</v>
      </c>
      <c r="F356" s="268" t="s">
        <v>402</v>
      </c>
      <c r="G356" s="269">
        <v>52</v>
      </c>
      <c r="H356" s="269">
        <f t="shared" ref="H356:H358" si="171">G356*O356</f>
        <v>48.615218444</v>
      </c>
      <c r="I356" s="269">
        <f t="shared" ref="I356:I358" si="172">E356*H356</f>
        <v>0</v>
      </c>
      <c r="J356" s="267">
        <v>80</v>
      </c>
      <c r="K356" s="267"/>
      <c r="L356" s="270">
        <f t="shared" ref="L356:L359" si="173">E356*J356</f>
        <v>0</v>
      </c>
      <c r="M356" s="270">
        <f t="shared" si="170"/>
        <v>0</v>
      </c>
      <c r="N356" s="268"/>
      <c r="O356" s="1163">
        <v>0.93490804699999996</v>
      </c>
    </row>
    <row r="357" spans="1:15" ht="18.95" customHeight="1">
      <c r="A357" s="340"/>
      <c r="B357" s="136"/>
      <c r="C357" s="510" t="s">
        <v>1587</v>
      </c>
      <c r="D357" s="521"/>
      <c r="E357" s="513">
        <v>0</v>
      </c>
      <c r="F357" s="268" t="s">
        <v>402</v>
      </c>
      <c r="G357" s="269">
        <v>155</v>
      </c>
      <c r="H357" s="269">
        <f t="shared" si="171"/>
        <v>144.91074728499999</v>
      </c>
      <c r="I357" s="269">
        <f t="shared" si="172"/>
        <v>0</v>
      </c>
      <c r="J357" s="267">
        <v>90</v>
      </c>
      <c r="K357" s="267"/>
      <c r="L357" s="270">
        <f t="shared" si="173"/>
        <v>0</v>
      </c>
      <c r="M357" s="270">
        <f t="shared" si="170"/>
        <v>0</v>
      </c>
      <c r="N357" s="268"/>
      <c r="O357" s="1163">
        <v>0.93490804699999996</v>
      </c>
    </row>
    <row r="358" spans="1:15" ht="18.95" customHeight="1">
      <c r="A358" s="224"/>
      <c r="B358" s="139"/>
      <c r="C358" s="524" t="s">
        <v>1588</v>
      </c>
      <c r="D358" s="525"/>
      <c r="E358" s="513">
        <v>587</v>
      </c>
      <c r="F358" s="268" t="s">
        <v>402</v>
      </c>
      <c r="G358" s="269">
        <v>155</v>
      </c>
      <c r="H358" s="269">
        <f t="shared" si="171"/>
        <v>144.91074728499999</v>
      </c>
      <c r="I358" s="269">
        <f t="shared" si="172"/>
        <v>85062.608656294993</v>
      </c>
      <c r="J358" s="267">
        <v>80</v>
      </c>
      <c r="K358" s="267">
        <f t="shared" ref="K358" si="174">J358*O358</f>
        <v>74.792643760000004</v>
      </c>
      <c r="L358" s="270">
        <f t="shared" ref="L358" si="175">E358*K358</f>
        <v>43903.28188712</v>
      </c>
      <c r="M358" s="270">
        <f t="shared" si="170"/>
        <v>128965.89054341499</v>
      </c>
      <c r="N358" s="268"/>
      <c r="O358" s="1163">
        <v>0.93490804699999996</v>
      </c>
    </row>
    <row r="359" spans="1:15" ht="18.95" customHeight="1">
      <c r="A359" s="224"/>
      <c r="B359" s="139"/>
      <c r="C359" s="524" t="s">
        <v>1589</v>
      </c>
      <c r="D359" s="525"/>
      <c r="E359" s="513"/>
      <c r="F359" s="268" t="s">
        <v>402</v>
      </c>
      <c r="G359" s="269"/>
      <c r="H359" s="269"/>
      <c r="I359" s="269">
        <f t="shared" ref="I359" si="176">E359*G359</f>
        <v>0</v>
      </c>
      <c r="J359" s="267"/>
      <c r="K359" s="267"/>
      <c r="L359" s="270">
        <f t="shared" si="173"/>
        <v>0</v>
      </c>
      <c r="M359" s="270">
        <f t="shared" si="170"/>
        <v>0</v>
      </c>
      <c r="N359" s="268"/>
      <c r="O359" s="1163">
        <v>0.93490804699999996</v>
      </c>
    </row>
    <row r="360" spans="1:15" ht="18.95" customHeight="1">
      <c r="A360" s="224"/>
      <c r="B360" s="136">
        <v>10.199999999999999</v>
      </c>
      <c r="C360" s="510" t="s">
        <v>1590</v>
      </c>
      <c r="D360" s="511"/>
      <c r="E360" s="513"/>
      <c r="F360" s="268"/>
      <c r="G360" s="269"/>
      <c r="H360" s="269"/>
      <c r="I360" s="269"/>
      <c r="J360" s="267"/>
      <c r="K360" s="267"/>
      <c r="L360" s="270"/>
      <c r="M360" s="270"/>
      <c r="N360" s="268"/>
      <c r="O360" s="1163">
        <v>0.93490804699999996</v>
      </c>
    </row>
    <row r="361" spans="1:15" ht="18.95" customHeight="1">
      <c r="A361" s="224"/>
      <c r="B361" s="139"/>
      <c r="C361" s="524" t="s">
        <v>1591</v>
      </c>
      <c r="D361" s="525"/>
      <c r="E361" s="513">
        <v>31</v>
      </c>
      <c r="F361" s="268" t="s">
        <v>402</v>
      </c>
      <c r="G361" s="269">
        <v>1550</v>
      </c>
      <c r="H361" s="269">
        <f t="shared" ref="H361" si="177">G361*O361</f>
        <v>1449.10747285</v>
      </c>
      <c r="I361" s="269">
        <f t="shared" ref="I361" si="178">E361*H361</f>
        <v>44922.331658349998</v>
      </c>
      <c r="J361" s="267">
        <v>265</v>
      </c>
      <c r="K361" s="267">
        <f t="shared" ref="K361" si="179">J361*O361</f>
        <v>247.75063245499999</v>
      </c>
      <c r="L361" s="270">
        <f t="shared" ref="L361" si="180">E361*K361</f>
        <v>7680.2696061049992</v>
      </c>
      <c r="M361" s="270">
        <f t="shared" ref="M361:M369" si="181">I361+L361</f>
        <v>52602.601264454999</v>
      </c>
      <c r="N361" s="268"/>
      <c r="O361" s="1163">
        <v>0.93490804699999996</v>
      </c>
    </row>
    <row r="362" spans="1:15" ht="18.95" customHeight="1">
      <c r="A362" s="224"/>
      <c r="B362" s="198">
        <v>10.3</v>
      </c>
      <c r="C362" s="524" t="s">
        <v>1592</v>
      </c>
      <c r="D362" s="525"/>
      <c r="E362" s="513"/>
      <c r="F362" s="268"/>
      <c r="G362" s="269"/>
      <c r="H362" s="269"/>
      <c r="I362" s="269">
        <f t="shared" ref="I362:I368" si="182">E362*G362</f>
        <v>0</v>
      </c>
      <c r="J362" s="267"/>
      <c r="K362" s="267"/>
      <c r="L362" s="270">
        <f t="shared" ref="L362:L368" si="183">E362*J362</f>
        <v>0</v>
      </c>
      <c r="M362" s="270">
        <f t="shared" si="181"/>
        <v>0</v>
      </c>
      <c r="N362" s="268"/>
      <c r="O362" s="1163">
        <v>0.93490804699999996</v>
      </c>
    </row>
    <row r="363" spans="1:15" ht="18.95" customHeight="1">
      <c r="A363" s="224"/>
      <c r="B363" s="139"/>
      <c r="C363" s="524" t="s">
        <v>1593</v>
      </c>
      <c r="D363" s="525"/>
      <c r="E363" s="513"/>
      <c r="F363" s="268" t="s">
        <v>402</v>
      </c>
      <c r="G363" s="269">
        <v>1650</v>
      </c>
      <c r="H363" s="269"/>
      <c r="I363" s="269">
        <f t="shared" si="182"/>
        <v>0</v>
      </c>
      <c r="J363" s="267">
        <v>150</v>
      </c>
      <c r="K363" s="267"/>
      <c r="L363" s="270">
        <f t="shared" si="183"/>
        <v>0</v>
      </c>
      <c r="M363" s="270">
        <f t="shared" si="181"/>
        <v>0</v>
      </c>
      <c r="N363" s="268"/>
      <c r="O363" s="1163">
        <v>0.93490804699999996</v>
      </c>
    </row>
    <row r="364" spans="1:15" ht="18.95" customHeight="1">
      <c r="A364" s="224"/>
      <c r="B364" s="139"/>
      <c r="C364" s="524" t="s">
        <v>1594</v>
      </c>
      <c r="D364" s="525"/>
      <c r="E364" s="513"/>
      <c r="F364" s="268" t="s">
        <v>402</v>
      </c>
      <c r="G364" s="269">
        <v>1650</v>
      </c>
      <c r="H364" s="269"/>
      <c r="I364" s="269">
        <f t="shared" si="182"/>
        <v>0</v>
      </c>
      <c r="J364" s="267">
        <v>110</v>
      </c>
      <c r="K364" s="267"/>
      <c r="L364" s="270">
        <f t="shared" si="183"/>
        <v>0</v>
      </c>
      <c r="M364" s="270">
        <f t="shared" si="181"/>
        <v>0</v>
      </c>
      <c r="N364" s="268"/>
      <c r="O364" s="1163">
        <v>0.93490804699999996</v>
      </c>
    </row>
    <row r="365" spans="1:15" ht="18.95" customHeight="1">
      <c r="A365" s="224"/>
      <c r="B365" s="198">
        <v>10.4</v>
      </c>
      <c r="C365" s="524" t="s">
        <v>1595</v>
      </c>
      <c r="D365" s="525"/>
      <c r="E365" s="513"/>
      <c r="F365" s="268"/>
      <c r="G365" s="269"/>
      <c r="H365" s="269"/>
      <c r="I365" s="269">
        <f t="shared" si="182"/>
        <v>0</v>
      </c>
      <c r="J365" s="267"/>
      <c r="K365" s="267"/>
      <c r="L365" s="270">
        <f t="shared" si="183"/>
        <v>0</v>
      </c>
      <c r="M365" s="270">
        <f t="shared" si="181"/>
        <v>0</v>
      </c>
      <c r="N365" s="268"/>
      <c r="O365" s="1163">
        <v>0.93490804699999996</v>
      </c>
    </row>
    <row r="366" spans="1:15" ht="18.95" customHeight="1">
      <c r="A366" s="224"/>
      <c r="B366" s="139"/>
      <c r="C366" s="524" t="s">
        <v>1596</v>
      </c>
      <c r="D366" s="525"/>
      <c r="E366" s="513"/>
      <c r="F366" s="268" t="s">
        <v>402</v>
      </c>
      <c r="G366" s="269">
        <v>3900</v>
      </c>
      <c r="H366" s="269"/>
      <c r="I366" s="269">
        <f t="shared" si="182"/>
        <v>0</v>
      </c>
      <c r="J366" s="267">
        <v>250</v>
      </c>
      <c r="K366" s="267"/>
      <c r="L366" s="270">
        <f t="shared" si="183"/>
        <v>0</v>
      </c>
      <c r="M366" s="270">
        <f t="shared" si="181"/>
        <v>0</v>
      </c>
      <c r="N366" s="268"/>
      <c r="O366" s="1163">
        <v>0.93490804699999996</v>
      </c>
    </row>
    <row r="367" spans="1:15" ht="18.95" customHeight="1">
      <c r="A367" s="224"/>
      <c r="B367" s="139"/>
      <c r="C367" s="524" t="s">
        <v>1597</v>
      </c>
      <c r="D367" s="525"/>
      <c r="E367" s="513"/>
      <c r="F367" s="268" t="s">
        <v>402</v>
      </c>
      <c r="G367" s="269">
        <v>4500</v>
      </c>
      <c r="H367" s="269"/>
      <c r="I367" s="269">
        <f t="shared" si="182"/>
        <v>0</v>
      </c>
      <c r="J367" s="267">
        <v>250</v>
      </c>
      <c r="K367" s="267"/>
      <c r="L367" s="270">
        <f t="shared" si="183"/>
        <v>0</v>
      </c>
      <c r="M367" s="270">
        <f t="shared" si="181"/>
        <v>0</v>
      </c>
      <c r="N367" s="268"/>
      <c r="O367" s="1163">
        <v>0.93490804699999996</v>
      </c>
    </row>
    <row r="368" spans="1:15" ht="18.95" customHeight="1">
      <c r="A368" s="224"/>
      <c r="B368" s="139"/>
      <c r="C368" s="524" t="s">
        <v>1598</v>
      </c>
      <c r="D368" s="525"/>
      <c r="E368" s="513"/>
      <c r="F368" s="268" t="s">
        <v>402</v>
      </c>
      <c r="G368" s="269">
        <v>7000</v>
      </c>
      <c r="H368" s="269"/>
      <c r="I368" s="269">
        <f t="shared" si="182"/>
        <v>0</v>
      </c>
      <c r="J368" s="267">
        <v>250</v>
      </c>
      <c r="K368" s="267"/>
      <c r="L368" s="270">
        <f t="shared" si="183"/>
        <v>0</v>
      </c>
      <c r="M368" s="270">
        <f t="shared" si="181"/>
        <v>0</v>
      </c>
      <c r="N368" s="268"/>
      <c r="O368" s="1163">
        <v>0.93490804699999996</v>
      </c>
    </row>
    <row r="369" spans="1:16" ht="18.95" customHeight="1">
      <c r="A369" s="224"/>
      <c r="B369" s="198">
        <v>10.5</v>
      </c>
      <c r="C369" s="524" t="s">
        <v>1599</v>
      </c>
      <c r="D369" s="525"/>
      <c r="E369" s="267">
        <v>1</v>
      </c>
      <c r="F369" s="268" t="s">
        <v>1321</v>
      </c>
      <c r="G369" s="547">
        <v>2987</v>
      </c>
      <c r="H369" s="269">
        <f t="shared" ref="H369" si="184">G369*O369</f>
        <v>2792.5703363889997</v>
      </c>
      <c r="I369" s="269">
        <f t="shared" ref="I369" si="185">E369*H369</f>
        <v>2792.5703363889997</v>
      </c>
      <c r="J369" s="549">
        <v>896</v>
      </c>
      <c r="K369" s="267">
        <f t="shared" ref="K369" si="186">J369*O369</f>
        <v>837.67761011199991</v>
      </c>
      <c r="L369" s="270">
        <f t="shared" ref="L369" si="187">E369*K369</f>
        <v>837.67761011199991</v>
      </c>
      <c r="M369" s="270">
        <f t="shared" si="181"/>
        <v>3630.2479465009997</v>
      </c>
      <c r="N369" s="268"/>
      <c r="O369" s="1163">
        <v>0.93490804699999996</v>
      </c>
    </row>
    <row r="370" spans="1:16" ht="18.95" customHeight="1">
      <c r="A370" s="224"/>
      <c r="B370" s="1345" t="s">
        <v>1600</v>
      </c>
      <c r="C370" s="1346"/>
      <c r="D370" s="1356"/>
      <c r="E370" s="271"/>
      <c r="F370" s="281"/>
      <c r="G370" s="271"/>
      <c r="H370" s="271"/>
      <c r="I370" s="271"/>
      <c r="J370" s="271"/>
      <c r="K370" s="271"/>
      <c r="L370" s="271"/>
      <c r="M370" s="271"/>
      <c r="N370" s="268"/>
      <c r="O370" s="1163">
        <v>0.93490804699999996</v>
      </c>
    </row>
    <row r="371" spans="1:16" ht="18.95" customHeight="1">
      <c r="A371" s="224"/>
      <c r="B371" s="422"/>
      <c r="C371" s="451"/>
      <c r="D371" s="516"/>
      <c r="E371" s="271"/>
      <c r="F371" s="281"/>
      <c r="G371" s="271"/>
      <c r="H371" s="271"/>
      <c r="I371" s="271">
        <f>SUM(I353:I369)</f>
        <v>142430.436236309</v>
      </c>
      <c r="J371" s="271"/>
      <c r="K371" s="271"/>
      <c r="L371" s="271">
        <f>SUM(L353:L369)</f>
        <v>59479.784858186998</v>
      </c>
      <c r="M371" s="271">
        <f>SUM(M353:M369)</f>
        <v>201910.22109449602</v>
      </c>
      <c r="N371" s="281"/>
      <c r="O371" s="1163">
        <v>0.93490804699999996</v>
      </c>
    </row>
    <row r="372" spans="1:16" ht="18.95" customHeight="1">
      <c r="A372" s="336">
        <v>11</v>
      </c>
      <c r="B372" s="519" t="s">
        <v>1189</v>
      </c>
      <c r="C372" s="508"/>
      <c r="D372" s="509"/>
      <c r="E372" s="271"/>
      <c r="F372" s="281"/>
      <c r="G372" s="271"/>
      <c r="H372" s="271"/>
      <c r="I372" s="271"/>
      <c r="J372" s="271"/>
      <c r="K372" s="271"/>
      <c r="L372" s="271"/>
      <c r="M372" s="271"/>
      <c r="N372" s="281"/>
      <c r="O372" s="1163">
        <v>0.93490804699999996</v>
      </c>
    </row>
    <row r="373" spans="1:16" ht="18.95" customHeight="1">
      <c r="A373" s="340"/>
      <c r="B373" s="136">
        <v>11.1</v>
      </c>
      <c r="C373" s="520" t="s">
        <v>1601</v>
      </c>
      <c r="D373" s="511"/>
      <c r="E373" s="513">
        <v>36</v>
      </c>
      <c r="F373" s="268" t="s">
        <v>402</v>
      </c>
      <c r="G373" s="269">
        <v>970</v>
      </c>
      <c r="H373" s="269">
        <f t="shared" ref="H373" si="188">G373*O373</f>
        <v>906.86080558999993</v>
      </c>
      <c r="I373" s="269">
        <f t="shared" ref="I373" si="189">E373*H373</f>
        <v>32646.989001239999</v>
      </c>
      <c r="J373" s="267">
        <v>200</v>
      </c>
      <c r="K373" s="267">
        <f t="shared" ref="K373" si="190">J373*O373</f>
        <v>186.9816094</v>
      </c>
      <c r="L373" s="270">
        <f t="shared" ref="L373" si="191">E373*K373</f>
        <v>6731.3379384</v>
      </c>
      <c r="M373" s="270">
        <f>I373+L373</f>
        <v>39378.326939639999</v>
      </c>
      <c r="N373" s="268"/>
      <c r="O373" s="1163">
        <v>0.93490804699999996</v>
      </c>
    </row>
    <row r="374" spans="1:16" ht="18.95" customHeight="1">
      <c r="A374" s="340"/>
      <c r="B374" s="136">
        <v>11.2</v>
      </c>
      <c r="C374" s="520" t="s">
        <v>1602</v>
      </c>
      <c r="D374" s="521"/>
      <c r="E374" s="513"/>
      <c r="F374" s="268"/>
      <c r="G374" s="269"/>
      <c r="H374" s="269"/>
      <c r="I374" s="269"/>
      <c r="J374" s="267"/>
      <c r="K374" s="267"/>
      <c r="L374" s="270"/>
      <c r="M374" s="270"/>
      <c r="N374" s="268"/>
      <c r="O374" s="1163">
        <v>0.93490804699999996</v>
      </c>
    </row>
    <row r="375" spans="1:16" ht="18.95" customHeight="1">
      <c r="A375" s="224"/>
      <c r="B375" s="139"/>
      <c r="C375" s="553" t="s">
        <v>1603</v>
      </c>
      <c r="D375" s="525"/>
      <c r="E375" s="267">
        <v>10</v>
      </c>
      <c r="F375" s="356" t="s">
        <v>1079</v>
      </c>
      <c r="G375" s="269">
        <f>ROUND(45188/100,2)</f>
        <v>451.88</v>
      </c>
      <c r="H375" s="269">
        <f t="shared" ref="H375" si="192">G375*O375</f>
        <v>422.46624827835996</v>
      </c>
      <c r="I375" s="269">
        <f t="shared" ref="I375" si="193">E375*H375</f>
        <v>4224.6624827835994</v>
      </c>
      <c r="J375" s="267">
        <v>60</v>
      </c>
      <c r="K375" s="267">
        <f t="shared" ref="K375" si="194">J375*O375</f>
        <v>56.094482819999996</v>
      </c>
      <c r="L375" s="270">
        <f t="shared" ref="L375" si="195">E375*K375</f>
        <v>560.94482819999996</v>
      </c>
      <c r="M375" s="270">
        <f>I375+L375</f>
        <v>4785.6073109835997</v>
      </c>
      <c r="N375" s="268"/>
      <c r="O375" s="1163">
        <v>0.93490804699999996</v>
      </c>
      <c r="P375" s="293" t="s">
        <v>1300</v>
      </c>
    </row>
    <row r="376" spans="1:16" ht="18.95" customHeight="1">
      <c r="A376" s="224"/>
      <c r="B376" s="198">
        <v>11.3</v>
      </c>
      <c r="C376" s="553" t="s">
        <v>1604</v>
      </c>
      <c r="D376" s="525"/>
      <c r="E376" s="267"/>
      <c r="F376" s="268"/>
      <c r="G376" s="267"/>
      <c r="H376" s="267"/>
      <c r="I376" s="267"/>
      <c r="J376" s="267"/>
      <c r="K376" s="267"/>
      <c r="L376" s="269"/>
      <c r="M376" s="267"/>
      <c r="N376" s="268"/>
      <c r="O376" s="1163">
        <v>0.93490804699999996</v>
      </c>
    </row>
    <row r="377" spans="1:16" ht="18.95" customHeight="1">
      <c r="A377" s="224"/>
      <c r="B377" s="139"/>
      <c r="C377" s="553" t="s">
        <v>1605</v>
      </c>
      <c r="D377" s="525"/>
      <c r="E377" s="267">
        <v>250</v>
      </c>
      <c r="F377" s="356" t="s">
        <v>1079</v>
      </c>
      <c r="G377" s="269">
        <v>267.8</v>
      </c>
      <c r="H377" s="269">
        <f t="shared" ref="H377" si="196">G377*O377</f>
        <v>250.3683749866</v>
      </c>
      <c r="I377" s="269">
        <f t="shared" ref="I377" si="197">E377*H377</f>
        <v>62592.093746650004</v>
      </c>
      <c r="J377" s="267">
        <v>45</v>
      </c>
      <c r="K377" s="267">
        <f t="shared" ref="K377" si="198">J377*O377</f>
        <v>42.070862114999997</v>
      </c>
      <c r="L377" s="270">
        <f t="shared" ref="L377" si="199">E377*K377</f>
        <v>10517.715528749999</v>
      </c>
      <c r="M377" s="270">
        <f t="shared" ref="M377:M383" si="200">I377+L377</f>
        <v>73109.80927540001</v>
      </c>
      <c r="N377" s="268"/>
      <c r="O377" s="1163">
        <v>0.93490804699999996</v>
      </c>
    </row>
    <row r="378" spans="1:16" ht="18.95" customHeight="1">
      <c r="A378" s="224"/>
      <c r="B378" s="139"/>
      <c r="C378" s="553" t="s">
        <v>1603</v>
      </c>
      <c r="D378" s="525"/>
      <c r="E378" s="267">
        <v>300</v>
      </c>
      <c r="F378" s="356" t="s">
        <v>1079</v>
      </c>
      <c r="G378" s="269">
        <v>468</v>
      </c>
      <c r="H378" s="269">
        <f t="shared" ref="H378:H383" si="201">G378*O378</f>
        <v>437.53696599599999</v>
      </c>
      <c r="I378" s="269">
        <f t="shared" ref="I378:I383" si="202">E378*H378</f>
        <v>131261.08979880001</v>
      </c>
      <c r="J378" s="267">
        <v>60</v>
      </c>
      <c r="K378" s="267">
        <f t="shared" ref="K378:K383" si="203">J378*O378</f>
        <v>56.094482819999996</v>
      </c>
      <c r="L378" s="270">
        <f t="shared" ref="L378:L383" si="204">E378*K378</f>
        <v>16828.344846</v>
      </c>
      <c r="M378" s="270">
        <f t="shared" si="200"/>
        <v>148089.4346448</v>
      </c>
      <c r="N378" s="268"/>
      <c r="O378" s="1163">
        <v>0.93490804699999996</v>
      </c>
    </row>
    <row r="379" spans="1:16" ht="18.95" customHeight="1">
      <c r="A379" s="224"/>
      <c r="B379" s="198">
        <v>11.4</v>
      </c>
      <c r="C379" s="553" t="s">
        <v>1606</v>
      </c>
      <c r="D379" s="525"/>
      <c r="E379" s="267">
        <v>240</v>
      </c>
      <c r="F379" s="356" t="s">
        <v>1079</v>
      </c>
      <c r="G379" s="269">
        <v>550</v>
      </c>
      <c r="H379" s="269">
        <f t="shared" si="201"/>
        <v>514.19942585000001</v>
      </c>
      <c r="I379" s="269">
        <f t="shared" si="202"/>
        <v>123407.862204</v>
      </c>
      <c r="J379" s="267">
        <v>60</v>
      </c>
      <c r="K379" s="267">
        <f t="shared" si="203"/>
        <v>56.094482819999996</v>
      </c>
      <c r="L379" s="270">
        <f t="shared" si="204"/>
        <v>13462.6758768</v>
      </c>
      <c r="M379" s="270">
        <f t="shared" si="200"/>
        <v>136870.5380808</v>
      </c>
      <c r="N379" s="268"/>
      <c r="O379" s="1163">
        <v>0.93490804699999996</v>
      </c>
    </row>
    <row r="380" spans="1:16" ht="18.95" customHeight="1">
      <c r="A380" s="224"/>
      <c r="B380" s="198">
        <v>11.5</v>
      </c>
      <c r="C380" s="524" t="s">
        <v>1607</v>
      </c>
      <c r="D380" s="525"/>
      <c r="E380" s="513">
        <v>1</v>
      </c>
      <c r="F380" s="268" t="s">
        <v>402</v>
      </c>
      <c r="G380" s="269">
        <v>2100</v>
      </c>
      <c r="H380" s="269">
        <f t="shared" si="201"/>
        <v>1963.3068986999999</v>
      </c>
      <c r="I380" s="269">
        <f t="shared" si="202"/>
        <v>1963.3068986999999</v>
      </c>
      <c r="J380" s="267">
        <v>100</v>
      </c>
      <c r="K380" s="267">
        <f t="shared" si="203"/>
        <v>93.490804699999998</v>
      </c>
      <c r="L380" s="270">
        <f t="shared" si="204"/>
        <v>93.490804699999998</v>
      </c>
      <c r="M380" s="270">
        <f t="shared" si="200"/>
        <v>2056.7977034</v>
      </c>
      <c r="N380" s="268"/>
      <c r="O380" s="1163">
        <v>0.93490804699999996</v>
      </c>
    </row>
    <row r="381" spans="1:16" ht="18.95" customHeight="1">
      <c r="A381" s="224"/>
      <c r="B381" s="198">
        <v>11.6</v>
      </c>
      <c r="C381" s="524" t="s">
        <v>1608</v>
      </c>
      <c r="D381" s="525"/>
      <c r="E381" s="513">
        <v>1</v>
      </c>
      <c r="F381" s="268" t="s">
        <v>402</v>
      </c>
      <c r="G381" s="269">
        <v>2380</v>
      </c>
      <c r="H381" s="269">
        <f t="shared" si="201"/>
        <v>2225.0811518599999</v>
      </c>
      <c r="I381" s="269">
        <f t="shared" si="202"/>
        <v>2225.0811518599999</v>
      </c>
      <c r="J381" s="267">
        <v>100</v>
      </c>
      <c r="K381" s="267">
        <f t="shared" si="203"/>
        <v>93.490804699999998</v>
      </c>
      <c r="L381" s="270">
        <f t="shared" si="204"/>
        <v>93.490804699999998</v>
      </c>
      <c r="M381" s="270">
        <f t="shared" si="200"/>
        <v>2318.5719565599998</v>
      </c>
      <c r="N381" s="268"/>
      <c r="O381" s="1163">
        <v>0.93490804699999996</v>
      </c>
    </row>
    <row r="382" spans="1:16" ht="18.95" customHeight="1">
      <c r="A382" s="224"/>
      <c r="B382" s="198">
        <v>11.7</v>
      </c>
      <c r="C382" s="524" t="s">
        <v>1609</v>
      </c>
      <c r="D382" s="525"/>
      <c r="E382" s="513">
        <v>12</v>
      </c>
      <c r="F382" s="268" t="s">
        <v>402</v>
      </c>
      <c r="G382" s="269">
        <v>1800</v>
      </c>
      <c r="H382" s="269">
        <f t="shared" si="201"/>
        <v>1682.8344846</v>
      </c>
      <c r="I382" s="269">
        <f t="shared" si="202"/>
        <v>20194.0138152</v>
      </c>
      <c r="J382" s="267">
        <v>100</v>
      </c>
      <c r="K382" s="267">
        <f t="shared" si="203"/>
        <v>93.490804699999998</v>
      </c>
      <c r="L382" s="270">
        <f t="shared" si="204"/>
        <v>1121.8896563999999</v>
      </c>
      <c r="M382" s="270">
        <f t="shared" si="200"/>
        <v>21315.903471599999</v>
      </c>
      <c r="N382" s="268"/>
      <c r="O382" s="1163">
        <v>0.93490804699999996</v>
      </c>
    </row>
    <row r="383" spans="1:16" ht="18.95" customHeight="1">
      <c r="A383" s="224"/>
      <c r="B383" s="198">
        <v>11.8</v>
      </c>
      <c r="C383" s="524" t="s">
        <v>1610</v>
      </c>
      <c r="D383" s="525"/>
      <c r="E383" s="513">
        <v>14</v>
      </c>
      <c r="F383" s="268" t="s">
        <v>402</v>
      </c>
      <c r="G383" s="269">
        <v>1585</v>
      </c>
      <c r="H383" s="269">
        <f t="shared" si="201"/>
        <v>1481.829254495</v>
      </c>
      <c r="I383" s="269">
        <f t="shared" si="202"/>
        <v>20745.60956293</v>
      </c>
      <c r="J383" s="267">
        <v>300</v>
      </c>
      <c r="K383" s="267">
        <f t="shared" si="203"/>
        <v>280.47241409999998</v>
      </c>
      <c r="L383" s="270">
        <f t="shared" si="204"/>
        <v>3926.6137973999998</v>
      </c>
      <c r="M383" s="270">
        <f t="shared" si="200"/>
        <v>24672.223360330001</v>
      </c>
      <c r="N383" s="268"/>
      <c r="O383" s="1163">
        <v>0.93490804699999996</v>
      </c>
    </row>
    <row r="384" spans="1:16" ht="18.95" customHeight="1">
      <c r="A384" s="224"/>
      <c r="B384" s="198">
        <v>11.9</v>
      </c>
      <c r="C384" s="524" t="s">
        <v>1611</v>
      </c>
      <c r="D384" s="525"/>
      <c r="E384" s="513"/>
      <c r="F384" s="268"/>
      <c r="G384" s="269"/>
      <c r="H384" s="269"/>
      <c r="I384" s="269"/>
      <c r="J384" s="267"/>
      <c r="K384" s="267"/>
      <c r="L384" s="270"/>
      <c r="M384" s="270"/>
      <c r="N384" s="268"/>
      <c r="O384" s="1163">
        <v>0.93490804699999996</v>
      </c>
    </row>
    <row r="385" spans="1:16" ht="18.95" customHeight="1">
      <c r="A385" s="224"/>
      <c r="B385" s="139" t="s">
        <v>1612</v>
      </c>
      <c r="C385" s="524" t="s">
        <v>1325</v>
      </c>
      <c r="D385" s="525"/>
      <c r="E385" s="267"/>
      <c r="F385" s="268"/>
      <c r="G385" s="267"/>
      <c r="H385" s="267"/>
      <c r="I385" s="267"/>
      <c r="J385" s="267"/>
      <c r="K385" s="267"/>
      <c r="L385" s="269"/>
      <c r="M385" s="267"/>
      <c r="N385" s="268"/>
      <c r="O385" s="1163">
        <v>0.93490804699999996</v>
      </c>
    </row>
    <row r="386" spans="1:16" ht="18.95" customHeight="1">
      <c r="A386" s="224"/>
      <c r="B386" s="139"/>
      <c r="C386" s="524" t="s">
        <v>1613</v>
      </c>
      <c r="D386" s="525"/>
      <c r="E386" s="267">
        <v>300</v>
      </c>
      <c r="F386" s="268" t="s">
        <v>1079</v>
      </c>
      <c r="G386" s="269">
        <f>ROUND(354.2/3,2)</f>
        <v>118.07</v>
      </c>
      <c r="H386" s="269">
        <f t="shared" ref="H386" si="205">G386*O386</f>
        <v>110.38459310928999</v>
      </c>
      <c r="I386" s="269">
        <f t="shared" ref="I386" si="206">E386*H386</f>
        <v>33115.377932787</v>
      </c>
      <c r="J386" s="267">
        <v>32</v>
      </c>
      <c r="K386" s="267">
        <f t="shared" ref="K386" si="207">J386*O386</f>
        <v>29.917057503999999</v>
      </c>
      <c r="L386" s="270">
        <f t="shared" ref="L386" si="208">E386*K386</f>
        <v>8975.1172511999994</v>
      </c>
      <c r="M386" s="270">
        <f>I386+L386</f>
        <v>42090.495183986997</v>
      </c>
      <c r="N386" s="268"/>
      <c r="O386" s="1163">
        <v>0.93490804699999996</v>
      </c>
      <c r="P386" s="293" t="s">
        <v>1300</v>
      </c>
    </row>
    <row r="387" spans="1:16" ht="18.95" customHeight="1">
      <c r="A387" s="224"/>
      <c r="B387" s="139" t="s">
        <v>1614</v>
      </c>
      <c r="C387" s="524" t="s">
        <v>1615</v>
      </c>
      <c r="D387" s="525"/>
      <c r="E387" s="267"/>
      <c r="F387" s="268"/>
      <c r="G387" s="267"/>
      <c r="H387" s="267"/>
      <c r="I387" s="267"/>
      <c r="J387" s="267"/>
      <c r="K387" s="267"/>
      <c r="L387" s="269"/>
      <c r="M387" s="267"/>
      <c r="N387" s="268"/>
      <c r="O387" s="1163">
        <v>0.93490804699999996</v>
      </c>
    </row>
    <row r="388" spans="1:16" ht="18.95" customHeight="1">
      <c r="A388" s="224"/>
      <c r="B388" s="139"/>
      <c r="C388" s="524" t="s">
        <v>1616</v>
      </c>
      <c r="D388" s="525"/>
      <c r="E388" s="267">
        <v>250</v>
      </c>
      <c r="F388" s="268" t="s">
        <v>1079</v>
      </c>
      <c r="G388" s="269">
        <v>27</v>
      </c>
      <c r="H388" s="269">
        <f t="shared" ref="H388:H389" si="209">G388*O388</f>
        <v>25.242517269</v>
      </c>
      <c r="I388" s="269">
        <f t="shared" ref="I388:I389" si="210">E388*H388</f>
        <v>6310.62931725</v>
      </c>
      <c r="J388" s="267">
        <v>25</v>
      </c>
      <c r="K388" s="267">
        <f t="shared" ref="K388" si="211">J388*O388</f>
        <v>23.372701175</v>
      </c>
      <c r="L388" s="270">
        <f t="shared" ref="L388" si="212">E388*K388</f>
        <v>5843.1752937499996</v>
      </c>
      <c r="M388" s="270">
        <f>I388+L388</f>
        <v>12153.804611</v>
      </c>
      <c r="N388" s="268"/>
      <c r="O388" s="1163">
        <v>0.93490804699999996</v>
      </c>
    </row>
    <row r="389" spans="1:16" ht="18.95" customHeight="1">
      <c r="A389" s="224"/>
      <c r="B389" s="198">
        <v>11.9</v>
      </c>
      <c r="C389" s="524" t="s">
        <v>1617</v>
      </c>
      <c r="D389" s="525"/>
      <c r="E389" s="267">
        <v>1</v>
      </c>
      <c r="F389" s="268" t="s">
        <v>1321</v>
      </c>
      <c r="G389" s="269">
        <v>50000</v>
      </c>
      <c r="H389" s="269">
        <f t="shared" si="209"/>
        <v>46745.402349999997</v>
      </c>
      <c r="I389" s="269">
        <f t="shared" si="210"/>
        <v>46745.402349999997</v>
      </c>
      <c r="J389" s="267">
        <v>5000</v>
      </c>
      <c r="K389" s="267">
        <f t="shared" ref="K389" si="213">J389*O389</f>
        <v>4674.5402349999995</v>
      </c>
      <c r="L389" s="270">
        <f t="shared" ref="L389" si="214">E389*K389</f>
        <v>4674.5402349999995</v>
      </c>
      <c r="M389" s="270">
        <f>I389+L389</f>
        <v>51419.942584999997</v>
      </c>
      <c r="N389" s="268"/>
      <c r="O389" s="1163">
        <v>0.93490804699999996</v>
      </c>
    </row>
    <row r="390" spans="1:16" ht="18.95" customHeight="1">
      <c r="A390" s="224"/>
      <c r="B390" s="1345" t="s">
        <v>1618</v>
      </c>
      <c r="C390" s="1346"/>
      <c r="D390" s="1356"/>
      <c r="E390" s="271"/>
      <c r="F390" s="281"/>
      <c r="G390" s="554"/>
      <c r="H390" s="554"/>
      <c r="I390" s="271">
        <f>SUM(I373:I389)</f>
        <v>485432.11826220067</v>
      </c>
      <c r="J390" s="271"/>
      <c r="K390" s="271"/>
      <c r="L390" s="271">
        <f>SUM(L373:L389)</f>
        <v>72829.336861299991</v>
      </c>
      <c r="M390" s="271">
        <f>SUM(M373:M389)</f>
        <v>558261.45512350055</v>
      </c>
      <c r="N390" s="270"/>
      <c r="O390" s="1163">
        <v>0.93490804699999996</v>
      </c>
    </row>
    <row r="391" spans="1:16" ht="18.95" customHeight="1">
      <c r="A391" s="224"/>
      <c r="B391" s="422"/>
      <c r="C391" s="451"/>
      <c r="D391" s="516"/>
      <c r="E391" s="271"/>
      <c r="F391" s="281"/>
      <c r="G391" s="271"/>
      <c r="H391" s="271"/>
      <c r="I391" s="271"/>
      <c r="J391" s="271"/>
      <c r="K391" s="271"/>
      <c r="L391" s="271"/>
      <c r="M391" s="271"/>
      <c r="N391" s="281"/>
      <c r="O391" s="1163">
        <v>0.93490804699999996</v>
      </c>
    </row>
    <row r="392" spans="1:16" ht="18.95" customHeight="1">
      <c r="A392" s="336">
        <v>12</v>
      </c>
      <c r="B392" s="519" t="s">
        <v>1190</v>
      </c>
      <c r="C392" s="508"/>
      <c r="D392" s="509"/>
      <c r="E392" s="271"/>
      <c r="F392" s="281"/>
      <c r="G392" s="271"/>
      <c r="H392" s="271"/>
      <c r="I392" s="271"/>
      <c r="J392" s="271"/>
      <c r="K392" s="271"/>
      <c r="L392" s="271"/>
      <c r="M392" s="271"/>
      <c r="N392" s="281"/>
      <c r="O392" s="1163">
        <v>0.93490804699999996</v>
      </c>
    </row>
    <row r="393" spans="1:16" ht="18.95" customHeight="1">
      <c r="A393" s="340"/>
      <c r="B393" s="136">
        <v>12.1</v>
      </c>
      <c r="C393" s="510" t="s">
        <v>1619</v>
      </c>
      <c r="D393" s="511"/>
      <c r="E393" s="513">
        <v>5</v>
      </c>
      <c r="F393" s="268" t="s">
        <v>1620</v>
      </c>
      <c r="G393" s="269">
        <v>15000</v>
      </c>
      <c r="H393" s="269">
        <f t="shared" ref="H393" si="215">G393*O393</f>
        <v>14023.620704999999</v>
      </c>
      <c r="I393" s="269">
        <f t="shared" ref="I393" si="216">E393*H393</f>
        <v>70118.103524999999</v>
      </c>
      <c r="J393" s="267">
        <v>2000</v>
      </c>
      <c r="K393" s="267">
        <f t="shared" ref="K393" si="217">J393*O393</f>
        <v>1869.816094</v>
      </c>
      <c r="L393" s="270">
        <f t="shared" ref="L393" si="218">E393*K393</f>
        <v>9349.0804700000008</v>
      </c>
      <c r="M393" s="270">
        <f>I393+L393</f>
        <v>79467.183994999999</v>
      </c>
      <c r="N393" s="268"/>
      <c r="O393" s="1163">
        <v>0.93490804699999996</v>
      </c>
    </row>
    <row r="394" spans="1:16" ht="18.95" customHeight="1">
      <c r="A394" s="224"/>
      <c r="B394" s="1345" t="s">
        <v>1621</v>
      </c>
      <c r="C394" s="1346"/>
      <c r="D394" s="1356"/>
      <c r="E394" s="271"/>
      <c r="F394" s="281"/>
      <c r="G394" s="271"/>
      <c r="H394" s="271"/>
      <c r="I394" s="271">
        <f>SUM(I393:I393)</f>
        <v>70118.103524999999</v>
      </c>
      <c r="J394" s="271"/>
      <c r="K394" s="271"/>
      <c r="L394" s="271">
        <f>SUM(L393:L393)</f>
        <v>9349.0804700000008</v>
      </c>
      <c r="M394" s="271">
        <f>SUM(M393:M393)</f>
        <v>79467.183994999999</v>
      </c>
      <c r="N394" s="270"/>
      <c r="O394" s="1163">
        <v>0.93490804699999996</v>
      </c>
    </row>
    <row r="395" spans="1:16" ht="18.95" customHeight="1">
      <c r="A395" s="224"/>
      <c r="B395" s="422"/>
      <c r="C395" s="451"/>
      <c r="D395" s="516"/>
      <c r="E395" s="271"/>
      <c r="F395" s="281"/>
      <c r="G395" s="271"/>
      <c r="H395" s="271"/>
      <c r="I395" s="271"/>
      <c r="J395" s="271"/>
      <c r="K395" s="271"/>
      <c r="L395" s="271"/>
      <c r="M395" s="271"/>
      <c r="N395" s="281"/>
      <c r="O395" s="1163">
        <v>0.93490804699999996</v>
      </c>
    </row>
    <row r="396" spans="1:16" ht="18.95" customHeight="1">
      <c r="A396" s="336">
        <v>13</v>
      </c>
      <c r="B396" s="519" t="s">
        <v>1191</v>
      </c>
      <c r="C396" s="508"/>
      <c r="D396" s="509"/>
      <c r="E396" s="271"/>
      <c r="F396" s="281"/>
      <c r="G396" s="271"/>
      <c r="H396" s="271"/>
      <c r="I396" s="271"/>
      <c r="J396" s="339"/>
      <c r="K396" s="339"/>
      <c r="L396" s="271"/>
      <c r="M396" s="281"/>
      <c r="N396" s="281"/>
      <c r="O396" s="1163">
        <v>0.93490804699999996</v>
      </c>
    </row>
    <row r="397" spans="1:16" ht="18.95" customHeight="1">
      <c r="A397" s="340"/>
      <c r="B397" s="136">
        <v>13.1</v>
      </c>
      <c r="C397" s="520" t="s">
        <v>1622</v>
      </c>
      <c r="D397" s="511"/>
      <c r="E397" s="271"/>
      <c r="F397" s="281"/>
      <c r="G397" s="271"/>
      <c r="H397" s="271"/>
      <c r="I397" s="271"/>
      <c r="J397" s="271"/>
      <c r="K397" s="271"/>
      <c r="L397" s="271"/>
      <c r="M397" s="271"/>
      <c r="N397" s="281"/>
      <c r="O397" s="1163">
        <v>0.93490804699999996</v>
      </c>
    </row>
    <row r="398" spans="1:16" ht="18.95" customHeight="1">
      <c r="A398" s="340"/>
      <c r="B398" s="136"/>
      <c r="C398" s="510" t="s">
        <v>1623</v>
      </c>
      <c r="D398" s="511"/>
      <c r="E398" s="513">
        <v>1</v>
      </c>
      <c r="F398" s="268" t="s">
        <v>402</v>
      </c>
      <c r="G398" s="269">
        <v>13400</v>
      </c>
      <c r="H398" s="269">
        <f t="shared" ref="H398" si="219">G398*O398</f>
        <v>12527.767829799999</v>
      </c>
      <c r="I398" s="269">
        <f t="shared" ref="I398" si="220">E398*H398</f>
        <v>12527.767829799999</v>
      </c>
      <c r="J398" s="267">
        <v>500</v>
      </c>
      <c r="K398" s="267">
        <f t="shared" ref="K398" si="221">J398*O398</f>
        <v>467.45402350000001</v>
      </c>
      <c r="L398" s="270">
        <f t="shared" ref="L398" si="222">E398*K398</f>
        <v>467.45402350000001</v>
      </c>
      <c r="M398" s="270">
        <f>I398+L398</f>
        <v>12995.2218533</v>
      </c>
      <c r="N398" s="268"/>
      <c r="O398" s="1163">
        <v>0.93490804699999996</v>
      </c>
    </row>
    <row r="399" spans="1:16" ht="18.95" customHeight="1">
      <c r="A399" s="340"/>
      <c r="B399" s="510"/>
      <c r="C399" s="510" t="s">
        <v>1624</v>
      </c>
      <c r="D399" s="511"/>
      <c r="E399" s="513">
        <v>1</v>
      </c>
      <c r="F399" s="268" t="s">
        <v>402</v>
      </c>
      <c r="G399" s="269">
        <v>7000</v>
      </c>
      <c r="H399" s="269">
        <f t="shared" ref="H399:H401" si="223">G399*O399</f>
        <v>6544.3563290000002</v>
      </c>
      <c r="I399" s="269">
        <f t="shared" ref="I399:I401" si="224">E399*H399</f>
        <v>6544.3563290000002</v>
      </c>
      <c r="J399" s="267">
        <v>500</v>
      </c>
      <c r="K399" s="267">
        <f t="shared" ref="K399:K405" si="225">J399*O399</f>
        <v>467.45402350000001</v>
      </c>
      <c r="L399" s="270">
        <f t="shared" ref="L399:L405" si="226">E399*K399</f>
        <v>467.45402350000001</v>
      </c>
      <c r="M399" s="270">
        <f>I399+L399</f>
        <v>7011.8103525000006</v>
      </c>
      <c r="N399" s="268"/>
      <c r="O399" s="1163">
        <v>0.93490804699999996</v>
      </c>
    </row>
    <row r="400" spans="1:16" ht="18.95" customHeight="1">
      <c r="A400" s="224"/>
      <c r="B400" s="510"/>
      <c r="C400" s="510" t="s">
        <v>1625</v>
      </c>
      <c r="D400" s="525"/>
      <c r="E400" s="513">
        <v>1</v>
      </c>
      <c r="F400" s="268" t="s">
        <v>402</v>
      </c>
      <c r="G400" s="269">
        <v>6400</v>
      </c>
      <c r="H400" s="269">
        <f t="shared" si="223"/>
        <v>5983.4115007999999</v>
      </c>
      <c r="I400" s="269">
        <f t="shared" si="224"/>
        <v>5983.4115007999999</v>
      </c>
      <c r="J400" s="267">
        <v>500</v>
      </c>
      <c r="K400" s="267">
        <f t="shared" si="225"/>
        <v>467.45402350000001</v>
      </c>
      <c r="L400" s="270">
        <f t="shared" si="226"/>
        <v>467.45402350000001</v>
      </c>
      <c r="M400" s="270">
        <f>I400+L400</f>
        <v>6450.8655243000003</v>
      </c>
      <c r="N400" s="268"/>
      <c r="O400" s="1163">
        <v>0.93490804699999996</v>
      </c>
    </row>
    <row r="401" spans="1:15" ht="18.95" customHeight="1">
      <c r="A401" s="224"/>
      <c r="B401" s="510"/>
      <c r="C401" s="510" t="s">
        <v>1626</v>
      </c>
      <c r="D401" s="525"/>
      <c r="E401" s="513">
        <v>1</v>
      </c>
      <c r="F401" s="268" t="s">
        <v>402</v>
      </c>
      <c r="G401" s="269">
        <v>5000</v>
      </c>
      <c r="H401" s="269">
        <f t="shared" si="223"/>
        <v>4674.5402349999995</v>
      </c>
      <c r="I401" s="269">
        <f t="shared" si="224"/>
        <v>4674.5402349999995</v>
      </c>
      <c r="J401" s="267">
        <v>1000</v>
      </c>
      <c r="K401" s="267">
        <f t="shared" si="225"/>
        <v>934.90804700000001</v>
      </c>
      <c r="L401" s="270">
        <f t="shared" si="226"/>
        <v>934.90804700000001</v>
      </c>
      <c r="M401" s="270">
        <f>I401+L401</f>
        <v>5609.4482819999994</v>
      </c>
      <c r="N401" s="268"/>
      <c r="O401" s="1163">
        <v>0.93490804699999996</v>
      </c>
    </row>
    <row r="402" spans="1:15" ht="18.95" customHeight="1">
      <c r="A402" s="224"/>
      <c r="B402" s="198">
        <v>13.2</v>
      </c>
      <c r="C402" s="524" t="s">
        <v>1627</v>
      </c>
      <c r="D402" s="525"/>
      <c r="E402" s="267"/>
      <c r="F402" s="268"/>
      <c r="G402" s="267"/>
      <c r="H402" s="269"/>
      <c r="I402" s="269"/>
      <c r="J402" s="267"/>
      <c r="K402" s="267">
        <f t="shared" si="225"/>
        <v>0</v>
      </c>
      <c r="L402" s="270">
        <f t="shared" si="226"/>
        <v>0</v>
      </c>
      <c r="M402" s="267"/>
      <c r="N402" s="268"/>
      <c r="O402" s="1163">
        <v>0.93490804699999996</v>
      </c>
    </row>
    <row r="403" spans="1:15" ht="18.95" customHeight="1">
      <c r="A403" s="224"/>
      <c r="B403" s="510"/>
      <c r="C403" s="510" t="s">
        <v>1623</v>
      </c>
      <c r="D403" s="511"/>
      <c r="E403" s="513">
        <v>2</v>
      </c>
      <c r="F403" s="268" t="s">
        <v>402</v>
      </c>
      <c r="G403" s="269">
        <v>13400</v>
      </c>
      <c r="H403" s="269">
        <f t="shared" ref="H403:H412" si="227">G403*O403</f>
        <v>12527.767829799999</v>
      </c>
      <c r="I403" s="269">
        <f t="shared" ref="I403:I412" si="228">E403*H403</f>
        <v>25055.535659599998</v>
      </c>
      <c r="J403" s="267">
        <v>500</v>
      </c>
      <c r="K403" s="267">
        <f t="shared" si="225"/>
        <v>467.45402350000001</v>
      </c>
      <c r="L403" s="270">
        <f t="shared" si="226"/>
        <v>934.90804700000001</v>
      </c>
      <c r="M403" s="270">
        <f>I403+L403</f>
        <v>25990.443706599999</v>
      </c>
      <c r="N403" s="268"/>
      <c r="O403" s="1163">
        <v>0.93490804699999996</v>
      </c>
    </row>
    <row r="404" spans="1:15" ht="18.95" customHeight="1">
      <c r="A404" s="224"/>
      <c r="B404" s="510"/>
      <c r="C404" s="510" t="s">
        <v>1625</v>
      </c>
      <c r="D404" s="511"/>
      <c r="E404" s="513">
        <v>1</v>
      </c>
      <c r="F404" s="268" t="s">
        <v>402</v>
      </c>
      <c r="G404" s="269">
        <v>6400</v>
      </c>
      <c r="H404" s="269">
        <f t="shared" si="227"/>
        <v>5983.4115007999999</v>
      </c>
      <c r="I404" s="269">
        <f t="shared" si="228"/>
        <v>5983.4115007999999</v>
      </c>
      <c r="J404" s="267">
        <v>500</v>
      </c>
      <c r="K404" s="267">
        <f t="shared" si="225"/>
        <v>467.45402350000001</v>
      </c>
      <c r="L404" s="270">
        <f t="shared" si="226"/>
        <v>467.45402350000001</v>
      </c>
      <c r="M404" s="270">
        <f>I404+L404</f>
        <v>6450.8655243000003</v>
      </c>
      <c r="N404" s="268"/>
      <c r="O404" s="1163">
        <v>0.93490804699999996</v>
      </c>
    </row>
    <row r="405" spans="1:15" ht="18.95" customHeight="1">
      <c r="A405" s="224"/>
      <c r="B405" s="510"/>
      <c r="C405" s="510" t="s">
        <v>1628</v>
      </c>
      <c r="D405" s="525"/>
      <c r="E405" s="513">
        <v>1</v>
      </c>
      <c r="F405" s="268" t="s">
        <v>402</v>
      </c>
      <c r="G405" s="269">
        <v>5000</v>
      </c>
      <c r="H405" s="269">
        <f t="shared" si="227"/>
        <v>4674.5402349999995</v>
      </c>
      <c r="I405" s="269">
        <f t="shared" si="228"/>
        <v>4674.5402349999995</v>
      </c>
      <c r="J405" s="267">
        <v>1000</v>
      </c>
      <c r="K405" s="267">
        <f t="shared" si="225"/>
        <v>934.90804700000001</v>
      </c>
      <c r="L405" s="270">
        <f t="shared" si="226"/>
        <v>934.90804700000001</v>
      </c>
      <c r="M405" s="270">
        <f>I405+L405</f>
        <v>5609.4482819999994</v>
      </c>
      <c r="N405" s="268"/>
      <c r="O405" s="1163">
        <v>0.93490804699999996</v>
      </c>
    </row>
    <row r="406" spans="1:15" ht="18.95" customHeight="1">
      <c r="A406" s="224"/>
      <c r="B406" s="198">
        <v>13.3</v>
      </c>
      <c r="C406" s="524" t="s">
        <v>1629</v>
      </c>
      <c r="D406" s="525"/>
      <c r="E406" s="267"/>
      <c r="F406" s="268"/>
      <c r="G406" s="267"/>
      <c r="H406" s="269"/>
      <c r="I406" s="269"/>
      <c r="J406" s="267"/>
      <c r="K406" s="267"/>
      <c r="L406" s="270"/>
      <c r="M406" s="267"/>
      <c r="N406" s="268"/>
      <c r="O406" s="1163">
        <v>0.93490804699999996</v>
      </c>
    </row>
    <row r="407" spans="1:15" ht="18.95" customHeight="1">
      <c r="A407" s="224"/>
      <c r="B407" s="510"/>
      <c r="C407" s="510" t="s">
        <v>1623</v>
      </c>
      <c r="D407" s="555"/>
      <c r="E407" s="513">
        <v>2</v>
      </c>
      <c r="F407" s="268" t="s">
        <v>402</v>
      </c>
      <c r="G407" s="269">
        <v>13400</v>
      </c>
      <c r="H407" s="269">
        <f t="shared" si="227"/>
        <v>12527.767829799999</v>
      </c>
      <c r="I407" s="269">
        <f t="shared" si="228"/>
        <v>25055.535659599998</v>
      </c>
      <c r="J407" s="267">
        <v>500</v>
      </c>
      <c r="K407" s="267">
        <f t="shared" ref="K407:K422" si="229">J407*O407</f>
        <v>467.45402350000001</v>
      </c>
      <c r="L407" s="270">
        <f t="shared" ref="L407:L422" si="230">E407*K407</f>
        <v>934.90804700000001</v>
      </c>
      <c r="M407" s="270">
        <f t="shared" ref="M407:M412" si="231">I407+L407</f>
        <v>25990.443706599999</v>
      </c>
      <c r="N407" s="268"/>
      <c r="O407" s="1163">
        <v>0.93490804699999996</v>
      </c>
    </row>
    <row r="408" spans="1:15" ht="18.95" customHeight="1">
      <c r="A408" s="224"/>
      <c r="B408" s="510"/>
      <c r="C408" s="510" t="s">
        <v>1630</v>
      </c>
      <c r="D408" s="555"/>
      <c r="E408" s="513">
        <v>1</v>
      </c>
      <c r="F408" s="268" t="s">
        <v>402</v>
      </c>
      <c r="G408" s="269">
        <v>22000</v>
      </c>
      <c r="H408" s="269">
        <f t="shared" si="227"/>
        <v>20567.977034</v>
      </c>
      <c r="I408" s="269">
        <f t="shared" si="228"/>
        <v>20567.977034</v>
      </c>
      <c r="J408" s="267">
        <v>500</v>
      </c>
      <c r="K408" s="267">
        <f t="shared" si="229"/>
        <v>467.45402350000001</v>
      </c>
      <c r="L408" s="270">
        <f t="shared" si="230"/>
        <v>467.45402350000001</v>
      </c>
      <c r="M408" s="270">
        <f t="shared" si="231"/>
        <v>21035.431057499998</v>
      </c>
      <c r="N408" s="268"/>
      <c r="O408" s="1163">
        <v>0.93490804699999996</v>
      </c>
    </row>
    <row r="409" spans="1:15" ht="18.95" customHeight="1">
      <c r="A409" s="224"/>
      <c r="B409" s="510"/>
      <c r="C409" s="510" t="s">
        <v>1631</v>
      </c>
      <c r="D409" s="555"/>
      <c r="E409" s="513">
        <v>1</v>
      </c>
      <c r="F409" s="268" t="s">
        <v>402</v>
      </c>
      <c r="G409" s="269">
        <v>18000</v>
      </c>
      <c r="H409" s="269">
        <f t="shared" si="227"/>
        <v>16828.344846</v>
      </c>
      <c r="I409" s="269">
        <f t="shared" si="228"/>
        <v>16828.344846</v>
      </c>
      <c r="J409" s="267">
        <v>500</v>
      </c>
      <c r="K409" s="267">
        <f t="shared" si="229"/>
        <v>467.45402350000001</v>
      </c>
      <c r="L409" s="270">
        <f t="shared" si="230"/>
        <v>467.45402350000001</v>
      </c>
      <c r="M409" s="270">
        <f t="shared" si="231"/>
        <v>17295.798869499999</v>
      </c>
      <c r="N409" s="268"/>
      <c r="O409" s="1163">
        <v>0.93490804699999996</v>
      </c>
    </row>
    <row r="410" spans="1:15" ht="18.95" customHeight="1">
      <c r="A410" s="224"/>
      <c r="B410" s="510"/>
      <c r="C410" s="510" t="s">
        <v>1624</v>
      </c>
      <c r="D410" s="555"/>
      <c r="E410" s="513">
        <v>1</v>
      </c>
      <c r="F410" s="268" t="s">
        <v>402</v>
      </c>
      <c r="G410" s="269">
        <v>7000</v>
      </c>
      <c r="H410" s="269">
        <f t="shared" si="227"/>
        <v>6544.3563290000002</v>
      </c>
      <c r="I410" s="269">
        <f t="shared" si="228"/>
        <v>6544.3563290000002</v>
      </c>
      <c r="J410" s="267">
        <v>500</v>
      </c>
      <c r="K410" s="267">
        <f t="shared" si="229"/>
        <v>467.45402350000001</v>
      </c>
      <c r="L410" s="270">
        <f t="shared" si="230"/>
        <v>467.45402350000001</v>
      </c>
      <c r="M410" s="270">
        <f t="shared" si="231"/>
        <v>7011.8103525000006</v>
      </c>
      <c r="N410" s="268"/>
      <c r="O410" s="1163">
        <v>0.93490804699999996</v>
      </c>
    </row>
    <row r="411" spans="1:15" ht="18.95" customHeight="1">
      <c r="A411" s="224"/>
      <c r="B411" s="510"/>
      <c r="C411" s="510" t="s">
        <v>1625</v>
      </c>
      <c r="D411" s="555"/>
      <c r="E411" s="513">
        <v>1</v>
      </c>
      <c r="F411" s="268" t="s">
        <v>402</v>
      </c>
      <c r="G411" s="269">
        <v>6400</v>
      </c>
      <c r="H411" s="269">
        <f t="shared" si="227"/>
        <v>5983.4115007999999</v>
      </c>
      <c r="I411" s="269">
        <f t="shared" si="228"/>
        <v>5983.4115007999999</v>
      </c>
      <c r="J411" s="267">
        <v>500</v>
      </c>
      <c r="K411" s="267">
        <f t="shared" si="229"/>
        <v>467.45402350000001</v>
      </c>
      <c r="L411" s="270">
        <f t="shared" si="230"/>
        <v>467.45402350000001</v>
      </c>
      <c r="M411" s="270">
        <f t="shared" si="231"/>
        <v>6450.8655243000003</v>
      </c>
      <c r="N411" s="268"/>
      <c r="O411" s="1163">
        <v>0.93490804699999996</v>
      </c>
    </row>
    <row r="412" spans="1:15" ht="18.95" customHeight="1">
      <c r="A412" s="224"/>
      <c r="B412" s="510"/>
      <c r="C412" s="510" t="s">
        <v>1626</v>
      </c>
      <c r="D412" s="555"/>
      <c r="E412" s="513">
        <v>1</v>
      </c>
      <c r="F412" s="268" t="s">
        <v>402</v>
      </c>
      <c r="G412" s="269">
        <v>12650</v>
      </c>
      <c r="H412" s="269">
        <f t="shared" si="227"/>
        <v>11826.586794549999</v>
      </c>
      <c r="I412" s="269">
        <f t="shared" si="228"/>
        <v>11826.586794549999</v>
      </c>
      <c r="J412" s="267">
        <v>1000</v>
      </c>
      <c r="K412" s="267">
        <f t="shared" si="229"/>
        <v>934.90804700000001</v>
      </c>
      <c r="L412" s="270">
        <f t="shared" si="230"/>
        <v>934.90804700000001</v>
      </c>
      <c r="M412" s="270">
        <f t="shared" si="231"/>
        <v>12761.49484155</v>
      </c>
      <c r="N412" s="268"/>
      <c r="O412" s="1163">
        <v>0.93490804699999996</v>
      </c>
    </row>
    <row r="413" spans="1:15" ht="18.95" customHeight="1">
      <c r="A413" s="224"/>
      <c r="B413" s="198">
        <v>13.4</v>
      </c>
      <c r="C413" s="524" t="s">
        <v>1632</v>
      </c>
      <c r="D413" s="525"/>
      <c r="E413" s="267"/>
      <c r="F413" s="268"/>
      <c r="G413" s="267"/>
      <c r="H413" s="267"/>
      <c r="I413" s="267"/>
      <c r="J413" s="267"/>
      <c r="K413" s="267"/>
      <c r="L413" s="270"/>
      <c r="M413" s="267"/>
      <c r="N413" s="268"/>
      <c r="O413" s="1163">
        <v>0.93490804699999996</v>
      </c>
    </row>
    <row r="414" spans="1:15" ht="18.95" customHeight="1">
      <c r="A414" s="224"/>
      <c r="B414" s="510"/>
      <c r="C414" s="510" t="s">
        <v>1623</v>
      </c>
      <c r="D414" s="511"/>
      <c r="E414" s="513">
        <v>2</v>
      </c>
      <c r="F414" s="268" t="s">
        <v>402</v>
      </c>
      <c r="G414" s="269">
        <v>13400</v>
      </c>
      <c r="H414" s="269">
        <f t="shared" ref="H414:H416" si="232">G414*O414</f>
        <v>12527.767829799999</v>
      </c>
      <c r="I414" s="269">
        <f t="shared" ref="I414:I416" si="233">E414*H414</f>
        <v>25055.535659599998</v>
      </c>
      <c r="J414" s="267">
        <v>500</v>
      </c>
      <c r="K414" s="267">
        <f t="shared" si="229"/>
        <v>467.45402350000001</v>
      </c>
      <c r="L414" s="270">
        <f t="shared" si="230"/>
        <v>934.90804700000001</v>
      </c>
      <c r="M414" s="270">
        <f>I414+L414</f>
        <v>25990.443706599999</v>
      </c>
      <c r="N414" s="268"/>
      <c r="O414" s="1163">
        <v>0.93490804699999996</v>
      </c>
    </row>
    <row r="415" spans="1:15" ht="18.95" customHeight="1">
      <c r="A415" s="224"/>
      <c r="B415" s="510"/>
      <c r="C415" s="510" t="s">
        <v>1625</v>
      </c>
      <c r="D415" s="511"/>
      <c r="E415" s="513">
        <v>1</v>
      </c>
      <c r="F415" s="268" t="s">
        <v>402</v>
      </c>
      <c r="G415" s="269">
        <v>6400</v>
      </c>
      <c r="H415" s="269">
        <f t="shared" si="232"/>
        <v>5983.4115007999999</v>
      </c>
      <c r="I415" s="269">
        <f t="shared" si="233"/>
        <v>5983.4115007999999</v>
      </c>
      <c r="J415" s="267">
        <v>500</v>
      </c>
      <c r="K415" s="267">
        <f t="shared" si="229"/>
        <v>467.45402350000001</v>
      </c>
      <c r="L415" s="270">
        <f t="shared" si="230"/>
        <v>467.45402350000001</v>
      </c>
      <c r="M415" s="270">
        <f>I415+L415</f>
        <v>6450.8655243000003</v>
      </c>
      <c r="N415" s="268"/>
      <c r="O415" s="1163">
        <v>0.93490804699999996</v>
      </c>
    </row>
    <row r="416" spans="1:15" ht="18.95" customHeight="1">
      <c r="A416" s="224"/>
      <c r="B416" s="510"/>
      <c r="C416" s="510" t="s">
        <v>1628</v>
      </c>
      <c r="D416" s="511"/>
      <c r="E416" s="513">
        <v>1</v>
      </c>
      <c r="F416" s="268" t="s">
        <v>402</v>
      </c>
      <c r="G416" s="269">
        <v>5000</v>
      </c>
      <c r="H416" s="269">
        <f t="shared" si="232"/>
        <v>4674.5402349999995</v>
      </c>
      <c r="I416" s="269">
        <f t="shared" si="233"/>
        <v>4674.5402349999995</v>
      </c>
      <c r="J416" s="267">
        <v>1000</v>
      </c>
      <c r="K416" s="267">
        <f t="shared" si="229"/>
        <v>934.90804700000001</v>
      </c>
      <c r="L416" s="270">
        <f t="shared" si="230"/>
        <v>934.90804700000001</v>
      </c>
      <c r="M416" s="270">
        <f>I416+L416</f>
        <v>5609.4482819999994</v>
      </c>
      <c r="N416" s="268"/>
      <c r="O416" s="1163">
        <v>0.93490804699999996</v>
      </c>
    </row>
    <row r="417" spans="1:15" ht="18.95" customHeight="1">
      <c r="A417" s="224"/>
      <c r="B417" s="198">
        <v>13.5</v>
      </c>
      <c r="C417" s="524" t="s">
        <v>1633</v>
      </c>
      <c r="D417" s="525"/>
      <c r="E417" s="267"/>
      <c r="F417" s="268"/>
      <c r="G417" s="267"/>
      <c r="H417" s="267"/>
      <c r="I417" s="267"/>
      <c r="J417" s="267"/>
      <c r="K417" s="267"/>
      <c r="L417" s="270"/>
      <c r="M417" s="267"/>
      <c r="N417" s="268"/>
      <c r="O417" s="1163">
        <v>0.93490804699999996</v>
      </c>
    </row>
    <row r="418" spans="1:15" ht="18.95" customHeight="1">
      <c r="A418" s="224"/>
      <c r="B418" s="510"/>
      <c r="C418" s="510" t="s">
        <v>1623</v>
      </c>
      <c r="D418" s="525"/>
      <c r="E418" s="513">
        <v>3</v>
      </c>
      <c r="F418" s="268" t="s">
        <v>402</v>
      </c>
      <c r="G418" s="269">
        <v>13400</v>
      </c>
      <c r="H418" s="269">
        <f t="shared" ref="H418:H420" si="234">G418*O418</f>
        <v>12527.767829799999</v>
      </c>
      <c r="I418" s="269">
        <f t="shared" ref="I418:I420" si="235">E418*H418</f>
        <v>37583.303489400001</v>
      </c>
      <c r="J418" s="267">
        <v>500</v>
      </c>
      <c r="K418" s="267">
        <f t="shared" si="229"/>
        <v>467.45402350000001</v>
      </c>
      <c r="L418" s="270">
        <f t="shared" si="230"/>
        <v>1402.3620705000001</v>
      </c>
      <c r="M418" s="270">
        <f>I418+L418</f>
        <v>38985.665559900001</v>
      </c>
      <c r="N418" s="268"/>
      <c r="O418" s="1163">
        <v>0.93490804699999996</v>
      </c>
    </row>
    <row r="419" spans="1:15" ht="18.95" customHeight="1">
      <c r="A419" s="224"/>
      <c r="B419" s="510"/>
      <c r="C419" s="510" t="s">
        <v>1634</v>
      </c>
      <c r="D419" s="525"/>
      <c r="E419" s="513">
        <v>1</v>
      </c>
      <c r="F419" s="268" t="s">
        <v>402</v>
      </c>
      <c r="G419" s="269">
        <v>11800</v>
      </c>
      <c r="H419" s="269">
        <f t="shared" si="234"/>
        <v>11031.914954599999</v>
      </c>
      <c r="I419" s="269">
        <f t="shared" si="235"/>
        <v>11031.914954599999</v>
      </c>
      <c r="J419" s="267">
        <v>500</v>
      </c>
      <c r="K419" s="267">
        <f t="shared" si="229"/>
        <v>467.45402350000001</v>
      </c>
      <c r="L419" s="270">
        <f t="shared" si="230"/>
        <v>467.45402350000001</v>
      </c>
      <c r="M419" s="270">
        <f>I419+L419</f>
        <v>11499.368978099999</v>
      </c>
      <c r="N419" s="268"/>
      <c r="O419" s="1163">
        <v>0.93490804699999996</v>
      </c>
    </row>
    <row r="420" spans="1:15" ht="18.95" customHeight="1">
      <c r="A420" s="224"/>
      <c r="B420" s="510"/>
      <c r="C420" s="510" t="s">
        <v>1630</v>
      </c>
      <c r="D420" s="525"/>
      <c r="E420" s="513">
        <v>1</v>
      </c>
      <c r="F420" s="268" t="s">
        <v>402</v>
      </c>
      <c r="G420" s="269">
        <v>22000</v>
      </c>
      <c r="H420" s="269">
        <f t="shared" si="234"/>
        <v>20567.977034</v>
      </c>
      <c r="I420" s="269">
        <f t="shared" si="235"/>
        <v>20567.977034</v>
      </c>
      <c r="J420" s="267">
        <v>500</v>
      </c>
      <c r="K420" s="267">
        <f t="shared" si="229"/>
        <v>467.45402350000001</v>
      </c>
      <c r="L420" s="270">
        <f t="shared" si="230"/>
        <v>467.45402350000001</v>
      </c>
      <c r="M420" s="270">
        <f>I420+L420</f>
        <v>21035.431057499998</v>
      </c>
      <c r="N420" s="268"/>
      <c r="O420" s="1163">
        <v>0.93490804699999996</v>
      </c>
    </row>
    <row r="421" spans="1:15" ht="18.95" customHeight="1">
      <c r="A421" s="224"/>
      <c r="B421" s="510"/>
      <c r="C421" s="510" t="s">
        <v>1625</v>
      </c>
      <c r="D421" s="525"/>
      <c r="E421" s="513">
        <v>1</v>
      </c>
      <c r="F421" s="268" t="s">
        <v>402</v>
      </c>
      <c r="G421" s="269">
        <v>6400</v>
      </c>
      <c r="H421" s="269">
        <f t="shared" ref="H421:H422" si="236">G421*O421</f>
        <v>5983.4115007999999</v>
      </c>
      <c r="I421" s="269">
        <f t="shared" ref="I421:I422" si="237">E421*H421</f>
        <v>5983.4115007999999</v>
      </c>
      <c r="J421" s="267">
        <v>500</v>
      </c>
      <c r="K421" s="267">
        <f t="shared" si="229"/>
        <v>467.45402350000001</v>
      </c>
      <c r="L421" s="270">
        <f t="shared" si="230"/>
        <v>467.45402350000001</v>
      </c>
      <c r="M421" s="270">
        <f>I421+L421</f>
        <v>6450.8655243000003</v>
      </c>
      <c r="N421" s="268"/>
      <c r="O421" s="1163">
        <v>0.93490804699999996</v>
      </c>
    </row>
    <row r="422" spans="1:15" ht="18.95" customHeight="1">
      <c r="A422" s="224"/>
      <c r="B422" s="510"/>
      <c r="C422" s="510" t="s">
        <v>1626</v>
      </c>
      <c r="D422" s="555"/>
      <c r="E422" s="513">
        <v>1</v>
      </c>
      <c r="F422" s="268" t="s">
        <v>402</v>
      </c>
      <c r="G422" s="269">
        <v>12650</v>
      </c>
      <c r="H422" s="269">
        <f t="shared" si="236"/>
        <v>11826.586794549999</v>
      </c>
      <c r="I422" s="269">
        <f t="shared" si="237"/>
        <v>11826.586794549999</v>
      </c>
      <c r="J422" s="267">
        <v>1000</v>
      </c>
      <c r="K422" s="267">
        <f t="shared" si="229"/>
        <v>934.90804700000001</v>
      </c>
      <c r="L422" s="270">
        <f t="shared" si="230"/>
        <v>934.90804700000001</v>
      </c>
      <c r="M422" s="270">
        <f>I422+L422</f>
        <v>12761.49484155</v>
      </c>
      <c r="N422" s="268"/>
      <c r="O422" s="1163">
        <v>0.93490804699999996</v>
      </c>
    </row>
    <row r="423" spans="1:15" ht="18.95" customHeight="1">
      <c r="A423" s="224"/>
      <c r="B423" s="198">
        <v>13.5</v>
      </c>
      <c r="C423" s="524" t="s">
        <v>1635</v>
      </c>
      <c r="D423" s="525"/>
      <c r="E423" s="267"/>
      <c r="F423" s="268"/>
      <c r="G423" s="267"/>
      <c r="H423" s="267"/>
      <c r="I423" s="267"/>
      <c r="J423" s="267"/>
      <c r="K423" s="267"/>
      <c r="L423" s="269"/>
      <c r="M423" s="267"/>
      <c r="N423" s="268"/>
      <c r="O423" s="1163">
        <v>0.93490804699999996</v>
      </c>
    </row>
    <row r="424" spans="1:15" ht="18.95" customHeight="1">
      <c r="A424" s="224"/>
      <c r="B424" s="510"/>
      <c r="C424" s="510" t="s">
        <v>1623</v>
      </c>
      <c r="D424" s="525"/>
      <c r="E424" s="513">
        <v>3</v>
      </c>
      <c r="F424" s="268" t="s">
        <v>402</v>
      </c>
      <c r="G424" s="269">
        <v>13400</v>
      </c>
      <c r="H424" s="269">
        <f t="shared" ref="H424:H426" si="238">G424*O424</f>
        <v>12527.767829799999</v>
      </c>
      <c r="I424" s="269">
        <f t="shared" ref="I424:I426" si="239">E424*H424</f>
        <v>37583.303489400001</v>
      </c>
      <c r="J424" s="267">
        <v>500</v>
      </c>
      <c r="K424" s="267">
        <f t="shared" ref="K424:K426" si="240">J424*O424</f>
        <v>467.45402350000001</v>
      </c>
      <c r="L424" s="270">
        <f t="shared" ref="L424:L426" si="241">E424*K424</f>
        <v>1402.3620705000001</v>
      </c>
      <c r="M424" s="270">
        <f>I424+L424</f>
        <v>38985.665559900001</v>
      </c>
      <c r="N424" s="268"/>
      <c r="O424" s="1163">
        <v>0.93490804699999996</v>
      </c>
    </row>
    <row r="425" spans="1:15" ht="18.95" customHeight="1">
      <c r="A425" s="224"/>
      <c r="B425" s="510"/>
      <c r="C425" s="510" t="s">
        <v>1630</v>
      </c>
      <c r="D425" s="525"/>
      <c r="E425" s="513">
        <v>1</v>
      </c>
      <c r="F425" s="268" t="s">
        <v>402</v>
      </c>
      <c r="G425" s="269">
        <v>22000</v>
      </c>
      <c r="H425" s="269">
        <f t="shared" si="238"/>
        <v>20567.977034</v>
      </c>
      <c r="I425" s="269">
        <f t="shared" si="239"/>
        <v>20567.977034</v>
      </c>
      <c r="J425" s="267">
        <v>500</v>
      </c>
      <c r="K425" s="267">
        <f t="shared" si="240"/>
        <v>467.45402350000001</v>
      </c>
      <c r="L425" s="270">
        <f t="shared" si="241"/>
        <v>467.45402350000001</v>
      </c>
      <c r="M425" s="270">
        <f>I425+L425</f>
        <v>21035.431057499998</v>
      </c>
      <c r="N425" s="268"/>
      <c r="O425" s="1163">
        <v>0.93490804699999996</v>
      </c>
    </row>
    <row r="426" spans="1:15" ht="18.95" customHeight="1">
      <c r="A426" s="224"/>
      <c r="B426" s="510"/>
      <c r="C426" s="510" t="s">
        <v>1625</v>
      </c>
      <c r="D426" s="525"/>
      <c r="E426" s="513">
        <v>2</v>
      </c>
      <c r="F426" s="268" t="s">
        <v>402</v>
      </c>
      <c r="G426" s="269">
        <v>6400</v>
      </c>
      <c r="H426" s="269">
        <f t="shared" si="238"/>
        <v>5983.4115007999999</v>
      </c>
      <c r="I426" s="269">
        <f t="shared" si="239"/>
        <v>11966.8230016</v>
      </c>
      <c r="J426" s="267">
        <v>500</v>
      </c>
      <c r="K426" s="267">
        <f t="shared" si="240"/>
        <v>467.45402350000001</v>
      </c>
      <c r="L426" s="270">
        <f t="shared" si="241"/>
        <v>934.90804700000001</v>
      </c>
      <c r="M426" s="270">
        <f>I426+L426</f>
        <v>12901.731048600001</v>
      </c>
      <c r="N426" s="268"/>
      <c r="O426" s="1163">
        <v>0.93490804699999996</v>
      </c>
    </row>
    <row r="427" spans="1:15" ht="18.95" customHeight="1">
      <c r="A427" s="224"/>
      <c r="B427" s="510"/>
      <c r="C427" s="510" t="s">
        <v>1626</v>
      </c>
      <c r="D427" s="555"/>
      <c r="E427" s="513">
        <v>1</v>
      </c>
      <c r="F427" s="268" t="s">
        <v>402</v>
      </c>
      <c r="G427" s="269">
        <v>12650</v>
      </c>
      <c r="H427" s="269">
        <f t="shared" ref="H427" si="242">G427*O427</f>
        <v>11826.586794549999</v>
      </c>
      <c r="I427" s="269">
        <f t="shared" ref="I427" si="243">E427*H427</f>
        <v>11826.586794549999</v>
      </c>
      <c r="J427" s="267">
        <v>1000</v>
      </c>
      <c r="K427" s="267">
        <f t="shared" ref="K427" si="244">J427*O427</f>
        <v>934.90804700000001</v>
      </c>
      <c r="L427" s="270">
        <f t="shared" ref="L427" si="245">E427*K427</f>
        <v>934.90804700000001</v>
      </c>
      <c r="M427" s="270">
        <f>I427+L427</f>
        <v>12761.49484155</v>
      </c>
      <c r="N427" s="268"/>
      <c r="O427" s="1163">
        <v>0.93490804699999996</v>
      </c>
    </row>
    <row r="428" spans="1:15" ht="18.95" customHeight="1">
      <c r="A428" s="224"/>
      <c r="B428" s="198">
        <v>13.6</v>
      </c>
      <c r="C428" s="510" t="s">
        <v>1636</v>
      </c>
      <c r="D428" s="555"/>
      <c r="E428" s="513"/>
      <c r="F428" s="268"/>
      <c r="G428" s="269"/>
      <c r="H428" s="269"/>
      <c r="I428" s="269"/>
      <c r="J428" s="267"/>
      <c r="K428" s="267"/>
      <c r="L428" s="270"/>
      <c r="M428" s="270"/>
      <c r="N428" s="268"/>
      <c r="O428" s="1163">
        <v>0.93490804699999996</v>
      </c>
    </row>
    <row r="429" spans="1:15" ht="18.95" customHeight="1">
      <c r="A429" s="224"/>
      <c r="B429" s="510"/>
      <c r="C429" s="510" t="s">
        <v>1637</v>
      </c>
      <c r="D429" s="555"/>
      <c r="E429" s="513"/>
      <c r="F429" s="268"/>
      <c r="G429" s="269"/>
      <c r="H429" s="269"/>
      <c r="I429" s="269"/>
      <c r="J429" s="267"/>
      <c r="K429" s="267"/>
      <c r="L429" s="270"/>
      <c r="M429" s="270"/>
      <c r="N429" s="268"/>
      <c r="O429" s="1163">
        <v>0.93490804699999996</v>
      </c>
    </row>
    <row r="430" spans="1:15" ht="18.95" customHeight="1">
      <c r="A430" s="224"/>
      <c r="B430" s="510"/>
      <c r="C430" s="510" t="s">
        <v>1638</v>
      </c>
      <c r="D430" s="555"/>
      <c r="E430" s="513">
        <v>12</v>
      </c>
      <c r="F430" s="268" t="s">
        <v>402</v>
      </c>
      <c r="G430" s="269">
        <v>4200</v>
      </c>
      <c r="H430" s="269">
        <f t="shared" ref="H430" si="246">G430*O430</f>
        <v>3926.6137973999998</v>
      </c>
      <c r="I430" s="269">
        <f t="shared" ref="I430" si="247">E430*H430</f>
        <v>47119.3655688</v>
      </c>
      <c r="J430" s="267">
        <v>200</v>
      </c>
      <c r="K430" s="267">
        <f t="shared" ref="K430" si="248">J430*O430</f>
        <v>186.9816094</v>
      </c>
      <c r="L430" s="270">
        <f t="shared" ref="L430" si="249">E430*K430</f>
        <v>2243.7793127999998</v>
      </c>
      <c r="M430" s="270">
        <f>I430+L430</f>
        <v>49363.144881599997</v>
      </c>
      <c r="N430" s="268"/>
      <c r="O430" s="1163">
        <v>0.93490804699999996</v>
      </c>
    </row>
    <row r="431" spans="1:15" ht="18.95" customHeight="1">
      <c r="A431" s="224"/>
      <c r="B431" s="510"/>
      <c r="C431" s="510" t="s">
        <v>1639</v>
      </c>
      <c r="D431" s="555"/>
      <c r="E431" s="513"/>
      <c r="F431" s="268"/>
      <c r="G431" s="269"/>
      <c r="H431" s="269"/>
      <c r="I431" s="269"/>
      <c r="J431" s="267"/>
      <c r="K431" s="267"/>
      <c r="L431" s="270"/>
      <c r="M431" s="270"/>
      <c r="N431" s="268"/>
      <c r="O431" s="1163">
        <v>0.93490804699999996</v>
      </c>
    </row>
    <row r="432" spans="1:15" ht="18.95" customHeight="1">
      <c r="A432" s="224"/>
      <c r="B432" s="510"/>
      <c r="C432" s="510" t="s">
        <v>1638</v>
      </c>
      <c r="D432" s="555"/>
      <c r="E432" s="513">
        <v>2</v>
      </c>
      <c r="F432" s="268" t="s">
        <v>402</v>
      </c>
      <c r="G432" s="269">
        <v>4200</v>
      </c>
      <c r="H432" s="269">
        <f t="shared" ref="H432" si="250">G432*O432</f>
        <v>3926.6137973999998</v>
      </c>
      <c r="I432" s="269">
        <f t="shared" ref="I432" si="251">E432*H432</f>
        <v>7853.2275947999997</v>
      </c>
      <c r="J432" s="267">
        <v>200</v>
      </c>
      <c r="K432" s="267">
        <f t="shared" ref="K432" si="252">J432*O432</f>
        <v>186.9816094</v>
      </c>
      <c r="L432" s="270">
        <f t="shared" ref="L432" si="253">E432*K432</f>
        <v>373.96321879999999</v>
      </c>
      <c r="M432" s="270">
        <f>I432+L432</f>
        <v>8227.1908136000002</v>
      </c>
      <c r="N432" s="268"/>
      <c r="O432" s="1163">
        <v>0.93490804699999996</v>
      </c>
    </row>
    <row r="433" spans="1:15" ht="18.95" customHeight="1">
      <c r="A433" s="224"/>
      <c r="B433" s="510"/>
      <c r="C433" s="510" t="s">
        <v>1640</v>
      </c>
      <c r="D433" s="555"/>
      <c r="E433" s="513"/>
      <c r="F433" s="268"/>
      <c r="G433" s="269"/>
      <c r="H433" s="269"/>
      <c r="I433" s="269"/>
      <c r="J433" s="267"/>
      <c r="K433" s="267"/>
      <c r="L433" s="270"/>
      <c r="M433" s="270"/>
      <c r="N433" s="268"/>
      <c r="O433" s="1163">
        <v>0.93490804699999996</v>
      </c>
    </row>
    <row r="434" spans="1:15" ht="18.95" customHeight="1">
      <c r="A434" s="224"/>
      <c r="B434" s="510"/>
      <c r="C434" s="510" t="s">
        <v>1638</v>
      </c>
      <c r="D434" s="555"/>
      <c r="E434" s="513">
        <v>8</v>
      </c>
      <c r="F434" s="268" t="s">
        <v>402</v>
      </c>
      <c r="G434" s="269">
        <v>4200</v>
      </c>
      <c r="H434" s="269">
        <f t="shared" ref="H434" si="254">G434*O434</f>
        <v>3926.6137973999998</v>
      </c>
      <c r="I434" s="269">
        <f t="shared" ref="I434" si="255">E434*H434</f>
        <v>31412.910379199999</v>
      </c>
      <c r="J434" s="267">
        <v>200</v>
      </c>
      <c r="K434" s="267">
        <f t="shared" ref="K434" si="256">J434*O434</f>
        <v>186.9816094</v>
      </c>
      <c r="L434" s="270">
        <f t="shared" ref="L434" si="257">E434*K434</f>
        <v>1495.8528752</v>
      </c>
      <c r="M434" s="270">
        <f>I434+L434</f>
        <v>32908.763254400001</v>
      </c>
      <c r="N434" s="268"/>
      <c r="O434" s="1163">
        <v>0.93490804699999996</v>
      </c>
    </row>
    <row r="435" spans="1:15" ht="18.95" customHeight="1">
      <c r="A435" s="224"/>
      <c r="B435" s="510"/>
      <c r="C435" s="510" t="s">
        <v>1641</v>
      </c>
      <c r="D435" s="555"/>
      <c r="E435" s="513"/>
      <c r="F435" s="268"/>
      <c r="G435" s="269"/>
      <c r="H435" s="269"/>
      <c r="I435" s="269"/>
      <c r="J435" s="267"/>
      <c r="K435" s="267"/>
      <c r="L435" s="270"/>
      <c r="M435" s="270"/>
      <c r="N435" s="268"/>
      <c r="O435" s="1163">
        <v>0.93490804699999996</v>
      </c>
    </row>
    <row r="436" spans="1:15" ht="18.95" customHeight="1">
      <c r="A436" s="224"/>
      <c r="B436" s="510"/>
      <c r="C436" s="510" t="s">
        <v>1638</v>
      </c>
      <c r="D436" s="555"/>
      <c r="E436" s="513">
        <v>8</v>
      </c>
      <c r="F436" s="268" t="s">
        <v>402</v>
      </c>
      <c r="G436" s="269">
        <v>4200</v>
      </c>
      <c r="H436" s="269">
        <f t="shared" ref="H436" si="258">G436*O436</f>
        <v>3926.6137973999998</v>
      </c>
      <c r="I436" s="269">
        <f t="shared" ref="I436" si="259">E436*H436</f>
        <v>31412.910379199999</v>
      </c>
      <c r="J436" s="267">
        <v>200</v>
      </c>
      <c r="K436" s="267">
        <f t="shared" ref="K436" si="260">J436*O436</f>
        <v>186.9816094</v>
      </c>
      <c r="L436" s="270">
        <f t="shared" ref="L436" si="261">E436*K436</f>
        <v>1495.8528752</v>
      </c>
      <c r="M436" s="270">
        <f>I436+L436</f>
        <v>32908.763254400001</v>
      </c>
      <c r="N436" s="268"/>
      <c r="O436" s="1163">
        <v>0.93490804699999996</v>
      </c>
    </row>
    <row r="437" spans="1:15" ht="18.95" customHeight="1">
      <c r="A437" s="224"/>
      <c r="B437" s="198">
        <v>13.7</v>
      </c>
      <c r="C437" s="510" t="s">
        <v>1642</v>
      </c>
      <c r="D437" s="555"/>
      <c r="E437" s="513"/>
      <c r="F437" s="268"/>
      <c r="G437" s="269"/>
      <c r="H437" s="269"/>
      <c r="I437" s="269"/>
      <c r="J437" s="267"/>
      <c r="K437" s="267"/>
      <c r="L437" s="270"/>
      <c r="M437" s="270"/>
      <c r="N437" s="268"/>
      <c r="O437" s="1163">
        <v>0.93490804699999996</v>
      </c>
    </row>
    <row r="438" spans="1:15" ht="18.95" customHeight="1">
      <c r="A438" s="224"/>
      <c r="B438" s="510"/>
      <c r="C438" s="510" t="s">
        <v>1643</v>
      </c>
      <c r="D438" s="555"/>
      <c r="E438" s="513">
        <v>1</v>
      </c>
      <c r="F438" s="268" t="s">
        <v>402</v>
      </c>
      <c r="G438" s="269">
        <v>30098</v>
      </c>
      <c r="H438" s="269">
        <f t="shared" ref="H438" si="262">G438*O438</f>
        <v>28138.862398605997</v>
      </c>
      <c r="I438" s="269">
        <f t="shared" ref="I438" si="263">E438*H438</f>
        <v>28138.862398605997</v>
      </c>
      <c r="J438" s="267">
        <v>1000</v>
      </c>
      <c r="K438" s="267">
        <f t="shared" ref="K438" si="264">J438*O438</f>
        <v>934.90804700000001</v>
      </c>
      <c r="L438" s="270">
        <f t="shared" ref="L438" si="265">E438*K438</f>
        <v>934.90804700000001</v>
      </c>
      <c r="M438" s="270">
        <f t="shared" ref="M438:M446" si="266">I438+L438</f>
        <v>29073.770445605998</v>
      </c>
      <c r="N438" s="268"/>
      <c r="O438" s="1163">
        <v>0.93490804699999996</v>
      </c>
    </row>
    <row r="439" spans="1:15" ht="18.95" customHeight="1">
      <c r="A439" s="224"/>
      <c r="B439" s="510"/>
      <c r="C439" s="510" t="s">
        <v>1644</v>
      </c>
      <c r="D439" s="555"/>
      <c r="E439" s="513">
        <v>1</v>
      </c>
      <c r="F439" s="268" t="s">
        <v>402</v>
      </c>
      <c r="G439" s="269">
        <v>26390</v>
      </c>
      <c r="H439" s="269">
        <f t="shared" ref="H439:H446" si="267">G439*O439</f>
        <v>24672.223360329997</v>
      </c>
      <c r="I439" s="269">
        <f t="shared" ref="I439:I446" si="268">E439*H439</f>
        <v>24672.223360329997</v>
      </c>
      <c r="J439" s="267">
        <v>1000</v>
      </c>
      <c r="K439" s="267">
        <f t="shared" ref="K439:K446" si="269">J439*O439</f>
        <v>934.90804700000001</v>
      </c>
      <c r="L439" s="270">
        <f t="shared" ref="L439:L446" si="270">E439*K439</f>
        <v>934.90804700000001</v>
      </c>
      <c r="M439" s="270">
        <f t="shared" si="266"/>
        <v>25607.131407329998</v>
      </c>
      <c r="N439" s="268"/>
      <c r="O439" s="1163">
        <v>0.93490804699999996</v>
      </c>
    </row>
    <row r="440" spans="1:15" ht="18.600000000000001" customHeight="1">
      <c r="A440" s="224"/>
      <c r="B440" s="510"/>
      <c r="C440" s="510" t="s">
        <v>1645</v>
      </c>
      <c r="D440" s="555"/>
      <c r="E440" s="513">
        <v>1</v>
      </c>
      <c r="F440" s="268" t="s">
        <v>402</v>
      </c>
      <c r="G440" s="269">
        <v>3000</v>
      </c>
      <c r="H440" s="269">
        <f t="shared" si="267"/>
        <v>2804.7241409999997</v>
      </c>
      <c r="I440" s="269">
        <f t="shared" si="268"/>
        <v>2804.7241409999997</v>
      </c>
      <c r="J440" s="267">
        <v>1000</v>
      </c>
      <c r="K440" s="267">
        <f t="shared" si="269"/>
        <v>934.90804700000001</v>
      </c>
      <c r="L440" s="270">
        <f t="shared" si="270"/>
        <v>934.90804700000001</v>
      </c>
      <c r="M440" s="270">
        <f t="shared" si="266"/>
        <v>3739.6321879999996</v>
      </c>
      <c r="N440" s="268"/>
      <c r="O440" s="1163">
        <v>0.93490804699999996</v>
      </c>
    </row>
    <row r="441" spans="1:15" ht="18.95" customHeight="1">
      <c r="A441" s="224"/>
      <c r="B441" s="510"/>
      <c r="C441" s="510" t="s">
        <v>1646</v>
      </c>
      <c r="D441" s="555"/>
      <c r="E441" s="513">
        <v>1</v>
      </c>
      <c r="F441" s="268" t="s">
        <v>402</v>
      </c>
      <c r="G441" s="269">
        <v>10760</v>
      </c>
      <c r="H441" s="269">
        <f t="shared" si="267"/>
        <v>10059.61058572</v>
      </c>
      <c r="I441" s="269">
        <f t="shared" si="268"/>
        <v>10059.61058572</v>
      </c>
      <c r="J441" s="267">
        <v>1000</v>
      </c>
      <c r="K441" s="267">
        <f t="shared" si="269"/>
        <v>934.90804700000001</v>
      </c>
      <c r="L441" s="270">
        <f t="shared" si="270"/>
        <v>934.90804700000001</v>
      </c>
      <c r="M441" s="270">
        <f t="shared" si="266"/>
        <v>10994.518632720001</v>
      </c>
      <c r="N441" s="268"/>
      <c r="O441" s="1163">
        <v>0.93490804699999996</v>
      </c>
    </row>
    <row r="442" spans="1:15" ht="18.95" customHeight="1">
      <c r="A442" s="224"/>
      <c r="B442" s="510"/>
      <c r="C442" s="510" t="s">
        <v>1625</v>
      </c>
      <c r="D442" s="555"/>
      <c r="E442" s="513">
        <v>1</v>
      </c>
      <c r="F442" s="268" t="s">
        <v>402</v>
      </c>
      <c r="G442" s="269">
        <v>6400</v>
      </c>
      <c r="H442" s="269">
        <f t="shared" si="267"/>
        <v>5983.4115007999999</v>
      </c>
      <c r="I442" s="269">
        <f t="shared" si="268"/>
        <v>5983.4115007999999</v>
      </c>
      <c r="J442" s="267">
        <v>500</v>
      </c>
      <c r="K442" s="267">
        <f t="shared" si="269"/>
        <v>467.45402350000001</v>
      </c>
      <c r="L442" s="270">
        <f t="shared" si="270"/>
        <v>467.45402350000001</v>
      </c>
      <c r="M442" s="270">
        <f t="shared" si="266"/>
        <v>6450.8655243000003</v>
      </c>
      <c r="N442" s="268"/>
      <c r="O442" s="1163">
        <v>0.93490804699999996</v>
      </c>
    </row>
    <row r="443" spans="1:15" ht="18.95" customHeight="1">
      <c r="A443" s="224"/>
      <c r="B443" s="510"/>
      <c r="C443" s="510" t="s">
        <v>1647</v>
      </c>
      <c r="D443" s="555"/>
      <c r="E443" s="513">
        <v>1</v>
      </c>
      <c r="F443" s="268" t="s">
        <v>402</v>
      </c>
      <c r="G443" s="269">
        <v>44000</v>
      </c>
      <c r="H443" s="269">
        <f t="shared" si="267"/>
        <v>41135.954067999999</v>
      </c>
      <c r="I443" s="269">
        <f t="shared" si="268"/>
        <v>41135.954067999999</v>
      </c>
      <c r="J443" s="267">
        <v>1000</v>
      </c>
      <c r="K443" s="267">
        <f t="shared" si="269"/>
        <v>934.90804700000001</v>
      </c>
      <c r="L443" s="270">
        <f t="shared" si="270"/>
        <v>934.90804700000001</v>
      </c>
      <c r="M443" s="270">
        <f t="shared" si="266"/>
        <v>42070.862114999996</v>
      </c>
      <c r="N443" s="268"/>
      <c r="O443" s="1163">
        <v>0.93490804699999996</v>
      </c>
    </row>
    <row r="444" spans="1:15" ht="18.95" customHeight="1">
      <c r="A444" s="224"/>
      <c r="B444" s="510"/>
      <c r="C444" s="510" t="s">
        <v>1648</v>
      </c>
      <c r="D444" s="555"/>
      <c r="E444" s="513">
        <v>1</v>
      </c>
      <c r="F444" s="268" t="s">
        <v>402</v>
      </c>
      <c r="G444" s="269">
        <v>51500</v>
      </c>
      <c r="H444" s="269">
        <f t="shared" si="267"/>
        <v>48147.764420499996</v>
      </c>
      <c r="I444" s="269">
        <f t="shared" si="268"/>
        <v>48147.764420499996</v>
      </c>
      <c r="J444" s="267">
        <v>1000</v>
      </c>
      <c r="K444" s="267">
        <f t="shared" si="269"/>
        <v>934.90804700000001</v>
      </c>
      <c r="L444" s="270">
        <f t="shared" si="270"/>
        <v>934.90804700000001</v>
      </c>
      <c r="M444" s="270">
        <f t="shared" si="266"/>
        <v>49082.672467499993</v>
      </c>
      <c r="N444" s="268"/>
      <c r="O444" s="1163">
        <v>0.93490804699999996</v>
      </c>
    </row>
    <row r="445" spans="1:15" ht="18.95" customHeight="1">
      <c r="A445" s="224"/>
      <c r="B445" s="510"/>
      <c r="C445" s="510" t="s">
        <v>1649</v>
      </c>
      <c r="D445" s="555"/>
      <c r="E445" s="513">
        <v>1</v>
      </c>
      <c r="F445" s="268" t="s">
        <v>402</v>
      </c>
      <c r="G445" s="269">
        <v>5102</v>
      </c>
      <c r="H445" s="269">
        <f t="shared" si="267"/>
        <v>4769.9008557939997</v>
      </c>
      <c r="I445" s="269">
        <f t="shared" si="268"/>
        <v>4769.9008557939997</v>
      </c>
      <c r="J445" s="267">
        <v>1000</v>
      </c>
      <c r="K445" s="267">
        <f t="shared" si="269"/>
        <v>934.90804700000001</v>
      </c>
      <c r="L445" s="270">
        <f t="shared" si="270"/>
        <v>934.90804700000001</v>
      </c>
      <c r="M445" s="270">
        <f t="shared" si="266"/>
        <v>5704.8089027939996</v>
      </c>
      <c r="N445" s="268"/>
      <c r="O445" s="1163">
        <v>0.93490804699999996</v>
      </c>
    </row>
    <row r="446" spans="1:15" ht="18.95" customHeight="1">
      <c r="A446" s="224"/>
      <c r="B446" s="510"/>
      <c r="C446" s="510" t="s">
        <v>1628</v>
      </c>
      <c r="D446" s="555"/>
      <c r="E446" s="513">
        <v>1</v>
      </c>
      <c r="F446" s="268" t="s">
        <v>402</v>
      </c>
      <c r="G446" s="269">
        <v>5000</v>
      </c>
      <c r="H446" s="269">
        <f t="shared" si="267"/>
        <v>4674.5402349999995</v>
      </c>
      <c r="I446" s="269">
        <f t="shared" si="268"/>
        <v>4674.5402349999995</v>
      </c>
      <c r="J446" s="267">
        <v>1000</v>
      </c>
      <c r="K446" s="267">
        <f t="shared" si="269"/>
        <v>934.90804700000001</v>
      </c>
      <c r="L446" s="270">
        <f t="shared" si="270"/>
        <v>934.90804700000001</v>
      </c>
      <c r="M446" s="270">
        <f t="shared" si="266"/>
        <v>5609.4482819999994</v>
      </c>
      <c r="N446" s="268"/>
      <c r="O446" s="1163">
        <v>0.93490804699999996</v>
      </c>
    </row>
    <row r="447" spans="1:15" ht="18.95" customHeight="1">
      <c r="A447" s="224"/>
      <c r="B447" s="198">
        <v>13.8</v>
      </c>
      <c r="C447" s="510" t="s">
        <v>108</v>
      </c>
      <c r="D447" s="555"/>
      <c r="E447" s="513"/>
      <c r="F447" s="268"/>
      <c r="G447" s="269"/>
      <c r="H447" s="269"/>
      <c r="I447" s="269"/>
      <c r="J447" s="267"/>
      <c r="K447" s="267"/>
      <c r="L447" s="270"/>
      <c r="M447" s="270"/>
      <c r="N447" s="268"/>
      <c r="O447" s="1163">
        <v>0.93490804699999996</v>
      </c>
    </row>
    <row r="448" spans="1:15" ht="18.95" customHeight="1">
      <c r="A448" s="224"/>
      <c r="B448" s="510"/>
      <c r="C448" s="510" t="s">
        <v>1650</v>
      </c>
      <c r="D448" s="555"/>
      <c r="E448" s="513">
        <v>1</v>
      </c>
      <c r="F448" s="268" t="s">
        <v>402</v>
      </c>
      <c r="G448" s="269"/>
      <c r="H448" s="269"/>
      <c r="I448" s="269">
        <f>E448*G448</f>
        <v>0</v>
      </c>
      <c r="J448" s="267">
        <v>30000</v>
      </c>
      <c r="K448" s="267">
        <f t="shared" ref="K448" si="271">J448*O448</f>
        <v>28047.241409999999</v>
      </c>
      <c r="L448" s="270">
        <f t="shared" ref="L448" si="272">E448*K448</f>
        <v>28047.241409999999</v>
      </c>
      <c r="M448" s="270">
        <f>I448+L448</f>
        <v>28047.241409999999</v>
      </c>
      <c r="N448" s="268"/>
      <c r="O448" s="1163">
        <v>0.93490804699999996</v>
      </c>
    </row>
    <row r="449" spans="1:16" ht="18.95" customHeight="1">
      <c r="A449" s="224"/>
      <c r="B449" s="198">
        <v>13.9</v>
      </c>
      <c r="C449" s="524" t="s">
        <v>1651</v>
      </c>
      <c r="D449" s="525"/>
      <c r="E449" s="267"/>
      <c r="F449" s="268"/>
      <c r="G449" s="267"/>
      <c r="H449" s="267"/>
      <c r="I449" s="267"/>
      <c r="J449" s="267"/>
      <c r="K449" s="267"/>
      <c r="L449" s="269"/>
      <c r="M449" s="267"/>
      <c r="N449" s="268"/>
      <c r="O449" s="1163">
        <v>0.93490804699999996</v>
      </c>
    </row>
    <row r="450" spans="1:16" ht="18.95" customHeight="1">
      <c r="A450" s="224"/>
      <c r="B450" s="139"/>
      <c r="C450" s="524" t="s">
        <v>1652</v>
      </c>
      <c r="D450" s="525"/>
      <c r="E450" s="513">
        <v>16</v>
      </c>
      <c r="F450" s="268" t="s">
        <v>402</v>
      </c>
      <c r="G450" s="269">
        <v>6480</v>
      </c>
      <c r="H450" s="269">
        <f t="shared" ref="H450" si="273">G450*O450</f>
        <v>6058.2041445599998</v>
      </c>
      <c r="I450" s="269">
        <f t="shared" ref="I450" si="274">E450*H450</f>
        <v>96931.266312959997</v>
      </c>
      <c r="J450" s="267">
        <v>200</v>
      </c>
      <c r="K450" s="267">
        <f t="shared" ref="K450" si="275">J450*O450</f>
        <v>186.9816094</v>
      </c>
      <c r="L450" s="270">
        <f t="shared" ref="L450" si="276">E450*K450</f>
        <v>2991.7057503999999</v>
      </c>
      <c r="M450" s="270">
        <f>I450+L450</f>
        <v>99922.972063359994</v>
      </c>
      <c r="N450" s="268"/>
      <c r="O450" s="1163">
        <v>0.93490804699999996</v>
      </c>
    </row>
    <row r="451" spans="1:16" ht="18.95" customHeight="1">
      <c r="A451" s="224"/>
      <c r="B451" s="139">
        <v>13.1</v>
      </c>
      <c r="C451" s="524" t="s">
        <v>1653</v>
      </c>
      <c r="D451" s="525"/>
      <c r="E451" s="267"/>
      <c r="F451" s="268"/>
      <c r="G451" s="267"/>
      <c r="H451" s="267"/>
      <c r="I451" s="267"/>
      <c r="J451" s="267"/>
      <c r="K451" s="267"/>
      <c r="L451" s="269"/>
      <c r="M451" s="267"/>
      <c r="N451" s="268"/>
      <c r="O451" s="1163">
        <v>0.93490804699999996</v>
      </c>
    </row>
    <row r="452" spans="1:16" ht="18.95" customHeight="1">
      <c r="A452" s="224"/>
      <c r="B452" s="139"/>
      <c r="C452" s="524" t="s">
        <v>1654</v>
      </c>
      <c r="D452" s="525"/>
      <c r="E452" s="267">
        <v>350</v>
      </c>
      <c r="F452" s="268" t="s">
        <v>1079</v>
      </c>
      <c r="G452" s="269">
        <v>16</v>
      </c>
      <c r="H452" s="269">
        <f t="shared" ref="H452" si="277">G452*O452</f>
        <v>14.958528751999999</v>
      </c>
      <c r="I452" s="269">
        <f t="shared" ref="I452" si="278">E452*H452</f>
        <v>5235.4850631999998</v>
      </c>
      <c r="J452" s="267">
        <v>10</v>
      </c>
      <c r="K452" s="267">
        <f t="shared" ref="K452" si="279">J452*O452</f>
        <v>9.3490804700000005</v>
      </c>
      <c r="L452" s="270">
        <f t="shared" ref="L452" si="280">E452*K452</f>
        <v>3272.1781645000001</v>
      </c>
      <c r="M452" s="270">
        <f>I452+L452</f>
        <v>8507.663227699999</v>
      </c>
      <c r="N452" s="268"/>
      <c r="O452" s="1163">
        <v>0.93490804699999996</v>
      </c>
    </row>
    <row r="453" spans="1:16" ht="18.95" customHeight="1">
      <c r="A453" s="224"/>
      <c r="B453" s="139">
        <v>13.11</v>
      </c>
      <c r="C453" s="510" t="s">
        <v>1323</v>
      </c>
      <c r="D453" s="511"/>
      <c r="E453" s="267"/>
      <c r="F453" s="268"/>
      <c r="G453" s="269"/>
      <c r="H453" s="269"/>
      <c r="I453" s="269"/>
      <c r="J453" s="267"/>
      <c r="K453" s="267"/>
      <c r="L453" s="270"/>
      <c r="M453" s="270"/>
      <c r="N453" s="268"/>
      <c r="O453" s="1163">
        <v>0.93490804699999996</v>
      </c>
    </row>
    <row r="454" spans="1:16" ht="18.95" customHeight="1">
      <c r="A454" s="224"/>
      <c r="B454" s="139"/>
      <c r="C454" s="520" t="s">
        <v>1324</v>
      </c>
      <c r="D454" s="521"/>
      <c r="E454" s="267">
        <v>320</v>
      </c>
      <c r="F454" s="268" t="s">
        <v>1079</v>
      </c>
      <c r="G454" s="269">
        <f>ROUND(93.1/3,2)</f>
        <v>31.03</v>
      </c>
      <c r="H454" s="269">
        <f t="shared" ref="H454:H455" si="281">G454*O454</f>
        <v>29.010196698409999</v>
      </c>
      <c r="I454" s="269">
        <f t="shared" ref="I454:I455" si="282">E454*H454</f>
        <v>9283.2629434911996</v>
      </c>
      <c r="J454" s="267">
        <v>22</v>
      </c>
      <c r="K454" s="267">
        <f t="shared" ref="K454" si="283">J454*O454</f>
        <v>20.567977033999998</v>
      </c>
      <c r="L454" s="270">
        <f t="shared" ref="L454" si="284">E454*K454</f>
        <v>6581.7526508799992</v>
      </c>
      <c r="M454" s="270">
        <f>I454+L454</f>
        <v>15865.015594371198</v>
      </c>
      <c r="N454" s="268"/>
      <c r="O454" s="1163">
        <v>0.93490804699999996</v>
      </c>
      <c r="P454" s="293" t="s">
        <v>1300</v>
      </c>
    </row>
    <row r="455" spans="1:16" ht="18.95" customHeight="1">
      <c r="A455" s="224"/>
      <c r="B455" s="139">
        <v>13.12</v>
      </c>
      <c r="C455" s="524" t="s">
        <v>1655</v>
      </c>
      <c r="D455" s="525"/>
      <c r="E455" s="267">
        <v>1</v>
      </c>
      <c r="F455" s="268" t="s">
        <v>1321</v>
      </c>
      <c r="G455" s="284">
        <v>17401.599999999999</v>
      </c>
      <c r="H455" s="269">
        <f t="shared" si="281"/>
        <v>16268.895870675198</v>
      </c>
      <c r="I455" s="269">
        <f t="shared" si="282"/>
        <v>16268.895870675198</v>
      </c>
      <c r="J455" s="267">
        <v>5220.4799999999996</v>
      </c>
      <c r="K455" s="267">
        <f t="shared" ref="K455" si="285">J455*O455</f>
        <v>4880.6687612025598</v>
      </c>
      <c r="L455" s="270">
        <f t="shared" ref="L455" si="286">E455*K455</f>
        <v>4880.6687612025598</v>
      </c>
      <c r="M455" s="270">
        <f>I455+L455</f>
        <v>21149.564631877758</v>
      </c>
      <c r="N455" s="268"/>
      <c r="O455" s="1163">
        <v>0.93490804699999996</v>
      </c>
    </row>
    <row r="456" spans="1:16" ht="18.95" customHeight="1">
      <c r="A456" s="224"/>
      <c r="B456" s="1345" t="s">
        <v>1656</v>
      </c>
      <c r="C456" s="1346"/>
      <c r="D456" s="1356"/>
      <c r="E456" s="271"/>
      <c r="F456" s="281"/>
      <c r="G456" s="271"/>
      <c r="H456" s="271"/>
      <c r="I456" s="271">
        <f>SUM(I398:I455)</f>
        <v>772805.46262032632</v>
      </c>
      <c r="J456" s="271"/>
      <c r="K456" s="271"/>
      <c r="L456" s="271">
        <f>SUM(L398:L455)</f>
        <v>77560.420334982555</v>
      </c>
      <c r="M456" s="271">
        <f>SUM(M398:M455)</f>
        <v>850365.88295530924</v>
      </c>
      <c r="N456" s="270"/>
      <c r="O456" s="1163">
        <v>0.93490804699999996</v>
      </c>
    </row>
    <row r="457" spans="1:16" ht="18.95" customHeight="1">
      <c r="A457" s="224"/>
      <c r="B457" s="422"/>
      <c r="C457" s="451"/>
      <c r="D457" s="516"/>
      <c r="E457" s="271"/>
      <c r="F457" s="281"/>
      <c r="G457" s="271"/>
      <c r="H457" s="271"/>
      <c r="I457" s="271"/>
      <c r="J457" s="271"/>
      <c r="K457" s="271"/>
      <c r="L457" s="271"/>
      <c r="M457" s="271"/>
      <c r="N457" s="281"/>
      <c r="O457" s="1163">
        <v>0.93490804699999996</v>
      </c>
    </row>
    <row r="458" spans="1:16" ht="18.95" customHeight="1">
      <c r="A458" s="336">
        <v>14</v>
      </c>
      <c r="B458" s="519" t="s">
        <v>1192</v>
      </c>
      <c r="C458" s="508"/>
      <c r="D458" s="509"/>
      <c r="E458" s="271"/>
      <c r="F458" s="281"/>
      <c r="G458" s="271"/>
      <c r="H458" s="271"/>
      <c r="I458" s="271"/>
      <c r="J458" s="271"/>
      <c r="K458" s="271"/>
      <c r="L458" s="271"/>
      <c r="M458" s="271"/>
      <c r="N458" s="281"/>
      <c r="O458" s="1163">
        <v>0.93490804699999996</v>
      </c>
    </row>
    <row r="459" spans="1:16" ht="18.95" customHeight="1">
      <c r="A459" s="340"/>
      <c r="B459" s="136">
        <v>14.1</v>
      </c>
      <c r="C459" s="510" t="s">
        <v>1657</v>
      </c>
      <c r="D459" s="556"/>
      <c r="E459" s="271"/>
      <c r="F459" s="281"/>
      <c r="G459" s="271"/>
      <c r="H459" s="271"/>
      <c r="I459" s="271"/>
      <c r="J459" s="339"/>
      <c r="K459" s="339"/>
      <c r="L459" s="271"/>
      <c r="M459" s="281"/>
      <c r="N459" s="281"/>
      <c r="O459" s="1163">
        <v>0.93490804699999996</v>
      </c>
    </row>
    <row r="460" spans="1:16" ht="18.95" customHeight="1">
      <c r="A460" s="340"/>
      <c r="B460" s="136"/>
      <c r="C460" s="510" t="s">
        <v>1658</v>
      </c>
      <c r="D460" s="556"/>
      <c r="E460" s="513">
        <v>1</v>
      </c>
      <c r="F460" s="268" t="s">
        <v>402</v>
      </c>
      <c r="G460" s="269">
        <v>222265.80000000002</v>
      </c>
      <c r="H460" s="269">
        <f t="shared" ref="H460" si="287">G460*O460</f>
        <v>207798.0849928926</v>
      </c>
      <c r="I460" s="269">
        <f t="shared" ref="I460" si="288">E460*H460</f>
        <v>207798.0849928926</v>
      </c>
      <c r="J460" s="267">
        <v>5000</v>
      </c>
      <c r="K460" s="267">
        <f t="shared" ref="K460:K461" si="289">J460*O460</f>
        <v>4674.5402349999995</v>
      </c>
      <c r="L460" s="270">
        <f t="shared" ref="L460:L461" si="290">E460*K460</f>
        <v>4674.5402349999995</v>
      </c>
      <c r="M460" s="270">
        <f t="shared" ref="M460:M474" si="291">I460+L460</f>
        <v>212472.6252278926</v>
      </c>
      <c r="N460" s="268"/>
      <c r="O460" s="1163">
        <v>0.93490804699999996</v>
      </c>
    </row>
    <row r="461" spans="1:16" ht="18.95" customHeight="1">
      <c r="A461" s="224"/>
      <c r="B461" s="139"/>
      <c r="C461" s="524" t="s">
        <v>1659</v>
      </c>
      <c r="D461" s="557"/>
      <c r="E461" s="513">
        <v>1</v>
      </c>
      <c r="F461" s="268" t="s">
        <v>402</v>
      </c>
      <c r="G461" s="269">
        <v>51300</v>
      </c>
      <c r="H461" s="269">
        <f t="shared" ref="H461:H473" si="292">G461*O461</f>
        <v>47960.782811099998</v>
      </c>
      <c r="I461" s="269">
        <f t="shared" ref="I461:I473" si="293">E461*H461</f>
        <v>47960.782811099998</v>
      </c>
      <c r="J461" s="267">
        <v>5000</v>
      </c>
      <c r="K461" s="267">
        <f t="shared" si="289"/>
        <v>4674.5402349999995</v>
      </c>
      <c r="L461" s="270">
        <f t="shared" si="290"/>
        <v>4674.5402349999995</v>
      </c>
      <c r="M461" s="270">
        <f t="shared" si="291"/>
        <v>52635.323046099998</v>
      </c>
      <c r="N461" s="268"/>
      <c r="O461" s="1163">
        <v>0.93490804699999996</v>
      </c>
    </row>
    <row r="462" spans="1:16" ht="18.95" customHeight="1">
      <c r="A462" s="224"/>
      <c r="B462" s="139"/>
      <c r="C462" s="524" t="s">
        <v>1660</v>
      </c>
      <c r="D462" s="557"/>
      <c r="E462" s="513">
        <v>26</v>
      </c>
      <c r="F462" s="268" t="s">
        <v>402</v>
      </c>
      <c r="G462" s="269">
        <v>4946</v>
      </c>
      <c r="H462" s="269">
        <f t="shared" si="292"/>
        <v>4624.0552004619994</v>
      </c>
      <c r="I462" s="269">
        <f t="shared" si="293"/>
        <v>120225.43521201199</v>
      </c>
      <c r="J462" s="267">
        <v>350</v>
      </c>
      <c r="K462" s="267">
        <f t="shared" ref="K462:K474" si="294">J462*O462</f>
        <v>327.21781644999999</v>
      </c>
      <c r="L462" s="270">
        <f t="shared" ref="L462:L474" si="295">E462*K462</f>
        <v>8507.663227699999</v>
      </c>
      <c r="M462" s="270">
        <f t="shared" si="291"/>
        <v>128733.09843971199</v>
      </c>
      <c r="N462" s="268"/>
      <c r="O462" s="1163">
        <v>0.93490804699999996</v>
      </c>
    </row>
    <row r="463" spans="1:16" ht="18.95" customHeight="1">
      <c r="A463" s="224"/>
      <c r="B463" s="139"/>
      <c r="C463" s="524" t="s">
        <v>1661</v>
      </c>
      <c r="D463" s="557"/>
      <c r="E463" s="267"/>
      <c r="F463" s="268" t="s">
        <v>402</v>
      </c>
      <c r="G463" s="267">
        <v>4068</v>
      </c>
      <c r="H463" s="269">
        <f t="shared" si="292"/>
        <v>3803.2059351959997</v>
      </c>
      <c r="I463" s="269">
        <f t="shared" si="293"/>
        <v>0</v>
      </c>
      <c r="J463" s="267">
        <v>350</v>
      </c>
      <c r="K463" s="267">
        <f t="shared" si="294"/>
        <v>327.21781644999999</v>
      </c>
      <c r="L463" s="270">
        <f t="shared" si="295"/>
        <v>0</v>
      </c>
      <c r="M463" s="270">
        <f t="shared" si="291"/>
        <v>0</v>
      </c>
      <c r="N463" s="268"/>
      <c r="O463" s="1163">
        <v>0.93490804699999996</v>
      </c>
    </row>
    <row r="464" spans="1:16" ht="18.95" customHeight="1">
      <c r="A464" s="224"/>
      <c r="B464" s="139"/>
      <c r="C464" s="524" t="s">
        <v>1662</v>
      </c>
      <c r="D464" s="557"/>
      <c r="E464" s="267">
        <v>27</v>
      </c>
      <c r="F464" s="268" t="s">
        <v>402</v>
      </c>
      <c r="G464" s="267">
        <v>2835</v>
      </c>
      <c r="H464" s="269">
        <f t="shared" si="292"/>
        <v>2650.4643132450001</v>
      </c>
      <c r="I464" s="269">
        <f t="shared" si="293"/>
        <v>71562.536457615002</v>
      </c>
      <c r="J464" s="267">
        <v>350</v>
      </c>
      <c r="K464" s="267">
        <f t="shared" si="294"/>
        <v>327.21781644999999</v>
      </c>
      <c r="L464" s="270">
        <f t="shared" si="295"/>
        <v>8834.8810441499991</v>
      </c>
      <c r="M464" s="270">
        <f t="shared" si="291"/>
        <v>80397.417501764998</v>
      </c>
      <c r="N464" s="268"/>
      <c r="O464" s="1163">
        <v>0.93490804699999996</v>
      </c>
    </row>
    <row r="465" spans="1:16" ht="18.95" customHeight="1">
      <c r="A465" s="224"/>
      <c r="B465" s="139"/>
      <c r="C465" s="524" t="s">
        <v>1663</v>
      </c>
      <c r="D465" s="557"/>
      <c r="E465" s="267">
        <v>26</v>
      </c>
      <c r="F465" s="268" t="s">
        <v>402</v>
      </c>
      <c r="G465" s="267">
        <v>2270</v>
      </c>
      <c r="H465" s="269">
        <f t="shared" si="292"/>
        <v>2122.24126669</v>
      </c>
      <c r="I465" s="269">
        <f t="shared" si="293"/>
        <v>55178.272933939996</v>
      </c>
      <c r="J465" s="267">
        <v>200</v>
      </c>
      <c r="K465" s="267">
        <f t="shared" si="294"/>
        <v>186.9816094</v>
      </c>
      <c r="L465" s="270">
        <f t="shared" si="295"/>
        <v>4861.5218444000002</v>
      </c>
      <c r="M465" s="270">
        <f t="shared" si="291"/>
        <v>60039.794778339994</v>
      </c>
      <c r="N465" s="268"/>
      <c r="O465" s="1163">
        <v>0.93490804699999996</v>
      </c>
    </row>
    <row r="466" spans="1:16" ht="18.95" customHeight="1">
      <c r="A466" s="224"/>
      <c r="B466" s="139"/>
      <c r="C466" s="524" t="s">
        <v>1664</v>
      </c>
      <c r="D466" s="557"/>
      <c r="E466" s="267">
        <v>5</v>
      </c>
      <c r="F466" s="268" t="s">
        <v>402</v>
      </c>
      <c r="G466" s="267">
        <v>1390</v>
      </c>
      <c r="H466" s="269">
        <f t="shared" si="292"/>
        <v>1299.52218533</v>
      </c>
      <c r="I466" s="269">
        <f t="shared" si="293"/>
        <v>6497.6109266499998</v>
      </c>
      <c r="J466" s="267">
        <v>200</v>
      </c>
      <c r="K466" s="267">
        <f t="shared" si="294"/>
        <v>186.9816094</v>
      </c>
      <c r="L466" s="270">
        <f t="shared" si="295"/>
        <v>934.90804700000001</v>
      </c>
      <c r="M466" s="270">
        <f t="shared" si="291"/>
        <v>7432.5189736499997</v>
      </c>
      <c r="N466" s="268"/>
      <c r="O466" s="1163">
        <v>0.93490804699999996</v>
      </c>
    </row>
    <row r="467" spans="1:16" ht="18.95" customHeight="1">
      <c r="A467" s="224"/>
      <c r="B467" s="139"/>
      <c r="C467" s="524" t="s">
        <v>1665</v>
      </c>
      <c r="D467" s="557"/>
      <c r="E467" s="267">
        <v>18</v>
      </c>
      <c r="F467" s="268" t="s">
        <v>402</v>
      </c>
      <c r="G467" s="267">
        <v>2070</v>
      </c>
      <c r="H467" s="269">
        <f t="shared" si="292"/>
        <v>1935.25965729</v>
      </c>
      <c r="I467" s="269">
        <f t="shared" si="293"/>
        <v>34834.673831219996</v>
      </c>
      <c r="J467" s="267">
        <v>200</v>
      </c>
      <c r="K467" s="267">
        <f t="shared" si="294"/>
        <v>186.9816094</v>
      </c>
      <c r="L467" s="270">
        <f t="shared" si="295"/>
        <v>3365.6689692</v>
      </c>
      <c r="M467" s="270">
        <f t="shared" si="291"/>
        <v>38200.342800419996</v>
      </c>
      <c r="N467" s="268"/>
      <c r="O467" s="1163">
        <v>0.93490804699999996</v>
      </c>
    </row>
    <row r="468" spans="1:16" ht="18.95" customHeight="1">
      <c r="A468" s="224"/>
      <c r="B468" s="139"/>
      <c r="C468" s="524" t="s">
        <v>1666</v>
      </c>
      <c r="D468" s="557"/>
      <c r="E468" s="267">
        <v>5</v>
      </c>
      <c r="F468" s="268" t="s">
        <v>402</v>
      </c>
      <c r="G468" s="267">
        <v>2455</v>
      </c>
      <c r="H468" s="269">
        <f t="shared" si="292"/>
        <v>2295.199255385</v>
      </c>
      <c r="I468" s="269">
        <f t="shared" si="293"/>
        <v>11475.996276925</v>
      </c>
      <c r="J468" s="267">
        <v>200</v>
      </c>
      <c r="K468" s="267">
        <f t="shared" si="294"/>
        <v>186.9816094</v>
      </c>
      <c r="L468" s="270">
        <f t="shared" si="295"/>
        <v>934.90804700000001</v>
      </c>
      <c r="M468" s="270">
        <f t="shared" si="291"/>
        <v>12410.904323925</v>
      </c>
      <c r="N468" s="268"/>
      <c r="O468" s="1163">
        <v>0.93490804699999996</v>
      </c>
    </row>
    <row r="469" spans="1:16" ht="18.95" customHeight="1">
      <c r="A469" s="224"/>
      <c r="B469" s="139"/>
      <c r="C469" s="524" t="s">
        <v>1667</v>
      </c>
      <c r="D469" s="557"/>
      <c r="E469" s="267">
        <v>24</v>
      </c>
      <c r="F469" s="268" t="s">
        <v>402</v>
      </c>
      <c r="G469" s="267">
        <v>2070</v>
      </c>
      <c r="H469" s="269">
        <f t="shared" si="292"/>
        <v>1935.25965729</v>
      </c>
      <c r="I469" s="269">
        <f t="shared" si="293"/>
        <v>46446.231774959997</v>
      </c>
      <c r="J469" s="267">
        <v>200</v>
      </c>
      <c r="K469" s="267">
        <f t="shared" si="294"/>
        <v>186.9816094</v>
      </c>
      <c r="L469" s="270">
        <f t="shared" si="295"/>
        <v>4487.5586255999997</v>
      </c>
      <c r="M469" s="270">
        <f t="shared" si="291"/>
        <v>50933.790400559999</v>
      </c>
      <c r="N469" s="268"/>
      <c r="O469" s="1163">
        <v>0.93490804699999996</v>
      </c>
    </row>
    <row r="470" spans="1:16" ht="18.95" customHeight="1">
      <c r="A470" s="224"/>
      <c r="B470" s="139"/>
      <c r="C470" s="524" t="s">
        <v>1668</v>
      </c>
      <c r="D470" s="557"/>
      <c r="E470" s="267">
        <v>3</v>
      </c>
      <c r="F470" s="268" t="s">
        <v>402</v>
      </c>
      <c r="G470" s="267">
        <v>17000</v>
      </c>
      <c r="H470" s="269">
        <f t="shared" si="292"/>
        <v>15893.436798999999</v>
      </c>
      <c r="I470" s="269">
        <f t="shared" si="293"/>
        <v>47680.310396999994</v>
      </c>
      <c r="J470" s="267">
        <v>1000</v>
      </c>
      <c r="K470" s="267">
        <f t="shared" si="294"/>
        <v>934.90804700000001</v>
      </c>
      <c r="L470" s="270">
        <f t="shared" si="295"/>
        <v>2804.7241410000001</v>
      </c>
      <c r="M470" s="270">
        <f t="shared" si="291"/>
        <v>50485.034537999993</v>
      </c>
      <c r="N470" s="268"/>
      <c r="O470" s="1163">
        <v>0.93490804699999996</v>
      </c>
    </row>
    <row r="471" spans="1:16" ht="18.95" customHeight="1">
      <c r="A471" s="224"/>
      <c r="B471" s="139"/>
      <c r="C471" s="524" t="s">
        <v>1669</v>
      </c>
      <c r="D471" s="557"/>
      <c r="E471" s="267">
        <v>157</v>
      </c>
      <c r="F471" s="268" t="s">
        <v>402</v>
      </c>
      <c r="G471" s="267">
        <v>2500</v>
      </c>
      <c r="H471" s="269">
        <f t="shared" si="292"/>
        <v>2337.2701174999997</v>
      </c>
      <c r="I471" s="269">
        <f t="shared" si="293"/>
        <v>366951.40844749997</v>
      </c>
      <c r="J471" s="267">
        <v>200</v>
      </c>
      <c r="K471" s="267">
        <f t="shared" si="294"/>
        <v>186.9816094</v>
      </c>
      <c r="L471" s="270">
        <f t="shared" si="295"/>
        <v>29356.112675799999</v>
      </c>
      <c r="M471" s="270">
        <f t="shared" si="291"/>
        <v>396307.52112329996</v>
      </c>
      <c r="N471" s="268"/>
      <c r="O471" s="1163">
        <v>0.93490804699999996</v>
      </c>
    </row>
    <row r="472" spans="1:16" ht="18.95" customHeight="1">
      <c r="A472" s="224"/>
      <c r="B472" s="139"/>
      <c r="C472" s="524" t="s">
        <v>1670</v>
      </c>
      <c r="D472" s="557"/>
      <c r="E472" s="267">
        <v>27</v>
      </c>
      <c r="F472" s="268" t="s">
        <v>402</v>
      </c>
      <c r="G472" s="267">
        <v>1630</v>
      </c>
      <c r="H472" s="269">
        <f t="shared" si="292"/>
        <v>1523.9001166099999</v>
      </c>
      <c r="I472" s="269">
        <f t="shared" si="293"/>
        <v>41145.303148469997</v>
      </c>
      <c r="J472" s="267">
        <v>200</v>
      </c>
      <c r="K472" s="267">
        <f t="shared" si="294"/>
        <v>186.9816094</v>
      </c>
      <c r="L472" s="270">
        <f t="shared" si="295"/>
        <v>5048.5034538</v>
      </c>
      <c r="M472" s="270">
        <f t="shared" si="291"/>
        <v>46193.806602269993</v>
      </c>
      <c r="N472" s="268"/>
      <c r="O472" s="1163">
        <v>0.93490804699999996</v>
      </c>
    </row>
    <row r="473" spans="1:16" ht="18.95" customHeight="1">
      <c r="A473" s="224"/>
      <c r="B473" s="139"/>
      <c r="C473" s="524" t="s">
        <v>1671</v>
      </c>
      <c r="D473" s="557"/>
      <c r="E473" s="267"/>
      <c r="F473" s="268" t="s">
        <v>402</v>
      </c>
      <c r="G473" s="267">
        <v>3800</v>
      </c>
      <c r="H473" s="269">
        <f t="shared" si="292"/>
        <v>3552.6505785999998</v>
      </c>
      <c r="I473" s="269">
        <f t="shared" si="293"/>
        <v>0</v>
      </c>
      <c r="J473" s="267">
        <v>200</v>
      </c>
      <c r="K473" s="267">
        <f t="shared" si="294"/>
        <v>186.9816094</v>
      </c>
      <c r="L473" s="270">
        <f t="shared" si="295"/>
        <v>0</v>
      </c>
      <c r="M473" s="270">
        <f t="shared" si="291"/>
        <v>0</v>
      </c>
      <c r="N473" s="268"/>
      <c r="O473" s="1163">
        <v>0.93490804699999996</v>
      </c>
    </row>
    <row r="474" spans="1:16" ht="18.95" customHeight="1">
      <c r="A474" s="224"/>
      <c r="B474" s="139"/>
      <c r="C474" s="524" t="s">
        <v>1672</v>
      </c>
      <c r="D474" s="557"/>
      <c r="E474" s="267">
        <v>1</v>
      </c>
      <c r="F474" s="268" t="s">
        <v>402</v>
      </c>
      <c r="G474" s="267"/>
      <c r="H474" s="267"/>
      <c r="I474" s="269">
        <f t="shared" ref="I474" si="296">E474*G474</f>
        <v>0</v>
      </c>
      <c r="J474" s="267">
        <v>50000</v>
      </c>
      <c r="K474" s="267">
        <f t="shared" si="294"/>
        <v>46745.402349999997</v>
      </c>
      <c r="L474" s="270">
        <f t="shared" si="295"/>
        <v>46745.402349999997</v>
      </c>
      <c r="M474" s="270">
        <f t="shared" si="291"/>
        <v>46745.402349999997</v>
      </c>
      <c r="N474" s="268"/>
      <c r="O474" s="1163">
        <v>0.93490804699999996</v>
      </c>
    </row>
    <row r="475" spans="1:16" ht="18.95" customHeight="1">
      <c r="A475" s="224"/>
      <c r="B475" s="198">
        <v>14.2</v>
      </c>
      <c r="C475" s="524" t="s">
        <v>1653</v>
      </c>
      <c r="D475" s="525"/>
      <c r="E475" s="267"/>
      <c r="F475" s="268"/>
      <c r="G475" s="267"/>
      <c r="H475" s="267"/>
      <c r="I475" s="269"/>
      <c r="J475" s="267"/>
      <c r="K475" s="267"/>
      <c r="L475" s="270"/>
      <c r="M475" s="270"/>
      <c r="N475" s="268"/>
      <c r="O475" s="1163">
        <v>0.93490804699999996</v>
      </c>
    </row>
    <row r="476" spans="1:16" ht="18.95" customHeight="1">
      <c r="A476" s="224"/>
      <c r="B476" s="139"/>
      <c r="C476" s="512" t="s">
        <v>1673</v>
      </c>
      <c r="D476" s="525"/>
      <c r="E476" s="267">
        <v>6200</v>
      </c>
      <c r="F476" s="356" t="s">
        <v>1079</v>
      </c>
      <c r="G476" s="269">
        <f>ROUND(900.6/100,2)</f>
        <v>9.01</v>
      </c>
      <c r="H476" s="269">
        <f t="shared" ref="H476:H478" si="297">G476*O476</f>
        <v>8.4235215034699991</v>
      </c>
      <c r="I476" s="269">
        <f t="shared" ref="I476:I478" si="298">E476*H476</f>
        <v>52225.833321513994</v>
      </c>
      <c r="J476" s="267">
        <v>7</v>
      </c>
      <c r="K476" s="267">
        <f t="shared" ref="K476:K478" si="299">J476*O476</f>
        <v>6.5443563289999993</v>
      </c>
      <c r="L476" s="270">
        <f t="shared" ref="L476:L478" si="300">E476*K476</f>
        <v>40575.009239799998</v>
      </c>
      <c r="M476" s="270">
        <f>I476+L476</f>
        <v>92800.842561313999</v>
      </c>
      <c r="N476" s="268"/>
      <c r="O476" s="1163">
        <v>0.93490804699999996</v>
      </c>
      <c r="P476" s="293" t="s">
        <v>1300</v>
      </c>
    </row>
    <row r="477" spans="1:16" ht="18.95" customHeight="1">
      <c r="A477" s="224"/>
      <c r="B477" s="139"/>
      <c r="C477" s="512" t="s">
        <v>1674</v>
      </c>
      <c r="D477" s="525"/>
      <c r="E477" s="267">
        <v>580</v>
      </c>
      <c r="F477" s="356" t="s">
        <v>1079</v>
      </c>
      <c r="G477" s="269">
        <v>31</v>
      </c>
      <c r="H477" s="269">
        <f t="shared" si="297"/>
        <v>28.982149456999998</v>
      </c>
      <c r="I477" s="269">
        <f t="shared" si="298"/>
        <v>16809.646685060001</v>
      </c>
      <c r="J477" s="267">
        <v>12</v>
      </c>
      <c r="K477" s="267">
        <f t="shared" si="299"/>
        <v>11.218896564</v>
      </c>
      <c r="L477" s="270">
        <f t="shared" si="300"/>
        <v>6506.9600071199993</v>
      </c>
      <c r="M477" s="270">
        <f>I477+L477</f>
        <v>23316.606692180001</v>
      </c>
      <c r="N477" s="268"/>
      <c r="O477" s="1163">
        <v>0.93490804699999996</v>
      </c>
    </row>
    <row r="478" spans="1:16" ht="18.95" customHeight="1">
      <c r="A478" s="224"/>
      <c r="B478" s="139"/>
      <c r="C478" s="524" t="s">
        <v>1675</v>
      </c>
      <c r="D478" s="557"/>
      <c r="E478" s="267">
        <v>500</v>
      </c>
      <c r="F478" s="356" t="s">
        <v>1079</v>
      </c>
      <c r="G478" s="269">
        <v>100</v>
      </c>
      <c r="H478" s="269">
        <f t="shared" si="297"/>
        <v>93.490804699999998</v>
      </c>
      <c r="I478" s="269">
        <f t="shared" si="298"/>
        <v>46745.402349999997</v>
      </c>
      <c r="J478" s="267">
        <v>30</v>
      </c>
      <c r="K478" s="267">
        <f t="shared" si="299"/>
        <v>28.047241409999998</v>
      </c>
      <c r="L478" s="270">
        <f t="shared" si="300"/>
        <v>14023.620704999999</v>
      </c>
      <c r="M478" s="270">
        <f>I478+L478</f>
        <v>60769.023054999998</v>
      </c>
      <c r="N478" s="268"/>
      <c r="O478" s="1163">
        <v>0.93490804699999996</v>
      </c>
    </row>
    <row r="479" spans="1:16" ht="18.95" customHeight="1">
      <c r="A479" s="224"/>
      <c r="B479" s="136">
        <v>14.3</v>
      </c>
      <c r="C479" s="510" t="s">
        <v>1323</v>
      </c>
      <c r="D479" s="511"/>
      <c r="E479" s="513"/>
      <c r="F479" s="268"/>
      <c r="G479" s="269"/>
      <c r="H479" s="269"/>
      <c r="I479" s="269"/>
      <c r="J479" s="267"/>
      <c r="K479" s="267"/>
      <c r="L479" s="270"/>
      <c r="M479" s="270"/>
      <c r="N479" s="268"/>
      <c r="O479" s="1163">
        <v>0.93490804699999996</v>
      </c>
    </row>
    <row r="480" spans="1:16" ht="18.95" customHeight="1">
      <c r="A480" s="224"/>
      <c r="B480" s="139"/>
      <c r="C480" s="520" t="s">
        <v>1324</v>
      </c>
      <c r="D480" s="521"/>
      <c r="E480" s="267">
        <v>3200</v>
      </c>
      <c r="F480" s="356" t="s">
        <v>1079</v>
      </c>
      <c r="G480" s="269">
        <f>ROUND(93.1/3,2)</f>
        <v>31.03</v>
      </c>
      <c r="H480" s="269">
        <f t="shared" ref="H480:H481" si="301">G480*O480</f>
        <v>29.010196698409999</v>
      </c>
      <c r="I480" s="269">
        <f t="shared" ref="I480:I481" si="302">E480*H480</f>
        <v>92832.629434912</v>
      </c>
      <c r="J480" s="267">
        <v>22</v>
      </c>
      <c r="K480" s="267">
        <f t="shared" ref="K480:K481" si="303">J480*O480</f>
        <v>20.567977033999998</v>
      </c>
      <c r="L480" s="270">
        <f t="shared" ref="L480:L481" si="304">E480*K480</f>
        <v>65817.526508800001</v>
      </c>
      <c r="M480" s="270">
        <f>I480+L480</f>
        <v>158650.15594371199</v>
      </c>
      <c r="N480" s="268"/>
      <c r="O480" s="1163">
        <v>0.93490804699999996</v>
      </c>
      <c r="P480" s="293" t="s">
        <v>1300</v>
      </c>
    </row>
    <row r="481" spans="1:18" ht="18.95" customHeight="1">
      <c r="A481" s="224"/>
      <c r="B481" s="139"/>
      <c r="C481" s="520" t="s">
        <v>1326</v>
      </c>
      <c r="D481" s="521"/>
      <c r="E481" s="267">
        <v>58</v>
      </c>
      <c r="F481" s="356" t="s">
        <v>1079</v>
      </c>
      <c r="G481" s="269">
        <f>ROUND(134.4/3,2)</f>
        <v>44.8</v>
      </c>
      <c r="H481" s="269">
        <f t="shared" si="301"/>
        <v>41.883880505599997</v>
      </c>
      <c r="I481" s="269">
        <f t="shared" si="302"/>
        <v>2429.2650693247997</v>
      </c>
      <c r="J481" s="267">
        <v>24</v>
      </c>
      <c r="K481" s="267">
        <f t="shared" si="303"/>
        <v>22.437793127999999</v>
      </c>
      <c r="L481" s="270">
        <f t="shared" si="304"/>
        <v>1301.392001424</v>
      </c>
      <c r="M481" s="270">
        <f>I481+L481</f>
        <v>3730.6570707487999</v>
      </c>
      <c r="N481" s="268"/>
      <c r="O481" s="1163">
        <v>0.93490804699999996</v>
      </c>
      <c r="P481" s="293" t="s">
        <v>1300</v>
      </c>
    </row>
    <row r="482" spans="1:18" ht="18.95" customHeight="1">
      <c r="A482" s="224"/>
      <c r="B482" s="136">
        <v>14.4</v>
      </c>
      <c r="C482" s="524" t="s">
        <v>1336</v>
      </c>
      <c r="D482" s="525"/>
      <c r="E482" s="267"/>
      <c r="F482" s="356"/>
      <c r="G482" s="269"/>
      <c r="H482" s="269"/>
      <c r="I482" s="269"/>
      <c r="J482" s="267"/>
      <c r="K482" s="267"/>
      <c r="L482" s="270"/>
      <c r="M482" s="270"/>
      <c r="N482" s="268"/>
      <c r="O482" s="1163">
        <v>0.93490804699999996</v>
      </c>
    </row>
    <row r="483" spans="1:18" ht="18.95" customHeight="1">
      <c r="A483" s="224"/>
      <c r="B483" s="139"/>
      <c r="C483" s="520" t="s">
        <v>1676</v>
      </c>
      <c r="D483" s="525"/>
      <c r="E483" s="267">
        <v>50</v>
      </c>
      <c r="F483" s="356" t="s">
        <v>1079</v>
      </c>
      <c r="G483" s="269">
        <v>237</v>
      </c>
      <c r="H483" s="269">
        <f t="shared" ref="H483:H484" si="305">G483*O483</f>
        <v>221.573207139</v>
      </c>
      <c r="I483" s="269">
        <f t="shared" ref="I483:I484" si="306">E483*H483</f>
        <v>11078.66035695</v>
      </c>
      <c r="J483" s="267">
        <v>45</v>
      </c>
      <c r="K483" s="267">
        <f t="shared" ref="K483:K484" si="307">J483*O483</f>
        <v>42.070862114999997</v>
      </c>
      <c r="L483" s="270">
        <f t="shared" ref="L483:L484" si="308">E483*K483</f>
        <v>2103.54310575</v>
      </c>
      <c r="M483" s="270">
        <f>I483+L483</f>
        <v>13182.203462699999</v>
      </c>
      <c r="N483" s="268"/>
      <c r="O483" s="1163">
        <v>0.93490804699999996</v>
      </c>
    </row>
    <row r="484" spans="1:18" ht="18.95" customHeight="1">
      <c r="A484" s="224"/>
      <c r="B484" s="198">
        <v>14.5</v>
      </c>
      <c r="C484" s="524" t="s">
        <v>1655</v>
      </c>
      <c r="D484" s="525"/>
      <c r="E484" s="267">
        <v>1</v>
      </c>
      <c r="F484" s="268" t="s">
        <v>1321</v>
      </c>
      <c r="G484" s="269">
        <v>50000</v>
      </c>
      <c r="H484" s="269">
        <f t="shared" si="305"/>
        <v>46745.402349999997</v>
      </c>
      <c r="I484" s="269">
        <f t="shared" si="306"/>
        <v>46745.402349999997</v>
      </c>
      <c r="J484" s="267">
        <v>10000</v>
      </c>
      <c r="K484" s="267">
        <f t="shared" si="307"/>
        <v>9349.080469999999</v>
      </c>
      <c r="L484" s="270">
        <f t="shared" si="308"/>
        <v>9349.080469999999</v>
      </c>
      <c r="M484" s="270">
        <f>I484+L484</f>
        <v>56094.482819999997</v>
      </c>
      <c r="N484" s="268"/>
      <c r="O484" s="1163">
        <v>0.93490804699999996</v>
      </c>
    </row>
    <row r="485" spans="1:18" ht="18.95" customHeight="1">
      <c r="A485" s="224"/>
      <c r="B485" s="1345" t="s">
        <v>1677</v>
      </c>
      <c r="C485" s="1346"/>
      <c r="D485" s="1356"/>
      <c r="E485" s="271"/>
      <c r="F485" s="281"/>
      <c r="G485" s="271"/>
      <c r="H485" s="271"/>
      <c r="I485" s="271">
        <f>SUM(I460:I484)</f>
        <v>1326623.4867780455</v>
      </c>
      <c r="J485" s="271"/>
      <c r="K485" s="271"/>
      <c r="L485" s="271">
        <f>SUM(L460:L484)</f>
        <v>264908.06493354408</v>
      </c>
      <c r="M485" s="271">
        <f>SUM(M460:M484)</f>
        <v>1591531.5517115893</v>
      </c>
      <c r="N485" s="270"/>
      <c r="O485" s="1163">
        <v>0.93490804699999996</v>
      </c>
    </row>
    <row r="486" spans="1:18" ht="18.95" customHeight="1">
      <c r="A486" s="224"/>
      <c r="B486" s="422"/>
      <c r="C486" s="451"/>
      <c r="D486" s="516"/>
      <c r="E486" s="271"/>
      <c r="F486" s="281"/>
      <c r="G486" s="271"/>
      <c r="H486" s="271"/>
      <c r="I486" s="271"/>
      <c r="J486" s="271"/>
      <c r="K486" s="271"/>
      <c r="L486" s="271"/>
      <c r="M486" s="271"/>
      <c r="N486" s="281"/>
      <c r="O486" s="1163">
        <v>0.93490804699999996</v>
      </c>
    </row>
    <row r="487" spans="1:18" ht="18.95" customHeight="1">
      <c r="A487" s="336">
        <v>15</v>
      </c>
      <c r="B487" s="519" t="s">
        <v>1193</v>
      </c>
      <c r="C487" s="508"/>
      <c r="D487" s="509"/>
      <c r="E487" s="271"/>
      <c r="F487" s="281"/>
      <c r="G487" s="271"/>
      <c r="H487" s="271"/>
      <c r="I487" s="271"/>
      <c r="J487" s="271"/>
      <c r="K487" s="271"/>
      <c r="L487" s="271"/>
      <c r="M487" s="271"/>
      <c r="N487" s="281"/>
      <c r="O487" s="1163">
        <v>0.93490804699999996</v>
      </c>
    </row>
    <row r="488" spans="1:18" ht="18.95" customHeight="1">
      <c r="A488" s="340"/>
      <c r="B488" s="136">
        <v>15.1</v>
      </c>
      <c r="C488" s="520" t="s">
        <v>1657</v>
      </c>
      <c r="D488" s="556"/>
      <c r="E488" s="271"/>
      <c r="F488" s="281"/>
      <c r="G488" s="271"/>
      <c r="H488" s="271"/>
      <c r="I488" s="271"/>
      <c r="J488" s="339"/>
      <c r="K488" s="339"/>
      <c r="L488" s="271"/>
      <c r="M488" s="281"/>
      <c r="N488" s="558"/>
      <c r="O488" s="1163">
        <v>0.93490804699999996</v>
      </c>
    </row>
    <row r="489" spans="1:18" ht="18.95" customHeight="1">
      <c r="A489" s="340"/>
      <c r="B489" s="136"/>
      <c r="C489" s="520" t="s">
        <v>1678</v>
      </c>
      <c r="D489" s="556"/>
      <c r="E489" s="513">
        <v>1</v>
      </c>
      <c r="F489" s="269" t="s">
        <v>402</v>
      </c>
      <c r="G489" s="269">
        <v>100000</v>
      </c>
      <c r="H489" s="269">
        <f t="shared" ref="H489:H493" si="309">G489*O489</f>
        <v>93490.804699999993</v>
      </c>
      <c r="I489" s="269">
        <f t="shared" ref="I489:I493" si="310">E489*H489</f>
        <v>93490.804699999993</v>
      </c>
      <c r="J489" s="267">
        <v>0</v>
      </c>
      <c r="K489" s="267"/>
      <c r="L489" s="267">
        <f t="shared" ref="L489:L508" si="311">E489*J489</f>
        <v>0</v>
      </c>
      <c r="M489" s="267">
        <f t="shared" ref="M489:M508" si="312">I489+L489</f>
        <v>93490.804699999993</v>
      </c>
      <c r="N489" s="268"/>
      <c r="O489" s="1163">
        <v>0.93490804699999996</v>
      </c>
    </row>
    <row r="490" spans="1:18" ht="18.95" customHeight="1">
      <c r="A490" s="224"/>
      <c r="B490" s="139"/>
      <c r="C490" s="553" t="s">
        <v>1679</v>
      </c>
      <c r="D490" s="557"/>
      <c r="E490" s="513">
        <v>1</v>
      </c>
      <c r="F490" s="269" t="s">
        <v>402</v>
      </c>
      <c r="G490" s="269">
        <v>43890</v>
      </c>
      <c r="H490" s="269">
        <f t="shared" si="309"/>
        <v>41033.114182829995</v>
      </c>
      <c r="I490" s="269">
        <f t="shared" si="310"/>
        <v>41033.114182829995</v>
      </c>
      <c r="J490" s="267">
        <v>0</v>
      </c>
      <c r="K490" s="267"/>
      <c r="L490" s="267">
        <f t="shared" si="311"/>
        <v>0</v>
      </c>
      <c r="M490" s="267">
        <f t="shared" si="312"/>
        <v>41033.114182829995</v>
      </c>
      <c r="N490" s="268"/>
      <c r="O490" s="1163">
        <v>0.93490804699999996</v>
      </c>
    </row>
    <row r="491" spans="1:18" ht="18.95" customHeight="1">
      <c r="A491" s="224"/>
      <c r="B491" s="139"/>
      <c r="C491" s="553" t="s">
        <v>1680</v>
      </c>
      <c r="D491" s="525"/>
      <c r="E491" s="267">
        <v>1</v>
      </c>
      <c r="F491" s="269" t="s">
        <v>402</v>
      </c>
      <c r="G491" s="267">
        <v>10000</v>
      </c>
      <c r="H491" s="269">
        <f t="shared" si="309"/>
        <v>9349.080469999999</v>
      </c>
      <c r="I491" s="269">
        <f t="shared" si="310"/>
        <v>9349.080469999999</v>
      </c>
      <c r="J491" s="267">
        <v>1000</v>
      </c>
      <c r="K491" s="267">
        <f t="shared" ref="K491:K493" si="313">J491*O491</f>
        <v>934.90804700000001</v>
      </c>
      <c r="L491" s="270">
        <f t="shared" ref="L491:L493" si="314">E491*K491</f>
        <v>934.90804700000001</v>
      </c>
      <c r="M491" s="267">
        <f t="shared" si="312"/>
        <v>10283.988517</v>
      </c>
      <c r="N491" s="268"/>
      <c r="O491" s="1163">
        <v>0.93490804699999996</v>
      </c>
    </row>
    <row r="492" spans="1:18" ht="18.95" customHeight="1">
      <c r="A492" s="224"/>
      <c r="B492" s="139"/>
      <c r="C492" s="553" t="s">
        <v>1681</v>
      </c>
      <c r="D492" s="525"/>
      <c r="E492" s="267">
        <v>1</v>
      </c>
      <c r="F492" s="269" t="s">
        <v>402</v>
      </c>
      <c r="G492" s="267">
        <v>10000</v>
      </c>
      <c r="H492" s="269">
        <f t="shared" si="309"/>
        <v>9349.080469999999</v>
      </c>
      <c r="I492" s="269">
        <f t="shared" si="310"/>
        <v>9349.080469999999</v>
      </c>
      <c r="J492" s="267">
        <v>1000</v>
      </c>
      <c r="K492" s="267">
        <f t="shared" si="313"/>
        <v>934.90804700000001</v>
      </c>
      <c r="L492" s="270">
        <f t="shared" si="314"/>
        <v>934.90804700000001</v>
      </c>
      <c r="M492" s="267">
        <f t="shared" si="312"/>
        <v>10283.988517</v>
      </c>
      <c r="N492" s="268"/>
      <c r="O492" s="1163">
        <v>0.93490804699999996</v>
      </c>
    </row>
    <row r="493" spans="1:18" ht="18.95" customHeight="1">
      <c r="A493" s="224"/>
      <c r="B493" s="139"/>
      <c r="C493" s="553" t="s">
        <v>1682</v>
      </c>
      <c r="D493" s="525"/>
      <c r="E493" s="267">
        <v>1</v>
      </c>
      <c r="F493" s="269" t="s">
        <v>402</v>
      </c>
      <c r="G493" s="267">
        <v>15000</v>
      </c>
      <c r="H493" s="269">
        <f t="shared" si="309"/>
        <v>14023.620704999999</v>
      </c>
      <c r="I493" s="269">
        <f t="shared" si="310"/>
        <v>14023.620704999999</v>
      </c>
      <c r="J493" s="267">
        <v>1000</v>
      </c>
      <c r="K493" s="267">
        <f t="shared" si="313"/>
        <v>934.90804700000001</v>
      </c>
      <c r="L493" s="270">
        <f t="shared" si="314"/>
        <v>934.90804700000001</v>
      </c>
      <c r="M493" s="267">
        <f t="shared" si="312"/>
        <v>14958.528752</v>
      </c>
      <c r="N493" s="268"/>
      <c r="O493" s="1163">
        <v>0.93490804699999996</v>
      </c>
    </row>
    <row r="494" spans="1:18" ht="18.95" customHeight="1">
      <c r="A494" s="224"/>
      <c r="B494" s="139"/>
      <c r="C494" s="553" t="s">
        <v>1683</v>
      </c>
      <c r="D494" s="525"/>
      <c r="E494" s="267">
        <v>1</v>
      </c>
      <c r="F494" s="269" t="s">
        <v>402</v>
      </c>
      <c r="G494" s="267">
        <v>180000</v>
      </c>
      <c r="H494" s="269">
        <f t="shared" ref="H494:H504" si="315">G494*O494</f>
        <v>168283.44845999999</v>
      </c>
      <c r="I494" s="269">
        <f t="shared" ref="I494:I504" si="316">E494*H494</f>
        <v>168283.44845999999</v>
      </c>
      <c r="J494" s="267">
        <v>0</v>
      </c>
      <c r="K494" s="267"/>
      <c r="L494" s="269">
        <f t="shared" si="311"/>
        <v>0</v>
      </c>
      <c r="M494" s="267">
        <f t="shared" si="312"/>
        <v>168283.44845999999</v>
      </c>
      <c r="N494" s="268"/>
      <c r="O494" s="1163">
        <v>0.93490804699999996</v>
      </c>
      <c r="Q494" s="559"/>
      <c r="R494" s="518"/>
    </row>
    <row r="495" spans="1:18" ht="18.95" customHeight="1">
      <c r="A495" s="224"/>
      <c r="B495" s="139"/>
      <c r="C495" s="553" t="s">
        <v>1684</v>
      </c>
      <c r="D495" s="525"/>
      <c r="E495" s="267">
        <v>4</v>
      </c>
      <c r="F495" s="269" t="s">
        <v>402</v>
      </c>
      <c r="G495" s="267">
        <v>12825</v>
      </c>
      <c r="H495" s="269">
        <f t="shared" si="315"/>
        <v>11990.195702775</v>
      </c>
      <c r="I495" s="269">
        <f t="shared" si="316"/>
        <v>47960.782811099998</v>
      </c>
      <c r="J495" s="267">
        <v>0</v>
      </c>
      <c r="K495" s="267"/>
      <c r="L495" s="269">
        <f t="shared" si="311"/>
        <v>0</v>
      </c>
      <c r="M495" s="267">
        <f t="shared" si="312"/>
        <v>47960.782811099998</v>
      </c>
      <c r="N495" s="268"/>
      <c r="O495" s="1163">
        <v>0.93490804699999996</v>
      </c>
      <c r="Q495" s="559"/>
      <c r="R495" s="518"/>
    </row>
    <row r="496" spans="1:18" ht="18.95" customHeight="1">
      <c r="A496" s="224"/>
      <c r="B496" s="139"/>
      <c r="C496" s="553" t="s">
        <v>1685</v>
      </c>
      <c r="D496" s="525"/>
      <c r="E496" s="267">
        <v>1</v>
      </c>
      <c r="F496" s="269" t="s">
        <v>402</v>
      </c>
      <c r="G496" s="267">
        <v>16000</v>
      </c>
      <c r="H496" s="269">
        <f t="shared" si="315"/>
        <v>14958.528752</v>
      </c>
      <c r="I496" s="269">
        <f t="shared" si="316"/>
        <v>14958.528752</v>
      </c>
      <c r="J496" s="267">
        <v>0</v>
      </c>
      <c r="K496" s="267"/>
      <c r="L496" s="269">
        <f t="shared" si="311"/>
        <v>0</v>
      </c>
      <c r="M496" s="267">
        <f t="shared" si="312"/>
        <v>14958.528752</v>
      </c>
      <c r="N496" s="268"/>
      <c r="O496" s="1163">
        <v>0.93490804699999996</v>
      </c>
      <c r="Q496" s="560"/>
      <c r="R496" s="518"/>
    </row>
    <row r="497" spans="1:18" ht="18.95" customHeight="1">
      <c r="A497" s="224"/>
      <c r="B497" s="139"/>
      <c r="C497" s="553" t="s">
        <v>1686</v>
      </c>
      <c r="D497" s="525"/>
      <c r="E497" s="267">
        <v>1</v>
      </c>
      <c r="F497" s="269" t="s">
        <v>402</v>
      </c>
      <c r="G497" s="267">
        <v>50000</v>
      </c>
      <c r="H497" s="269">
        <f t="shared" si="315"/>
        <v>46745.402349999997</v>
      </c>
      <c r="I497" s="269">
        <f t="shared" si="316"/>
        <v>46745.402349999997</v>
      </c>
      <c r="J497" s="267">
        <v>0</v>
      </c>
      <c r="K497" s="267"/>
      <c r="L497" s="269">
        <f t="shared" si="311"/>
        <v>0</v>
      </c>
      <c r="M497" s="267">
        <f t="shared" si="312"/>
        <v>46745.402349999997</v>
      </c>
      <c r="N497" s="268"/>
      <c r="O497" s="1163">
        <v>0.93490804699999996</v>
      </c>
      <c r="Q497" s="560"/>
      <c r="R497" s="518"/>
    </row>
    <row r="498" spans="1:18" ht="18.95" customHeight="1">
      <c r="A498" s="224"/>
      <c r="B498" s="139"/>
      <c r="C498" s="553" t="s">
        <v>1687</v>
      </c>
      <c r="D498" s="525"/>
      <c r="E498" s="267">
        <v>1</v>
      </c>
      <c r="F498" s="269" t="s">
        <v>402</v>
      </c>
      <c r="G498" s="267">
        <v>1710</v>
      </c>
      <c r="H498" s="269">
        <f t="shared" si="315"/>
        <v>1598.6927603699999</v>
      </c>
      <c r="I498" s="269">
        <f t="shared" si="316"/>
        <v>1598.6927603699999</v>
      </c>
      <c r="J498" s="267">
        <v>0</v>
      </c>
      <c r="K498" s="267"/>
      <c r="L498" s="269">
        <f t="shared" si="311"/>
        <v>0</v>
      </c>
      <c r="M498" s="267">
        <f t="shared" si="312"/>
        <v>1598.6927603699999</v>
      </c>
      <c r="N498" s="268"/>
      <c r="O498" s="1163">
        <v>0.93490804699999996</v>
      </c>
      <c r="Q498" s="560"/>
      <c r="R498" s="518"/>
    </row>
    <row r="499" spans="1:18" ht="18.95" customHeight="1">
      <c r="A499" s="224"/>
      <c r="B499" s="139"/>
      <c r="C499" s="553" t="s">
        <v>1688</v>
      </c>
      <c r="D499" s="525"/>
      <c r="E499" s="267">
        <v>1</v>
      </c>
      <c r="F499" s="269" t="s">
        <v>402</v>
      </c>
      <c r="G499" s="267">
        <v>17575</v>
      </c>
      <c r="H499" s="269">
        <f t="shared" si="315"/>
        <v>16431.008926024999</v>
      </c>
      <c r="I499" s="269">
        <f t="shared" si="316"/>
        <v>16431.008926024999</v>
      </c>
      <c r="J499" s="267">
        <v>0</v>
      </c>
      <c r="K499" s="267"/>
      <c r="L499" s="269">
        <f t="shared" si="311"/>
        <v>0</v>
      </c>
      <c r="M499" s="267">
        <f t="shared" si="312"/>
        <v>16431.008926024999</v>
      </c>
      <c r="N499" s="268"/>
      <c r="O499" s="1163">
        <v>0.93490804699999996</v>
      </c>
      <c r="Q499" s="560"/>
      <c r="R499" s="518"/>
    </row>
    <row r="500" spans="1:18" ht="18.95" customHeight="1">
      <c r="A500" s="224"/>
      <c r="B500" s="139"/>
      <c r="C500" s="553" t="s">
        <v>1689</v>
      </c>
      <c r="D500" s="525"/>
      <c r="E500" s="267">
        <v>1</v>
      </c>
      <c r="F500" s="269" t="s">
        <v>402</v>
      </c>
      <c r="G500" s="267">
        <v>11400</v>
      </c>
      <c r="H500" s="269">
        <f t="shared" si="315"/>
        <v>10657.951735799999</v>
      </c>
      <c r="I500" s="269">
        <f t="shared" si="316"/>
        <v>10657.951735799999</v>
      </c>
      <c r="J500" s="267">
        <v>0</v>
      </c>
      <c r="K500" s="267"/>
      <c r="L500" s="269">
        <f t="shared" si="311"/>
        <v>0</v>
      </c>
      <c r="M500" s="267">
        <f t="shared" si="312"/>
        <v>10657.951735799999</v>
      </c>
      <c r="N500" s="268"/>
      <c r="O500" s="1163">
        <v>0.93490804699999996</v>
      </c>
      <c r="Q500" s="560"/>
      <c r="R500" s="518"/>
    </row>
    <row r="501" spans="1:18" ht="18.95" customHeight="1">
      <c r="A501" s="224"/>
      <c r="B501" s="139"/>
      <c r="C501" s="553" t="s">
        <v>1690</v>
      </c>
      <c r="D501" s="525"/>
      <c r="E501" s="267">
        <v>1</v>
      </c>
      <c r="F501" s="269" t="s">
        <v>402</v>
      </c>
      <c r="G501" s="267">
        <v>73150</v>
      </c>
      <c r="H501" s="269">
        <f t="shared" si="315"/>
        <v>68388.523638049999</v>
      </c>
      <c r="I501" s="269">
        <f t="shared" si="316"/>
        <v>68388.523638049999</v>
      </c>
      <c r="J501" s="267">
        <v>0</v>
      </c>
      <c r="K501" s="267"/>
      <c r="L501" s="269">
        <f t="shared" si="311"/>
        <v>0</v>
      </c>
      <c r="M501" s="267">
        <f t="shared" si="312"/>
        <v>68388.523638049999</v>
      </c>
      <c r="N501" s="268"/>
      <c r="O501" s="1163">
        <v>0.93490804699999996</v>
      </c>
      <c r="Q501" s="560"/>
      <c r="R501" s="518"/>
    </row>
    <row r="502" spans="1:18" ht="18.95" customHeight="1">
      <c r="A502" s="224"/>
      <c r="B502" s="139"/>
      <c r="C502" s="553" t="s">
        <v>1691</v>
      </c>
      <c r="D502" s="525"/>
      <c r="E502" s="267">
        <v>500</v>
      </c>
      <c r="F502" s="269" t="s">
        <v>402</v>
      </c>
      <c r="G502" s="267">
        <v>200</v>
      </c>
      <c r="H502" s="269">
        <f t="shared" si="315"/>
        <v>186.9816094</v>
      </c>
      <c r="I502" s="269">
        <f t="shared" si="316"/>
        <v>93490.804699999993</v>
      </c>
      <c r="J502" s="267">
        <v>50</v>
      </c>
      <c r="K502" s="267">
        <f t="shared" ref="K502:K504" si="317">J502*O502</f>
        <v>46.745402349999999</v>
      </c>
      <c r="L502" s="270">
        <f t="shared" ref="L502:L504" si="318">E502*K502</f>
        <v>23372.701174999998</v>
      </c>
      <c r="M502" s="267">
        <f t="shared" si="312"/>
        <v>116863.50587499999</v>
      </c>
      <c r="N502" s="268"/>
      <c r="O502" s="1163">
        <v>0.93490804699999996</v>
      </c>
      <c r="Q502" s="560"/>
      <c r="R502" s="518"/>
    </row>
    <row r="503" spans="1:18" ht="18.95" customHeight="1">
      <c r="A503" s="224"/>
      <c r="B503" s="139"/>
      <c r="C503" s="553" t="s">
        <v>1692</v>
      </c>
      <c r="D503" s="525"/>
      <c r="E503" s="267">
        <v>5</v>
      </c>
      <c r="F503" s="269" t="s">
        <v>402</v>
      </c>
      <c r="G503" s="267">
        <v>1710</v>
      </c>
      <c r="H503" s="269">
        <f t="shared" si="315"/>
        <v>1598.6927603699999</v>
      </c>
      <c r="I503" s="269">
        <f t="shared" si="316"/>
        <v>7993.4638018499991</v>
      </c>
      <c r="J503" s="267">
        <v>100</v>
      </c>
      <c r="K503" s="267">
        <f t="shared" si="317"/>
        <v>93.490804699999998</v>
      </c>
      <c r="L503" s="270">
        <f t="shared" si="318"/>
        <v>467.45402350000001</v>
      </c>
      <c r="M503" s="267">
        <f t="shared" si="312"/>
        <v>8460.9178253499995</v>
      </c>
      <c r="N503" s="268"/>
      <c r="O503" s="1163">
        <v>0.93490804699999996</v>
      </c>
      <c r="Q503" s="560"/>
      <c r="R503" s="518"/>
    </row>
    <row r="504" spans="1:18" ht="18.95" customHeight="1">
      <c r="A504" s="224"/>
      <c r="B504" s="139"/>
      <c r="C504" s="553" t="s">
        <v>1693</v>
      </c>
      <c r="D504" s="525"/>
      <c r="E504" s="267">
        <v>5</v>
      </c>
      <c r="F504" s="269" t="s">
        <v>402</v>
      </c>
      <c r="G504" s="267">
        <v>1710</v>
      </c>
      <c r="H504" s="269">
        <f t="shared" si="315"/>
        <v>1598.6927603699999</v>
      </c>
      <c r="I504" s="269">
        <f t="shared" si="316"/>
        <v>7993.4638018499991</v>
      </c>
      <c r="J504" s="267">
        <v>500</v>
      </c>
      <c r="K504" s="267">
        <f t="shared" si="317"/>
        <v>467.45402350000001</v>
      </c>
      <c r="L504" s="270">
        <f t="shared" si="318"/>
        <v>2337.2701175000002</v>
      </c>
      <c r="M504" s="267">
        <f t="shared" si="312"/>
        <v>10330.733919349999</v>
      </c>
      <c r="N504" s="268"/>
      <c r="O504" s="1163">
        <v>0.93490804699999996</v>
      </c>
      <c r="Q504" s="560"/>
      <c r="R504" s="518"/>
    </row>
    <row r="505" spans="1:18" ht="18.95" customHeight="1">
      <c r="A505" s="224"/>
      <c r="B505" s="139"/>
      <c r="C505" s="553" t="s">
        <v>1694</v>
      </c>
      <c r="D505" s="525"/>
      <c r="E505" s="267">
        <v>5</v>
      </c>
      <c r="F505" s="269" t="s">
        <v>402</v>
      </c>
      <c r="G505" s="267">
        <v>351</v>
      </c>
      <c r="H505" s="269">
        <f t="shared" ref="H505:H508" si="319">G505*O505</f>
        <v>328.15272449700001</v>
      </c>
      <c r="I505" s="269">
        <f t="shared" ref="I505:I508" si="320">E505*H505</f>
        <v>1640.763622485</v>
      </c>
      <c r="J505" s="267">
        <v>500</v>
      </c>
      <c r="K505" s="267">
        <f t="shared" ref="K505:K507" si="321">J505*O505</f>
        <v>467.45402350000001</v>
      </c>
      <c r="L505" s="270">
        <f t="shared" ref="L505:L507" si="322">E505*K505</f>
        <v>2337.2701175000002</v>
      </c>
      <c r="M505" s="267">
        <f t="shared" si="312"/>
        <v>3978.0337399850005</v>
      </c>
      <c r="N505" s="268"/>
      <c r="O505" s="1163">
        <v>0.93490804699999996</v>
      </c>
      <c r="Q505" s="560"/>
      <c r="R505" s="518"/>
    </row>
    <row r="506" spans="1:18" ht="18.95" customHeight="1">
      <c r="A506" s="224"/>
      <c r="B506" s="139"/>
      <c r="C506" s="524" t="s">
        <v>1695</v>
      </c>
      <c r="D506" s="525"/>
      <c r="E506" s="267">
        <v>6</v>
      </c>
      <c r="F506" s="269" t="s">
        <v>402</v>
      </c>
      <c r="G506" s="267">
        <v>5225</v>
      </c>
      <c r="H506" s="269">
        <f t="shared" si="319"/>
        <v>4884.8945455749999</v>
      </c>
      <c r="I506" s="269">
        <f t="shared" si="320"/>
        <v>29309.36727345</v>
      </c>
      <c r="J506" s="267">
        <v>500</v>
      </c>
      <c r="K506" s="267">
        <f t="shared" si="321"/>
        <v>467.45402350000001</v>
      </c>
      <c r="L506" s="270">
        <f t="shared" si="322"/>
        <v>2804.7241410000001</v>
      </c>
      <c r="M506" s="267">
        <f t="shared" si="312"/>
        <v>32114.091414449998</v>
      </c>
      <c r="N506" s="268"/>
      <c r="O506" s="1163">
        <v>0.93490804699999996</v>
      </c>
      <c r="Q506" s="560"/>
      <c r="R506" s="518"/>
    </row>
    <row r="507" spans="1:18" ht="18.95" customHeight="1">
      <c r="A507" s="224"/>
      <c r="B507" s="139"/>
      <c r="C507" s="524" t="s">
        <v>1696</v>
      </c>
      <c r="D507" s="525"/>
      <c r="E507" s="267">
        <v>6</v>
      </c>
      <c r="F507" s="269" t="s">
        <v>402</v>
      </c>
      <c r="G507" s="267">
        <v>351</v>
      </c>
      <c r="H507" s="269">
        <f t="shared" si="319"/>
        <v>328.15272449700001</v>
      </c>
      <c r="I507" s="269">
        <f t="shared" si="320"/>
        <v>1968.9163469820001</v>
      </c>
      <c r="J507" s="267">
        <v>500</v>
      </c>
      <c r="K507" s="267">
        <f t="shared" si="321"/>
        <v>467.45402350000001</v>
      </c>
      <c r="L507" s="270">
        <f t="shared" si="322"/>
        <v>2804.7241410000001</v>
      </c>
      <c r="M507" s="267">
        <f t="shared" si="312"/>
        <v>4773.6404879820002</v>
      </c>
      <c r="N507" s="268"/>
      <c r="O507" s="1163">
        <v>0.93490804699999996</v>
      </c>
      <c r="Q507" s="560"/>
      <c r="R507" s="518"/>
    </row>
    <row r="508" spans="1:18" ht="18.95" customHeight="1">
      <c r="A508" s="224"/>
      <c r="B508" s="139"/>
      <c r="C508" s="524" t="s">
        <v>1697</v>
      </c>
      <c r="D508" s="525"/>
      <c r="E508" s="267">
        <v>1</v>
      </c>
      <c r="F508" s="269" t="s">
        <v>402</v>
      </c>
      <c r="G508" s="267">
        <v>9500</v>
      </c>
      <c r="H508" s="269">
        <f t="shared" si="319"/>
        <v>8881.6264465000004</v>
      </c>
      <c r="I508" s="269">
        <f t="shared" si="320"/>
        <v>8881.6264465000004</v>
      </c>
      <c r="J508" s="267">
        <v>0</v>
      </c>
      <c r="K508" s="267"/>
      <c r="L508" s="269">
        <f t="shared" si="311"/>
        <v>0</v>
      </c>
      <c r="M508" s="267">
        <f t="shared" si="312"/>
        <v>8881.6264465000004</v>
      </c>
      <c r="N508" s="268"/>
      <c r="O508" s="1163">
        <v>0.93490804699999996</v>
      </c>
      <c r="Q508" s="560"/>
      <c r="R508" s="518"/>
    </row>
    <row r="509" spans="1:18" ht="18.95" customHeight="1">
      <c r="A509" s="224"/>
      <c r="B509" s="198">
        <v>15.2</v>
      </c>
      <c r="C509" s="524" t="s">
        <v>1653</v>
      </c>
      <c r="D509" s="525"/>
      <c r="E509" s="267"/>
      <c r="F509" s="269"/>
      <c r="G509" s="267"/>
      <c r="H509" s="267"/>
      <c r="I509" s="267"/>
      <c r="J509" s="267"/>
      <c r="K509" s="267"/>
      <c r="L509" s="269"/>
      <c r="M509" s="267"/>
      <c r="N509" s="268"/>
      <c r="O509" s="1163">
        <v>0.93490804699999996</v>
      </c>
      <c r="Q509" s="560"/>
      <c r="R509" s="518"/>
    </row>
    <row r="510" spans="1:18" ht="18.95" customHeight="1">
      <c r="A510" s="224"/>
      <c r="B510" s="139"/>
      <c r="C510" s="524" t="s">
        <v>1698</v>
      </c>
      <c r="D510" s="525"/>
      <c r="E510" s="267">
        <v>300</v>
      </c>
      <c r="F510" s="269" t="s">
        <v>1079</v>
      </c>
      <c r="G510" s="269">
        <f>ROUND(900.6/100,2)</f>
        <v>9.01</v>
      </c>
      <c r="H510" s="269">
        <f t="shared" ref="H510:H511" si="323">G510*O510</f>
        <v>8.4235215034699991</v>
      </c>
      <c r="I510" s="269">
        <f t="shared" ref="I510:I511" si="324">E510*H510</f>
        <v>2527.0564510409995</v>
      </c>
      <c r="J510" s="267">
        <v>7</v>
      </c>
      <c r="K510" s="267">
        <f t="shared" ref="K510:K511" si="325">J510*O510</f>
        <v>6.5443563289999993</v>
      </c>
      <c r="L510" s="270">
        <f t="shared" ref="L510:L511" si="326">E510*K510</f>
        <v>1963.3068986999997</v>
      </c>
      <c r="M510" s="267">
        <f>I510+L510</f>
        <v>4490.3633497409992</v>
      </c>
      <c r="N510" s="268"/>
      <c r="O510" s="1163">
        <v>0.93490804699999996</v>
      </c>
      <c r="P510" s="293" t="s">
        <v>1300</v>
      </c>
      <c r="Q510" s="560"/>
      <c r="R510" s="518"/>
    </row>
    <row r="511" spans="1:18" ht="18.95" customHeight="1">
      <c r="A511" s="224"/>
      <c r="B511" s="139"/>
      <c r="C511" s="524" t="s">
        <v>1699</v>
      </c>
      <c r="D511" s="525"/>
      <c r="E511" s="267">
        <v>300</v>
      </c>
      <c r="F511" s="269" t="s">
        <v>1079</v>
      </c>
      <c r="G511" s="267">
        <v>9.35</v>
      </c>
      <c r="H511" s="269">
        <f t="shared" si="323"/>
        <v>8.7413902394499985</v>
      </c>
      <c r="I511" s="269">
        <f t="shared" si="324"/>
        <v>2622.4170718349997</v>
      </c>
      <c r="J511" s="267">
        <v>6</v>
      </c>
      <c r="K511" s="267">
        <f t="shared" si="325"/>
        <v>5.6094482819999998</v>
      </c>
      <c r="L511" s="270">
        <f t="shared" si="326"/>
        <v>1682.8344846</v>
      </c>
      <c r="M511" s="267">
        <f>I511+L511</f>
        <v>4305.2515564349997</v>
      </c>
      <c r="N511" s="268"/>
      <c r="O511" s="1163">
        <v>0.93490804699999996</v>
      </c>
      <c r="Q511" s="560"/>
      <c r="R511" s="518"/>
    </row>
    <row r="512" spans="1:18" ht="18.95" customHeight="1">
      <c r="A512" s="224"/>
      <c r="B512" s="198">
        <v>15.3</v>
      </c>
      <c r="C512" s="510" t="s">
        <v>1323</v>
      </c>
      <c r="D512" s="511"/>
      <c r="E512" s="513"/>
      <c r="F512" s="269"/>
      <c r="G512" s="269"/>
      <c r="H512" s="269"/>
      <c r="I512" s="269"/>
      <c r="J512" s="267"/>
      <c r="K512" s="267"/>
      <c r="L512" s="267"/>
      <c r="M512" s="267"/>
      <c r="N512" s="268"/>
      <c r="O512" s="1163">
        <v>0.93490804699999996</v>
      </c>
      <c r="Q512" s="560"/>
      <c r="R512" s="518"/>
    </row>
    <row r="513" spans="1:18" ht="18.95" customHeight="1">
      <c r="A513" s="224"/>
      <c r="B513" s="139"/>
      <c r="C513" s="520" t="s">
        <v>1324</v>
      </c>
      <c r="D513" s="521"/>
      <c r="E513" s="267">
        <v>250</v>
      </c>
      <c r="F513" s="561" t="s">
        <v>1079</v>
      </c>
      <c r="G513" s="269">
        <f>ROUND(93.1/3,2)</f>
        <v>31.03</v>
      </c>
      <c r="H513" s="269">
        <f t="shared" ref="H513:H514" si="327">G513*O513</f>
        <v>29.010196698409999</v>
      </c>
      <c r="I513" s="269">
        <f t="shared" ref="I513:I514" si="328">E513*H513</f>
        <v>7252.5491746025</v>
      </c>
      <c r="J513" s="267">
        <v>22</v>
      </c>
      <c r="K513" s="267">
        <f t="shared" ref="K513:K514" si="329">J513*O513</f>
        <v>20.567977033999998</v>
      </c>
      <c r="L513" s="270">
        <f t="shared" ref="L513:L514" si="330">E513*K513</f>
        <v>5141.9942584999999</v>
      </c>
      <c r="M513" s="267">
        <f>I513+L513</f>
        <v>12394.543433102499</v>
      </c>
      <c r="N513" s="268"/>
      <c r="O513" s="1163">
        <v>0.93490804699999996</v>
      </c>
      <c r="P513" s="293" t="s">
        <v>1300</v>
      </c>
      <c r="Q513" s="560"/>
      <c r="R513" s="518"/>
    </row>
    <row r="514" spans="1:18" ht="18.95" customHeight="1">
      <c r="A514" s="224"/>
      <c r="B514" s="198">
        <v>15.4</v>
      </c>
      <c r="C514" s="524" t="s">
        <v>1655</v>
      </c>
      <c r="D514" s="525"/>
      <c r="E514" s="267">
        <v>1</v>
      </c>
      <c r="F514" s="269" t="s">
        <v>1321</v>
      </c>
      <c r="G514" s="269">
        <v>30000</v>
      </c>
      <c r="H514" s="269">
        <f t="shared" si="327"/>
        <v>28047.241409999999</v>
      </c>
      <c r="I514" s="269">
        <f t="shared" si="328"/>
        <v>28047.241409999999</v>
      </c>
      <c r="J514" s="267">
        <v>5000</v>
      </c>
      <c r="K514" s="267">
        <f t="shared" si="329"/>
        <v>4674.5402349999995</v>
      </c>
      <c r="L514" s="270">
        <f t="shared" si="330"/>
        <v>4674.5402349999995</v>
      </c>
      <c r="M514" s="267">
        <f>I514+L514</f>
        <v>32721.781644999999</v>
      </c>
      <c r="N514" s="268"/>
      <c r="O514" s="1163">
        <v>0.93490804699999996</v>
      </c>
      <c r="Q514" s="560"/>
      <c r="R514" s="518"/>
    </row>
    <row r="515" spans="1:18" ht="18.95" customHeight="1">
      <c r="A515" s="224"/>
      <c r="B515" s="1345" t="s">
        <v>1700</v>
      </c>
      <c r="C515" s="1346"/>
      <c r="D515" s="1356"/>
      <c r="E515" s="271"/>
      <c r="F515" s="339"/>
      <c r="G515" s="271"/>
      <c r="H515" s="271"/>
      <c r="I515" s="271">
        <f>SUM(I489:I514)</f>
        <v>733997.7100617704</v>
      </c>
      <c r="J515" s="271"/>
      <c r="K515" s="271"/>
      <c r="L515" s="271">
        <f>SUM(L489:L514)</f>
        <v>50391.543733300001</v>
      </c>
      <c r="M515" s="271">
        <f>SUM(M489:M514)</f>
        <v>784389.25379507034</v>
      </c>
      <c r="N515" s="268"/>
      <c r="O515" s="1163">
        <v>0.93490804699999996</v>
      </c>
      <c r="Q515" s="560"/>
      <c r="R515" s="518"/>
    </row>
    <row r="516" spans="1:18" ht="18.95" customHeight="1">
      <c r="A516" s="224"/>
      <c r="B516" s="422"/>
      <c r="C516" s="451"/>
      <c r="D516" s="516"/>
      <c r="E516" s="271"/>
      <c r="F516" s="339"/>
      <c r="G516" s="271"/>
      <c r="H516" s="271"/>
      <c r="I516" s="271"/>
      <c r="J516" s="271"/>
      <c r="K516" s="271"/>
      <c r="L516" s="271"/>
      <c r="M516" s="271"/>
      <c r="N516" s="281"/>
      <c r="O516" s="1163">
        <v>0.93490804699999996</v>
      </c>
    </row>
    <row r="517" spans="1:18" ht="18.95" customHeight="1">
      <c r="A517" s="336">
        <v>16</v>
      </c>
      <c r="B517" s="519" t="s">
        <v>1194</v>
      </c>
      <c r="C517" s="508"/>
      <c r="D517" s="509"/>
      <c r="E517" s="271"/>
      <c r="F517" s="339"/>
      <c r="G517" s="271"/>
      <c r="H517" s="271"/>
      <c r="I517" s="271"/>
      <c r="J517" s="271"/>
      <c r="K517" s="271"/>
      <c r="L517" s="271"/>
      <c r="M517" s="271"/>
      <c r="N517" s="281"/>
      <c r="O517" s="1163">
        <v>0.93490804699999996</v>
      </c>
    </row>
    <row r="518" spans="1:18" ht="18.95" customHeight="1">
      <c r="A518" s="340"/>
      <c r="B518" s="136">
        <v>16.100000000000001</v>
      </c>
      <c r="C518" s="520" t="s">
        <v>1657</v>
      </c>
      <c r="D518" s="556"/>
      <c r="E518" s="271"/>
      <c r="F518" s="281"/>
      <c r="G518" s="271"/>
      <c r="H518" s="271"/>
      <c r="I518" s="271"/>
      <c r="J518" s="339"/>
      <c r="K518" s="339"/>
      <c r="L518" s="271"/>
      <c r="M518" s="281"/>
      <c r="N518" s="281"/>
      <c r="O518" s="1163">
        <v>0.93490804699999996</v>
      </c>
    </row>
    <row r="519" spans="1:18" ht="18.95" customHeight="1">
      <c r="A519" s="340"/>
      <c r="B519" s="136"/>
      <c r="C519" s="520" t="s">
        <v>1701</v>
      </c>
      <c r="D519" s="556"/>
      <c r="E519" s="267">
        <v>17</v>
      </c>
      <c r="F519" s="269" t="s">
        <v>402</v>
      </c>
      <c r="G519" s="284">
        <f>14800*0.95</f>
        <v>14060</v>
      </c>
      <c r="H519" s="269">
        <f t="shared" ref="H519:H525" si="331">G519*O519</f>
        <v>13144.807140819999</v>
      </c>
      <c r="I519" s="269">
        <f>E519*H519</f>
        <v>223461.72139393998</v>
      </c>
      <c r="J519" s="284">
        <v>500</v>
      </c>
      <c r="K519" s="267">
        <f>J519*O519</f>
        <v>467.45402350000001</v>
      </c>
      <c r="L519" s="270">
        <f>E519*K519</f>
        <v>7946.7183995000005</v>
      </c>
      <c r="M519" s="284">
        <f t="shared" ref="M519:M525" si="332">I519+L519</f>
        <v>231408.43979343999</v>
      </c>
      <c r="N519" s="268"/>
      <c r="O519" s="1163">
        <v>0.93490804699999996</v>
      </c>
    </row>
    <row r="520" spans="1:18" ht="18.95" customHeight="1">
      <c r="A520" s="224"/>
      <c r="B520" s="139"/>
      <c r="C520" s="553" t="s">
        <v>1702</v>
      </c>
      <c r="D520" s="525"/>
      <c r="E520" s="267">
        <v>10</v>
      </c>
      <c r="F520" s="269" t="s">
        <v>402</v>
      </c>
      <c r="G520" s="284">
        <f>10700*0.95</f>
        <v>10165</v>
      </c>
      <c r="H520" s="269">
        <f t="shared" si="331"/>
        <v>9503.3402977549995</v>
      </c>
      <c r="I520" s="269">
        <f t="shared" ref="I520:I525" si="333">E520*H520</f>
        <v>95033.402977549995</v>
      </c>
      <c r="J520" s="284">
        <v>500</v>
      </c>
      <c r="K520" s="267">
        <f t="shared" ref="K520:K524" si="334">J520*O520</f>
        <v>467.45402350000001</v>
      </c>
      <c r="L520" s="270">
        <f t="shared" ref="L520:L524" si="335">E520*K520</f>
        <v>4674.5402350000004</v>
      </c>
      <c r="M520" s="284">
        <f t="shared" si="332"/>
        <v>99707.943212549988</v>
      </c>
      <c r="N520" s="268"/>
      <c r="O520" s="1163">
        <v>0.93490804699999996</v>
      </c>
    </row>
    <row r="521" spans="1:18" ht="18.95" customHeight="1">
      <c r="A521" s="224"/>
      <c r="B521" s="139"/>
      <c r="C521" s="553" t="s">
        <v>1703</v>
      </c>
      <c r="D521" s="525"/>
      <c r="E521" s="267">
        <v>1</v>
      </c>
      <c r="F521" s="269" t="s">
        <v>402</v>
      </c>
      <c r="G521" s="284">
        <v>50000</v>
      </c>
      <c r="H521" s="269">
        <f t="shared" si="331"/>
        <v>46745.402349999997</v>
      </c>
      <c r="I521" s="269">
        <f t="shared" si="333"/>
        <v>46745.402349999997</v>
      </c>
      <c r="J521" s="284">
        <v>2500</v>
      </c>
      <c r="K521" s="267">
        <f t="shared" si="334"/>
        <v>2337.2701174999997</v>
      </c>
      <c r="L521" s="270">
        <f t="shared" si="335"/>
        <v>2337.2701174999997</v>
      </c>
      <c r="M521" s="284">
        <f t="shared" si="332"/>
        <v>49082.672467499993</v>
      </c>
      <c r="N521" s="268"/>
      <c r="O521" s="1163">
        <v>0.93490804699999996</v>
      </c>
    </row>
    <row r="522" spans="1:18" ht="18.95" customHeight="1">
      <c r="A522" s="224"/>
      <c r="B522" s="139"/>
      <c r="C522" s="553" t="s">
        <v>1704</v>
      </c>
      <c r="D522" s="525"/>
      <c r="E522" s="267">
        <v>1</v>
      </c>
      <c r="F522" s="269" t="s">
        <v>402</v>
      </c>
      <c r="G522" s="284">
        <f>70000</f>
        <v>70000</v>
      </c>
      <c r="H522" s="269">
        <f t="shared" si="331"/>
        <v>65443.563289999998</v>
      </c>
      <c r="I522" s="269">
        <f t="shared" si="333"/>
        <v>65443.563289999998</v>
      </c>
      <c r="J522" s="284">
        <v>1000</v>
      </c>
      <c r="K522" s="267">
        <f t="shared" si="334"/>
        <v>934.90804700000001</v>
      </c>
      <c r="L522" s="270">
        <f t="shared" si="335"/>
        <v>934.90804700000001</v>
      </c>
      <c r="M522" s="284">
        <f t="shared" si="332"/>
        <v>66378.471336999995</v>
      </c>
      <c r="N522" s="268"/>
      <c r="O522" s="1163">
        <v>0.93490804699999996</v>
      </c>
    </row>
    <row r="523" spans="1:18" ht="18.95" customHeight="1">
      <c r="A523" s="224"/>
      <c r="B523" s="139"/>
      <c r="C523" s="553" t="s">
        <v>1705</v>
      </c>
      <c r="D523" s="525"/>
      <c r="E523" s="267">
        <v>2</v>
      </c>
      <c r="F523" s="269" t="s">
        <v>402</v>
      </c>
      <c r="G523" s="284">
        <f>22000*0.95</f>
        <v>20900</v>
      </c>
      <c r="H523" s="269">
        <f t="shared" si="331"/>
        <v>19539.5781823</v>
      </c>
      <c r="I523" s="269">
        <f t="shared" si="333"/>
        <v>39079.1563646</v>
      </c>
      <c r="J523" s="284">
        <v>1000</v>
      </c>
      <c r="K523" s="267">
        <f t="shared" si="334"/>
        <v>934.90804700000001</v>
      </c>
      <c r="L523" s="270">
        <f t="shared" si="335"/>
        <v>1869.816094</v>
      </c>
      <c r="M523" s="284">
        <f t="shared" si="332"/>
        <v>40948.972458600001</v>
      </c>
      <c r="N523" s="268"/>
      <c r="O523" s="1163">
        <v>0.93490804699999996</v>
      </c>
    </row>
    <row r="524" spans="1:18" ht="18.95" customHeight="1">
      <c r="A524" s="224"/>
      <c r="B524" s="139"/>
      <c r="C524" s="553" t="s">
        <v>1706</v>
      </c>
      <c r="D524" s="525"/>
      <c r="E524" s="267">
        <v>21</v>
      </c>
      <c r="F524" s="269" t="s">
        <v>402</v>
      </c>
      <c r="G524" s="284">
        <v>4300</v>
      </c>
      <c r="H524" s="269">
        <f t="shared" si="331"/>
        <v>4020.1046020999997</v>
      </c>
      <c r="I524" s="269">
        <f t="shared" si="333"/>
        <v>84422.196644099997</v>
      </c>
      <c r="J524" s="284">
        <v>650</v>
      </c>
      <c r="K524" s="267">
        <f t="shared" si="334"/>
        <v>607.69023055000002</v>
      </c>
      <c r="L524" s="270">
        <f t="shared" si="335"/>
        <v>12761.49484155</v>
      </c>
      <c r="M524" s="284">
        <f t="shared" si="332"/>
        <v>97183.691485649993</v>
      </c>
      <c r="N524" s="268"/>
      <c r="O524" s="1163">
        <v>0.93490804699999996</v>
      </c>
    </row>
    <row r="525" spans="1:18" ht="18.95" customHeight="1">
      <c r="A525" s="224"/>
      <c r="B525" s="139"/>
      <c r="C525" s="553" t="s">
        <v>1707</v>
      </c>
      <c r="D525" s="525"/>
      <c r="E525" s="267">
        <v>3</v>
      </c>
      <c r="F525" s="269" t="s">
        <v>402</v>
      </c>
      <c r="G525" s="284">
        <v>17470</v>
      </c>
      <c r="H525" s="269">
        <f t="shared" si="331"/>
        <v>16332.843581089999</v>
      </c>
      <c r="I525" s="269">
        <f t="shared" si="333"/>
        <v>48998.530743269999</v>
      </c>
      <c r="J525" s="284"/>
      <c r="K525" s="284"/>
      <c r="L525" s="284">
        <f t="shared" ref="L525" si="336">E525*J525</f>
        <v>0</v>
      </c>
      <c r="M525" s="284">
        <f t="shared" si="332"/>
        <v>48998.530743269999</v>
      </c>
      <c r="N525" s="268"/>
      <c r="O525" s="1163">
        <v>0.93490804699999996</v>
      </c>
    </row>
    <row r="526" spans="1:18" ht="18.95" customHeight="1">
      <c r="A526" s="224"/>
      <c r="B526" s="198">
        <v>16.2</v>
      </c>
      <c r="C526" s="524" t="s">
        <v>1708</v>
      </c>
      <c r="D526" s="525"/>
      <c r="E526" s="267"/>
      <c r="F526" s="269"/>
      <c r="G526" s="284"/>
      <c r="H526" s="284"/>
      <c r="I526" s="284"/>
      <c r="J526" s="284"/>
      <c r="K526" s="284"/>
      <c r="L526" s="284"/>
      <c r="M526" s="284"/>
      <c r="N526" s="268"/>
      <c r="O526" s="1163">
        <v>0.93490804699999996</v>
      </c>
    </row>
    <row r="527" spans="1:18" ht="18.95" customHeight="1">
      <c r="A527" s="224"/>
      <c r="B527" s="139"/>
      <c r="C527" s="524" t="s">
        <v>1709</v>
      </c>
      <c r="D527" s="525"/>
      <c r="E527" s="267">
        <v>1</v>
      </c>
      <c r="F527" s="269" t="s">
        <v>402</v>
      </c>
      <c r="G527" s="284">
        <v>33000</v>
      </c>
      <c r="H527" s="269">
        <f t="shared" ref="H527:H533" si="337">G527*O527</f>
        <v>30851.965550999998</v>
      </c>
      <c r="I527" s="269">
        <f>E527*H527</f>
        <v>30851.965550999998</v>
      </c>
      <c r="J527" s="284">
        <v>1000</v>
      </c>
      <c r="K527" s="267">
        <f>J527*O527</f>
        <v>934.90804700000001</v>
      </c>
      <c r="L527" s="270">
        <f>E527*K527</f>
        <v>934.90804700000001</v>
      </c>
      <c r="M527" s="284">
        <f t="shared" ref="M527:M533" si="338">I527+L527</f>
        <v>31786.873597999998</v>
      </c>
      <c r="N527" s="268"/>
      <c r="O527" s="1163">
        <v>0.93490804699999996</v>
      </c>
    </row>
    <row r="528" spans="1:18" ht="18.95" customHeight="1">
      <c r="A528" s="224"/>
      <c r="B528" s="139"/>
      <c r="C528" s="553" t="s">
        <v>1710</v>
      </c>
      <c r="D528" s="525"/>
      <c r="E528" s="267">
        <v>1</v>
      </c>
      <c r="F528" s="269" t="s">
        <v>402</v>
      </c>
      <c r="G528" s="267">
        <v>5000</v>
      </c>
      <c r="H528" s="269">
        <f t="shared" si="337"/>
        <v>4674.5402349999995</v>
      </c>
      <c r="I528" s="269">
        <f t="shared" ref="I528:I533" si="339">E528*H528</f>
        <v>4674.5402349999995</v>
      </c>
      <c r="J528" s="267">
        <v>500</v>
      </c>
      <c r="K528" s="267">
        <f t="shared" ref="K528:K533" si="340">J528*O528</f>
        <v>467.45402350000001</v>
      </c>
      <c r="L528" s="270">
        <f t="shared" ref="L528:L533" si="341">E528*K528</f>
        <v>467.45402350000001</v>
      </c>
      <c r="M528" s="284">
        <f t="shared" si="338"/>
        <v>5141.9942584999999</v>
      </c>
      <c r="N528" s="268"/>
      <c r="O528" s="1163">
        <v>0.93490804699999996</v>
      </c>
    </row>
    <row r="529" spans="1:16" ht="18.95" customHeight="1">
      <c r="A529" s="224"/>
      <c r="B529" s="139"/>
      <c r="C529" s="553" t="s">
        <v>1711</v>
      </c>
      <c r="D529" s="525"/>
      <c r="E529" s="267">
        <v>1</v>
      </c>
      <c r="F529" s="269" t="s">
        <v>402</v>
      </c>
      <c r="G529" s="267">
        <v>3000</v>
      </c>
      <c r="H529" s="269">
        <f t="shared" si="337"/>
        <v>2804.7241409999997</v>
      </c>
      <c r="I529" s="269">
        <f t="shared" si="339"/>
        <v>2804.7241409999997</v>
      </c>
      <c r="J529" s="267">
        <v>500</v>
      </c>
      <c r="K529" s="267">
        <f t="shared" si="340"/>
        <v>467.45402350000001</v>
      </c>
      <c r="L529" s="270">
        <f t="shared" si="341"/>
        <v>467.45402350000001</v>
      </c>
      <c r="M529" s="284">
        <f t="shared" si="338"/>
        <v>3272.1781644999996</v>
      </c>
      <c r="N529" s="268"/>
      <c r="O529" s="1163">
        <v>0.93490804699999996</v>
      </c>
    </row>
    <row r="530" spans="1:16" ht="18.95" customHeight="1">
      <c r="A530" s="224"/>
      <c r="B530" s="139"/>
      <c r="C530" s="553" t="s">
        <v>1712</v>
      </c>
      <c r="D530" s="525"/>
      <c r="E530" s="267">
        <v>1</v>
      </c>
      <c r="F530" s="269" t="s">
        <v>402</v>
      </c>
      <c r="G530" s="267">
        <v>202600</v>
      </c>
      <c r="H530" s="269">
        <f t="shared" si="337"/>
        <v>189412.3703222</v>
      </c>
      <c r="I530" s="269">
        <f t="shared" si="339"/>
        <v>189412.3703222</v>
      </c>
      <c r="J530" s="267">
        <v>1000</v>
      </c>
      <c r="K530" s="267">
        <f t="shared" si="340"/>
        <v>934.90804700000001</v>
      </c>
      <c r="L530" s="270">
        <f t="shared" si="341"/>
        <v>934.90804700000001</v>
      </c>
      <c r="M530" s="284">
        <f t="shared" si="338"/>
        <v>190347.27836920001</v>
      </c>
      <c r="N530" s="268"/>
      <c r="O530" s="1163">
        <v>0.93490804699999996</v>
      </c>
    </row>
    <row r="531" spans="1:16" ht="18.95" customHeight="1">
      <c r="A531" s="224"/>
      <c r="B531" s="139"/>
      <c r="C531" s="553" t="s">
        <v>1713</v>
      </c>
      <c r="D531" s="525"/>
      <c r="E531" s="267">
        <v>1</v>
      </c>
      <c r="F531" s="269" t="s">
        <v>402</v>
      </c>
      <c r="G531" s="267">
        <v>97500</v>
      </c>
      <c r="H531" s="269">
        <f t="shared" si="337"/>
        <v>91153.534582499997</v>
      </c>
      <c r="I531" s="269">
        <f t="shared" si="339"/>
        <v>91153.534582499997</v>
      </c>
      <c r="J531" s="267">
        <v>500</v>
      </c>
      <c r="K531" s="267">
        <f t="shared" si="340"/>
        <v>467.45402350000001</v>
      </c>
      <c r="L531" s="270">
        <f t="shared" si="341"/>
        <v>467.45402350000001</v>
      </c>
      <c r="M531" s="284">
        <f t="shared" si="338"/>
        <v>91620.988605999999</v>
      </c>
      <c r="N531" s="268"/>
      <c r="O531" s="1163">
        <v>0.93490804699999996</v>
      </c>
    </row>
    <row r="532" spans="1:16" ht="18.95" customHeight="1">
      <c r="A532" s="224"/>
      <c r="B532" s="139"/>
      <c r="C532" s="553" t="s">
        <v>1714</v>
      </c>
      <c r="D532" s="525"/>
      <c r="E532" s="267">
        <v>1</v>
      </c>
      <c r="F532" s="269" t="s">
        <v>402</v>
      </c>
      <c r="G532" s="267">
        <f>122000*0.95</f>
        <v>115900</v>
      </c>
      <c r="H532" s="269">
        <f t="shared" si="337"/>
        <v>108355.8426473</v>
      </c>
      <c r="I532" s="269">
        <f t="shared" si="339"/>
        <v>108355.8426473</v>
      </c>
      <c r="J532" s="267">
        <v>1000</v>
      </c>
      <c r="K532" s="267">
        <f t="shared" si="340"/>
        <v>934.90804700000001</v>
      </c>
      <c r="L532" s="270">
        <f t="shared" si="341"/>
        <v>934.90804700000001</v>
      </c>
      <c r="M532" s="284">
        <f t="shared" si="338"/>
        <v>109290.7506943</v>
      </c>
      <c r="N532" s="268"/>
      <c r="O532" s="1163">
        <v>0.93490804699999996</v>
      </c>
    </row>
    <row r="533" spans="1:16" ht="18.95" customHeight="1">
      <c r="A533" s="224"/>
      <c r="B533" s="139"/>
      <c r="C533" s="553" t="s">
        <v>1715</v>
      </c>
      <c r="D533" s="525"/>
      <c r="E533" s="267">
        <v>1</v>
      </c>
      <c r="F533" s="269" t="s">
        <v>402</v>
      </c>
      <c r="G533" s="267">
        <v>45000</v>
      </c>
      <c r="H533" s="269">
        <f t="shared" si="337"/>
        <v>42070.862114999996</v>
      </c>
      <c r="I533" s="269">
        <f t="shared" si="339"/>
        <v>42070.862114999996</v>
      </c>
      <c r="J533" s="267">
        <v>1000</v>
      </c>
      <c r="K533" s="267">
        <f t="shared" si="340"/>
        <v>934.90804700000001</v>
      </c>
      <c r="L533" s="270">
        <f t="shared" si="341"/>
        <v>934.90804700000001</v>
      </c>
      <c r="M533" s="284">
        <f t="shared" si="338"/>
        <v>43005.770161999993</v>
      </c>
      <c r="N533" s="268"/>
      <c r="O533" s="1163">
        <v>0.93490804699999996</v>
      </c>
    </row>
    <row r="534" spans="1:16" ht="18.95" customHeight="1">
      <c r="A534" s="224"/>
      <c r="B534" s="198">
        <v>16.3</v>
      </c>
      <c r="C534" s="524" t="s">
        <v>1653</v>
      </c>
      <c r="D534" s="525"/>
      <c r="E534" s="267"/>
      <c r="F534" s="269"/>
      <c r="G534" s="284"/>
      <c r="H534" s="284"/>
      <c r="I534" s="284"/>
      <c r="J534" s="284"/>
      <c r="K534" s="284"/>
      <c r="L534" s="284"/>
      <c r="M534" s="284"/>
      <c r="N534" s="268"/>
      <c r="O534" s="1163">
        <v>0.93490804699999996</v>
      </c>
    </row>
    <row r="535" spans="1:16" ht="18.95" customHeight="1">
      <c r="A535" s="224"/>
      <c r="B535" s="139"/>
      <c r="C535" s="524" t="s">
        <v>1716</v>
      </c>
      <c r="D535" s="525"/>
      <c r="E535" s="267">
        <v>200</v>
      </c>
      <c r="F535" s="269" t="s">
        <v>1079</v>
      </c>
      <c r="G535" s="284">
        <v>40</v>
      </c>
      <c r="H535" s="269">
        <f t="shared" ref="H535:H536" si="342">G535*O535</f>
        <v>37.396321880000002</v>
      </c>
      <c r="I535" s="269">
        <f t="shared" ref="I535" si="343">E535*H535</f>
        <v>7479.2643760000001</v>
      </c>
      <c r="J535" s="284">
        <v>30</v>
      </c>
      <c r="K535" s="267">
        <f t="shared" ref="K535:K536" si="344">J535*O535</f>
        <v>28.047241409999998</v>
      </c>
      <c r="L535" s="270">
        <f>E535*K535</f>
        <v>5609.4482819999994</v>
      </c>
      <c r="M535" s="284">
        <f>I535+L535</f>
        <v>13088.712658</v>
      </c>
      <c r="N535" s="268"/>
      <c r="O535" s="1163">
        <v>0.93490804699999996</v>
      </c>
    </row>
    <row r="536" spans="1:16" ht="18.95" customHeight="1">
      <c r="A536" s="224"/>
      <c r="B536" s="139"/>
      <c r="C536" s="524" t="s">
        <v>1654</v>
      </c>
      <c r="D536" s="525"/>
      <c r="E536" s="267">
        <v>1200</v>
      </c>
      <c r="F536" s="269" t="s">
        <v>1079</v>
      </c>
      <c r="G536" s="269">
        <v>16</v>
      </c>
      <c r="H536" s="269">
        <f t="shared" si="342"/>
        <v>14.958528751999999</v>
      </c>
      <c r="I536" s="269">
        <f>E536*H536</f>
        <v>17950.234502399999</v>
      </c>
      <c r="J536" s="267">
        <v>10</v>
      </c>
      <c r="K536" s="267">
        <f t="shared" si="344"/>
        <v>9.3490804700000005</v>
      </c>
      <c r="L536" s="270">
        <f>E536*K536</f>
        <v>11218.896564000001</v>
      </c>
      <c r="M536" s="267">
        <f>I536+L536</f>
        <v>29169.131066399998</v>
      </c>
      <c r="N536" s="268"/>
      <c r="O536" s="1163">
        <v>0.93490804699999996</v>
      </c>
    </row>
    <row r="537" spans="1:16" ht="18.95" customHeight="1">
      <c r="A537" s="224"/>
      <c r="B537" s="198">
        <v>16.399999999999999</v>
      </c>
      <c r="C537" s="510" t="s">
        <v>1323</v>
      </c>
      <c r="D537" s="511"/>
      <c r="E537" s="513"/>
      <c r="F537" s="269"/>
      <c r="G537" s="284"/>
      <c r="H537" s="284"/>
      <c r="I537" s="284"/>
      <c r="J537" s="284"/>
      <c r="K537" s="284"/>
      <c r="L537" s="284"/>
      <c r="M537" s="284"/>
      <c r="N537" s="268"/>
      <c r="O537" s="1163">
        <v>0.93490804699999996</v>
      </c>
    </row>
    <row r="538" spans="1:16" ht="18.95" customHeight="1">
      <c r="A538" s="224"/>
      <c r="B538" s="139"/>
      <c r="C538" s="520" t="s">
        <v>1324</v>
      </c>
      <c r="D538" s="521"/>
      <c r="E538" s="267">
        <v>1000</v>
      </c>
      <c r="F538" s="561" t="s">
        <v>1079</v>
      </c>
      <c r="G538" s="269">
        <f>ROUND(93.1/3,2)</f>
        <v>31.03</v>
      </c>
      <c r="H538" s="269">
        <f t="shared" ref="H538:H539" si="345">G538*O538</f>
        <v>29.010196698409999</v>
      </c>
      <c r="I538" s="269">
        <f>E538*H538</f>
        <v>29010.19669841</v>
      </c>
      <c r="J538" s="284">
        <v>22</v>
      </c>
      <c r="K538" s="267">
        <f t="shared" ref="K538" si="346">J538*O538</f>
        <v>20.567977033999998</v>
      </c>
      <c r="L538" s="270">
        <f>E538*K538</f>
        <v>20567.977034</v>
      </c>
      <c r="M538" s="284">
        <f>I538+L538</f>
        <v>49578.173732409996</v>
      </c>
      <c r="N538" s="268"/>
      <c r="O538" s="1163">
        <v>0.93490804699999996</v>
      </c>
      <c r="P538" s="293" t="s">
        <v>1300</v>
      </c>
    </row>
    <row r="539" spans="1:16" ht="18.95" customHeight="1">
      <c r="A539" s="224"/>
      <c r="B539" s="198">
        <v>16.5</v>
      </c>
      <c r="C539" s="524" t="s">
        <v>1655</v>
      </c>
      <c r="D539" s="525"/>
      <c r="E539" s="267">
        <v>1</v>
      </c>
      <c r="F539" s="269" t="s">
        <v>1321</v>
      </c>
      <c r="G539" s="284">
        <v>28230</v>
      </c>
      <c r="H539" s="269">
        <f t="shared" si="345"/>
        <v>26392.454166809999</v>
      </c>
      <c r="I539" s="269">
        <f>E539*H539</f>
        <v>26392.454166809999</v>
      </c>
      <c r="J539" s="284">
        <v>8469</v>
      </c>
      <c r="K539" s="267">
        <f>J539*O539</f>
        <v>7917.7362500429999</v>
      </c>
      <c r="L539" s="270">
        <f>E539*K539</f>
        <v>7917.7362500429999</v>
      </c>
      <c r="M539" s="284">
        <f>I539+L539</f>
        <v>34310.190416853002</v>
      </c>
      <c r="N539" s="268"/>
      <c r="O539" s="1163">
        <v>0.93490804699999996</v>
      </c>
    </row>
    <row r="540" spans="1:16" ht="18.95" customHeight="1">
      <c r="A540" s="224"/>
      <c r="B540" s="1345" t="s">
        <v>1717</v>
      </c>
      <c r="C540" s="1346"/>
      <c r="D540" s="1356"/>
      <c r="E540" s="271"/>
      <c r="F540" s="339"/>
      <c r="G540" s="562"/>
      <c r="H540" s="562"/>
      <c r="I540" s="562">
        <f>SUM(I519:I539)</f>
        <v>1153339.9631010799</v>
      </c>
      <c r="J540" s="562"/>
      <c r="K540" s="562"/>
      <c r="L540" s="562">
        <f>SUM(L519:L539)</f>
        <v>80980.800123092995</v>
      </c>
      <c r="M540" s="562">
        <f>SUM(M519:M539)</f>
        <v>1234320.7632241729</v>
      </c>
      <c r="N540" s="270"/>
      <c r="O540" s="1163">
        <v>0.93490804699999996</v>
      </c>
    </row>
    <row r="541" spans="1:16" ht="18.95" customHeight="1">
      <c r="A541" s="224"/>
      <c r="B541" s="422"/>
      <c r="C541" s="451"/>
      <c r="D541" s="516"/>
      <c r="E541" s="271"/>
      <c r="F541" s="339"/>
      <c r="G541" s="562"/>
      <c r="H541" s="562"/>
      <c r="I541" s="562"/>
      <c r="J541" s="562"/>
      <c r="K541" s="562"/>
      <c r="L541" s="562"/>
      <c r="M541" s="562"/>
      <c r="N541" s="281"/>
      <c r="O541" s="1163">
        <v>0.93490804699999996</v>
      </c>
    </row>
    <row r="542" spans="1:16" ht="18.95" customHeight="1">
      <c r="A542" s="336">
        <v>17</v>
      </c>
      <c r="B542" s="519" t="s">
        <v>1195</v>
      </c>
      <c r="C542" s="508"/>
      <c r="D542" s="509"/>
      <c r="E542" s="271"/>
      <c r="F542" s="339"/>
      <c r="G542" s="562"/>
      <c r="H542" s="562"/>
      <c r="I542" s="562"/>
      <c r="J542" s="562"/>
      <c r="K542" s="562"/>
      <c r="L542" s="562"/>
      <c r="M542" s="562"/>
      <c r="N542" s="281"/>
      <c r="O542" s="1163">
        <v>0.93490804699999996</v>
      </c>
    </row>
    <row r="543" spans="1:16" ht="18.95" customHeight="1">
      <c r="A543" s="340"/>
      <c r="B543" s="136">
        <v>17.100000000000001</v>
      </c>
      <c r="C543" s="520" t="s">
        <v>1718</v>
      </c>
      <c r="D543" s="556"/>
      <c r="E543" s="271"/>
      <c r="F543" s="281"/>
      <c r="G543" s="271"/>
      <c r="H543" s="271"/>
      <c r="I543" s="271"/>
      <c r="J543" s="339"/>
      <c r="K543" s="339"/>
      <c r="L543" s="271"/>
      <c r="M543" s="281"/>
      <c r="N543" s="281"/>
      <c r="O543" s="1163">
        <v>0.93490804699999996</v>
      </c>
    </row>
    <row r="544" spans="1:16" ht="18.95" customHeight="1">
      <c r="A544" s="340"/>
      <c r="B544" s="136"/>
      <c r="C544" s="563" t="s">
        <v>1719</v>
      </c>
      <c r="D544" s="564"/>
      <c r="E544" s="565">
        <v>30</v>
      </c>
      <c r="F544" s="561" t="s">
        <v>1079</v>
      </c>
      <c r="G544" s="269">
        <v>4500</v>
      </c>
      <c r="H544" s="269">
        <f t="shared" ref="H544:H545" si="347">G544*O544</f>
        <v>4207.0862115</v>
      </c>
      <c r="I544" s="269">
        <f t="shared" ref="I544:I545" si="348">E544*H544</f>
        <v>126212.586345</v>
      </c>
      <c r="J544" s="267">
        <v>1200</v>
      </c>
      <c r="K544" s="267">
        <f t="shared" ref="K544:K545" si="349">J544*O544</f>
        <v>1121.8896563999999</v>
      </c>
      <c r="L544" s="270">
        <f t="shared" ref="L544:L545" si="350">E544*K544</f>
        <v>33656.689692</v>
      </c>
      <c r="M544" s="267">
        <f>I544+L544</f>
        <v>159869.276037</v>
      </c>
      <c r="N544" s="268"/>
      <c r="O544" s="1163">
        <v>0.93490804699999996</v>
      </c>
    </row>
    <row r="545" spans="1:15" ht="18.95" customHeight="1">
      <c r="A545" s="224"/>
      <c r="B545" s="139"/>
      <c r="C545" s="563" t="s">
        <v>1720</v>
      </c>
      <c r="D545" s="564"/>
      <c r="E545" s="565">
        <v>2</v>
      </c>
      <c r="F545" s="269" t="s">
        <v>402</v>
      </c>
      <c r="G545" s="269">
        <v>150000</v>
      </c>
      <c r="H545" s="269">
        <f t="shared" si="347"/>
        <v>140236.20705</v>
      </c>
      <c r="I545" s="269">
        <f t="shared" si="348"/>
        <v>280472.41409999999</v>
      </c>
      <c r="J545" s="267">
        <v>5000</v>
      </c>
      <c r="K545" s="267">
        <f t="shared" si="349"/>
        <v>4674.5402349999995</v>
      </c>
      <c r="L545" s="270">
        <f t="shared" si="350"/>
        <v>9349.080469999999</v>
      </c>
      <c r="M545" s="267">
        <f>I545+L545</f>
        <v>289821.49456999998</v>
      </c>
      <c r="N545" s="268"/>
      <c r="O545" s="1163">
        <v>0.93490804699999996</v>
      </c>
    </row>
    <row r="546" spans="1:15" ht="18.95" customHeight="1">
      <c r="A546" s="224"/>
      <c r="B546" s="198">
        <v>17.2</v>
      </c>
      <c r="C546" s="553" t="s">
        <v>1721</v>
      </c>
      <c r="D546" s="525"/>
      <c r="E546" s="267"/>
      <c r="F546" s="269" t="s">
        <v>402</v>
      </c>
      <c r="G546" s="284"/>
      <c r="H546" s="284"/>
      <c r="I546" s="284"/>
      <c r="J546" s="284"/>
      <c r="K546" s="284"/>
      <c r="L546" s="284"/>
      <c r="M546" s="284"/>
      <c r="N546" s="268"/>
      <c r="O546" s="1163">
        <v>0.93490804699999996</v>
      </c>
    </row>
    <row r="547" spans="1:15" ht="18.95" customHeight="1">
      <c r="A547" s="224"/>
      <c r="B547" s="198">
        <v>17.3</v>
      </c>
      <c r="C547" s="553" t="s">
        <v>1722</v>
      </c>
      <c r="D547" s="525"/>
      <c r="E547" s="267"/>
      <c r="F547" s="269" t="s">
        <v>402</v>
      </c>
      <c r="G547" s="284"/>
      <c r="H547" s="284"/>
      <c r="I547" s="284"/>
      <c r="J547" s="284"/>
      <c r="K547" s="284"/>
      <c r="L547" s="284"/>
      <c r="M547" s="284"/>
      <c r="N547" s="268"/>
      <c r="O547" s="1163">
        <v>0.93490804699999996</v>
      </c>
    </row>
    <row r="548" spans="1:15" ht="18.95" customHeight="1">
      <c r="A548" s="224"/>
      <c r="B548" s="198">
        <v>17.399999999999999</v>
      </c>
      <c r="C548" s="553" t="s">
        <v>1723</v>
      </c>
      <c r="D548" s="525"/>
      <c r="E548" s="267">
        <v>291</v>
      </c>
      <c r="F548" s="269" t="s">
        <v>402</v>
      </c>
      <c r="G548" s="284">
        <v>134</v>
      </c>
      <c r="H548" s="269">
        <f t="shared" ref="H548" si="351">G548*O548</f>
        <v>125.277678298</v>
      </c>
      <c r="I548" s="269">
        <f t="shared" ref="I548" si="352">E548*H548</f>
        <v>36455.804384718002</v>
      </c>
      <c r="J548" s="284">
        <v>110</v>
      </c>
      <c r="K548" s="267">
        <f t="shared" ref="K548" si="353">J548*O548</f>
        <v>102.83988517</v>
      </c>
      <c r="L548" s="270">
        <f t="shared" ref="L548" si="354">E548*K548</f>
        <v>29926.406584470002</v>
      </c>
      <c r="M548" s="284">
        <f>I548+L548</f>
        <v>66382.210969188003</v>
      </c>
      <c r="N548" s="268"/>
      <c r="O548" s="1163">
        <v>0.93490804699999996</v>
      </c>
    </row>
    <row r="549" spans="1:15" ht="18.95" customHeight="1">
      <c r="A549" s="224"/>
      <c r="B549" s="198">
        <v>17.5</v>
      </c>
      <c r="C549" s="553" t="s">
        <v>1724</v>
      </c>
      <c r="D549" s="525"/>
      <c r="E549" s="267"/>
      <c r="F549" s="269"/>
      <c r="G549" s="284"/>
      <c r="H549" s="269"/>
      <c r="I549" s="269"/>
      <c r="J549" s="284"/>
      <c r="K549" s="267"/>
      <c r="L549" s="270"/>
      <c r="M549" s="284"/>
      <c r="N549" s="268"/>
      <c r="O549" s="1163">
        <v>0.93490804699999996</v>
      </c>
    </row>
    <row r="550" spans="1:15" ht="18.95" customHeight="1">
      <c r="A550" s="224"/>
      <c r="B550" s="198"/>
      <c r="C550" s="524" t="s">
        <v>1709</v>
      </c>
      <c r="D550" s="525"/>
      <c r="E550" s="267">
        <v>1</v>
      </c>
      <c r="F550" s="269" t="s">
        <v>402</v>
      </c>
      <c r="G550" s="284">
        <v>33000</v>
      </c>
      <c r="H550" s="269">
        <f t="shared" ref="H550:H553" si="355">G550*O550</f>
        <v>30851.965550999998</v>
      </c>
      <c r="I550" s="269">
        <f t="shared" ref="I550:I553" si="356">E550*H550</f>
        <v>30851.965550999998</v>
      </c>
      <c r="J550" s="284">
        <v>1000</v>
      </c>
      <c r="K550" s="267">
        <f t="shared" ref="K550:K582" si="357">J550*O550</f>
        <v>934.90804700000001</v>
      </c>
      <c r="L550" s="270">
        <f t="shared" ref="L550:L582" si="358">E550*K550</f>
        <v>934.90804700000001</v>
      </c>
      <c r="M550" s="284">
        <f>I550+L550</f>
        <v>31786.873597999998</v>
      </c>
      <c r="N550" s="268"/>
      <c r="O550" s="1163">
        <v>0.93490804699999996</v>
      </c>
    </row>
    <row r="551" spans="1:15" ht="18.95" customHeight="1">
      <c r="A551" s="224"/>
      <c r="B551" s="198"/>
      <c r="C551" s="553" t="s">
        <v>1710</v>
      </c>
      <c r="D551" s="525"/>
      <c r="E551" s="267">
        <v>1</v>
      </c>
      <c r="F551" s="269" t="s">
        <v>402</v>
      </c>
      <c r="G551" s="284">
        <v>4200</v>
      </c>
      <c r="H551" s="269">
        <f t="shared" si="355"/>
        <v>3926.6137973999998</v>
      </c>
      <c r="I551" s="269">
        <f t="shared" si="356"/>
        <v>3926.6137973999998</v>
      </c>
      <c r="J551" s="284">
        <v>500</v>
      </c>
      <c r="K551" s="267">
        <f t="shared" si="357"/>
        <v>467.45402350000001</v>
      </c>
      <c r="L551" s="270">
        <f t="shared" si="358"/>
        <v>467.45402350000001</v>
      </c>
      <c r="M551" s="284">
        <f>I551+L551</f>
        <v>4394.0678208999998</v>
      </c>
      <c r="N551" s="268"/>
      <c r="O551" s="1163">
        <v>0.93490804699999996</v>
      </c>
    </row>
    <row r="552" spans="1:15" ht="18.95" customHeight="1">
      <c r="A552" s="224"/>
      <c r="B552" s="198"/>
      <c r="C552" s="553" t="s">
        <v>1725</v>
      </c>
      <c r="D552" s="525"/>
      <c r="E552" s="267">
        <v>4</v>
      </c>
      <c r="F552" s="269" t="s">
        <v>402</v>
      </c>
      <c r="G552" s="284">
        <v>3000</v>
      </c>
      <c r="H552" s="269">
        <f t="shared" si="355"/>
        <v>2804.7241409999997</v>
      </c>
      <c r="I552" s="269">
        <f t="shared" si="356"/>
        <v>11218.896563999999</v>
      </c>
      <c r="J552" s="284">
        <v>500</v>
      </c>
      <c r="K552" s="267">
        <f t="shared" si="357"/>
        <v>467.45402350000001</v>
      </c>
      <c r="L552" s="270">
        <f t="shared" si="358"/>
        <v>1869.816094</v>
      </c>
      <c r="M552" s="284">
        <f>I552+L552</f>
        <v>13088.712657999999</v>
      </c>
      <c r="N552" s="292"/>
      <c r="O552" s="1163">
        <v>0.93490804699999996</v>
      </c>
    </row>
    <row r="553" spans="1:15" ht="18.95" customHeight="1">
      <c r="A553" s="224"/>
      <c r="B553" s="198"/>
      <c r="C553" s="553" t="s">
        <v>1726</v>
      </c>
      <c r="D553" s="525"/>
      <c r="E553" s="267">
        <v>1</v>
      </c>
      <c r="F553" s="269" t="s">
        <v>402</v>
      </c>
      <c r="G553" s="284">
        <v>22500</v>
      </c>
      <c r="H553" s="269">
        <f t="shared" si="355"/>
        <v>21035.431057499998</v>
      </c>
      <c r="I553" s="269">
        <f t="shared" si="356"/>
        <v>21035.431057499998</v>
      </c>
      <c r="J553" s="284">
        <v>500</v>
      </c>
      <c r="K553" s="267">
        <f t="shared" si="357"/>
        <v>467.45402350000001</v>
      </c>
      <c r="L553" s="270">
        <f t="shared" si="358"/>
        <v>467.45402350000001</v>
      </c>
      <c r="M553" s="284">
        <f>I553+L553</f>
        <v>21502.885080999997</v>
      </c>
      <c r="N553" s="268"/>
      <c r="O553" s="1163">
        <v>0.93490804699999996</v>
      </c>
    </row>
    <row r="554" spans="1:15" ht="18.95" customHeight="1">
      <c r="A554" s="224"/>
      <c r="B554" s="198">
        <v>17.600000000000001</v>
      </c>
      <c r="C554" s="553" t="s">
        <v>1727</v>
      </c>
      <c r="D554" s="525"/>
      <c r="E554" s="267"/>
      <c r="F554" s="269"/>
      <c r="G554" s="284"/>
      <c r="H554" s="284"/>
      <c r="I554" s="284"/>
      <c r="J554" s="284"/>
      <c r="K554" s="267"/>
      <c r="L554" s="270"/>
      <c r="M554" s="284"/>
      <c r="N554" s="268"/>
      <c r="O554" s="1163">
        <v>0.93490804699999996</v>
      </c>
    </row>
    <row r="555" spans="1:15" ht="18.95" customHeight="1">
      <c r="A555" s="224"/>
      <c r="B555" s="198"/>
      <c r="C555" s="524" t="s">
        <v>1709</v>
      </c>
      <c r="D555" s="525"/>
      <c r="E555" s="267">
        <v>1</v>
      </c>
      <c r="F555" s="269" t="s">
        <v>402</v>
      </c>
      <c r="G555" s="284">
        <v>33000</v>
      </c>
      <c r="H555" s="269">
        <f t="shared" ref="H555:H558" si="359">G555*O555</f>
        <v>30851.965550999998</v>
      </c>
      <c r="I555" s="269">
        <f t="shared" ref="I555:I558" si="360">E555*H555</f>
        <v>30851.965550999998</v>
      </c>
      <c r="J555" s="284">
        <v>1000</v>
      </c>
      <c r="K555" s="267">
        <f t="shared" si="357"/>
        <v>934.90804700000001</v>
      </c>
      <c r="L555" s="270">
        <f t="shared" si="358"/>
        <v>934.90804700000001</v>
      </c>
      <c r="M555" s="284">
        <f>I555+L555</f>
        <v>31786.873597999998</v>
      </c>
      <c r="N555" s="268"/>
      <c r="O555" s="1163">
        <v>0.93490804699999996</v>
      </c>
    </row>
    <row r="556" spans="1:15" ht="18.95" customHeight="1">
      <c r="A556" s="224"/>
      <c r="B556" s="198"/>
      <c r="C556" s="553" t="s">
        <v>1710</v>
      </c>
      <c r="D556" s="525"/>
      <c r="E556" s="267">
        <v>1</v>
      </c>
      <c r="F556" s="269" t="s">
        <v>402</v>
      </c>
      <c r="G556" s="284">
        <v>4200</v>
      </c>
      <c r="H556" s="269">
        <f t="shared" si="359"/>
        <v>3926.6137973999998</v>
      </c>
      <c r="I556" s="269">
        <f t="shared" si="360"/>
        <v>3926.6137973999998</v>
      </c>
      <c r="J556" s="284">
        <v>500</v>
      </c>
      <c r="K556" s="267">
        <f t="shared" si="357"/>
        <v>467.45402350000001</v>
      </c>
      <c r="L556" s="270">
        <f t="shared" si="358"/>
        <v>467.45402350000001</v>
      </c>
      <c r="M556" s="284">
        <f>I556+L556</f>
        <v>4394.0678208999998</v>
      </c>
      <c r="N556" s="268"/>
      <c r="O556" s="1163">
        <v>0.93490804699999996</v>
      </c>
    </row>
    <row r="557" spans="1:15" ht="18.95" customHeight="1">
      <c r="A557" s="224"/>
      <c r="B557" s="198"/>
      <c r="C557" s="553" t="s">
        <v>1725</v>
      </c>
      <c r="D557" s="525"/>
      <c r="E557" s="267">
        <v>6</v>
      </c>
      <c r="F557" s="269" t="s">
        <v>402</v>
      </c>
      <c r="G557" s="284">
        <v>3000</v>
      </c>
      <c r="H557" s="269">
        <f t="shared" si="359"/>
        <v>2804.7241409999997</v>
      </c>
      <c r="I557" s="269">
        <f t="shared" si="360"/>
        <v>16828.344846</v>
      </c>
      <c r="J557" s="284">
        <v>500</v>
      </c>
      <c r="K557" s="267">
        <f t="shared" si="357"/>
        <v>467.45402350000001</v>
      </c>
      <c r="L557" s="270">
        <f t="shared" si="358"/>
        <v>2804.7241410000001</v>
      </c>
      <c r="M557" s="284">
        <f>I557+L557</f>
        <v>19633.068986999999</v>
      </c>
      <c r="N557" s="292"/>
      <c r="O557" s="1163">
        <v>0.93490804699999996</v>
      </c>
    </row>
    <row r="558" spans="1:15" ht="18.95" customHeight="1">
      <c r="A558" s="224"/>
      <c r="B558" s="198"/>
      <c r="C558" s="553" t="s">
        <v>1726</v>
      </c>
      <c r="D558" s="525"/>
      <c r="E558" s="267">
        <v>1</v>
      </c>
      <c r="F558" s="269" t="s">
        <v>402</v>
      </c>
      <c r="G558" s="284">
        <v>22500</v>
      </c>
      <c r="H558" s="269">
        <f t="shared" si="359"/>
        <v>21035.431057499998</v>
      </c>
      <c r="I558" s="269">
        <f t="shared" si="360"/>
        <v>21035.431057499998</v>
      </c>
      <c r="J558" s="284">
        <v>500</v>
      </c>
      <c r="K558" s="267">
        <f t="shared" si="357"/>
        <v>467.45402350000001</v>
      </c>
      <c r="L558" s="270">
        <f t="shared" si="358"/>
        <v>467.45402350000001</v>
      </c>
      <c r="M558" s="284">
        <f>I558+L558</f>
        <v>21502.885080999997</v>
      </c>
      <c r="N558" s="268"/>
      <c r="O558" s="1163">
        <v>0.93490804699999996</v>
      </c>
    </row>
    <row r="559" spans="1:15" ht="18.95" customHeight="1">
      <c r="A559" s="224"/>
      <c r="B559" s="198">
        <v>17.7</v>
      </c>
      <c r="C559" s="553" t="s">
        <v>1728</v>
      </c>
      <c r="D559" s="525"/>
      <c r="E559" s="267"/>
      <c r="F559" s="269"/>
      <c r="G559" s="284"/>
      <c r="H559" s="284"/>
      <c r="I559" s="284"/>
      <c r="J559" s="284"/>
      <c r="K559" s="267"/>
      <c r="L559" s="270"/>
      <c r="M559" s="284"/>
      <c r="N559" s="268"/>
      <c r="O559" s="1163">
        <v>0.93490804699999996</v>
      </c>
    </row>
    <row r="560" spans="1:15" ht="18.95" customHeight="1">
      <c r="A560" s="224"/>
      <c r="B560" s="198"/>
      <c r="C560" s="524" t="s">
        <v>1709</v>
      </c>
      <c r="D560" s="525"/>
      <c r="E560" s="267">
        <v>1</v>
      </c>
      <c r="F560" s="269" t="s">
        <v>402</v>
      </c>
      <c r="G560" s="284">
        <v>33000</v>
      </c>
      <c r="H560" s="269">
        <f t="shared" ref="H560:H563" si="361">G560*O560</f>
        <v>30851.965550999998</v>
      </c>
      <c r="I560" s="269">
        <f t="shared" ref="I560:I563" si="362">E560*H560</f>
        <v>30851.965550999998</v>
      </c>
      <c r="J560" s="284">
        <v>1000</v>
      </c>
      <c r="K560" s="267">
        <f t="shared" si="357"/>
        <v>934.90804700000001</v>
      </c>
      <c r="L560" s="270">
        <f t="shared" si="358"/>
        <v>934.90804700000001</v>
      </c>
      <c r="M560" s="284">
        <f>I560+L560</f>
        <v>31786.873597999998</v>
      </c>
      <c r="N560" s="268"/>
      <c r="O560" s="1163">
        <v>0.93490804699999996</v>
      </c>
    </row>
    <row r="561" spans="1:16" ht="18.95" customHeight="1">
      <c r="A561" s="224"/>
      <c r="B561" s="198"/>
      <c r="C561" s="553" t="s">
        <v>1710</v>
      </c>
      <c r="D561" s="525"/>
      <c r="E561" s="267">
        <v>1</v>
      </c>
      <c r="F561" s="269" t="s">
        <v>402</v>
      </c>
      <c r="G561" s="284">
        <v>4200</v>
      </c>
      <c r="H561" s="269">
        <f t="shared" si="361"/>
        <v>3926.6137973999998</v>
      </c>
      <c r="I561" s="269">
        <f t="shared" si="362"/>
        <v>3926.6137973999998</v>
      </c>
      <c r="J561" s="284">
        <v>500</v>
      </c>
      <c r="K561" s="267">
        <f t="shared" si="357"/>
        <v>467.45402350000001</v>
      </c>
      <c r="L561" s="270">
        <f t="shared" si="358"/>
        <v>467.45402350000001</v>
      </c>
      <c r="M561" s="284">
        <f>I561+L561</f>
        <v>4394.0678208999998</v>
      </c>
      <c r="N561" s="268"/>
      <c r="O561" s="1163">
        <v>0.93490804699999996</v>
      </c>
    </row>
    <row r="562" spans="1:16" ht="18.95" customHeight="1">
      <c r="A562" s="224"/>
      <c r="B562" s="198"/>
      <c r="C562" s="553" t="s">
        <v>1725</v>
      </c>
      <c r="D562" s="525"/>
      <c r="E562" s="267">
        <v>5</v>
      </c>
      <c r="F562" s="269" t="s">
        <v>402</v>
      </c>
      <c r="G562" s="284">
        <v>3000</v>
      </c>
      <c r="H562" s="269">
        <f t="shared" si="361"/>
        <v>2804.7241409999997</v>
      </c>
      <c r="I562" s="269">
        <f t="shared" si="362"/>
        <v>14023.620704999998</v>
      </c>
      <c r="J562" s="284">
        <v>500</v>
      </c>
      <c r="K562" s="267">
        <f t="shared" si="357"/>
        <v>467.45402350000001</v>
      </c>
      <c r="L562" s="270">
        <f t="shared" si="358"/>
        <v>2337.2701175000002</v>
      </c>
      <c r="M562" s="284">
        <f>I562+L562</f>
        <v>16360.890822499998</v>
      </c>
      <c r="N562" s="292"/>
      <c r="O562" s="1163">
        <v>0.93490804699999996</v>
      </c>
    </row>
    <row r="563" spans="1:16" ht="18.95" customHeight="1">
      <c r="A563" s="224"/>
      <c r="B563" s="198"/>
      <c r="C563" s="553" t="s">
        <v>1726</v>
      </c>
      <c r="D563" s="525"/>
      <c r="E563" s="267">
        <v>1</v>
      </c>
      <c r="F563" s="269" t="s">
        <v>402</v>
      </c>
      <c r="G563" s="284">
        <v>22500</v>
      </c>
      <c r="H563" s="269">
        <f t="shared" si="361"/>
        <v>21035.431057499998</v>
      </c>
      <c r="I563" s="269">
        <f t="shared" si="362"/>
        <v>21035.431057499998</v>
      </c>
      <c r="J563" s="284">
        <v>500</v>
      </c>
      <c r="K563" s="267">
        <f t="shared" si="357"/>
        <v>467.45402350000001</v>
      </c>
      <c r="L563" s="270">
        <f t="shared" si="358"/>
        <v>467.45402350000001</v>
      </c>
      <c r="M563" s="284">
        <f>I563+L563</f>
        <v>21502.885080999997</v>
      </c>
      <c r="N563" s="268"/>
      <c r="O563" s="1163">
        <v>0.93490804699999996</v>
      </c>
    </row>
    <row r="564" spans="1:16" ht="18.95" customHeight="1">
      <c r="A564" s="224"/>
      <c r="B564" s="198">
        <v>17.8</v>
      </c>
      <c r="C564" s="553" t="s">
        <v>1729</v>
      </c>
      <c r="D564" s="525"/>
      <c r="E564" s="267"/>
      <c r="F564" s="269"/>
      <c r="G564" s="284"/>
      <c r="H564" s="284"/>
      <c r="I564" s="284"/>
      <c r="J564" s="284"/>
      <c r="K564" s="267"/>
      <c r="L564" s="270"/>
      <c r="M564" s="284"/>
      <c r="N564" s="268"/>
      <c r="O564" s="1163">
        <v>0.93490804699999996</v>
      </c>
    </row>
    <row r="565" spans="1:16" ht="18.95" customHeight="1">
      <c r="A565" s="224"/>
      <c r="B565" s="198"/>
      <c r="C565" s="524" t="s">
        <v>1709</v>
      </c>
      <c r="D565" s="525"/>
      <c r="E565" s="267">
        <v>1</v>
      </c>
      <c r="F565" s="269" t="s">
        <v>402</v>
      </c>
      <c r="G565" s="284">
        <v>33000</v>
      </c>
      <c r="H565" s="269">
        <f t="shared" ref="H565:H568" si="363">G565*O565</f>
        <v>30851.965550999998</v>
      </c>
      <c r="I565" s="269">
        <f t="shared" ref="I565:I568" si="364">E565*H565</f>
        <v>30851.965550999998</v>
      </c>
      <c r="J565" s="284">
        <v>1000</v>
      </c>
      <c r="K565" s="267">
        <f t="shared" si="357"/>
        <v>934.90804700000001</v>
      </c>
      <c r="L565" s="270">
        <f t="shared" si="358"/>
        <v>934.90804700000001</v>
      </c>
      <c r="M565" s="284">
        <f>I565+L565</f>
        <v>31786.873597999998</v>
      </c>
      <c r="N565" s="268"/>
      <c r="O565" s="1163">
        <v>0.93490804699999996</v>
      </c>
    </row>
    <row r="566" spans="1:16" ht="18.95" customHeight="1">
      <c r="A566" s="224"/>
      <c r="B566" s="198">
        <v>17.899999999999999</v>
      </c>
      <c r="C566" s="553" t="s">
        <v>1730</v>
      </c>
      <c r="D566" s="525"/>
      <c r="E566" s="267"/>
      <c r="F566" s="269"/>
      <c r="G566" s="284"/>
      <c r="H566" s="269"/>
      <c r="I566" s="269"/>
      <c r="J566" s="284"/>
      <c r="K566" s="267"/>
      <c r="L566" s="270"/>
      <c r="M566" s="284"/>
      <c r="N566" s="268"/>
      <c r="O566" s="1163">
        <v>0.93490804699999996</v>
      </c>
    </row>
    <row r="567" spans="1:16" ht="18.95" customHeight="1">
      <c r="A567" s="224"/>
      <c r="B567" s="198"/>
      <c r="C567" s="524" t="s">
        <v>1709</v>
      </c>
      <c r="D567" s="525"/>
      <c r="E567" s="267">
        <v>1</v>
      </c>
      <c r="F567" s="269" t="s">
        <v>402</v>
      </c>
      <c r="G567" s="284">
        <v>33000</v>
      </c>
      <c r="H567" s="269">
        <f t="shared" si="363"/>
        <v>30851.965550999998</v>
      </c>
      <c r="I567" s="269">
        <f t="shared" si="364"/>
        <v>30851.965550999998</v>
      </c>
      <c r="J567" s="284">
        <v>1000</v>
      </c>
      <c r="K567" s="267">
        <f t="shared" si="357"/>
        <v>934.90804700000001</v>
      </c>
      <c r="L567" s="270">
        <f t="shared" si="358"/>
        <v>934.90804700000001</v>
      </c>
      <c r="M567" s="284">
        <f>I567+L567</f>
        <v>31786.873597999998</v>
      </c>
      <c r="N567" s="268"/>
      <c r="O567" s="1163">
        <v>0.93490804699999996</v>
      </c>
    </row>
    <row r="568" spans="1:16" ht="18.95" customHeight="1">
      <c r="A568" s="224"/>
      <c r="B568" s="139">
        <v>17.100000000000001</v>
      </c>
      <c r="C568" s="524" t="s">
        <v>1731</v>
      </c>
      <c r="D568" s="525"/>
      <c r="E568" s="267">
        <v>291</v>
      </c>
      <c r="F568" s="269" t="s">
        <v>402</v>
      </c>
      <c r="G568" s="284">
        <v>125</v>
      </c>
      <c r="H568" s="269">
        <f t="shared" si="363"/>
        <v>116.863505875</v>
      </c>
      <c r="I568" s="269">
        <f t="shared" si="364"/>
        <v>34007.280209625002</v>
      </c>
      <c r="J568" s="284">
        <v>12</v>
      </c>
      <c r="K568" s="267">
        <f t="shared" si="357"/>
        <v>11.218896564</v>
      </c>
      <c r="L568" s="270">
        <f t="shared" si="358"/>
        <v>3264.6989001239999</v>
      </c>
      <c r="M568" s="284">
        <f>I568+L568</f>
        <v>37271.979109749002</v>
      </c>
      <c r="N568" s="268"/>
      <c r="O568" s="1163">
        <v>0.93490804699999996</v>
      </c>
    </row>
    <row r="569" spans="1:16" ht="18.95" customHeight="1">
      <c r="A569" s="224"/>
      <c r="B569" s="139">
        <v>17.11</v>
      </c>
      <c r="C569" s="524" t="s">
        <v>1732</v>
      </c>
      <c r="D569" s="525"/>
      <c r="E569" s="267">
        <v>6</v>
      </c>
      <c r="F569" s="269" t="s">
        <v>402</v>
      </c>
      <c r="G569" s="284">
        <v>1000</v>
      </c>
      <c r="H569" s="269">
        <f t="shared" ref="H569:H571" si="365">G569*O569</f>
        <v>934.90804700000001</v>
      </c>
      <c r="I569" s="269">
        <f t="shared" ref="I569:I571" si="366">E569*H569</f>
        <v>5609.4482820000003</v>
      </c>
      <c r="J569" s="284">
        <v>50</v>
      </c>
      <c r="K569" s="267">
        <f t="shared" si="357"/>
        <v>46.745402349999999</v>
      </c>
      <c r="L569" s="270">
        <f t="shared" si="358"/>
        <v>280.47241409999998</v>
      </c>
      <c r="M569" s="284">
        <f>I569+L569</f>
        <v>5889.9206961</v>
      </c>
      <c r="N569" s="268"/>
      <c r="O569" s="1163">
        <v>0.93490804699999996</v>
      </c>
    </row>
    <row r="570" spans="1:16" ht="18.95" customHeight="1">
      <c r="A570" s="224"/>
      <c r="B570" s="139">
        <v>17.12</v>
      </c>
      <c r="C570" s="524" t="s">
        <v>1733</v>
      </c>
      <c r="D570" s="525"/>
      <c r="E570" s="267">
        <v>2</v>
      </c>
      <c r="F570" s="269" t="s">
        <v>402</v>
      </c>
      <c r="G570" s="284">
        <v>508</v>
      </c>
      <c r="H570" s="269">
        <f t="shared" si="365"/>
        <v>474.93328787600001</v>
      </c>
      <c r="I570" s="269">
        <f t="shared" si="366"/>
        <v>949.86657575200002</v>
      </c>
      <c r="J570" s="284">
        <v>50</v>
      </c>
      <c r="K570" s="267">
        <f t="shared" si="357"/>
        <v>46.745402349999999</v>
      </c>
      <c r="L570" s="270">
        <f t="shared" si="358"/>
        <v>93.490804699999998</v>
      </c>
      <c r="M570" s="284">
        <f>I570+L570</f>
        <v>1043.3573804519999</v>
      </c>
      <c r="N570" s="268"/>
      <c r="O570" s="1163">
        <v>0.93490804699999996</v>
      </c>
    </row>
    <row r="571" spans="1:16" ht="18.95" customHeight="1">
      <c r="A571" s="224"/>
      <c r="B571" s="139">
        <v>17.13</v>
      </c>
      <c r="C571" s="524" t="s">
        <v>1734</v>
      </c>
      <c r="D571" s="525"/>
      <c r="E571" s="267">
        <v>1</v>
      </c>
      <c r="F571" s="269" t="s">
        <v>402</v>
      </c>
      <c r="G571" s="284">
        <v>12000</v>
      </c>
      <c r="H571" s="269">
        <f t="shared" si="365"/>
        <v>11218.896563999999</v>
      </c>
      <c r="I571" s="269">
        <f t="shared" si="366"/>
        <v>11218.896563999999</v>
      </c>
      <c r="J571" s="284">
        <v>500</v>
      </c>
      <c r="K571" s="267">
        <f t="shared" si="357"/>
        <v>467.45402350000001</v>
      </c>
      <c r="L571" s="270">
        <f t="shared" si="358"/>
        <v>467.45402350000001</v>
      </c>
      <c r="M571" s="284">
        <f>I571+L571</f>
        <v>11686.350587499999</v>
      </c>
      <c r="N571" s="268"/>
      <c r="O571" s="1163">
        <v>0.93490804699999996</v>
      </c>
    </row>
    <row r="572" spans="1:16" ht="18.95" customHeight="1">
      <c r="A572" s="224"/>
      <c r="B572" s="139">
        <v>17.14</v>
      </c>
      <c r="C572" s="524" t="s">
        <v>1735</v>
      </c>
      <c r="D572" s="525"/>
      <c r="E572" s="267"/>
      <c r="F572" s="269"/>
      <c r="G572" s="284"/>
      <c r="H572" s="284"/>
      <c r="I572" s="284"/>
      <c r="J572" s="284"/>
      <c r="K572" s="267"/>
      <c r="L572" s="270"/>
      <c r="M572" s="284"/>
      <c r="N572" s="268"/>
      <c r="O572" s="1163">
        <v>0.93490804699999996</v>
      </c>
    </row>
    <row r="573" spans="1:16" ht="18.95" customHeight="1">
      <c r="A573" s="224"/>
      <c r="B573" s="139"/>
      <c r="C573" s="524" t="s">
        <v>1736</v>
      </c>
      <c r="D573" s="525"/>
      <c r="E573" s="267">
        <v>250</v>
      </c>
      <c r="F573" s="269" t="s">
        <v>1079</v>
      </c>
      <c r="G573" s="269">
        <v>58</v>
      </c>
      <c r="H573" s="269">
        <f t="shared" ref="H573:H574" si="367">G573*O573</f>
        <v>54.224666725999995</v>
      </c>
      <c r="I573" s="269">
        <f t="shared" ref="I573:I574" si="368">E573*H573</f>
        <v>13556.166681499999</v>
      </c>
      <c r="J573" s="267">
        <v>30</v>
      </c>
      <c r="K573" s="267">
        <f t="shared" si="357"/>
        <v>28.047241409999998</v>
      </c>
      <c r="L573" s="270">
        <f t="shared" si="358"/>
        <v>7011.8103524999997</v>
      </c>
      <c r="M573" s="267">
        <f>I573+L573</f>
        <v>20567.977034</v>
      </c>
      <c r="N573" s="268"/>
      <c r="O573" s="1163">
        <v>0.93490804699999996</v>
      </c>
    </row>
    <row r="574" spans="1:16" ht="18.95" customHeight="1">
      <c r="A574" s="224"/>
      <c r="B574" s="139"/>
      <c r="C574" s="524" t="s">
        <v>1737</v>
      </c>
      <c r="D574" s="525"/>
      <c r="E574" s="267">
        <v>16000</v>
      </c>
      <c r="F574" s="269" t="s">
        <v>1079</v>
      </c>
      <c r="G574" s="269">
        <v>19</v>
      </c>
      <c r="H574" s="269">
        <f t="shared" si="367"/>
        <v>17.763252893000001</v>
      </c>
      <c r="I574" s="269">
        <f t="shared" si="368"/>
        <v>284212.04628800001</v>
      </c>
      <c r="J574" s="267">
        <v>10</v>
      </c>
      <c r="K574" s="267">
        <f t="shared" si="357"/>
        <v>9.3490804700000005</v>
      </c>
      <c r="L574" s="270">
        <f t="shared" si="358"/>
        <v>149585.28752000001</v>
      </c>
      <c r="M574" s="267">
        <f>I574+L574</f>
        <v>433797.33380800002</v>
      </c>
      <c r="N574" s="268"/>
      <c r="O574" s="1163">
        <v>0.93490804699999996</v>
      </c>
    </row>
    <row r="575" spans="1:16" ht="18.95" customHeight="1">
      <c r="A575" s="224"/>
      <c r="B575" s="566">
        <v>17.149999999999999</v>
      </c>
      <c r="C575" s="510" t="s">
        <v>1323</v>
      </c>
      <c r="D575" s="511"/>
      <c r="E575" s="513"/>
      <c r="F575" s="268"/>
      <c r="G575" s="269"/>
      <c r="H575" s="269"/>
      <c r="I575" s="269"/>
      <c r="J575" s="267"/>
      <c r="K575" s="267"/>
      <c r="L575" s="270"/>
      <c r="M575" s="270"/>
      <c r="N575" s="268"/>
      <c r="O575" s="1163">
        <v>0.93490804699999996</v>
      </c>
    </row>
    <row r="576" spans="1:16" ht="18.95" customHeight="1">
      <c r="A576" s="224"/>
      <c r="B576" s="139"/>
      <c r="C576" s="520" t="s">
        <v>1324</v>
      </c>
      <c r="D576" s="521"/>
      <c r="E576" s="267">
        <v>3000</v>
      </c>
      <c r="F576" s="356" t="s">
        <v>1079</v>
      </c>
      <c r="G576" s="269">
        <f>ROUND(93.1/3,2)</f>
        <v>31.03</v>
      </c>
      <c r="H576" s="269">
        <f t="shared" ref="H576:H577" si="369">G576*O576</f>
        <v>29.010196698409999</v>
      </c>
      <c r="I576" s="269">
        <f t="shared" ref="I576:I577" si="370">E576*H576</f>
        <v>87030.59009523</v>
      </c>
      <c r="J576" s="267">
        <v>22</v>
      </c>
      <c r="K576" s="267">
        <f t="shared" si="357"/>
        <v>20.567977033999998</v>
      </c>
      <c r="L576" s="270">
        <f t="shared" si="358"/>
        <v>61703.931101999995</v>
      </c>
      <c r="M576" s="270">
        <f>I576+L576</f>
        <v>148734.52119723</v>
      </c>
      <c r="N576" s="268"/>
      <c r="O576" s="1163">
        <v>0.93490804699999996</v>
      </c>
      <c r="P576" s="293" t="s">
        <v>1300</v>
      </c>
    </row>
    <row r="577" spans="1:16" ht="18.95" customHeight="1">
      <c r="A577" s="224"/>
      <c r="B577" s="139"/>
      <c r="C577" s="520" t="s">
        <v>1326</v>
      </c>
      <c r="D577" s="521"/>
      <c r="E577" s="267">
        <v>3000</v>
      </c>
      <c r="F577" s="356" t="s">
        <v>1079</v>
      </c>
      <c r="G577" s="269">
        <f>ROUND(134.4/3,2)</f>
        <v>44.8</v>
      </c>
      <c r="H577" s="269">
        <f t="shared" si="369"/>
        <v>41.883880505599997</v>
      </c>
      <c r="I577" s="269">
        <f t="shared" si="370"/>
        <v>125651.64151679999</v>
      </c>
      <c r="J577" s="267">
        <v>24</v>
      </c>
      <c r="K577" s="267">
        <f t="shared" si="357"/>
        <v>22.437793127999999</v>
      </c>
      <c r="L577" s="270">
        <f t="shared" si="358"/>
        <v>67313.379384</v>
      </c>
      <c r="M577" s="270">
        <f>I577+L577</f>
        <v>192965.02090080001</v>
      </c>
      <c r="N577" s="268"/>
      <c r="O577" s="1163">
        <v>0.93490804699999996</v>
      </c>
      <c r="P577" s="293" t="s">
        <v>1300</v>
      </c>
    </row>
    <row r="578" spans="1:16" ht="18.95" customHeight="1">
      <c r="A578" s="224"/>
      <c r="B578" s="139"/>
      <c r="C578" s="520" t="s">
        <v>1327</v>
      </c>
      <c r="D578" s="521"/>
      <c r="E578" s="267">
        <v>9000</v>
      </c>
      <c r="F578" s="356" t="s">
        <v>1079</v>
      </c>
      <c r="G578" s="269">
        <f>ROUND(191.1/3,2)</f>
        <v>63.7</v>
      </c>
      <c r="H578" s="269">
        <f t="shared" ref="H578" si="371">G578*O578</f>
        <v>59.553642593900001</v>
      </c>
      <c r="I578" s="269">
        <f t="shared" ref="I578" si="372">E578*H578</f>
        <v>535982.7833451</v>
      </c>
      <c r="J578" s="267">
        <v>28</v>
      </c>
      <c r="K578" s="267">
        <f t="shared" si="357"/>
        <v>26.177425315999997</v>
      </c>
      <c r="L578" s="270">
        <f t="shared" si="358"/>
        <v>235596.82784399998</v>
      </c>
      <c r="M578" s="270">
        <f>I578+L578</f>
        <v>771579.61118909996</v>
      </c>
      <c r="N578" s="268"/>
      <c r="O578" s="1163">
        <v>0.93490804699999996</v>
      </c>
      <c r="P578" s="293" t="s">
        <v>1300</v>
      </c>
    </row>
    <row r="579" spans="1:16" ht="18.95" customHeight="1">
      <c r="A579" s="224"/>
      <c r="B579" s="566">
        <v>17.16</v>
      </c>
      <c r="C579" s="524" t="s">
        <v>1336</v>
      </c>
      <c r="D579" s="525"/>
      <c r="E579" s="267"/>
      <c r="F579" s="356"/>
      <c r="G579" s="269"/>
      <c r="H579" s="269"/>
      <c r="I579" s="269"/>
      <c r="J579" s="267"/>
      <c r="K579" s="267"/>
      <c r="L579" s="270"/>
      <c r="M579" s="270"/>
      <c r="N579" s="268"/>
      <c r="O579" s="1163">
        <v>0.93490804699999996</v>
      </c>
    </row>
    <row r="580" spans="1:16" ht="18.95" customHeight="1">
      <c r="A580" s="224"/>
      <c r="B580" s="139"/>
      <c r="C580" s="520" t="s">
        <v>1676</v>
      </c>
      <c r="D580" s="525"/>
      <c r="E580" s="267">
        <v>510</v>
      </c>
      <c r="F580" s="356" t="s">
        <v>1079</v>
      </c>
      <c r="G580" s="269">
        <v>237</v>
      </c>
      <c r="H580" s="269">
        <f t="shared" ref="H580:H581" si="373">G580*O580</f>
        <v>221.573207139</v>
      </c>
      <c r="I580" s="269">
        <f t="shared" ref="I580:I581" si="374">E580*H580</f>
        <v>113002.33564089</v>
      </c>
      <c r="J580" s="267">
        <v>45</v>
      </c>
      <c r="K580" s="267">
        <f t="shared" si="357"/>
        <v>42.070862114999997</v>
      </c>
      <c r="L580" s="270">
        <f t="shared" si="358"/>
        <v>21456.139678649997</v>
      </c>
      <c r="M580" s="270">
        <f>I580+L580</f>
        <v>134458.47531954001</v>
      </c>
      <c r="N580" s="268"/>
      <c r="O580" s="1163">
        <v>0.93490804699999996</v>
      </c>
    </row>
    <row r="581" spans="1:16" ht="18.95" customHeight="1">
      <c r="A581" s="224"/>
      <c r="B581" s="139"/>
      <c r="C581" s="520" t="s">
        <v>1738</v>
      </c>
      <c r="D581" s="525"/>
      <c r="E581" s="267">
        <v>40</v>
      </c>
      <c r="F581" s="356" t="s">
        <v>1079</v>
      </c>
      <c r="G581" s="269">
        <v>315</v>
      </c>
      <c r="H581" s="269">
        <f t="shared" si="373"/>
        <v>294.49603480499997</v>
      </c>
      <c r="I581" s="269">
        <f t="shared" si="374"/>
        <v>11779.841392199998</v>
      </c>
      <c r="J581" s="267">
        <v>60</v>
      </c>
      <c r="K581" s="267">
        <f t="shared" si="357"/>
        <v>56.094482819999996</v>
      </c>
      <c r="L581" s="270">
        <f t="shared" si="358"/>
        <v>2243.7793127999998</v>
      </c>
      <c r="M581" s="270">
        <f>I581+L581</f>
        <v>14023.620704999998</v>
      </c>
      <c r="N581" s="268"/>
      <c r="O581" s="1163">
        <v>0.93490804699999996</v>
      </c>
    </row>
    <row r="582" spans="1:16" ht="18.95" customHeight="1">
      <c r="A582" s="224"/>
      <c r="B582" s="139">
        <v>17.170000000000002</v>
      </c>
      <c r="C582" s="524" t="s">
        <v>1655</v>
      </c>
      <c r="D582" s="525"/>
      <c r="E582" s="267">
        <v>1</v>
      </c>
      <c r="F582" s="268" t="s">
        <v>1321</v>
      </c>
      <c r="G582" s="284">
        <v>156285.20000000001</v>
      </c>
      <c r="H582" s="269">
        <f t="shared" ref="H582" si="375">G582*O582</f>
        <v>146112.29110700439</v>
      </c>
      <c r="I582" s="269">
        <f t="shared" ref="I582" si="376">E582*H582</f>
        <v>146112.29110700439</v>
      </c>
      <c r="J582" s="267">
        <v>46885.560000000005</v>
      </c>
      <c r="K582" s="267">
        <f t="shared" si="357"/>
        <v>43833.687332101326</v>
      </c>
      <c r="L582" s="270">
        <f t="shared" si="358"/>
        <v>43833.687332101326</v>
      </c>
      <c r="M582" s="270">
        <f>I582+L582</f>
        <v>189945.97843910573</v>
      </c>
      <c r="N582" s="268"/>
      <c r="O582" s="1163">
        <v>0.93490804699999996</v>
      </c>
    </row>
    <row r="583" spans="1:16" ht="18.95" customHeight="1">
      <c r="A583" s="224"/>
      <c r="B583" s="1345" t="s">
        <v>1739</v>
      </c>
      <c r="C583" s="1346"/>
      <c r="D583" s="1356"/>
      <c r="E583" s="271"/>
      <c r="F583" s="339"/>
      <c r="G583" s="562"/>
      <c r="H583" s="562"/>
      <c r="I583" s="562">
        <f>SUM(I544:I582)</f>
        <v>2083470.8169625192</v>
      </c>
      <c r="J583" s="562"/>
      <c r="K583" s="562"/>
      <c r="L583" s="562">
        <f>SUM(L544:L582)</f>
        <v>680274.21014344529</v>
      </c>
      <c r="M583" s="562">
        <f>SUM(M544:M582)</f>
        <v>2763745.0271059652</v>
      </c>
      <c r="N583" s="270"/>
      <c r="O583" s="1163">
        <v>0.93490804699999996</v>
      </c>
    </row>
    <row r="584" spans="1:16" ht="18.95" customHeight="1">
      <c r="A584" s="224"/>
      <c r="B584" s="422"/>
      <c r="C584" s="451"/>
      <c r="D584" s="516"/>
      <c r="E584" s="271"/>
      <c r="F584" s="339"/>
      <c r="G584" s="562"/>
      <c r="H584" s="562"/>
      <c r="I584" s="562"/>
      <c r="J584" s="562"/>
      <c r="K584" s="562"/>
      <c r="L584" s="562"/>
      <c r="M584" s="562"/>
      <c r="N584" s="281"/>
      <c r="O584" s="1163">
        <v>0.93490804699999996</v>
      </c>
    </row>
    <row r="585" spans="1:16" ht="18.95" customHeight="1">
      <c r="A585" s="224">
        <v>18</v>
      </c>
      <c r="B585" s="519" t="s">
        <v>1196</v>
      </c>
      <c r="C585" s="451"/>
      <c r="D585" s="516"/>
      <c r="E585" s="271"/>
      <c r="F585" s="339"/>
      <c r="G585" s="562"/>
      <c r="H585" s="562"/>
      <c r="I585" s="562"/>
      <c r="J585" s="562"/>
      <c r="K585" s="562"/>
      <c r="L585" s="562"/>
      <c r="M585" s="562"/>
      <c r="N585" s="281"/>
      <c r="O585" s="1163">
        <v>0.93490804699999996</v>
      </c>
    </row>
    <row r="586" spans="1:16" ht="18.95" customHeight="1">
      <c r="A586" s="224"/>
      <c r="B586" s="136">
        <v>18.100000000000001</v>
      </c>
      <c r="C586" s="567" t="s">
        <v>1740</v>
      </c>
      <c r="D586" s="516"/>
      <c r="E586" s="271">
        <v>1</v>
      </c>
      <c r="F586" s="281" t="s">
        <v>351</v>
      </c>
      <c r="G586" s="562">
        <v>0</v>
      </c>
      <c r="H586" s="562"/>
      <c r="I586" s="269">
        <f>ROUNDDOWN(E586*G586,2)</f>
        <v>0</v>
      </c>
      <c r="J586" s="267">
        <v>267000</v>
      </c>
      <c r="K586" s="267">
        <f>J586*O586</f>
        <v>249620.44854899999</v>
      </c>
      <c r="L586" s="270">
        <f>E586*K586</f>
        <v>249620.44854899999</v>
      </c>
      <c r="M586" s="270">
        <f>I586+L586</f>
        <v>249620.44854899999</v>
      </c>
      <c r="N586" s="281"/>
      <c r="O586" s="1163">
        <v>0.93490804699999996</v>
      </c>
    </row>
    <row r="587" spans="1:16" ht="18.95" customHeight="1">
      <c r="A587" s="224"/>
      <c r="B587" s="568" t="s">
        <v>245</v>
      </c>
      <c r="C587" s="520" t="s">
        <v>1741</v>
      </c>
      <c r="D587" s="516"/>
      <c r="E587" s="267">
        <v>1</v>
      </c>
      <c r="F587" s="268" t="s">
        <v>351</v>
      </c>
      <c r="G587" s="562">
        <v>0</v>
      </c>
      <c r="H587" s="562"/>
      <c r="I587" s="269">
        <f>ROUNDDOWN(E587*G587,2)</f>
        <v>0</v>
      </c>
      <c r="J587" s="562"/>
      <c r="K587" s="562"/>
      <c r="L587" s="270">
        <f>ROUNDDOWN(E587*J587,2)</f>
        <v>0</v>
      </c>
      <c r="M587" s="270">
        <f>I587+L587</f>
        <v>0</v>
      </c>
      <c r="N587" s="281"/>
      <c r="O587" s="1163">
        <v>0.93490804699999996</v>
      </c>
    </row>
    <row r="588" spans="1:16" ht="18.95" customHeight="1">
      <c r="A588" s="224"/>
      <c r="B588" s="568" t="s">
        <v>245</v>
      </c>
      <c r="C588" s="520" t="s">
        <v>1742</v>
      </c>
      <c r="D588" s="516"/>
      <c r="E588" s="267">
        <v>1</v>
      </c>
      <c r="F588" s="268" t="s">
        <v>351</v>
      </c>
      <c r="G588" s="562">
        <v>0</v>
      </c>
      <c r="H588" s="562"/>
      <c r="I588" s="269">
        <f>ROUNDDOWN(E588*G588,2)</f>
        <v>0</v>
      </c>
      <c r="J588" s="562"/>
      <c r="K588" s="562"/>
      <c r="L588" s="270">
        <f>ROUNDDOWN(E588*J588,2)</f>
        <v>0</v>
      </c>
      <c r="M588" s="270">
        <f>I588+L588</f>
        <v>0</v>
      </c>
      <c r="N588" s="281"/>
      <c r="O588" s="1163">
        <v>0.93490804699999996</v>
      </c>
    </row>
    <row r="589" spans="1:16" ht="18.95" customHeight="1">
      <c r="A589" s="224"/>
      <c r="B589" s="568" t="s">
        <v>245</v>
      </c>
      <c r="C589" s="520" t="s">
        <v>1743</v>
      </c>
      <c r="D589" s="516"/>
      <c r="E589" s="267">
        <v>1</v>
      </c>
      <c r="F589" s="268" t="s">
        <v>351</v>
      </c>
      <c r="G589" s="562">
        <v>0</v>
      </c>
      <c r="H589" s="562"/>
      <c r="I589" s="269">
        <f>ROUNDDOWN(E589*G589,2)</f>
        <v>0</v>
      </c>
      <c r="J589" s="562"/>
      <c r="K589" s="562"/>
      <c r="L589" s="270">
        <f>ROUNDDOWN(E589*J589,2)</f>
        <v>0</v>
      </c>
      <c r="M589" s="270">
        <f>I589+L589</f>
        <v>0</v>
      </c>
      <c r="N589" s="281"/>
      <c r="O589" s="1163">
        <v>0.93490804699999996</v>
      </c>
    </row>
    <row r="590" spans="1:16" ht="18.95" customHeight="1">
      <c r="A590" s="224"/>
      <c r="B590" s="568" t="s">
        <v>245</v>
      </c>
      <c r="C590" s="520" t="s">
        <v>1744</v>
      </c>
      <c r="D590" s="516"/>
      <c r="E590" s="267">
        <v>1</v>
      </c>
      <c r="F590" s="268" t="s">
        <v>351</v>
      </c>
      <c r="G590" s="562">
        <v>0</v>
      </c>
      <c r="H590" s="562"/>
      <c r="I590" s="269">
        <f>ROUNDDOWN(E590*G590,2)</f>
        <v>0</v>
      </c>
      <c r="J590" s="562"/>
      <c r="K590" s="562"/>
      <c r="L590" s="270">
        <f>ROUNDDOWN(E590*J590,2)</f>
        <v>0</v>
      </c>
      <c r="M590" s="270">
        <f>I590+L590</f>
        <v>0</v>
      </c>
      <c r="N590" s="281"/>
      <c r="O590" s="1163">
        <v>0.93490804699999996</v>
      </c>
    </row>
    <row r="591" spans="1:16" ht="18.95" customHeight="1">
      <c r="A591" s="224"/>
      <c r="B591" s="1345" t="s">
        <v>1745</v>
      </c>
      <c r="C591" s="1346"/>
      <c r="D591" s="1356"/>
      <c r="E591" s="271"/>
      <c r="F591" s="339"/>
      <c r="G591" s="562"/>
      <c r="H591" s="562"/>
      <c r="I591" s="562">
        <f>SUM(I586:I590)</f>
        <v>0</v>
      </c>
      <c r="J591" s="562"/>
      <c r="K591" s="562"/>
      <c r="L591" s="562">
        <f>SUM(L586:L590)</f>
        <v>249620.44854899999</v>
      </c>
      <c r="M591" s="562">
        <f>SUM(M586:M590)</f>
        <v>249620.44854899999</v>
      </c>
      <c r="N591" s="268"/>
      <c r="O591" s="973"/>
    </row>
    <row r="592" spans="1:16" ht="18.95" customHeight="1">
      <c r="A592" s="401"/>
      <c r="B592" s="569"/>
      <c r="C592" s="570"/>
      <c r="D592" s="571"/>
      <c r="E592" s="286"/>
      <c r="F592" s="572"/>
      <c r="G592" s="573"/>
      <c r="H592" s="573"/>
      <c r="I592" s="573"/>
      <c r="J592" s="573"/>
      <c r="K592" s="573"/>
      <c r="L592" s="573"/>
      <c r="M592" s="573"/>
      <c r="N592" s="574"/>
      <c r="O592" s="978"/>
    </row>
  </sheetData>
  <mergeCells count="30">
    <mergeCell ref="B61:D61"/>
    <mergeCell ref="B515:D515"/>
    <mergeCell ref="B540:D540"/>
    <mergeCell ref="B583:D583"/>
    <mergeCell ref="B160:D160"/>
    <mergeCell ref="B591:D591"/>
    <mergeCell ref="B185:D185"/>
    <mergeCell ref="B206:D206"/>
    <mergeCell ref="B343:D343"/>
    <mergeCell ref="B370:D370"/>
    <mergeCell ref="B390:D390"/>
    <mergeCell ref="B394:D394"/>
    <mergeCell ref="B456:D456"/>
    <mergeCell ref="B485:D485"/>
    <mergeCell ref="B349:D349"/>
    <mergeCell ref="A1:C1"/>
    <mergeCell ref="A2:C2"/>
    <mergeCell ref="A3:C3"/>
    <mergeCell ref="A5:A6"/>
    <mergeCell ref="B5:D6"/>
    <mergeCell ref="B28:D28"/>
    <mergeCell ref="B39:D39"/>
    <mergeCell ref="B46:D46"/>
    <mergeCell ref="B54:D54"/>
    <mergeCell ref="Q5:Q6"/>
    <mergeCell ref="E5:E6"/>
    <mergeCell ref="F5:F6"/>
    <mergeCell ref="G5:I5"/>
    <mergeCell ref="J5:L5"/>
    <mergeCell ref="N5:N6"/>
  </mergeCells>
  <printOptions horizontalCentered="1"/>
  <pageMargins left="0.39370078740157483" right="0.27559055118110237" top="0.69" bottom="0.32" header="0.43" footer="0"/>
  <pageSetup paperSize="9" scale="70" firstPageNumber="58" fitToHeight="1000" orientation="landscape" useFirstPageNumber="1" r:id="rId1"/>
  <headerFooter alignWithMargins="0">
    <oddHeader xml:space="preserve">&amp;C&amp;"Cordia New,Regular"&amp;14แบบแสดงรายการ ปริมาณงาน และราคา&amp;R&amp;"Cordia New,Regular"&amp;14แบบปร.4(ก) แผ่นที่ &amp;P/103   </oddHeader>
  </headerFooter>
  <rowBreaks count="15" manualBreakCount="15">
    <brk id="29" max="11" man="1"/>
    <brk id="62" max="11" man="1"/>
    <brk id="100" max="11" man="1"/>
    <brk id="137" max="11" man="1"/>
    <brk id="173" max="11" man="1"/>
    <brk id="209" max="11" man="1"/>
    <brk id="314" max="11" man="1"/>
    <brk id="337" max="11" man="1"/>
    <brk id="371" max="11" man="1"/>
    <brk id="405" max="11" man="1"/>
    <brk id="436" max="11" man="1"/>
    <brk id="474" max="11" man="1"/>
    <brk id="508" max="11" man="1"/>
    <brk id="541" max="11" man="1"/>
    <brk id="578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S256"/>
  <sheetViews>
    <sheetView showGridLines="0" view="pageBreakPreview" zoomScaleNormal="100" zoomScaleSheetLayoutView="100" workbookViewId="0">
      <pane xSplit="7" ySplit="6" topLeftCell="H7" activePane="bottomRight" state="frozen"/>
      <selection pane="bottomRight" activeCell="D258" sqref="D258"/>
      <selection pane="bottomLeft" activeCell="A7" sqref="A7"/>
      <selection pane="topRight" activeCell="H1" sqref="H1"/>
    </sheetView>
  </sheetViews>
  <sheetFormatPr defaultColWidth="10.42578125" defaultRowHeight="18.95" customHeight="1"/>
  <cols>
    <col min="1" max="1" width="6.7109375" style="250" customWidth="1"/>
    <col min="2" max="2" width="6.42578125" style="407" customWidth="1"/>
    <col min="3" max="3" width="24.42578125" style="251" customWidth="1"/>
    <col min="4" max="4" width="47.85546875" style="252" bestFit="1" customWidth="1"/>
    <col min="5" max="5" width="11.42578125" style="408" customWidth="1"/>
    <col min="6" max="6" width="9.5703125" style="250" customWidth="1"/>
    <col min="7" max="7" width="15.7109375" style="408" hidden="1" customWidth="1"/>
    <col min="8" max="9" width="15.7109375" style="408" customWidth="1"/>
    <col min="10" max="10" width="15.7109375" style="250" hidden="1" customWidth="1"/>
    <col min="11" max="13" width="15.7109375" style="250" customWidth="1"/>
    <col min="14" max="14" width="22.5703125" style="250" customWidth="1"/>
    <col min="15" max="15" width="14.5703125" style="293" customWidth="1"/>
    <col min="16" max="16" width="14" style="293" customWidth="1"/>
    <col min="17" max="17" width="24.7109375" style="250" customWidth="1"/>
    <col min="18" max="18" width="10.42578125" style="250" customWidth="1"/>
    <col min="19" max="19" width="25.140625" style="250" customWidth="1"/>
    <col min="20" max="20" width="11" style="250" customWidth="1"/>
    <col min="21" max="21" width="11.140625" style="250" customWidth="1"/>
    <col min="22" max="22" width="20.85546875" style="250" customWidth="1"/>
    <col min="23" max="23" width="31.5703125" style="250" customWidth="1"/>
    <col min="24" max="24" width="10.42578125" style="250" customWidth="1"/>
    <col min="25" max="16384" width="10.42578125" style="250"/>
  </cols>
  <sheetData>
    <row r="1" spans="1:25" s="116" customFormat="1" ht="18.95" customHeight="1">
      <c r="A1" s="1368" t="s">
        <v>1168</v>
      </c>
      <c r="B1" s="1368"/>
      <c r="C1" s="1368"/>
      <c r="D1" s="114" t="e">
        <f>+'RC2_ปร.5 (ก)'!#REF!</f>
        <v>#REF!</v>
      </c>
      <c r="E1" s="294"/>
      <c r="F1" s="114"/>
      <c r="G1" s="295"/>
      <c r="H1" s="295"/>
      <c r="I1" s="296"/>
      <c r="J1" s="296" t="s">
        <v>1169</v>
      </c>
      <c r="K1" s="296" t="s">
        <v>1169</v>
      </c>
      <c r="L1" s="1383" t="s">
        <v>1746</v>
      </c>
      <c r="M1" s="1383"/>
      <c r="N1" s="114"/>
      <c r="O1" s="260"/>
      <c r="P1" s="260"/>
      <c r="Q1" s="577"/>
      <c r="R1" s="577"/>
      <c r="S1" s="1379"/>
      <c r="T1" s="1379"/>
      <c r="U1" s="1379"/>
      <c r="V1" s="577"/>
      <c r="W1" s="1379"/>
      <c r="X1" s="1379"/>
      <c r="Y1" s="1379"/>
    </row>
    <row r="2" spans="1:25" s="116" customFormat="1" ht="18.95" customHeight="1">
      <c r="A2" s="1369" t="s">
        <v>4</v>
      </c>
      <c r="B2" s="1369"/>
      <c r="C2" s="1369"/>
      <c r="D2" s="115" t="e">
        <f>+'RC2_ปร.5 (ก)'!#REF!</f>
        <v>#REF!</v>
      </c>
      <c r="E2" s="298"/>
      <c r="F2" s="115"/>
      <c r="G2" s="299"/>
      <c r="H2" s="299"/>
      <c r="I2" s="299"/>
      <c r="J2" s="300" t="s">
        <v>1171</v>
      </c>
      <c r="K2" s="300" t="s">
        <v>1171</v>
      </c>
      <c r="L2" s="301" t="e">
        <f>+'RC2_ปร.5 (ก)'!#REF!</f>
        <v>#REF!</v>
      </c>
      <c r="M2" s="302"/>
      <c r="N2" s="115"/>
      <c r="O2" s="260"/>
      <c r="P2" s="260"/>
      <c r="Q2" s="578"/>
      <c r="R2" s="578"/>
      <c r="S2" s="577"/>
      <c r="T2" s="577"/>
      <c r="U2" s="577"/>
      <c r="V2" s="577"/>
      <c r="W2" s="577"/>
      <c r="X2" s="577"/>
      <c r="Y2" s="577"/>
    </row>
    <row r="3" spans="1:25" s="116" customFormat="1" ht="18.95" customHeight="1">
      <c r="A3" s="1369" t="s">
        <v>1172</v>
      </c>
      <c r="B3" s="1369"/>
      <c r="C3" s="1369"/>
      <c r="D3" s="115" t="e">
        <f>+'RC2_ปร.5 (ก)'!#REF!</f>
        <v>#REF!</v>
      </c>
      <c r="E3" s="298"/>
      <c r="F3" s="115"/>
      <c r="G3" s="299"/>
      <c r="H3" s="299"/>
      <c r="I3" s="303"/>
      <c r="J3" s="303"/>
      <c r="K3" s="303"/>
      <c r="L3" s="304"/>
      <c r="M3" s="305"/>
      <c r="N3" s="115"/>
      <c r="O3" s="260"/>
      <c r="P3" s="260"/>
      <c r="Q3" s="578"/>
      <c r="R3" s="578"/>
      <c r="S3" s="578"/>
      <c r="T3" s="578"/>
      <c r="U3" s="577"/>
      <c r="V3" s="577"/>
      <c r="W3" s="577"/>
      <c r="X3" s="578"/>
      <c r="Y3" s="577"/>
    </row>
    <row r="4" spans="1:25" s="116" customFormat="1" ht="18.95" customHeight="1">
      <c r="B4" s="307"/>
      <c r="C4" s="307"/>
      <c r="D4" s="118"/>
      <c r="E4" s="307"/>
      <c r="G4" s="307"/>
      <c r="H4" s="307"/>
      <c r="I4" s="307"/>
      <c r="N4" s="418"/>
      <c r="O4" s="1170">
        <v>0.93489933199999997</v>
      </c>
      <c r="P4" s="260"/>
      <c r="Q4" s="579"/>
      <c r="R4" s="579"/>
      <c r="S4" s="579"/>
      <c r="T4" s="579"/>
      <c r="U4" s="580"/>
      <c r="V4" s="580"/>
      <c r="W4" s="580"/>
      <c r="X4" s="579"/>
      <c r="Y4" s="580"/>
    </row>
    <row r="5" spans="1:25" ht="18.95" customHeight="1">
      <c r="A5" s="1370" t="s">
        <v>1007</v>
      </c>
      <c r="B5" s="1384" t="s">
        <v>17</v>
      </c>
      <c r="C5" s="1385"/>
      <c r="D5" s="1386"/>
      <c r="E5" s="1390" t="s">
        <v>1173</v>
      </c>
      <c r="F5" s="1360" t="s">
        <v>1174</v>
      </c>
      <c r="G5" s="1362" t="s">
        <v>1008</v>
      </c>
      <c r="H5" s="1363"/>
      <c r="I5" s="1364"/>
      <c r="J5" s="1365" t="s">
        <v>1010</v>
      </c>
      <c r="K5" s="1366"/>
      <c r="L5" s="1367"/>
      <c r="M5" s="308" t="s">
        <v>1175</v>
      </c>
      <c r="N5" s="1360" t="s">
        <v>19</v>
      </c>
      <c r="Q5" s="579"/>
      <c r="R5" s="579"/>
      <c r="S5" s="579"/>
      <c r="T5" s="579"/>
      <c r="U5" s="580"/>
      <c r="V5" s="580"/>
      <c r="W5" s="580"/>
      <c r="X5" s="579"/>
      <c r="Y5" s="580"/>
    </row>
    <row r="6" spans="1:25" ht="18.95" customHeight="1">
      <c r="A6" s="1373"/>
      <c r="B6" s="1387"/>
      <c r="C6" s="1388"/>
      <c r="D6" s="1389"/>
      <c r="E6" s="1391"/>
      <c r="F6" s="1361"/>
      <c r="G6" s="311" t="s">
        <v>203</v>
      </c>
      <c r="H6" s="311" t="s">
        <v>203</v>
      </c>
      <c r="I6" s="310" t="s">
        <v>1176</v>
      </c>
      <c r="J6" s="311" t="s">
        <v>203</v>
      </c>
      <c r="K6" s="311" t="s">
        <v>203</v>
      </c>
      <c r="L6" s="309" t="s">
        <v>1176</v>
      </c>
      <c r="M6" s="309" t="s">
        <v>1177</v>
      </c>
      <c r="N6" s="1361"/>
      <c r="Q6" s="579"/>
      <c r="R6" s="579"/>
      <c r="S6" s="579"/>
      <c r="T6" s="579"/>
      <c r="U6" s="580"/>
      <c r="V6" s="580"/>
      <c r="W6" s="580"/>
      <c r="X6" s="579"/>
      <c r="Y6" s="580"/>
    </row>
    <row r="7" spans="1:25" ht="18.95" customHeight="1">
      <c r="A7" s="119"/>
      <c r="B7" s="581" t="s">
        <v>1747</v>
      </c>
      <c r="C7" s="120"/>
      <c r="D7" s="582"/>
      <c r="E7" s="263"/>
      <c r="F7" s="265"/>
      <c r="G7" s="263"/>
      <c r="H7" s="263"/>
      <c r="I7" s="263"/>
      <c r="J7" s="265"/>
      <c r="K7" s="265"/>
      <c r="L7" s="266"/>
      <c r="M7" s="265"/>
      <c r="N7" s="265"/>
      <c r="Q7" s="579"/>
      <c r="R7" s="579"/>
      <c r="S7" s="579"/>
      <c r="T7" s="579"/>
      <c r="U7" s="580"/>
      <c r="V7" s="580"/>
      <c r="W7" s="580"/>
      <c r="X7" s="579"/>
      <c r="Y7" s="580"/>
    </row>
    <row r="8" spans="1:25" ht="18.95" customHeight="1">
      <c r="A8" s="122"/>
      <c r="B8" s="409" t="s">
        <v>22</v>
      </c>
      <c r="C8" s="123"/>
      <c r="D8" s="124"/>
      <c r="E8" s="267"/>
      <c r="F8" s="269"/>
      <c r="G8" s="267"/>
      <c r="H8" s="267"/>
      <c r="I8" s="267"/>
      <c r="J8" s="269"/>
      <c r="K8" s="269"/>
      <c r="L8" s="269"/>
      <c r="M8" s="267"/>
      <c r="N8" s="269"/>
      <c r="O8" s="1166"/>
      <c r="P8" s="1166"/>
      <c r="Q8" s="583"/>
      <c r="R8" s="583"/>
      <c r="S8" s="583"/>
      <c r="T8" s="579"/>
      <c r="U8" s="580"/>
      <c r="V8" s="580"/>
      <c r="W8" s="580"/>
      <c r="X8" s="579"/>
      <c r="Y8" s="580"/>
    </row>
    <row r="9" spans="1:25" ht="18.95" customHeight="1">
      <c r="A9" s="314">
        <v>1</v>
      </c>
      <c r="B9" s="397" t="s">
        <v>1748</v>
      </c>
      <c r="C9" s="318"/>
      <c r="D9" s="235"/>
      <c r="E9" s="267">
        <v>1</v>
      </c>
      <c r="F9" s="269" t="s">
        <v>351</v>
      </c>
      <c r="G9" s="267"/>
      <c r="H9" s="267"/>
      <c r="I9" s="267">
        <f>I104</f>
        <v>1374631.0149914958</v>
      </c>
      <c r="J9" s="269"/>
      <c r="K9" s="269"/>
      <c r="L9" s="269">
        <f>L104</f>
        <v>142541.69029390201</v>
      </c>
      <c r="M9" s="267">
        <f>I9+L9</f>
        <v>1517172.7052853978</v>
      </c>
      <c r="N9" s="269"/>
      <c r="O9" s="293">
        <f>P9*0.934908047</f>
        <v>1517172.7052853974</v>
      </c>
      <c r="P9" s="293">
        <v>1622804.2</v>
      </c>
      <c r="Q9" s="579"/>
      <c r="R9" s="579"/>
      <c r="S9" s="579"/>
      <c r="T9" s="579"/>
      <c r="U9" s="580"/>
      <c r="V9" s="580"/>
      <c r="W9" s="580"/>
      <c r="X9" s="577"/>
      <c r="Y9" s="577"/>
    </row>
    <row r="10" spans="1:25" ht="18.95" customHeight="1">
      <c r="A10" s="314">
        <v>2</v>
      </c>
      <c r="B10" s="397" t="s">
        <v>1749</v>
      </c>
      <c r="C10" s="318"/>
      <c r="D10" s="235"/>
      <c r="E10" s="267"/>
      <c r="F10" s="269"/>
      <c r="G10" s="267"/>
      <c r="H10" s="267"/>
      <c r="I10" s="267">
        <f>I107</f>
        <v>0</v>
      </c>
      <c r="J10" s="269"/>
      <c r="K10" s="269"/>
      <c r="L10" s="267">
        <f>L107</f>
        <v>0</v>
      </c>
      <c r="M10" s="267">
        <f>I10+L10</f>
        <v>0</v>
      </c>
      <c r="N10" s="269" t="s">
        <v>1750</v>
      </c>
      <c r="O10" s="293">
        <f t="shared" ref="O10:O13" si="0">P10*0.934908047</f>
        <v>0</v>
      </c>
      <c r="Q10" s="584"/>
      <c r="R10" s="584"/>
      <c r="S10" s="584"/>
      <c r="T10" s="584"/>
      <c r="U10" s="580"/>
      <c r="V10" s="580"/>
      <c r="W10" s="580"/>
      <c r="X10" s="577"/>
      <c r="Y10" s="577"/>
    </row>
    <row r="11" spans="1:25" ht="18.95" customHeight="1">
      <c r="A11" s="314">
        <v>3</v>
      </c>
      <c r="B11" s="397" t="s">
        <v>1751</v>
      </c>
      <c r="C11" s="318"/>
      <c r="D11" s="235"/>
      <c r="E11" s="267">
        <v>1</v>
      </c>
      <c r="F11" s="269" t="s">
        <v>351</v>
      </c>
      <c r="G11" s="267"/>
      <c r="H11" s="267"/>
      <c r="I11" s="267">
        <f>I175</f>
        <v>964182.36457076774</v>
      </c>
      <c r="J11" s="269"/>
      <c r="K11" s="269"/>
      <c r="L11" s="267">
        <f>L175</f>
        <v>183393.43231561399</v>
      </c>
      <c r="M11" s="267">
        <f>I11+L11</f>
        <v>1147575.7968863817</v>
      </c>
      <c r="N11" s="269"/>
      <c r="O11" s="293">
        <f t="shared" si="0"/>
        <v>1147575.7968863819</v>
      </c>
      <c r="P11" s="293">
        <v>1227474.51</v>
      </c>
      <c r="Q11" s="584"/>
      <c r="R11" s="584"/>
      <c r="S11" s="584"/>
      <c r="T11" s="584"/>
      <c r="U11" s="580"/>
      <c r="V11" s="580"/>
      <c r="W11" s="580"/>
      <c r="X11" s="577"/>
      <c r="Y11" s="577"/>
    </row>
    <row r="12" spans="1:25" ht="18.95" customHeight="1">
      <c r="A12" s="314">
        <v>4</v>
      </c>
      <c r="B12" s="397" t="s">
        <v>1752</v>
      </c>
      <c r="C12" s="318"/>
      <c r="D12" s="235"/>
      <c r="E12" s="267">
        <v>1</v>
      </c>
      <c r="F12" s="269" t="s">
        <v>351</v>
      </c>
      <c r="G12" s="267"/>
      <c r="H12" s="267"/>
      <c r="I12" s="267">
        <f>I216</f>
        <v>329327.81042127428</v>
      </c>
      <c r="J12" s="269"/>
      <c r="K12" s="269"/>
      <c r="L12" s="267">
        <f>L216</f>
        <v>91980.928204094991</v>
      </c>
      <c r="M12" s="267">
        <f>I12+L12</f>
        <v>421308.73862536927</v>
      </c>
      <c r="N12" s="269"/>
      <c r="O12" s="293">
        <f t="shared" si="0"/>
        <v>421308.73862536933</v>
      </c>
      <c r="P12" s="293">
        <v>450641.9</v>
      </c>
      <c r="Q12" s="584"/>
      <c r="R12" s="584"/>
      <c r="S12" s="584"/>
      <c r="T12" s="584"/>
      <c r="U12" s="580"/>
      <c r="V12" s="580"/>
      <c r="W12" s="580"/>
      <c r="X12" s="577"/>
      <c r="Y12" s="577"/>
    </row>
    <row r="13" spans="1:25" ht="18.95" customHeight="1">
      <c r="A13" s="314">
        <v>5</v>
      </c>
      <c r="B13" s="397" t="s">
        <v>1753</v>
      </c>
      <c r="C13" s="318"/>
      <c r="D13" s="235"/>
      <c r="E13" s="267">
        <v>1</v>
      </c>
      <c r="F13" s="269" t="s">
        <v>351</v>
      </c>
      <c r="G13" s="267"/>
      <c r="H13" s="267"/>
      <c r="I13" s="267">
        <f>I256</f>
        <v>468373.32793169556</v>
      </c>
      <c r="J13" s="269"/>
      <c r="K13" s="269"/>
      <c r="L13" s="267">
        <f>L256</f>
        <v>126098.52756326603</v>
      </c>
      <c r="M13" s="267">
        <f>I13+L13</f>
        <v>594471.85549496161</v>
      </c>
      <c r="N13" s="269"/>
      <c r="O13" s="293">
        <f t="shared" si="0"/>
        <v>594471.85549496161</v>
      </c>
      <c r="P13" s="293">
        <v>635861.31000000006</v>
      </c>
      <c r="Q13" s="577"/>
      <c r="R13" s="577"/>
      <c r="S13" s="577"/>
      <c r="T13" s="577"/>
      <c r="U13" s="577"/>
      <c r="V13" s="577"/>
      <c r="W13" s="577"/>
      <c r="X13" s="577"/>
      <c r="Y13" s="577"/>
    </row>
    <row r="14" spans="1:25" ht="18.95" customHeight="1">
      <c r="A14" s="314"/>
      <c r="B14" s="320"/>
      <c r="C14" s="321"/>
      <c r="D14" s="235"/>
      <c r="E14" s="267"/>
      <c r="F14" s="269"/>
      <c r="G14" s="267"/>
      <c r="H14" s="267"/>
      <c r="I14" s="267"/>
      <c r="J14" s="269"/>
      <c r="K14" s="269"/>
      <c r="L14" s="269"/>
      <c r="M14" s="267"/>
      <c r="N14" s="269"/>
      <c r="O14" s="293">
        <f t="shared" ref="O14" si="1">P14*0.934899332</f>
        <v>0</v>
      </c>
      <c r="Q14" s="577"/>
      <c r="R14" s="577"/>
      <c r="S14" s="577"/>
      <c r="T14" s="577"/>
      <c r="U14" s="577"/>
      <c r="V14" s="577"/>
      <c r="W14" s="577"/>
      <c r="X14" s="577"/>
      <c r="Y14" s="577"/>
    </row>
    <row r="15" spans="1:25" ht="18.95" customHeight="1">
      <c r="A15" s="125"/>
      <c r="B15" s="1392" t="s">
        <v>1754</v>
      </c>
      <c r="C15" s="1393"/>
      <c r="D15" s="1393"/>
      <c r="E15" s="267"/>
      <c r="F15" s="269"/>
      <c r="G15" s="267"/>
      <c r="H15" s="267"/>
      <c r="I15" s="271">
        <f>SUM(I9:I14)</f>
        <v>3136514.517915233</v>
      </c>
      <c r="J15" s="269"/>
      <c r="K15" s="269"/>
      <c r="L15" s="271">
        <f>SUM(L9:L14)</f>
        <v>544014.57837687701</v>
      </c>
      <c r="M15" s="271">
        <f>SUM(M9:M14)</f>
        <v>3680529.0962921106</v>
      </c>
      <c r="N15" s="269"/>
      <c r="O15" s="293">
        <f>SUM(O9:O14)</f>
        <v>3680529.0962921102</v>
      </c>
      <c r="P15" s="260">
        <f>SUM(P9:P14)</f>
        <v>3936781.92</v>
      </c>
      <c r="Q15" s="577"/>
      <c r="R15" s="577"/>
      <c r="S15" s="577"/>
      <c r="T15" s="577"/>
      <c r="U15" s="577"/>
      <c r="V15" s="577"/>
      <c r="W15" s="577"/>
      <c r="X15" s="577"/>
      <c r="Y15" s="577"/>
    </row>
    <row r="16" spans="1:25" ht="18.95" customHeight="1">
      <c r="A16" s="125"/>
      <c r="B16" s="413"/>
      <c r="C16" s="585"/>
      <c r="D16" s="585"/>
      <c r="E16" s="267"/>
      <c r="F16" s="269"/>
      <c r="G16" s="267"/>
      <c r="H16" s="267"/>
      <c r="I16" s="271"/>
      <c r="J16" s="269"/>
      <c r="K16" s="269"/>
      <c r="L16" s="271"/>
      <c r="M16" s="271"/>
      <c r="N16" s="269"/>
      <c r="O16" s="260"/>
      <c r="P16" s="260"/>
      <c r="Q16" s="577"/>
      <c r="R16" s="577"/>
      <c r="S16" s="577"/>
      <c r="T16" s="583"/>
      <c r="U16" s="577"/>
      <c r="V16" s="577"/>
      <c r="W16" s="577"/>
      <c r="X16" s="577"/>
      <c r="Y16" s="577"/>
    </row>
    <row r="17" spans="1:25" ht="18.95" customHeight="1">
      <c r="A17" s="125"/>
      <c r="B17" s="413"/>
      <c r="C17" s="585"/>
      <c r="D17" s="585"/>
      <c r="E17" s="435"/>
      <c r="F17" s="269"/>
      <c r="G17" s="267"/>
      <c r="H17" s="267"/>
      <c r="I17" s="271"/>
      <c r="J17" s="269"/>
      <c r="K17" s="269"/>
      <c r="L17" s="271"/>
      <c r="M17" s="271"/>
      <c r="N17" s="269"/>
      <c r="O17" s="260"/>
      <c r="P17" s="260"/>
      <c r="Q17" s="583"/>
      <c r="R17" s="583"/>
      <c r="S17" s="583"/>
      <c r="T17" s="579"/>
      <c r="U17" s="580"/>
      <c r="V17" s="586"/>
      <c r="W17" s="586"/>
      <c r="X17" s="577"/>
      <c r="Y17" s="577"/>
    </row>
    <row r="18" spans="1:25" ht="18.95" customHeight="1">
      <c r="A18" s="125"/>
      <c r="B18" s="413"/>
      <c r="C18" s="585"/>
      <c r="D18" s="585"/>
      <c r="E18" s="267"/>
      <c r="F18" s="269"/>
      <c r="G18" s="267"/>
      <c r="H18" s="267"/>
      <c r="I18" s="271"/>
      <c r="J18" s="269"/>
      <c r="K18" s="269"/>
      <c r="L18" s="271"/>
      <c r="M18" s="271"/>
      <c r="N18" s="269"/>
      <c r="O18" s="260"/>
      <c r="P18" s="260"/>
      <c r="Q18" s="577"/>
      <c r="R18" s="577"/>
      <c r="S18" s="577"/>
      <c r="T18" s="577"/>
      <c r="U18" s="586"/>
      <c r="V18" s="586"/>
      <c r="W18" s="586"/>
      <c r="X18" s="577"/>
      <c r="Y18" s="577"/>
    </row>
    <row r="19" spans="1:25" ht="18.95" customHeight="1">
      <c r="A19" s="125"/>
      <c r="B19" s="413"/>
      <c r="C19" s="585"/>
      <c r="D19" s="585"/>
      <c r="E19" s="267"/>
      <c r="F19" s="269"/>
      <c r="G19" s="267"/>
      <c r="H19" s="267"/>
      <c r="I19" s="271"/>
      <c r="J19" s="269"/>
      <c r="K19" s="269"/>
      <c r="L19" s="271"/>
      <c r="M19" s="271"/>
      <c r="N19" s="269"/>
      <c r="O19" s="260"/>
      <c r="P19" s="260"/>
      <c r="Q19" s="577"/>
      <c r="R19" s="577"/>
      <c r="S19" s="577"/>
      <c r="T19" s="577"/>
      <c r="U19" s="586"/>
      <c r="V19" s="586"/>
      <c r="W19" s="586"/>
      <c r="X19" s="577"/>
      <c r="Y19" s="577"/>
    </row>
    <row r="20" spans="1:25" ht="18.95" customHeight="1">
      <c r="A20" s="125"/>
      <c r="B20" s="413"/>
      <c r="C20" s="585"/>
      <c r="D20" s="585"/>
      <c r="E20" s="267"/>
      <c r="F20" s="269"/>
      <c r="G20" s="267"/>
      <c r="H20" s="267"/>
      <c r="I20" s="271"/>
      <c r="J20" s="269"/>
      <c r="K20" s="269"/>
      <c r="L20" s="271"/>
      <c r="M20" s="271"/>
      <c r="N20" s="269"/>
      <c r="O20" s="260"/>
      <c r="P20" s="260"/>
      <c r="Q20" s="580"/>
      <c r="R20" s="580"/>
      <c r="S20" s="580"/>
      <c r="T20" s="577"/>
      <c r="U20" s="577"/>
      <c r="V20" s="577"/>
      <c r="W20" s="577"/>
      <c r="X20" s="577"/>
      <c r="Y20" s="577"/>
    </row>
    <row r="21" spans="1:25" ht="18.95" customHeight="1">
      <c r="A21" s="125"/>
      <c r="B21" s="413"/>
      <c r="C21" s="585"/>
      <c r="D21" s="585"/>
      <c r="E21" s="267"/>
      <c r="F21" s="269"/>
      <c r="G21" s="267"/>
      <c r="H21" s="267"/>
      <c r="I21" s="271"/>
      <c r="J21" s="269"/>
      <c r="K21" s="269"/>
      <c r="L21" s="271"/>
      <c r="M21" s="271"/>
      <c r="N21" s="269"/>
      <c r="O21" s="260"/>
      <c r="P21" s="260"/>
      <c r="Q21" s="583"/>
      <c r="R21" s="583"/>
      <c r="S21" s="583"/>
      <c r="T21" s="579"/>
      <c r="U21" s="580"/>
      <c r="V21" s="577"/>
      <c r="W21" s="577"/>
      <c r="X21" s="577"/>
      <c r="Y21" s="577"/>
    </row>
    <row r="22" spans="1:25" ht="18.95" customHeight="1">
      <c r="A22" s="125"/>
      <c r="B22" s="413"/>
      <c r="C22" s="585"/>
      <c r="D22" s="585"/>
      <c r="E22" s="267"/>
      <c r="F22" s="269"/>
      <c r="G22" s="267"/>
      <c r="H22" s="267"/>
      <c r="I22" s="271"/>
      <c r="J22" s="269"/>
      <c r="K22" s="269"/>
      <c r="L22" s="271"/>
      <c r="M22" s="271"/>
      <c r="N22" s="269"/>
      <c r="O22" s="260"/>
      <c r="P22" s="260"/>
      <c r="Q22" s="583"/>
      <c r="R22" s="583"/>
      <c r="S22" s="583"/>
      <c r="T22" s="579"/>
      <c r="U22" s="580"/>
      <c r="V22" s="577"/>
      <c r="W22" s="577"/>
      <c r="X22" s="577"/>
      <c r="Y22" s="577"/>
    </row>
    <row r="23" spans="1:25" ht="18.95" customHeight="1">
      <c r="A23" s="125"/>
      <c r="B23" s="413"/>
      <c r="C23" s="585"/>
      <c r="D23" s="585"/>
      <c r="E23" s="267"/>
      <c r="F23" s="269"/>
      <c r="G23" s="267"/>
      <c r="H23" s="267"/>
      <c r="I23" s="271"/>
      <c r="J23" s="269"/>
      <c r="K23" s="269"/>
      <c r="L23" s="271"/>
      <c r="M23" s="271"/>
      <c r="N23" s="269"/>
      <c r="O23" s="260"/>
      <c r="P23" s="260"/>
      <c r="Q23" s="583"/>
      <c r="R23" s="583"/>
      <c r="S23" s="583"/>
      <c r="T23" s="579"/>
      <c r="U23" s="580"/>
      <c r="V23" s="577"/>
      <c r="W23" s="577"/>
      <c r="X23" s="577"/>
      <c r="Y23" s="577"/>
    </row>
    <row r="24" spans="1:25" ht="18.95" customHeight="1">
      <c r="A24" s="125"/>
      <c r="B24" s="413"/>
      <c r="C24" s="585"/>
      <c r="D24" s="585"/>
      <c r="E24" s="267"/>
      <c r="F24" s="269"/>
      <c r="G24" s="267"/>
      <c r="H24" s="267"/>
      <c r="I24" s="271"/>
      <c r="J24" s="269"/>
      <c r="K24" s="269"/>
      <c r="L24" s="271"/>
      <c r="M24" s="271"/>
      <c r="N24" s="269"/>
      <c r="O24" s="260"/>
      <c r="P24" s="260"/>
      <c r="Q24" s="583"/>
      <c r="R24" s="583"/>
      <c r="S24" s="583"/>
      <c r="T24" s="579"/>
      <c r="U24" s="580"/>
      <c r="V24" s="577"/>
      <c r="W24" s="577"/>
      <c r="X24" s="577"/>
      <c r="Y24" s="577"/>
    </row>
    <row r="25" spans="1:25" ht="18.95" customHeight="1">
      <c r="A25" s="587">
        <v>1</v>
      </c>
      <c r="B25" s="588" t="s">
        <v>1748</v>
      </c>
      <c r="C25" s="589"/>
      <c r="D25" s="230"/>
      <c r="E25" s="267"/>
      <c r="F25" s="561"/>
      <c r="G25" s="267"/>
      <c r="H25" s="267"/>
      <c r="I25" s="267"/>
      <c r="J25" s="267"/>
      <c r="K25" s="267"/>
      <c r="L25" s="267"/>
      <c r="M25" s="267"/>
      <c r="N25" s="269"/>
      <c r="O25" s="260"/>
      <c r="P25" s="260"/>
      <c r="Q25" s="583"/>
      <c r="R25" s="583"/>
      <c r="S25" s="583"/>
      <c r="T25" s="579"/>
      <c r="U25" s="580"/>
      <c r="V25" s="577"/>
      <c r="W25" s="577"/>
      <c r="X25" s="577"/>
      <c r="Y25" s="577"/>
    </row>
    <row r="26" spans="1:25" ht="18.95" customHeight="1">
      <c r="A26" s="587"/>
      <c r="B26" s="588"/>
      <c r="C26" s="589"/>
      <c r="D26" s="230"/>
      <c r="E26" s="267"/>
      <c r="F26" s="561"/>
      <c r="G26" s="267"/>
      <c r="H26" s="267"/>
      <c r="I26" s="267"/>
      <c r="J26" s="267"/>
      <c r="K26" s="267"/>
      <c r="L26" s="267"/>
      <c r="M26" s="267"/>
      <c r="N26" s="269"/>
      <c r="O26" s="260"/>
      <c r="P26" s="260"/>
      <c r="Q26" s="583"/>
      <c r="R26" s="583"/>
      <c r="S26" s="583"/>
      <c r="T26" s="579"/>
      <c r="U26" s="580"/>
      <c r="V26" s="577"/>
      <c r="W26" s="577"/>
      <c r="X26" s="577"/>
      <c r="Y26" s="577"/>
    </row>
    <row r="27" spans="1:25" ht="18.95" customHeight="1">
      <c r="A27" s="587"/>
      <c r="B27" s="588" t="s">
        <v>1657</v>
      </c>
      <c r="C27" s="589"/>
      <c r="D27" s="230"/>
      <c r="E27" s="267"/>
      <c r="F27" s="561"/>
      <c r="G27" s="267"/>
      <c r="H27" s="267"/>
      <c r="I27" s="267"/>
      <c r="J27" s="267"/>
      <c r="K27" s="267"/>
      <c r="L27" s="267"/>
      <c r="M27" s="267"/>
      <c r="N27" s="269"/>
      <c r="O27" s="260"/>
      <c r="P27" s="260"/>
      <c r="Q27" s="583"/>
      <c r="R27" s="583"/>
      <c r="S27" s="583"/>
      <c r="T27" s="579"/>
      <c r="U27" s="580"/>
      <c r="V27" s="577"/>
      <c r="W27" s="577"/>
      <c r="X27" s="577"/>
      <c r="Y27" s="577"/>
    </row>
    <row r="28" spans="1:25" ht="18.95" customHeight="1">
      <c r="A28" s="154"/>
      <c r="B28" s="590">
        <v>1.1000000000000001</v>
      </c>
      <c r="C28" s="244" t="s">
        <v>1755</v>
      </c>
      <c r="D28" s="230"/>
      <c r="E28" s="267"/>
      <c r="F28" s="561"/>
      <c r="G28" s="267"/>
      <c r="H28" s="267"/>
      <c r="I28" s="267"/>
      <c r="J28" s="267"/>
      <c r="K28" s="267"/>
      <c r="L28" s="267"/>
      <c r="M28" s="267"/>
      <c r="N28" s="269"/>
      <c r="O28" s="260"/>
      <c r="P28" s="260"/>
      <c r="Q28" s="583"/>
      <c r="R28" s="583"/>
      <c r="S28" s="583"/>
      <c r="T28" s="579"/>
      <c r="U28" s="580"/>
      <c r="V28" s="577"/>
      <c r="W28" s="577"/>
      <c r="X28" s="577"/>
      <c r="Y28" s="577"/>
    </row>
    <row r="29" spans="1:25" ht="18.95" customHeight="1">
      <c r="A29" s="154"/>
      <c r="B29" s="591"/>
      <c r="C29" s="244" t="s">
        <v>1756</v>
      </c>
      <c r="D29" s="230"/>
      <c r="E29" s="267">
        <v>1</v>
      </c>
      <c r="F29" s="561" t="s">
        <v>402</v>
      </c>
      <c r="G29" s="269">
        <v>577000</v>
      </c>
      <c r="H29" s="269">
        <f>G29*O29</f>
        <v>539441.94311899994</v>
      </c>
      <c r="I29" s="269">
        <f>E29*H29</f>
        <v>539441.94311899994</v>
      </c>
      <c r="J29" s="267">
        <v>8500</v>
      </c>
      <c r="K29" s="267">
        <f>J29*O29</f>
        <v>7946.7183994999996</v>
      </c>
      <c r="L29" s="267">
        <f>E29*K29</f>
        <v>7946.7183994999996</v>
      </c>
      <c r="M29" s="267">
        <f>I29+L29</f>
        <v>547388.66151849995</v>
      </c>
      <c r="N29" s="267"/>
      <c r="O29" s="1174">
        <v>0.93490804699999996</v>
      </c>
      <c r="P29" s="260"/>
      <c r="Q29" s="583"/>
      <c r="R29" s="583"/>
      <c r="S29" s="583"/>
      <c r="T29" s="579"/>
      <c r="U29" s="580"/>
      <c r="V29" s="592"/>
      <c r="W29" s="592"/>
      <c r="X29" s="577"/>
      <c r="Y29" s="577"/>
    </row>
    <row r="30" spans="1:25" ht="18.95" customHeight="1">
      <c r="A30" s="154"/>
      <c r="B30" s="591"/>
      <c r="C30" s="244" t="s">
        <v>1757</v>
      </c>
      <c r="D30" s="230"/>
      <c r="E30" s="267">
        <v>1</v>
      </c>
      <c r="F30" s="561" t="s">
        <v>402</v>
      </c>
      <c r="G30" s="269">
        <v>240570</v>
      </c>
      <c r="H30" s="269">
        <f>G30*O30</f>
        <v>224910.82886678999</v>
      </c>
      <c r="I30" s="269">
        <f>E30*H30</f>
        <v>224910.82886678999</v>
      </c>
      <c r="J30" s="267">
        <v>6000</v>
      </c>
      <c r="K30" s="267">
        <f>J30*O30</f>
        <v>5609.4482819999994</v>
      </c>
      <c r="L30" s="267">
        <f>E30*K30</f>
        <v>5609.4482819999994</v>
      </c>
      <c r="M30" s="267">
        <f>I30+L30</f>
        <v>230520.27714878999</v>
      </c>
      <c r="N30" s="267"/>
      <c r="O30" s="1174">
        <v>0.93490804699999996</v>
      </c>
      <c r="P30" s="260"/>
      <c r="Q30" s="583"/>
      <c r="R30" s="583"/>
      <c r="S30" s="583"/>
      <c r="T30" s="593"/>
      <c r="U30" s="577"/>
      <c r="V30" s="577"/>
      <c r="W30" s="577"/>
      <c r="X30" s="577"/>
      <c r="Y30" s="577"/>
    </row>
    <row r="31" spans="1:25" ht="18.95" customHeight="1">
      <c r="A31" s="154"/>
      <c r="B31" s="591"/>
      <c r="C31" s="244" t="s">
        <v>1758</v>
      </c>
      <c r="D31" s="230"/>
      <c r="E31" s="267">
        <v>1</v>
      </c>
      <c r="F31" s="356" t="s">
        <v>402</v>
      </c>
      <c r="G31" s="269"/>
      <c r="H31" s="269"/>
      <c r="I31" s="269">
        <f>ROUNDDOWN(E31*G31,2)</f>
        <v>0</v>
      </c>
      <c r="J31" s="267"/>
      <c r="K31" s="267"/>
      <c r="L31" s="267"/>
      <c r="M31" s="270">
        <f>I31+L31</f>
        <v>0</v>
      </c>
      <c r="N31" s="269" t="s">
        <v>1759</v>
      </c>
      <c r="O31" s="1174">
        <v>0.93490804699999996</v>
      </c>
      <c r="Q31" s="583"/>
      <c r="R31" s="583"/>
      <c r="S31" s="583"/>
      <c r="T31" s="579"/>
      <c r="U31" s="580"/>
      <c r="V31" s="577"/>
      <c r="W31" s="577"/>
      <c r="X31" s="577"/>
      <c r="Y31" s="577"/>
    </row>
    <row r="32" spans="1:25" ht="18.95" customHeight="1">
      <c r="A32" s="154"/>
      <c r="B32" s="588" t="s">
        <v>1760</v>
      </c>
      <c r="C32" s="244"/>
      <c r="D32" s="230"/>
      <c r="E32" s="267"/>
      <c r="F32" s="561"/>
      <c r="G32" s="267"/>
      <c r="H32" s="267"/>
      <c r="I32" s="267"/>
      <c r="J32" s="267"/>
      <c r="K32" s="267"/>
      <c r="L32" s="267"/>
      <c r="M32" s="267"/>
      <c r="N32" s="267"/>
      <c r="O32" s="1174">
        <v>0.93490804699999996</v>
      </c>
      <c r="Q32" s="583"/>
      <c r="R32" s="583"/>
      <c r="S32" s="583"/>
      <c r="T32" s="579"/>
      <c r="U32" s="580"/>
      <c r="V32" s="577"/>
      <c r="W32" s="577"/>
      <c r="X32" s="577"/>
      <c r="Y32" s="577"/>
    </row>
    <row r="33" spans="1:45" ht="18.95" customHeight="1">
      <c r="A33" s="154"/>
      <c r="B33" s="590">
        <v>1.2</v>
      </c>
      <c r="C33" s="244" t="s">
        <v>1761</v>
      </c>
      <c r="D33" s="230"/>
      <c r="E33" s="267"/>
      <c r="F33" s="561"/>
      <c r="G33" s="267"/>
      <c r="H33" s="267"/>
      <c r="I33" s="267"/>
      <c r="J33" s="267"/>
      <c r="K33" s="267"/>
      <c r="L33" s="267"/>
      <c r="M33" s="267"/>
      <c r="N33" s="267"/>
      <c r="O33" s="1174">
        <v>0.93490804699999996</v>
      </c>
      <c r="P33" s="1168"/>
      <c r="Q33" s="583"/>
      <c r="R33" s="583"/>
      <c r="S33" s="583"/>
      <c r="T33" s="579"/>
      <c r="U33" s="580"/>
      <c r="V33" s="577"/>
      <c r="W33" s="577"/>
      <c r="X33" s="577"/>
      <c r="Y33" s="577"/>
    </row>
    <row r="34" spans="1:45" ht="18.95" customHeight="1">
      <c r="A34" s="154"/>
      <c r="B34" s="591"/>
      <c r="C34" s="244" t="s">
        <v>1762</v>
      </c>
      <c r="D34" s="230"/>
      <c r="E34" s="267">
        <v>30</v>
      </c>
      <c r="F34" s="561" t="s">
        <v>1079</v>
      </c>
      <c r="G34" s="269">
        <v>35</v>
      </c>
      <c r="H34" s="269">
        <f>G34*O34</f>
        <v>32.721781645</v>
      </c>
      <c r="I34" s="269">
        <f>E34*H34</f>
        <v>981.65344934999996</v>
      </c>
      <c r="J34" s="267">
        <v>30</v>
      </c>
      <c r="K34" s="267">
        <f>J34*O34</f>
        <v>28.047241409999998</v>
      </c>
      <c r="L34" s="267">
        <f t="shared" ref="L34:L42" si="2">E34*K34</f>
        <v>841.4172423</v>
      </c>
      <c r="M34" s="267">
        <f t="shared" ref="M34:M42" si="3">I34+L34</f>
        <v>1823.0706916499998</v>
      </c>
      <c r="N34" s="267"/>
      <c r="O34" s="1174">
        <v>0.93490804699999996</v>
      </c>
      <c r="P34" s="1168"/>
      <c r="Q34" s="583"/>
      <c r="R34" s="583"/>
      <c r="S34" s="583"/>
      <c r="T34" s="579"/>
      <c r="U34" s="580"/>
      <c r="V34" s="577"/>
      <c r="W34" s="577"/>
      <c r="X34" s="577"/>
      <c r="Y34" s="577"/>
    </row>
    <row r="35" spans="1:45" ht="18.95" customHeight="1">
      <c r="A35" s="154"/>
      <c r="B35" s="591"/>
      <c r="C35" s="244" t="s">
        <v>1763</v>
      </c>
      <c r="D35" s="230"/>
      <c r="E35" s="267">
        <v>334</v>
      </c>
      <c r="F35" s="561" t="s">
        <v>1079</v>
      </c>
      <c r="G35" s="269">
        <v>46</v>
      </c>
      <c r="H35" s="269">
        <f t="shared" ref="H35:H42" si="4">G35*O35</f>
        <v>43.005770161999997</v>
      </c>
      <c r="I35" s="269">
        <f t="shared" ref="I35:I42" si="5">E35*H35</f>
        <v>14363.927234108</v>
      </c>
      <c r="J35" s="267">
        <v>30</v>
      </c>
      <c r="K35" s="267">
        <f>J35*O35</f>
        <v>28.047241409999998</v>
      </c>
      <c r="L35" s="267">
        <f t="shared" si="2"/>
        <v>9367.7786309399999</v>
      </c>
      <c r="M35" s="267">
        <f t="shared" si="3"/>
        <v>23731.705865047999</v>
      </c>
      <c r="N35" s="267"/>
      <c r="O35" s="1174">
        <v>0.93490804699999996</v>
      </c>
      <c r="P35" s="1168"/>
      <c r="Q35" s="583" t="s">
        <v>1764</v>
      </c>
      <c r="R35" s="967">
        <v>46</v>
      </c>
      <c r="S35" s="583"/>
      <c r="T35" s="579"/>
      <c r="U35" s="580"/>
      <c r="V35" s="577"/>
      <c r="W35" s="577"/>
      <c r="X35" s="577"/>
      <c r="Y35" s="577"/>
    </row>
    <row r="36" spans="1:45" ht="18.95" customHeight="1">
      <c r="A36" s="154"/>
      <c r="B36" s="591"/>
      <c r="C36" s="244" t="s">
        <v>1765</v>
      </c>
      <c r="D36" s="230"/>
      <c r="E36" s="267">
        <v>275</v>
      </c>
      <c r="F36" s="561" t="s">
        <v>1079</v>
      </c>
      <c r="G36" s="269">
        <v>76</v>
      </c>
      <c r="H36" s="269">
        <f t="shared" si="4"/>
        <v>71.053011572000003</v>
      </c>
      <c r="I36" s="269">
        <f t="shared" si="5"/>
        <v>19539.5781823</v>
      </c>
      <c r="J36" s="267">
        <v>30</v>
      </c>
      <c r="K36" s="267">
        <f t="shared" ref="K36:K42" si="6">J36*O36</f>
        <v>28.047241409999998</v>
      </c>
      <c r="L36" s="267">
        <f t="shared" si="2"/>
        <v>7712.9913877499994</v>
      </c>
      <c r="M36" s="267">
        <f t="shared" si="3"/>
        <v>27252.56957005</v>
      </c>
      <c r="N36" s="267"/>
      <c r="O36" s="1174">
        <v>0.93490804699999996</v>
      </c>
      <c r="P36" s="1168"/>
      <c r="Q36" s="583" t="s">
        <v>1764</v>
      </c>
      <c r="R36" s="967">
        <v>76</v>
      </c>
      <c r="S36" s="583"/>
      <c r="T36" s="577"/>
      <c r="U36" s="577"/>
      <c r="V36" s="577"/>
      <c r="W36" s="577"/>
      <c r="X36" s="577"/>
      <c r="Y36" s="577"/>
    </row>
    <row r="37" spans="1:45" ht="18.95" customHeight="1">
      <c r="A37" s="154"/>
      <c r="B37" s="591"/>
      <c r="C37" s="244" t="s">
        <v>1766</v>
      </c>
      <c r="D37" s="230"/>
      <c r="E37" s="267">
        <v>0</v>
      </c>
      <c r="F37" s="561" t="s">
        <v>1079</v>
      </c>
      <c r="G37" s="267">
        <v>113</v>
      </c>
      <c r="H37" s="269">
        <f t="shared" si="4"/>
        <v>105.644609311</v>
      </c>
      <c r="I37" s="269">
        <f t="shared" si="5"/>
        <v>0</v>
      </c>
      <c r="J37" s="267">
        <v>30</v>
      </c>
      <c r="K37" s="267">
        <f t="shared" si="6"/>
        <v>28.047241409999998</v>
      </c>
      <c r="L37" s="267">
        <f t="shared" si="2"/>
        <v>0</v>
      </c>
      <c r="M37" s="267">
        <f t="shared" si="3"/>
        <v>0</v>
      </c>
      <c r="N37" s="267"/>
      <c r="O37" s="1174">
        <v>0.93490804699999996</v>
      </c>
      <c r="P37" s="1168"/>
      <c r="Q37" s="583" t="s">
        <v>1764</v>
      </c>
      <c r="R37" s="616">
        <v>113</v>
      </c>
      <c r="S37" s="583"/>
      <c r="T37" s="577"/>
      <c r="U37" s="577"/>
      <c r="V37" s="577"/>
      <c r="W37" s="577"/>
      <c r="X37" s="577"/>
      <c r="Y37" s="577"/>
    </row>
    <row r="38" spans="1:45" ht="18.95" customHeight="1">
      <c r="A38" s="154"/>
      <c r="B38" s="591"/>
      <c r="C38" s="244" t="s">
        <v>1767</v>
      </c>
      <c r="D38" s="230"/>
      <c r="E38" s="267">
        <v>163</v>
      </c>
      <c r="F38" s="561" t="s">
        <v>1079</v>
      </c>
      <c r="G38" s="269">
        <v>180</v>
      </c>
      <c r="H38" s="269">
        <f t="shared" si="4"/>
        <v>168.28344845999999</v>
      </c>
      <c r="I38" s="269">
        <f t="shared" si="5"/>
        <v>27430.202098979997</v>
      </c>
      <c r="J38" s="267">
        <v>50</v>
      </c>
      <c r="K38" s="267">
        <f t="shared" si="6"/>
        <v>46.745402349999999</v>
      </c>
      <c r="L38" s="267">
        <f t="shared" si="2"/>
        <v>7619.5005830499995</v>
      </c>
      <c r="M38" s="267">
        <f t="shared" si="3"/>
        <v>35049.702682029994</v>
      </c>
      <c r="N38" s="267"/>
      <c r="O38" s="1174">
        <v>0.93490804699999996</v>
      </c>
      <c r="P38" s="1168"/>
      <c r="Q38" s="583" t="s">
        <v>1764</v>
      </c>
      <c r="R38" s="967">
        <v>180</v>
      </c>
      <c r="S38" s="583"/>
      <c r="T38" s="577"/>
      <c r="U38" s="577"/>
      <c r="V38" s="577"/>
      <c r="W38" s="577"/>
      <c r="X38" s="577"/>
      <c r="Y38" s="577"/>
    </row>
    <row r="39" spans="1:45" s="407" customFormat="1" ht="18.95" customHeight="1">
      <c r="A39" s="154"/>
      <c r="B39" s="591"/>
      <c r="C39" s="244" t="s">
        <v>1768</v>
      </c>
      <c r="D39" s="230"/>
      <c r="E39" s="267">
        <v>73</v>
      </c>
      <c r="F39" s="561" t="s">
        <v>1079</v>
      </c>
      <c r="G39" s="269">
        <v>287</v>
      </c>
      <c r="H39" s="269">
        <f t="shared" si="4"/>
        <v>268.31860948899998</v>
      </c>
      <c r="I39" s="269">
        <f t="shared" si="5"/>
        <v>19587.258492696998</v>
      </c>
      <c r="J39" s="267">
        <v>75</v>
      </c>
      <c r="K39" s="267">
        <f t="shared" si="6"/>
        <v>70.118103524999995</v>
      </c>
      <c r="L39" s="267">
        <f t="shared" si="2"/>
        <v>5118.6215573249992</v>
      </c>
      <c r="M39" s="267">
        <f t="shared" si="3"/>
        <v>24705.880050021995</v>
      </c>
      <c r="N39" s="269"/>
      <c r="O39" s="1174">
        <v>0.93490804699999996</v>
      </c>
      <c r="P39" s="1169"/>
      <c r="Q39" s="583" t="s">
        <v>1764</v>
      </c>
      <c r="R39" s="967">
        <v>287</v>
      </c>
      <c r="S39" s="583"/>
      <c r="T39" s="577"/>
      <c r="U39" s="577"/>
      <c r="V39" s="577"/>
      <c r="W39" s="577"/>
      <c r="X39" s="577"/>
      <c r="Y39" s="577"/>
      <c r="Z39" s="250"/>
      <c r="AA39" s="250"/>
      <c r="AB39" s="250"/>
      <c r="AC39" s="250"/>
      <c r="AM39" s="250"/>
      <c r="AN39" s="250"/>
      <c r="AO39" s="250"/>
      <c r="AP39" s="250"/>
      <c r="AQ39" s="250"/>
      <c r="AR39" s="250"/>
      <c r="AS39" s="250"/>
    </row>
    <row r="40" spans="1:45" s="407" customFormat="1" ht="18.95" customHeight="1">
      <c r="A40" s="154"/>
      <c r="B40" s="591"/>
      <c r="C40" s="244" t="s">
        <v>1769</v>
      </c>
      <c r="D40" s="230"/>
      <c r="E40" s="267">
        <v>53</v>
      </c>
      <c r="F40" s="561" t="s">
        <v>1079</v>
      </c>
      <c r="G40" s="267">
        <v>402</v>
      </c>
      <c r="H40" s="269">
        <f t="shared" si="4"/>
        <v>375.83303489399998</v>
      </c>
      <c r="I40" s="269">
        <f t="shared" si="5"/>
        <v>19919.150849382</v>
      </c>
      <c r="J40" s="267">
        <v>100</v>
      </c>
      <c r="K40" s="267">
        <f t="shared" si="6"/>
        <v>93.490804699999998</v>
      </c>
      <c r="L40" s="267">
        <f t="shared" si="2"/>
        <v>4955.0126491000001</v>
      </c>
      <c r="M40" s="267">
        <f t="shared" si="3"/>
        <v>24874.163498482001</v>
      </c>
      <c r="N40" s="269"/>
      <c r="O40" s="1174">
        <v>0.93490804699999996</v>
      </c>
      <c r="P40" s="1169"/>
      <c r="Q40" s="583" t="s">
        <v>1764</v>
      </c>
      <c r="R40" s="616">
        <v>402</v>
      </c>
      <c r="S40" s="583"/>
      <c r="T40" s="577"/>
      <c r="U40" s="577"/>
      <c r="V40" s="577"/>
      <c r="W40" s="577"/>
      <c r="X40" s="577"/>
      <c r="Y40" s="577"/>
      <c r="Z40" s="250"/>
      <c r="AA40" s="250"/>
      <c r="AB40" s="250"/>
      <c r="AC40" s="250"/>
      <c r="AM40" s="250"/>
      <c r="AN40" s="250"/>
      <c r="AO40" s="250"/>
      <c r="AP40" s="250"/>
      <c r="AQ40" s="250"/>
      <c r="AR40" s="250"/>
      <c r="AS40" s="250"/>
    </row>
    <row r="41" spans="1:45" s="407" customFormat="1" ht="18.95" customHeight="1">
      <c r="A41" s="154"/>
      <c r="B41" s="591"/>
      <c r="C41" s="244" t="s">
        <v>1770</v>
      </c>
      <c r="D41" s="230"/>
      <c r="E41" s="267">
        <v>56</v>
      </c>
      <c r="F41" s="561" t="s">
        <v>1079</v>
      </c>
      <c r="G41" s="269">
        <v>562</v>
      </c>
      <c r="H41" s="269">
        <f t="shared" si="4"/>
        <v>525.41832241399993</v>
      </c>
      <c r="I41" s="269">
        <f t="shared" si="5"/>
        <v>29423.426055183998</v>
      </c>
      <c r="J41" s="267">
        <v>120</v>
      </c>
      <c r="K41" s="267">
        <f t="shared" si="6"/>
        <v>112.18896563999999</v>
      </c>
      <c r="L41" s="267">
        <f t="shared" si="2"/>
        <v>6282.5820758399996</v>
      </c>
      <c r="M41" s="267">
        <f t="shared" si="3"/>
        <v>35706.008131023998</v>
      </c>
      <c r="N41" s="269"/>
      <c r="O41" s="1174">
        <v>0.93490804699999996</v>
      </c>
      <c r="P41" s="1169"/>
      <c r="Q41" s="583" t="s">
        <v>1764</v>
      </c>
      <c r="R41" s="967">
        <v>562</v>
      </c>
      <c r="S41" s="583"/>
      <c r="T41" s="577"/>
      <c r="U41" s="577"/>
      <c r="V41" s="577"/>
      <c r="W41" s="577"/>
      <c r="X41" s="577"/>
      <c r="Y41" s="577"/>
      <c r="Z41" s="250"/>
      <c r="AA41" s="250"/>
      <c r="AB41" s="250"/>
      <c r="AC41" s="250"/>
      <c r="AM41" s="250"/>
      <c r="AN41" s="250"/>
      <c r="AO41" s="250"/>
      <c r="AP41" s="250"/>
      <c r="AQ41" s="250"/>
      <c r="AR41" s="250"/>
      <c r="AS41" s="250"/>
    </row>
    <row r="42" spans="1:45" s="407" customFormat="1" ht="18.95" customHeight="1">
      <c r="A42" s="154"/>
      <c r="B42" s="591"/>
      <c r="C42" s="244" t="s">
        <v>1771</v>
      </c>
      <c r="D42" s="230"/>
      <c r="E42" s="267">
        <v>9</v>
      </c>
      <c r="F42" s="561" t="s">
        <v>1079</v>
      </c>
      <c r="G42" s="543">
        <v>834</v>
      </c>
      <c r="H42" s="269">
        <f t="shared" si="4"/>
        <v>779.71331119799993</v>
      </c>
      <c r="I42" s="269">
        <f t="shared" si="5"/>
        <v>7017.4198007819996</v>
      </c>
      <c r="J42" s="544">
        <v>150</v>
      </c>
      <c r="K42" s="267">
        <f t="shared" si="6"/>
        <v>140.23620704999999</v>
      </c>
      <c r="L42" s="267">
        <f t="shared" si="2"/>
        <v>1262.12586345</v>
      </c>
      <c r="M42" s="544">
        <f t="shared" si="3"/>
        <v>8279.5456642319987</v>
      </c>
      <c r="N42" s="269"/>
      <c r="O42" s="1174">
        <v>0.93490804699999996</v>
      </c>
      <c r="P42" s="1169"/>
      <c r="Q42" s="583" t="s">
        <v>1764</v>
      </c>
      <c r="R42" s="282">
        <v>643</v>
      </c>
      <c r="S42" s="583"/>
      <c r="T42" s="583"/>
      <c r="U42" s="577"/>
      <c r="V42" s="577"/>
      <c r="W42" s="577"/>
      <c r="X42" s="577"/>
      <c r="Y42" s="577"/>
      <c r="Z42" s="250"/>
      <c r="AA42" s="250"/>
      <c r="AB42" s="250"/>
      <c r="AC42" s="250"/>
      <c r="AM42" s="250"/>
      <c r="AN42" s="250"/>
      <c r="AO42" s="250"/>
      <c r="AP42" s="250"/>
      <c r="AQ42" s="250"/>
      <c r="AR42" s="250"/>
      <c r="AS42" s="250"/>
    </row>
    <row r="43" spans="1:45" s="407" customFormat="1" ht="18.95" customHeight="1">
      <c r="A43" s="154"/>
      <c r="B43" s="590">
        <v>1.3</v>
      </c>
      <c r="C43" s="244" t="s">
        <v>1772</v>
      </c>
      <c r="D43" s="230"/>
      <c r="E43" s="267"/>
      <c r="F43" s="561"/>
      <c r="G43" s="269"/>
      <c r="H43" s="269"/>
      <c r="I43" s="269"/>
      <c r="J43" s="267"/>
      <c r="K43" s="267"/>
      <c r="L43" s="267"/>
      <c r="M43" s="267"/>
      <c r="N43" s="269"/>
      <c r="O43" s="1174">
        <v>0.93490804699999996</v>
      </c>
      <c r="P43" s="1169"/>
      <c r="Q43" s="583"/>
      <c r="R43" s="583"/>
      <c r="S43" s="583"/>
      <c r="T43" s="579"/>
      <c r="U43" s="580"/>
      <c r="V43" s="577"/>
      <c r="W43" s="577"/>
      <c r="X43" s="577"/>
      <c r="Y43" s="577"/>
      <c r="Z43" s="250"/>
      <c r="AA43" s="250"/>
      <c r="AB43" s="250"/>
      <c r="AC43" s="250"/>
      <c r="AM43" s="250"/>
      <c r="AN43" s="250"/>
      <c r="AO43" s="250"/>
      <c r="AP43" s="250"/>
      <c r="AQ43" s="250"/>
      <c r="AR43" s="250"/>
      <c r="AS43" s="250"/>
    </row>
    <row r="44" spans="1:45" s="407" customFormat="1" ht="18.95" customHeight="1">
      <c r="A44" s="154"/>
      <c r="B44" s="591"/>
      <c r="C44" s="244" t="s">
        <v>1765</v>
      </c>
      <c r="D44" s="230"/>
      <c r="E44" s="267">
        <v>0</v>
      </c>
      <c r="F44" s="561" t="s">
        <v>1079</v>
      </c>
      <c r="G44" s="968">
        <v>33</v>
      </c>
      <c r="H44" s="968"/>
      <c r="I44" s="267">
        <f t="shared" ref="I44:I48" si="7">ROUNDDOWN(E44*G44,2)</f>
        <v>0</v>
      </c>
      <c r="J44" s="267">
        <v>30</v>
      </c>
      <c r="K44" s="267"/>
      <c r="L44" s="267">
        <f t="shared" ref="L44:L46" si="8">ROUNDDOWN(E44*J44,2)</f>
        <v>0</v>
      </c>
      <c r="M44" s="267">
        <f t="shared" ref="M44:M51" si="9">I44+L44</f>
        <v>0</v>
      </c>
      <c r="N44" s="269"/>
      <c r="O44" s="1174">
        <v>0.93490804699999996</v>
      </c>
      <c r="P44" s="1169"/>
      <c r="Q44" s="583" t="s">
        <v>1773</v>
      </c>
      <c r="R44" s="969">
        <v>33</v>
      </c>
      <c r="S44" s="583"/>
      <c r="T44" s="579"/>
      <c r="U44" s="580"/>
      <c r="V44" s="577"/>
      <c r="W44" s="577"/>
      <c r="X44" s="577"/>
      <c r="Y44" s="577"/>
      <c r="Z44" s="250"/>
      <c r="AA44" s="250"/>
      <c r="AB44" s="250"/>
      <c r="AC44" s="250"/>
      <c r="AM44" s="250"/>
      <c r="AN44" s="250"/>
      <c r="AO44" s="250"/>
      <c r="AP44" s="250"/>
      <c r="AQ44" s="250"/>
      <c r="AR44" s="250"/>
      <c r="AS44" s="250"/>
    </row>
    <row r="45" spans="1:45" s="407" customFormat="1" ht="18.95" customHeight="1">
      <c r="A45" s="154"/>
      <c r="B45" s="591"/>
      <c r="C45" s="244" t="s">
        <v>1768</v>
      </c>
      <c r="D45" s="230"/>
      <c r="E45" s="267">
        <v>0</v>
      </c>
      <c r="F45" s="561" t="s">
        <v>1079</v>
      </c>
      <c r="G45" s="968">
        <v>117.7</v>
      </c>
      <c r="H45" s="968"/>
      <c r="I45" s="267">
        <f t="shared" si="7"/>
        <v>0</v>
      </c>
      <c r="J45" s="267">
        <v>75</v>
      </c>
      <c r="K45" s="267"/>
      <c r="L45" s="267">
        <f t="shared" si="8"/>
        <v>0</v>
      </c>
      <c r="M45" s="267">
        <f t="shared" si="9"/>
        <v>0</v>
      </c>
      <c r="N45" s="269"/>
      <c r="O45" s="1174">
        <v>0.93490804699999996</v>
      </c>
      <c r="P45" s="1169"/>
      <c r="Q45" s="583" t="s">
        <v>1773</v>
      </c>
      <c r="R45" s="969">
        <v>73.7</v>
      </c>
      <c r="S45" s="583"/>
      <c r="T45" s="579"/>
      <c r="U45" s="580"/>
      <c r="V45" s="577"/>
      <c r="W45" s="577"/>
      <c r="X45" s="577"/>
      <c r="Y45" s="577"/>
      <c r="Z45" s="250"/>
      <c r="AA45" s="250"/>
      <c r="AB45" s="250"/>
      <c r="AC45" s="250"/>
      <c r="AM45" s="250"/>
      <c r="AN45" s="250"/>
      <c r="AO45" s="250"/>
      <c r="AP45" s="250"/>
      <c r="AQ45" s="250"/>
      <c r="AR45" s="250"/>
      <c r="AS45" s="250"/>
    </row>
    <row r="46" spans="1:45" s="407" customFormat="1" ht="18.95" customHeight="1">
      <c r="A46" s="154"/>
      <c r="B46" s="591"/>
      <c r="C46" s="244" t="s">
        <v>1769</v>
      </c>
      <c r="D46" s="230"/>
      <c r="E46" s="267">
        <v>0</v>
      </c>
      <c r="F46" s="561" t="s">
        <v>1079</v>
      </c>
      <c r="G46" s="968">
        <v>166.1</v>
      </c>
      <c r="H46" s="968"/>
      <c r="I46" s="267">
        <f t="shared" si="7"/>
        <v>0</v>
      </c>
      <c r="J46" s="267">
        <v>100</v>
      </c>
      <c r="K46" s="267"/>
      <c r="L46" s="267">
        <f t="shared" si="8"/>
        <v>0</v>
      </c>
      <c r="M46" s="267">
        <f t="shared" si="9"/>
        <v>0</v>
      </c>
      <c r="N46" s="269"/>
      <c r="O46" s="1174">
        <v>0.93490804699999996</v>
      </c>
      <c r="P46" s="1169"/>
      <c r="Q46" s="583" t="s">
        <v>1773</v>
      </c>
      <c r="R46" s="969">
        <v>117.7</v>
      </c>
      <c r="S46" s="583"/>
      <c r="T46" s="579"/>
      <c r="U46" s="580"/>
      <c r="V46" s="577"/>
      <c r="W46" s="577"/>
      <c r="X46" s="577"/>
      <c r="Y46" s="577"/>
      <c r="Z46" s="250"/>
      <c r="AA46" s="250"/>
      <c r="AB46" s="250"/>
      <c r="AC46" s="250"/>
      <c r="AM46" s="250"/>
      <c r="AN46" s="250"/>
      <c r="AO46" s="250"/>
      <c r="AP46" s="250"/>
      <c r="AQ46" s="250"/>
      <c r="AR46" s="250"/>
      <c r="AS46" s="250"/>
    </row>
    <row r="47" spans="1:45" s="407" customFormat="1" ht="18.95" customHeight="1">
      <c r="A47" s="154"/>
      <c r="B47" s="591"/>
      <c r="C47" s="244" t="s">
        <v>1770</v>
      </c>
      <c r="D47" s="230"/>
      <c r="E47" s="267">
        <v>69</v>
      </c>
      <c r="F47" s="561" t="s">
        <v>1079</v>
      </c>
      <c r="G47" s="968">
        <v>228.8</v>
      </c>
      <c r="H47" s="269">
        <f t="shared" ref="H47:H51" si="10">G47*O47</f>
        <v>213.90696115360001</v>
      </c>
      <c r="I47" s="269">
        <f t="shared" ref="I47" si="11">E47*H47</f>
        <v>14759.580319598401</v>
      </c>
      <c r="J47" s="267">
        <v>120</v>
      </c>
      <c r="K47" s="267">
        <f t="shared" ref="K47:K51" si="12">J47*O47</f>
        <v>112.18896563999999</v>
      </c>
      <c r="L47" s="267">
        <f t="shared" ref="L47:L51" si="13">E47*K47</f>
        <v>7741.0386291599998</v>
      </c>
      <c r="M47" s="267">
        <f t="shared" si="9"/>
        <v>22500.618948758402</v>
      </c>
      <c r="N47" s="269"/>
      <c r="O47" s="1174">
        <v>0.93490804699999996</v>
      </c>
      <c r="P47" s="1169"/>
      <c r="Q47" s="583" t="s">
        <v>1773</v>
      </c>
      <c r="R47" s="969">
        <v>166.1</v>
      </c>
      <c r="S47" s="583"/>
      <c r="T47" s="579"/>
      <c r="U47" s="580"/>
      <c r="V47" s="577"/>
      <c r="W47" s="577"/>
      <c r="X47" s="577"/>
      <c r="Y47" s="577"/>
      <c r="Z47" s="250"/>
      <c r="AA47" s="250"/>
      <c r="AB47" s="250"/>
      <c r="AC47" s="250"/>
      <c r="AM47" s="250"/>
      <c r="AN47" s="250"/>
      <c r="AO47" s="250"/>
      <c r="AP47" s="250"/>
      <c r="AQ47" s="250"/>
      <c r="AR47" s="250"/>
      <c r="AS47" s="250"/>
    </row>
    <row r="48" spans="1:45" s="407" customFormat="1" ht="18.95" customHeight="1">
      <c r="A48" s="154"/>
      <c r="B48" s="591"/>
      <c r="C48" s="244" t="s">
        <v>1771</v>
      </c>
      <c r="D48" s="230"/>
      <c r="E48" s="267">
        <v>0</v>
      </c>
      <c r="F48" s="561" t="s">
        <v>1079</v>
      </c>
      <c r="G48" s="968">
        <v>341</v>
      </c>
      <c r="H48" s="269">
        <f t="shared" si="10"/>
        <v>318.80364402699996</v>
      </c>
      <c r="I48" s="267">
        <f t="shared" si="7"/>
        <v>0</v>
      </c>
      <c r="J48" s="267">
        <v>150</v>
      </c>
      <c r="K48" s="267">
        <f t="shared" si="12"/>
        <v>140.23620704999999</v>
      </c>
      <c r="L48" s="267">
        <f t="shared" si="13"/>
        <v>0</v>
      </c>
      <c r="M48" s="267">
        <f t="shared" si="9"/>
        <v>0</v>
      </c>
      <c r="N48" s="269"/>
      <c r="O48" s="1174">
        <v>0.93490804699999996</v>
      </c>
      <c r="P48" s="1169"/>
      <c r="Q48" s="583" t="s">
        <v>1773</v>
      </c>
      <c r="R48" s="969">
        <v>228.8</v>
      </c>
      <c r="S48" s="583"/>
      <c r="T48" s="579"/>
      <c r="U48" s="580"/>
      <c r="V48" s="577"/>
      <c r="W48" s="577"/>
      <c r="X48" s="577"/>
      <c r="Y48" s="577"/>
      <c r="Z48" s="250"/>
      <c r="AA48" s="250"/>
      <c r="AB48" s="250"/>
      <c r="AC48" s="250"/>
      <c r="AM48" s="250"/>
      <c r="AN48" s="250"/>
      <c r="AO48" s="250"/>
      <c r="AP48" s="250"/>
      <c r="AQ48" s="250"/>
      <c r="AR48" s="250"/>
      <c r="AS48" s="250"/>
    </row>
    <row r="49" spans="1:45" s="407" customFormat="1" ht="18.95" customHeight="1">
      <c r="A49" s="595"/>
      <c r="B49" s="590">
        <v>1.4</v>
      </c>
      <c r="C49" s="244" t="s">
        <v>1774</v>
      </c>
      <c r="D49" s="230"/>
      <c r="E49" s="267">
        <v>1</v>
      </c>
      <c r="F49" s="561" t="s">
        <v>1321</v>
      </c>
      <c r="G49" s="267">
        <v>80979</v>
      </c>
      <c r="H49" s="269">
        <f t="shared" si="10"/>
        <v>75707.918738013002</v>
      </c>
      <c r="I49" s="269">
        <f t="shared" ref="I49:I51" si="14">E49*H49</f>
        <v>75707.918738013002</v>
      </c>
      <c r="J49" s="267">
        <v>24294</v>
      </c>
      <c r="K49" s="267">
        <f t="shared" si="12"/>
        <v>22712.656093817997</v>
      </c>
      <c r="L49" s="267">
        <f t="shared" si="13"/>
        <v>22712.656093817997</v>
      </c>
      <c r="M49" s="267">
        <f t="shared" si="9"/>
        <v>98420.574831831007</v>
      </c>
      <c r="N49" s="267"/>
      <c r="O49" s="1174">
        <v>0.93490804699999996</v>
      </c>
      <c r="P49" s="1169"/>
      <c r="Q49" s="583" t="s">
        <v>1773</v>
      </c>
      <c r="R49" s="969">
        <v>341</v>
      </c>
      <c r="S49" s="583"/>
      <c r="T49" s="579"/>
      <c r="U49" s="580"/>
      <c r="V49" s="577"/>
      <c r="W49" s="577"/>
      <c r="X49" s="577"/>
      <c r="Y49" s="577"/>
      <c r="Z49" s="250"/>
      <c r="AA49" s="250"/>
      <c r="AB49" s="250"/>
      <c r="AC49" s="250"/>
      <c r="AM49" s="250"/>
      <c r="AN49" s="250"/>
      <c r="AO49" s="250"/>
      <c r="AP49" s="250"/>
      <c r="AQ49" s="250"/>
      <c r="AR49" s="250"/>
      <c r="AS49" s="250"/>
    </row>
    <row r="50" spans="1:45" s="407" customFormat="1" ht="18.95" customHeight="1">
      <c r="A50" s="595"/>
      <c r="B50" s="590">
        <v>1.5</v>
      </c>
      <c r="C50" s="244" t="s">
        <v>1775</v>
      </c>
      <c r="D50" s="230"/>
      <c r="E50" s="267">
        <v>1</v>
      </c>
      <c r="F50" s="561" t="s">
        <v>1321</v>
      </c>
      <c r="G50" s="267">
        <v>32392</v>
      </c>
      <c r="H50" s="269">
        <f t="shared" si="10"/>
        <v>30283.541458423999</v>
      </c>
      <c r="I50" s="269">
        <f t="shared" si="14"/>
        <v>30283.541458423999</v>
      </c>
      <c r="J50" s="267">
        <v>9718</v>
      </c>
      <c r="K50" s="267">
        <f t="shared" si="12"/>
        <v>9085.436400745999</v>
      </c>
      <c r="L50" s="267">
        <f t="shared" si="13"/>
        <v>9085.436400745999</v>
      </c>
      <c r="M50" s="267">
        <f t="shared" si="9"/>
        <v>39368.977859170001</v>
      </c>
      <c r="N50" s="267"/>
      <c r="O50" s="1174">
        <v>0.93490804699999996</v>
      </c>
      <c r="P50" s="1169"/>
      <c r="Q50" s="583"/>
      <c r="R50" s="583"/>
      <c r="S50" s="583"/>
      <c r="T50" s="579"/>
      <c r="U50" s="580"/>
      <c r="V50" s="577"/>
      <c r="W50" s="577"/>
      <c r="X50" s="577"/>
      <c r="Y50" s="577"/>
      <c r="Z50" s="250"/>
      <c r="AA50" s="250"/>
      <c r="AB50" s="250"/>
      <c r="AC50" s="250"/>
      <c r="AM50" s="250"/>
      <c r="AN50" s="250"/>
      <c r="AO50" s="250"/>
      <c r="AP50" s="250"/>
      <c r="AQ50" s="250"/>
      <c r="AR50" s="250"/>
      <c r="AS50" s="250"/>
    </row>
    <row r="51" spans="1:45" s="407" customFormat="1" ht="18.95" customHeight="1">
      <c r="A51" s="595"/>
      <c r="B51" s="590">
        <v>1.6</v>
      </c>
      <c r="C51" s="244" t="s">
        <v>1776</v>
      </c>
      <c r="D51" s="230"/>
      <c r="E51" s="267">
        <v>1</v>
      </c>
      <c r="F51" s="561" t="s">
        <v>1321</v>
      </c>
      <c r="G51" s="267">
        <v>16196</v>
      </c>
      <c r="H51" s="269">
        <f t="shared" si="10"/>
        <v>15141.770729211999</v>
      </c>
      <c r="I51" s="269">
        <f t="shared" si="14"/>
        <v>15141.770729211999</v>
      </c>
      <c r="J51" s="267">
        <v>4859</v>
      </c>
      <c r="K51" s="267">
        <f t="shared" si="12"/>
        <v>4542.7182003729995</v>
      </c>
      <c r="L51" s="267">
        <f t="shared" si="13"/>
        <v>4542.7182003729995</v>
      </c>
      <c r="M51" s="267">
        <f t="shared" si="9"/>
        <v>19684.488929585001</v>
      </c>
      <c r="N51" s="267"/>
      <c r="O51" s="1174">
        <v>0.93490804699999996</v>
      </c>
      <c r="P51" s="1169"/>
      <c r="Q51" s="583"/>
      <c r="R51" s="583"/>
      <c r="S51" s="583"/>
      <c r="T51" s="579"/>
      <c r="U51" s="580"/>
      <c r="V51" s="577"/>
      <c r="W51" s="577"/>
      <c r="X51" s="577"/>
      <c r="Y51" s="577"/>
      <c r="Z51" s="250"/>
      <c r="AA51" s="250"/>
      <c r="AB51" s="250"/>
      <c r="AC51" s="250"/>
      <c r="AM51" s="250"/>
      <c r="AN51" s="250"/>
      <c r="AO51" s="250"/>
      <c r="AP51" s="250"/>
      <c r="AQ51" s="250"/>
      <c r="AR51" s="250"/>
      <c r="AS51" s="250"/>
    </row>
    <row r="52" spans="1:45" s="407" customFormat="1" ht="18.95" customHeight="1">
      <c r="A52" s="595"/>
      <c r="B52" s="596"/>
      <c r="C52" s="244"/>
      <c r="D52" s="230"/>
      <c r="E52" s="267"/>
      <c r="F52" s="561"/>
      <c r="G52" s="267"/>
      <c r="H52" s="267"/>
      <c r="I52" s="267"/>
      <c r="J52" s="267"/>
      <c r="K52" s="267"/>
      <c r="L52" s="267"/>
      <c r="M52" s="267"/>
      <c r="N52" s="267"/>
      <c r="O52" s="1174">
        <v>0.93490804699999996</v>
      </c>
      <c r="P52" s="1169"/>
      <c r="Q52" s="583"/>
      <c r="R52" s="583"/>
      <c r="S52" s="583"/>
      <c r="T52" s="579"/>
      <c r="U52" s="580"/>
      <c r="V52" s="577"/>
      <c r="W52" s="577"/>
      <c r="X52" s="577"/>
      <c r="Y52" s="577"/>
      <c r="Z52" s="250"/>
      <c r="AA52" s="250"/>
      <c r="AB52" s="250"/>
      <c r="AC52" s="250"/>
      <c r="AM52" s="250"/>
      <c r="AN52" s="250"/>
      <c r="AO52" s="250"/>
      <c r="AP52" s="250"/>
      <c r="AQ52" s="250"/>
      <c r="AR52" s="250"/>
      <c r="AS52" s="250"/>
    </row>
    <row r="53" spans="1:45" s="407" customFormat="1" ht="18.95" customHeight="1">
      <c r="A53" s="595"/>
      <c r="B53" s="588" t="s">
        <v>1777</v>
      </c>
      <c r="C53" s="244"/>
      <c r="D53" s="230"/>
      <c r="E53" s="267"/>
      <c r="F53" s="561"/>
      <c r="G53" s="267"/>
      <c r="H53" s="267"/>
      <c r="I53" s="267"/>
      <c r="J53" s="267"/>
      <c r="K53" s="267"/>
      <c r="L53" s="267"/>
      <c r="M53" s="267"/>
      <c r="N53" s="267"/>
      <c r="O53" s="1174">
        <v>0.93490804699999996</v>
      </c>
      <c r="P53" s="1169"/>
      <c r="Q53" s="583"/>
      <c r="R53" s="583"/>
      <c r="S53" s="583"/>
      <c r="T53" s="579"/>
      <c r="U53" s="580"/>
      <c r="V53" s="577"/>
      <c r="W53" s="577"/>
      <c r="X53" s="577"/>
      <c r="Y53" s="577"/>
      <c r="Z53" s="250"/>
      <c r="AA53" s="250"/>
      <c r="AB53" s="250"/>
      <c r="AC53" s="250"/>
      <c r="AM53" s="250"/>
      <c r="AN53" s="250"/>
      <c r="AO53" s="250"/>
      <c r="AP53" s="250"/>
      <c r="AQ53" s="250"/>
      <c r="AR53" s="250"/>
      <c r="AS53" s="250"/>
    </row>
    <row r="54" spans="1:45" s="407" customFormat="1" ht="18.95" customHeight="1">
      <c r="A54" s="154"/>
      <c r="B54" s="590">
        <v>1.7</v>
      </c>
      <c r="C54" s="244" t="s">
        <v>1778</v>
      </c>
      <c r="D54" s="230"/>
      <c r="E54" s="267"/>
      <c r="F54" s="561"/>
      <c r="G54" s="267"/>
      <c r="H54" s="267"/>
      <c r="I54" s="267"/>
      <c r="J54" s="267"/>
      <c r="K54" s="267"/>
      <c r="L54" s="267"/>
      <c r="M54" s="267"/>
      <c r="N54" s="269"/>
      <c r="O54" s="1174">
        <v>0.93490804699999996</v>
      </c>
      <c r="P54" s="1169"/>
      <c r="Q54" s="583"/>
      <c r="R54" s="583"/>
      <c r="S54" s="583"/>
      <c r="T54" s="579"/>
      <c r="U54" s="580"/>
      <c r="V54" s="577"/>
      <c r="W54" s="577"/>
      <c r="X54" s="577"/>
      <c r="Y54" s="577"/>
      <c r="Z54" s="250"/>
      <c r="AA54" s="250"/>
      <c r="AB54" s="250"/>
      <c r="AC54" s="250"/>
      <c r="AM54" s="250"/>
      <c r="AN54" s="250"/>
      <c r="AO54" s="250"/>
      <c r="AP54" s="250"/>
      <c r="AQ54" s="250"/>
      <c r="AR54" s="250"/>
      <c r="AS54" s="250"/>
    </row>
    <row r="55" spans="1:45" s="407" customFormat="1" ht="18.95" customHeight="1">
      <c r="A55" s="154"/>
      <c r="B55" s="591"/>
      <c r="C55" s="244" t="s">
        <v>1779</v>
      </c>
      <c r="D55" s="230"/>
      <c r="E55" s="267">
        <v>6</v>
      </c>
      <c r="F55" s="561" t="s">
        <v>402</v>
      </c>
      <c r="G55" s="267">
        <v>2260</v>
      </c>
      <c r="H55" s="269">
        <f t="shared" ref="H55:H56" si="15">G55*O55</f>
        <v>2112.89218622</v>
      </c>
      <c r="I55" s="269">
        <f t="shared" ref="I55:I56" si="16">E55*H55</f>
        <v>12677.353117319999</v>
      </c>
      <c r="J55" s="267">
        <v>600</v>
      </c>
      <c r="K55" s="267">
        <f t="shared" ref="K55:K77" si="17">J55*O55</f>
        <v>560.94482819999996</v>
      </c>
      <c r="L55" s="267">
        <f t="shared" ref="L55" si="18">E55*K55</f>
        <v>3365.6689692</v>
      </c>
      <c r="M55" s="267">
        <f>I55+L55</f>
        <v>16043.022086519999</v>
      </c>
      <c r="N55" s="269"/>
      <c r="O55" s="1174">
        <v>0.93490804699999996</v>
      </c>
      <c r="P55" s="1169"/>
      <c r="Q55" s="583"/>
      <c r="R55" s="583"/>
      <c r="S55" s="583"/>
      <c r="T55" s="579"/>
      <c r="U55" s="580"/>
      <c r="V55" s="597"/>
      <c r="W55" s="583"/>
      <c r="X55" s="579"/>
      <c r="Y55" s="580"/>
      <c r="Z55" s="250"/>
      <c r="AA55" s="250"/>
      <c r="AB55" s="250"/>
      <c r="AC55" s="250"/>
      <c r="AM55" s="250"/>
      <c r="AN55" s="250"/>
      <c r="AO55" s="250"/>
      <c r="AP55" s="250"/>
      <c r="AQ55" s="250"/>
      <c r="AR55" s="250"/>
      <c r="AS55" s="250"/>
    </row>
    <row r="56" spans="1:45" s="407" customFormat="1" ht="18.95" customHeight="1">
      <c r="A56" s="154"/>
      <c r="B56" s="591"/>
      <c r="C56" s="244" t="s">
        <v>1780</v>
      </c>
      <c r="D56" s="230"/>
      <c r="E56" s="267">
        <v>1</v>
      </c>
      <c r="F56" s="561" t="s">
        <v>402</v>
      </c>
      <c r="G56" s="267">
        <v>3245</v>
      </c>
      <c r="H56" s="269">
        <f t="shared" si="15"/>
        <v>3033.7766125149997</v>
      </c>
      <c r="I56" s="269">
        <f t="shared" si="16"/>
        <v>3033.7766125149997</v>
      </c>
      <c r="J56" s="267">
        <v>800</v>
      </c>
      <c r="K56" s="267">
        <f t="shared" si="17"/>
        <v>747.92643759999999</v>
      </c>
      <c r="L56" s="267">
        <f>E56*K56</f>
        <v>747.92643759999999</v>
      </c>
      <c r="M56" s="267">
        <f>I56+L56</f>
        <v>3781.7030501149998</v>
      </c>
      <c r="N56" s="269"/>
      <c r="O56" s="1174">
        <v>0.93490804699999996</v>
      </c>
      <c r="P56" s="1169"/>
      <c r="Q56" s="583"/>
      <c r="R56" s="583"/>
      <c r="S56" s="583"/>
      <c r="T56" s="579"/>
      <c r="U56" s="580"/>
      <c r="V56" s="577"/>
      <c r="W56" s="577"/>
      <c r="X56" s="577"/>
      <c r="Y56" s="577"/>
      <c r="Z56" s="250"/>
      <c r="AA56" s="250"/>
      <c r="AB56" s="250"/>
      <c r="AC56" s="250"/>
      <c r="AM56" s="250"/>
      <c r="AN56" s="250"/>
      <c r="AO56" s="250"/>
      <c r="AP56" s="250"/>
      <c r="AQ56" s="250"/>
      <c r="AR56" s="250"/>
      <c r="AS56" s="250"/>
    </row>
    <row r="57" spans="1:45" s="407" customFormat="1" ht="18.95" customHeight="1">
      <c r="A57" s="154"/>
      <c r="B57" s="590">
        <v>1.8</v>
      </c>
      <c r="C57" s="244" t="s">
        <v>1781</v>
      </c>
      <c r="D57" s="230"/>
      <c r="E57" s="267"/>
      <c r="F57" s="561"/>
      <c r="G57" s="267"/>
      <c r="H57" s="267"/>
      <c r="I57" s="267"/>
      <c r="J57" s="267"/>
      <c r="K57" s="267" t="s">
        <v>611</v>
      </c>
      <c r="L57" s="267"/>
      <c r="M57" s="267"/>
      <c r="N57" s="269"/>
      <c r="O57" s="1174">
        <v>0.93490804699999996</v>
      </c>
      <c r="P57" s="1169"/>
      <c r="Q57" s="583"/>
      <c r="R57" s="583"/>
      <c r="S57" s="583"/>
      <c r="T57" s="579"/>
      <c r="U57" s="580"/>
      <c r="V57" s="577"/>
      <c r="W57" s="577"/>
      <c r="X57" s="577"/>
      <c r="Y57" s="577"/>
      <c r="Z57" s="250"/>
      <c r="AA57" s="250"/>
      <c r="AB57" s="250"/>
      <c r="AC57" s="250"/>
      <c r="AM57" s="250"/>
      <c r="AN57" s="250"/>
      <c r="AO57" s="250"/>
      <c r="AP57" s="250"/>
      <c r="AQ57" s="250"/>
      <c r="AR57" s="250"/>
      <c r="AS57" s="250"/>
    </row>
    <row r="58" spans="1:45" s="407" customFormat="1" ht="18.95" customHeight="1">
      <c r="A58" s="154"/>
      <c r="B58" s="591"/>
      <c r="C58" s="244" t="s">
        <v>1779</v>
      </c>
      <c r="D58" s="230"/>
      <c r="E58" s="267">
        <v>1</v>
      </c>
      <c r="F58" s="561" t="s">
        <v>402</v>
      </c>
      <c r="G58" s="269">
        <v>5575</v>
      </c>
      <c r="H58" s="269">
        <f t="shared" ref="H58" si="19">G58*O58</f>
        <v>5212.112362025</v>
      </c>
      <c r="I58" s="269">
        <f t="shared" ref="I58" si="20">E58*H58</f>
        <v>5212.112362025</v>
      </c>
      <c r="J58" s="267">
        <v>400</v>
      </c>
      <c r="K58" s="267">
        <f t="shared" si="17"/>
        <v>373.96321879999999</v>
      </c>
      <c r="L58" s="267">
        <f t="shared" ref="L58:L77" si="21">E58*K58</f>
        <v>373.96321879999999</v>
      </c>
      <c r="M58" s="267">
        <f>I58+L58</f>
        <v>5586.0755808249996</v>
      </c>
      <c r="N58" s="269"/>
      <c r="O58" s="1174">
        <v>0.93490804699999996</v>
      </c>
      <c r="P58" s="1169"/>
      <c r="Q58" s="583"/>
      <c r="R58" s="583"/>
      <c r="S58" s="583"/>
      <c r="T58" s="579"/>
      <c r="U58" s="580"/>
      <c r="V58" s="577"/>
      <c r="W58" s="577"/>
      <c r="X58" s="577"/>
      <c r="Y58" s="577"/>
      <c r="Z58" s="250"/>
      <c r="AA58" s="250"/>
      <c r="AB58" s="250"/>
      <c r="AC58" s="250"/>
      <c r="AM58" s="250"/>
      <c r="AN58" s="250"/>
      <c r="AO58" s="250"/>
      <c r="AP58" s="250"/>
      <c r="AQ58" s="250"/>
      <c r="AR58" s="250"/>
      <c r="AS58" s="250"/>
    </row>
    <row r="59" spans="1:45" s="407" customFormat="1" ht="18.95" customHeight="1">
      <c r="A59" s="154"/>
      <c r="B59" s="598">
        <v>1.9</v>
      </c>
      <c r="C59" s="244" t="s">
        <v>1782</v>
      </c>
      <c r="D59" s="230"/>
      <c r="E59" s="267"/>
      <c r="F59" s="561"/>
      <c r="G59" s="269"/>
      <c r="H59" s="269"/>
      <c r="I59" s="269"/>
      <c r="J59" s="267"/>
      <c r="K59" s="267" t="s">
        <v>611</v>
      </c>
      <c r="L59" s="267"/>
      <c r="M59" s="267"/>
      <c r="N59" s="269"/>
      <c r="O59" s="1174">
        <v>0.93490804699999996</v>
      </c>
      <c r="P59" s="1169"/>
      <c r="Q59" s="583"/>
      <c r="R59" s="583"/>
      <c r="S59" s="583"/>
      <c r="T59" s="579"/>
      <c r="U59" s="580"/>
      <c r="V59" s="577"/>
      <c r="W59" s="577"/>
      <c r="X59" s="577"/>
      <c r="Y59" s="577"/>
      <c r="Z59" s="250"/>
      <c r="AA59" s="250"/>
      <c r="AB59" s="250"/>
      <c r="AC59" s="250"/>
      <c r="AM59" s="250"/>
      <c r="AN59" s="250"/>
      <c r="AO59" s="250"/>
      <c r="AP59" s="250"/>
      <c r="AQ59" s="250"/>
      <c r="AR59" s="250"/>
      <c r="AS59" s="250"/>
    </row>
    <row r="60" spans="1:45" s="407" customFormat="1" ht="18.95" customHeight="1">
      <c r="A60" s="154"/>
      <c r="B60" s="591"/>
      <c r="C60" s="244" t="s">
        <v>1783</v>
      </c>
      <c r="D60" s="230"/>
      <c r="E60" s="267">
        <v>14</v>
      </c>
      <c r="F60" s="561" t="s">
        <v>402</v>
      </c>
      <c r="G60" s="269">
        <v>630</v>
      </c>
      <c r="H60" s="269">
        <f t="shared" ref="H60:H61" si="22">G60*O60</f>
        <v>588.99206960999993</v>
      </c>
      <c r="I60" s="269">
        <f t="shared" ref="I60:I65" si="23">E60*H60</f>
        <v>8245.8889745399993</v>
      </c>
      <c r="J60" s="267">
        <v>150</v>
      </c>
      <c r="K60" s="267">
        <f t="shared" si="17"/>
        <v>140.23620704999999</v>
      </c>
      <c r="L60" s="267">
        <f t="shared" si="21"/>
        <v>1963.3068986999999</v>
      </c>
      <c r="M60" s="267">
        <f t="shared" ref="M60:M65" si="24">I60+L60</f>
        <v>10209.19587324</v>
      </c>
      <c r="N60" s="269"/>
      <c r="O60" s="1174">
        <v>0.93490804699999996</v>
      </c>
      <c r="P60" s="1169"/>
      <c r="Q60" s="583"/>
      <c r="R60" s="583"/>
      <c r="S60" s="583"/>
      <c r="T60" s="579"/>
      <c r="U60" s="580"/>
      <c r="V60" s="577"/>
      <c r="W60" s="577"/>
      <c r="X60" s="577"/>
      <c r="Y60" s="577"/>
      <c r="Z60" s="250"/>
      <c r="AA60" s="250"/>
      <c r="AB60" s="250"/>
      <c r="AC60" s="250"/>
      <c r="AM60" s="250"/>
      <c r="AN60" s="250"/>
      <c r="AO60" s="250"/>
      <c r="AP60" s="250"/>
      <c r="AQ60" s="250"/>
      <c r="AR60" s="250"/>
      <c r="AS60" s="250"/>
    </row>
    <row r="61" spans="1:45" s="407" customFormat="1" ht="18.95" customHeight="1">
      <c r="A61" s="224"/>
      <c r="B61" s="591"/>
      <c r="C61" s="244" t="s">
        <v>1784</v>
      </c>
      <c r="D61" s="230"/>
      <c r="E61" s="267">
        <v>9</v>
      </c>
      <c r="F61" s="561" t="s">
        <v>402</v>
      </c>
      <c r="G61" s="267">
        <v>890</v>
      </c>
      <c r="H61" s="269">
        <f t="shared" si="22"/>
        <v>832.06816183000001</v>
      </c>
      <c r="I61" s="269">
        <f t="shared" si="23"/>
        <v>7488.6134564700005</v>
      </c>
      <c r="J61" s="267">
        <v>200</v>
      </c>
      <c r="K61" s="267">
        <f t="shared" si="17"/>
        <v>186.9816094</v>
      </c>
      <c r="L61" s="267">
        <f t="shared" si="21"/>
        <v>1682.8344846</v>
      </c>
      <c r="M61" s="267">
        <f t="shared" si="24"/>
        <v>9171.4479410700005</v>
      </c>
      <c r="N61" s="269"/>
      <c r="O61" s="1174">
        <v>0.93490804699999996</v>
      </c>
      <c r="P61" s="1169"/>
      <c r="Q61" s="583"/>
      <c r="R61" s="583"/>
      <c r="S61" s="583"/>
      <c r="T61" s="579"/>
      <c r="U61" s="580"/>
      <c r="V61" s="577"/>
      <c r="W61" s="577"/>
      <c r="X61" s="577"/>
      <c r="Y61" s="577"/>
      <c r="Z61" s="250"/>
      <c r="AA61" s="250"/>
      <c r="AB61" s="250"/>
      <c r="AC61" s="250"/>
      <c r="AM61" s="250"/>
      <c r="AN61" s="250"/>
      <c r="AO61" s="250"/>
      <c r="AP61" s="250"/>
      <c r="AQ61" s="250"/>
      <c r="AR61" s="250"/>
      <c r="AS61" s="250"/>
    </row>
    <row r="62" spans="1:45" s="407" customFormat="1" ht="18.95" customHeight="1">
      <c r="A62" s="224"/>
      <c r="B62" s="591"/>
      <c r="C62" s="244" t="s">
        <v>1785</v>
      </c>
      <c r="D62" s="230"/>
      <c r="E62" s="267">
        <v>0</v>
      </c>
      <c r="F62" s="561" t="s">
        <v>402</v>
      </c>
      <c r="G62" s="269"/>
      <c r="H62" s="269"/>
      <c r="I62" s="269">
        <f t="shared" ref="I62" si="25">ROUNDDOWN(E62*G62,2)</f>
        <v>0</v>
      </c>
      <c r="J62" s="267"/>
      <c r="K62" s="267" t="s">
        <v>611</v>
      </c>
      <c r="L62" s="267"/>
      <c r="M62" s="267">
        <f t="shared" si="24"/>
        <v>0</v>
      </c>
      <c r="N62" s="269"/>
      <c r="O62" s="1174">
        <v>0.93490804699999996</v>
      </c>
      <c r="P62" s="1169"/>
      <c r="Q62" s="583"/>
      <c r="R62" s="583"/>
      <c r="S62" s="583"/>
      <c r="T62" s="579"/>
      <c r="U62" s="580"/>
      <c r="V62" s="577"/>
      <c r="W62" s="577"/>
      <c r="X62" s="577"/>
      <c r="Y62" s="577"/>
      <c r="Z62" s="250"/>
      <c r="AA62" s="250"/>
      <c r="AB62" s="250"/>
      <c r="AC62" s="250"/>
      <c r="AM62" s="250"/>
      <c r="AN62" s="250"/>
      <c r="AO62" s="250"/>
      <c r="AP62" s="250"/>
      <c r="AQ62" s="250"/>
      <c r="AR62" s="250"/>
      <c r="AS62" s="250"/>
    </row>
    <row r="63" spans="1:45" s="407" customFormat="1" ht="18.95" customHeight="1">
      <c r="A63" s="154"/>
      <c r="B63" s="591"/>
      <c r="C63" s="244" t="s">
        <v>1786</v>
      </c>
      <c r="D63" s="230"/>
      <c r="E63" s="267">
        <v>1</v>
      </c>
      <c r="F63" s="561" t="s">
        <v>402</v>
      </c>
      <c r="G63" s="269">
        <v>1295</v>
      </c>
      <c r="H63" s="269">
        <f t="shared" ref="H63:H76" si="26">G63*O63</f>
        <v>1210.7059208650001</v>
      </c>
      <c r="I63" s="269">
        <f t="shared" si="23"/>
        <v>1210.7059208650001</v>
      </c>
      <c r="J63" s="267">
        <v>300</v>
      </c>
      <c r="K63" s="267">
        <f t="shared" si="17"/>
        <v>280.47241409999998</v>
      </c>
      <c r="L63" s="267">
        <f t="shared" si="21"/>
        <v>280.47241409999998</v>
      </c>
      <c r="M63" s="267">
        <f t="shared" si="24"/>
        <v>1491.178334965</v>
      </c>
      <c r="N63" s="269"/>
      <c r="O63" s="1174">
        <v>0.93490804699999996</v>
      </c>
      <c r="P63" s="1169"/>
      <c r="Q63" s="583"/>
      <c r="R63" s="583"/>
      <c r="S63" s="583"/>
      <c r="T63" s="579"/>
      <c r="U63" s="580"/>
      <c r="V63" s="577"/>
      <c r="W63" s="577"/>
      <c r="X63" s="577"/>
      <c r="Y63" s="577"/>
      <c r="Z63" s="250"/>
      <c r="AA63" s="250"/>
      <c r="AB63" s="250"/>
      <c r="AC63" s="250"/>
      <c r="AM63" s="250"/>
      <c r="AN63" s="250"/>
      <c r="AO63" s="250"/>
      <c r="AP63" s="250"/>
      <c r="AQ63" s="250"/>
      <c r="AR63" s="250"/>
      <c r="AS63" s="250"/>
    </row>
    <row r="64" spans="1:45" s="407" customFormat="1" ht="18.95" customHeight="1">
      <c r="A64" s="595"/>
      <c r="B64" s="591"/>
      <c r="C64" s="244" t="s">
        <v>1787</v>
      </c>
      <c r="D64" s="230"/>
      <c r="E64" s="267">
        <v>3</v>
      </c>
      <c r="F64" s="561" t="s">
        <v>402</v>
      </c>
      <c r="G64" s="269">
        <v>2695</v>
      </c>
      <c r="H64" s="269">
        <f t="shared" si="26"/>
        <v>2519.5771866649998</v>
      </c>
      <c r="I64" s="269">
        <f t="shared" si="23"/>
        <v>7558.7315599949998</v>
      </c>
      <c r="J64" s="267">
        <v>400</v>
      </c>
      <c r="K64" s="267">
        <f t="shared" si="17"/>
        <v>373.96321879999999</v>
      </c>
      <c r="L64" s="267">
        <f t="shared" si="21"/>
        <v>1121.8896563999999</v>
      </c>
      <c r="M64" s="267">
        <f t="shared" si="24"/>
        <v>8680.6212163950004</v>
      </c>
      <c r="N64" s="267"/>
      <c r="O64" s="1174">
        <v>0.93490804699999996</v>
      </c>
      <c r="P64" s="1169"/>
      <c r="Q64" s="583"/>
      <c r="R64" s="577"/>
      <c r="S64" s="583"/>
      <c r="T64" s="597"/>
      <c r="U64" s="577"/>
      <c r="V64" s="577"/>
      <c r="W64" s="577"/>
      <c r="X64" s="577"/>
      <c r="Y64" s="577"/>
      <c r="Z64" s="250"/>
      <c r="AA64" s="250"/>
      <c r="AB64" s="250"/>
      <c r="AC64" s="250"/>
      <c r="AM64" s="250"/>
      <c r="AN64" s="250"/>
      <c r="AO64" s="250"/>
      <c r="AP64" s="250"/>
      <c r="AQ64" s="250"/>
      <c r="AR64" s="250"/>
      <c r="AS64" s="250"/>
    </row>
    <row r="65" spans="1:45" s="407" customFormat="1" ht="18.95" customHeight="1">
      <c r="A65" s="595"/>
      <c r="B65" s="591"/>
      <c r="C65" s="244" t="s">
        <v>1788</v>
      </c>
      <c r="D65" s="230"/>
      <c r="E65" s="267">
        <v>16</v>
      </c>
      <c r="F65" s="561" t="s">
        <v>402</v>
      </c>
      <c r="G65" s="269">
        <v>6750</v>
      </c>
      <c r="H65" s="269">
        <f t="shared" si="26"/>
        <v>6310.62931725</v>
      </c>
      <c r="I65" s="269">
        <f t="shared" si="23"/>
        <v>100970.069076</v>
      </c>
      <c r="J65" s="267">
        <v>500</v>
      </c>
      <c r="K65" s="267">
        <f t="shared" si="17"/>
        <v>467.45402350000001</v>
      </c>
      <c r="L65" s="267">
        <f t="shared" si="21"/>
        <v>7479.2643760000001</v>
      </c>
      <c r="M65" s="267">
        <f t="shared" si="24"/>
        <v>108449.33345200001</v>
      </c>
      <c r="N65" s="267"/>
      <c r="O65" s="1174">
        <v>0.93490804699999996</v>
      </c>
      <c r="P65" s="1169"/>
      <c r="Q65" s="583"/>
      <c r="R65" s="583"/>
      <c r="S65" s="583"/>
      <c r="T65" s="579"/>
      <c r="U65" s="580"/>
      <c r="V65" s="577"/>
      <c r="W65" s="577"/>
      <c r="X65" s="577"/>
      <c r="Y65" s="577"/>
      <c r="Z65" s="250"/>
      <c r="AA65" s="250"/>
      <c r="AB65" s="250"/>
      <c r="AC65" s="250"/>
      <c r="AM65" s="250"/>
      <c r="AN65" s="250"/>
      <c r="AO65" s="250"/>
      <c r="AP65" s="250"/>
      <c r="AQ65" s="250"/>
      <c r="AR65" s="250"/>
      <c r="AS65" s="250"/>
    </row>
    <row r="66" spans="1:45" s="407" customFormat="1" ht="18.95" customHeight="1">
      <c r="A66" s="595"/>
      <c r="B66" s="596">
        <v>1.1000000000000001</v>
      </c>
      <c r="C66" s="244" t="s">
        <v>1789</v>
      </c>
      <c r="D66" s="230"/>
      <c r="E66" s="267"/>
      <c r="F66" s="561"/>
      <c r="G66" s="267"/>
      <c r="H66" s="267"/>
      <c r="I66" s="267"/>
      <c r="J66" s="267"/>
      <c r="K66" s="267" t="s">
        <v>611</v>
      </c>
      <c r="L66" s="267"/>
      <c r="M66" s="267"/>
      <c r="N66" s="267"/>
      <c r="O66" s="1174">
        <v>0.93490804699999996</v>
      </c>
      <c r="P66" s="1169"/>
      <c r="Q66" s="577"/>
      <c r="R66" s="577"/>
      <c r="S66" s="577"/>
      <c r="T66" s="577"/>
      <c r="U66" s="577"/>
      <c r="V66" s="577"/>
      <c r="W66" s="577"/>
      <c r="X66" s="577"/>
      <c r="Y66" s="577"/>
      <c r="Z66" s="250"/>
      <c r="AA66" s="250"/>
      <c r="AB66" s="250"/>
      <c r="AC66" s="250"/>
      <c r="AM66" s="250"/>
      <c r="AN66" s="250"/>
      <c r="AO66" s="250"/>
      <c r="AP66" s="250"/>
      <c r="AQ66" s="250"/>
      <c r="AR66" s="250"/>
      <c r="AS66" s="250"/>
    </row>
    <row r="67" spans="1:45" s="407" customFormat="1" ht="18.95" customHeight="1">
      <c r="A67" s="154"/>
      <c r="B67" s="591"/>
      <c r="C67" s="244" t="s">
        <v>1779</v>
      </c>
      <c r="D67" s="230"/>
      <c r="E67" s="267">
        <v>1</v>
      </c>
      <c r="F67" s="561" t="s">
        <v>402</v>
      </c>
      <c r="G67" s="267">
        <v>32000</v>
      </c>
      <c r="H67" s="269">
        <f t="shared" si="26"/>
        <v>29917.057504</v>
      </c>
      <c r="I67" s="269">
        <f>E67*H67</f>
        <v>29917.057504</v>
      </c>
      <c r="J67" s="267">
        <v>600</v>
      </c>
      <c r="K67" s="267">
        <f t="shared" si="17"/>
        <v>560.94482819999996</v>
      </c>
      <c r="L67" s="267">
        <f t="shared" si="21"/>
        <v>560.94482819999996</v>
      </c>
      <c r="M67" s="267">
        <f>I67+L67</f>
        <v>30478.002332200002</v>
      </c>
      <c r="N67" s="267"/>
      <c r="O67" s="1174">
        <v>0.93490804699999996</v>
      </c>
      <c r="P67" s="1169"/>
      <c r="Q67" s="583"/>
      <c r="R67" s="583"/>
      <c r="S67" s="583"/>
      <c r="T67" s="579"/>
      <c r="U67" s="580"/>
      <c r="V67" s="597"/>
      <c r="W67" s="583"/>
      <c r="X67" s="579"/>
      <c r="Y67" s="580"/>
      <c r="Z67" s="250"/>
      <c r="AA67" s="250"/>
      <c r="AB67" s="250"/>
      <c r="AC67" s="250"/>
      <c r="AM67" s="250"/>
      <c r="AN67" s="250"/>
      <c r="AO67" s="250"/>
      <c r="AP67" s="250"/>
      <c r="AQ67" s="250"/>
      <c r="AR67" s="250"/>
      <c r="AS67" s="250"/>
    </row>
    <row r="68" spans="1:45" s="407" customFormat="1" ht="18.95" customHeight="1">
      <c r="A68" s="595"/>
      <c r="B68" s="596">
        <v>1.1299999999999999</v>
      </c>
      <c r="C68" s="244" t="s">
        <v>1790</v>
      </c>
      <c r="D68" s="230"/>
      <c r="E68" s="267"/>
      <c r="F68" s="561"/>
      <c r="G68" s="267"/>
      <c r="H68" s="267"/>
      <c r="I68" s="267"/>
      <c r="J68" s="267"/>
      <c r="K68" s="267" t="s">
        <v>611</v>
      </c>
      <c r="L68" s="267"/>
      <c r="M68" s="267"/>
      <c r="N68" s="267"/>
      <c r="O68" s="1174">
        <v>0.93490804699999996</v>
      </c>
      <c r="P68" s="1169"/>
      <c r="Q68" s="577"/>
      <c r="R68" s="577"/>
      <c r="S68" s="577"/>
      <c r="T68" s="577"/>
      <c r="U68" s="577"/>
      <c r="V68" s="577"/>
      <c r="W68" s="577"/>
      <c r="X68" s="577"/>
      <c r="Y68" s="583"/>
      <c r="Z68" s="250"/>
      <c r="AA68" s="250"/>
      <c r="AB68" s="250"/>
      <c r="AC68" s="250"/>
      <c r="AM68" s="250"/>
      <c r="AN68" s="250"/>
      <c r="AO68" s="250"/>
      <c r="AP68" s="250"/>
      <c r="AQ68" s="250"/>
      <c r="AR68" s="250"/>
      <c r="AS68" s="250"/>
    </row>
    <row r="69" spans="1:45" s="407" customFormat="1" ht="18.95" customHeight="1">
      <c r="A69" s="595"/>
      <c r="B69" s="591"/>
      <c r="C69" s="244" t="s">
        <v>1784</v>
      </c>
      <c r="D69" s="230"/>
      <c r="E69" s="267">
        <v>0</v>
      </c>
      <c r="F69" s="561" t="s">
        <v>402</v>
      </c>
      <c r="G69" s="267">
        <v>2100</v>
      </c>
      <c r="H69" s="269">
        <f t="shared" si="26"/>
        <v>1963.3068986999999</v>
      </c>
      <c r="I69" s="267">
        <f t="shared" ref="I69:I70" si="27">ROUNDDOWN(E69*G69,2)</f>
        <v>0</v>
      </c>
      <c r="J69" s="267">
        <v>200</v>
      </c>
      <c r="K69" s="267">
        <f t="shared" si="17"/>
        <v>186.9816094</v>
      </c>
      <c r="L69" s="267">
        <f t="shared" si="21"/>
        <v>0</v>
      </c>
      <c r="M69" s="267">
        <f t="shared" ref="M69:M74" si="28">I69+L69</f>
        <v>0</v>
      </c>
      <c r="N69" s="267"/>
      <c r="O69" s="1174">
        <v>0.93490804699999996</v>
      </c>
      <c r="P69" s="1169"/>
      <c r="Q69" s="577"/>
      <c r="R69" s="577"/>
      <c r="S69" s="577"/>
      <c r="T69" s="577"/>
      <c r="U69" s="577"/>
      <c r="V69" s="577"/>
      <c r="W69" s="577"/>
      <c r="X69" s="577"/>
      <c r="Y69" s="583"/>
      <c r="Z69" s="250"/>
      <c r="AA69" s="250"/>
      <c r="AB69" s="250"/>
      <c r="AC69" s="250"/>
      <c r="AM69" s="250"/>
      <c r="AN69" s="250"/>
      <c r="AO69" s="250"/>
      <c r="AP69" s="250"/>
      <c r="AQ69" s="250"/>
      <c r="AR69" s="250"/>
      <c r="AS69" s="250"/>
    </row>
    <row r="70" spans="1:45" s="407" customFormat="1" ht="18.95" customHeight="1">
      <c r="A70" s="595"/>
      <c r="B70" s="591"/>
      <c r="C70" s="244" t="s">
        <v>1791</v>
      </c>
      <c r="D70" s="230"/>
      <c r="E70" s="267">
        <v>0</v>
      </c>
      <c r="F70" s="561" t="s">
        <v>402</v>
      </c>
      <c r="G70" s="269">
        <v>3300</v>
      </c>
      <c r="H70" s="269">
        <f t="shared" si="26"/>
        <v>3085.1965550999998</v>
      </c>
      <c r="I70" s="269">
        <f t="shared" si="27"/>
        <v>0</v>
      </c>
      <c r="J70" s="267">
        <v>300</v>
      </c>
      <c r="K70" s="267">
        <f t="shared" si="17"/>
        <v>280.47241409999998</v>
      </c>
      <c r="L70" s="267">
        <f t="shared" si="21"/>
        <v>0</v>
      </c>
      <c r="M70" s="267">
        <f t="shared" si="28"/>
        <v>0</v>
      </c>
      <c r="N70" s="267"/>
      <c r="O70" s="1174">
        <v>0.93490804699999996</v>
      </c>
      <c r="P70" s="1169"/>
      <c r="Q70" s="577"/>
      <c r="R70" s="577"/>
      <c r="S70" s="577"/>
      <c r="T70" s="577"/>
      <c r="U70" s="577"/>
      <c r="V70" s="577"/>
      <c r="W70" s="577"/>
      <c r="X70" s="577"/>
      <c r="Y70" s="583"/>
      <c r="Z70" s="250"/>
      <c r="AA70" s="250"/>
      <c r="AB70" s="250"/>
      <c r="AC70" s="250"/>
      <c r="AM70" s="250"/>
      <c r="AN70" s="250"/>
      <c r="AO70" s="250"/>
      <c r="AP70" s="250"/>
      <c r="AQ70" s="250"/>
      <c r="AR70" s="250"/>
      <c r="AS70" s="250"/>
    </row>
    <row r="71" spans="1:45" s="407" customFormat="1" ht="18.95" customHeight="1">
      <c r="A71" s="154"/>
      <c r="B71" s="591"/>
      <c r="C71" s="244" t="s">
        <v>1787</v>
      </c>
      <c r="D71" s="230"/>
      <c r="E71" s="267">
        <v>2</v>
      </c>
      <c r="F71" s="561" t="s">
        <v>402</v>
      </c>
      <c r="G71" s="269">
        <v>2540</v>
      </c>
      <c r="H71" s="269">
        <f t="shared" si="26"/>
        <v>2374.6664393799997</v>
      </c>
      <c r="I71" s="269">
        <f>E71*H71</f>
        <v>4749.3328787599994</v>
      </c>
      <c r="J71" s="267">
        <v>400</v>
      </c>
      <c r="K71" s="267">
        <f t="shared" si="17"/>
        <v>373.96321879999999</v>
      </c>
      <c r="L71" s="267">
        <f t="shared" si="21"/>
        <v>747.92643759999999</v>
      </c>
      <c r="M71" s="267">
        <f t="shared" si="28"/>
        <v>5497.2593163599995</v>
      </c>
      <c r="N71" s="269"/>
      <c r="O71" s="1174">
        <v>0.93490804699999996</v>
      </c>
      <c r="P71" s="1169"/>
      <c r="Q71" s="583"/>
      <c r="R71" s="577"/>
      <c r="S71" s="583"/>
      <c r="T71" s="577"/>
      <c r="U71" s="577"/>
      <c r="V71" s="577"/>
      <c r="W71" s="577"/>
      <c r="X71" s="577"/>
      <c r="Y71" s="583"/>
      <c r="Z71" s="250"/>
      <c r="AA71" s="250"/>
      <c r="AB71" s="250"/>
      <c r="AC71" s="250"/>
      <c r="AM71" s="250"/>
      <c r="AN71" s="250"/>
      <c r="AO71" s="250"/>
      <c r="AP71" s="250"/>
      <c r="AQ71" s="250"/>
      <c r="AR71" s="250"/>
      <c r="AS71" s="250"/>
    </row>
    <row r="72" spans="1:45" s="407" customFormat="1" ht="18.95" customHeight="1">
      <c r="A72" s="595"/>
      <c r="B72" s="591"/>
      <c r="C72" s="244" t="s">
        <v>1788</v>
      </c>
      <c r="D72" s="230"/>
      <c r="E72" s="267">
        <v>4</v>
      </c>
      <c r="F72" s="561" t="s">
        <v>402</v>
      </c>
      <c r="G72" s="267">
        <v>3370</v>
      </c>
      <c r="H72" s="269">
        <f t="shared" si="26"/>
        <v>3150.6401183899998</v>
      </c>
      <c r="I72" s="269">
        <f t="shared" ref="I72:I76" si="29">E72*H72</f>
        <v>12602.560473559999</v>
      </c>
      <c r="J72" s="267">
        <v>500</v>
      </c>
      <c r="K72" s="267">
        <f t="shared" si="17"/>
        <v>467.45402350000001</v>
      </c>
      <c r="L72" s="267">
        <f t="shared" si="21"/>
        <v>1869.816094</v>
      </c>
      <c r="M72" s="267">
        <f t="shared" si="28"/>
        <v>14472.376567559999</v>
      </c>
      <c r="N72" s="269"/>
      <c r="O72" s="1174">
        <v>0.93490804699999996</v>
      </c>
      <c r="P72" s="1169"/>
      <c r="Q72" s="583"/>
      <c r="R72" s="577"/>
      <c r="S72" s="583"/>
      <c r="T72" s="577"/>
      <c r="U72" s="577"/>
      <c r="V72" s="599"/>
      <c r="W72" s="599"/>
      <c r="X72" s="577"/>
      <c r="Y72" s="577"/>
      <c r="Z72" s="250"/>
      <c r="AA72" s="250"/>
      <c r="AB72" s="250"/>
      <c r="AC72" s="250"/>
      <c r="AM72" s="250"/>
      <c r="AN72" s="250"/>
      <c r="AO72" s="250"/>
      <c r="AP72" s="250"/>
      <c r="AQ72" s="250"/>
      <c r="AR72" s="250"/>
      <c r="AS72" s="250"/>
    </row>
    <row r="73" spans="1:45" s="407" customFormat="1" ht="18.95" customHeight="1">
      <c r="A73" s="595"/>
      <c r="B73" s="591"/>
      <c r="C73" s="244" t="s">
        <v>1779</v>
      </c>
      <c r="D73" s="230"/>
      <c r="E73" s="267">
        <v>0</v>
      </c>
      <c r="F73" s="561" t="s">
        <v>402</v>
      </c>
      <c r="G73" s="267">
        <v>8230</v>
      </c>
      <c r="H73" s="269">
        <f t="shared" si="26"/>
        <v>7694.2932268099994</v>
      </c>
      <c r="I73" s="269">
        <f t="shared" si="29"/>
        <v>0</v>
      </c>
      <c r="J73" s="267">
        <v>600</v>
      </c>
      <c r="K73" s="267">
        <f t="shared" si="17"/>
        <v>560.94482819999996</v>
      </c>
      <c r="L73" s="267">
        <f t="shared" si="21"/>
        <v>0</v>
      </c>
      <c r="M73" s="267">
        <f t="shared" si="28"/>
        <v>0</v>
      </c>
      <c r="N73" s="269"/>
      <c r="O73" s="1174">
        <v>0.93490804699999996</v>
      </c>
      <c r="P73" s="1169"/>
      <c r="Q73" s="583"/>
      <c r="R73" s="583"/>
      <c r="S73" s="583"/>
      <c r="T73" s="579"/>
      <c r="U73" s="580"/>
      <c r="V73" s="597"/>
      <c r="W73" s="597"/>
      <c r="X73" s="577"/>
      <c r="Y73" s="577"/>
      <c r="Z73" s="250"/>
      <c r="AA73" s="250"/>
      <c r="AB73" s="250"/>
      <c r="AC73" s="250"/>
      <c r="AM73" s="250"/>
      <c r="AN73" s="250"/>
      <c r="AO73" s="250"/>
      <c r="AP73" s="250"/>
      <c r="AQ73" s="250"/>
      <c r="AR73" s="250"/>
      <c r="AS73" s="250"/>
    </row>
    <row r="74" spans="1:45" s="407" customFormat="1" ht="18.95" customHeight="1">
      <c r="A74" s="595"/>
      <c r="B74" s="591"/>
      <c r="C74" s="244" t="s">
        <v>1780</v>
      </c>
      <c r="D74" s="230"/>
      <c r="E74" s="267">
        <v>1</v>
      </c>
      <c r="F74" s="561" t="s">
        <v>402</v>
      </c>
      <c r="G74" s="267">
        <v>5815</v>
      </c>
      <c r="H74" s="269">
        <f t="shared" si="26"/>
        <v>5436.4902933049998</v>
      </c>
      <c r="I74" s="269">
        <f t="shared" si="29"/>
        <v>5436.4902933049998</v>
      </c>
      <c r="J74" s="267">
        <v>800</v>
      </c>
      <c r="K74" s="267">
        <f t="shared" si="17"/>
        <v>747.92643759999999</v>
      </c>
      <c r="L74" s="267">
        <f t="shared" si="21"/>
        <v>747.92643759999999</v>
      </c>
      <c r="M74" s="267">
        <f t="shared" si="28"/>
        <v>6184.4167309049999</v>
      </c>
      <c r="N74" s="269"/>
      <c r="O74" s="1174">
        <v>0.93490804699999996</v>
      </c>
      <c r="P74" s="1169"/>
      <c r="Q74" s="583"/>
      <c r="R74" s="583"/>
      <c r="S74" s="583"/>
      <c r="T74" s="579"/>
      <c r="U74" s="580"/>
      <c r="V74" s="597"/>
      <c r="W74" s="597"/>
      <c r="X74" s="577"/>
      <c r="Y74" s="577"/>
      <c r="Z74" s="250"/>
      <c r="AA74" s="250"/>
      <c r="AB74" s="250"/>
      <c r="AC74" s="250"/>
      <c r="AM74" s="250"/>
      <c r="AN74" s="250"/>
      <c r="AO74" s="250"/>
      <c r="AP74" s="250"/>
      <c r="AQ74" s="250"/>
      <c r="AR74" s="250"/>
      <c r="AS74" s="250"/>
    </row>
    <row r="75" spans="1:45" s="407" customFormat="1" ht="18.95" customHeight="1">
      <c r="A75" s="154"/>
      <c r="B75" s="596">
        <v>1.1399999999999999</v>
      </c>
      <c r="C75" s="244" t="s">
        <v>1792</v>
      </c>
      <c r="D75" s="230"/>
      <c r="E75" s="267"/>
      <c r="F75" s="561"/>
      <c r="G75" s="267"/>
      <c r="H75" s="267"/>
      <c r="I75" s="269">
        <f t="shared" si="29"/>
        <v>0</v>
      </c>
      <c r="J75" s="267"/>
      <c r="K75" s="267" t="s">
        <v>611</v>
      </c>
      <c r="L75" s="267"/>
      <c r="M75" s="267"/>
      <c r="N75" s="269"/>
      <c r="O75" s="1174">
        <v>0.93490804699999996</v>
      </c>
      <c r="P75" s="1169"/>
      <c r="Q75" s="583"/>
      <c r="R75" s="583"/>
      <c r="S75" s="583"/>
      <c r="T75" s="579"/>
      <c r="U75" s="580"/>
      <c r="V75" s="597"/>
      <c r="W75" s="597"/>
      <c r="X75" s="577"/>
      <c r="Y75" s="577"/>
      <c r="Z75" s="250"/>
      <c r="AA75" s="250"/>
      <c r="AB75" s="250"/>
      <c r="AC75" s="250"/>
      <c r="AM75" s="250"/>
      <c r="AN75" s="250"/>
      <c r="AO75" s="250"/>
      <c r="AP75" s="250"/>
      <c r="AQ75" s="250"/>
      <c r="AR75" s="250"/>
      <c r="AS75" s="250"/>
    </row>
    <row r="76" spans="1:45" s="407" customFormat="1" ht="18.95" customHeight="1">
      <c r="A76" s="224"/>
      <c r="B76" s="591"/>
      <c r="C76" s="244" t="s">
        <v>1779</v>
      </c>
      <c r="D76" s="230"/>
      <c r="E76" s="267">
        <v>1</v>
      </c>
      <c r="F76" s="561" t="s">
        <v>402</v>
      </c>
      <c r="G76" s="267">
        <v>2415</v>
      </c>
      <c r="H76" s="269">
        <f t="shared" si="26"/>
        <v>2257.8029335050001</v>
      </c>
      <c r="I76" s="269">
        <f t="shared" si="29"/>
        <v>2257.8029335050001</v>
      </c>
      <c r="J76" s="267">
        <v>600</v>
      </c>
      <c r="K76" s="267">
        <f t="shared" si="17"/>
        <v>560.94482819999996</v>
      </c>
      <c r="L76" s="267">
        <f t="shared" si="21"/>
        <v>560.94482819999996</v>
      </c>
      <c r="M76" s="267">
        <f>I76+L76</f>
        <v>2818.7477617049999</v>
      </c>
      <c r="N76" s="269"/>
      <c r="O76" s="1174">
        <v>0.93490804699999996</v>
      </c>
      <c r="P76" s="1169"/>
      <c r="Q76" s="583"/>
      <c r="R76" s="583"/>
      <c r="S76" s="583"/>
      <c r="T76" s="579"/>
      <c r="U76" s="580"/>
      <c r="V76" s="597"/>
      <c r="W76" s="597"/>
      <c r="X76" s="577"/>
      <c r="Y76" s="577"/>
      <c r="Z76" s="250"/>
      <c r="AA76" s="250"/>
      <c r="AB76" s="250"/>
      <c r="AC76" s="250"/>
      <c r="AM76" s="250"/>
      <c r="AN76" s="250"/>
      <c r="AO76" s="250"/>
      <c r="AP76" s="250"/>
      <c r="AQ76" s="250"/>
      <c r="AR76" s="250"/>
      <c r="AS76" s="250"/>
    </row>
    <row r="77" spans="1:45" s="407" customFormat="1" ht="18.95" customHeight="1">
      <c r="A77" s="229"/>
      <c r="B77" s="591"/>
      <c r="C77" s="244" t="s">
        <v>1780</v>
      </c>
      <c r="D77" s="230"/>
      <c r="E77" s="267">
        <v>1</v>
      </c>
      <c r="F77" s="561" t="s">
        <v>402</v>
      </c>
      <c r="G77" s="267"/>
      <c r="H77" s="267"/>
      <c r="I77" s="267">
        <f>ROUNDDOWN(E77*G77,2)</f>
        <v>0</v>
      </c>
      <c r="J77" s="267">
        <v>800</v>
      </c>
      <c r="K77" s="267">
        <f t="shared" si="17"/>
        <v>747.92643759999999</v>
      </c>
      <c r="L77" s="267">
        <f t="shared" si="21"/>
        <v>747.92643759999999</v>
      </c>
      <c r="M77" s="267">
        <f>I77+L77</f>
        <v>747.92643759999999</v>
      </c>
      <c r="N77" s="269"/>
      <c r="O77" s="1174">
        <v>0.93490804699999996</v>
      </c>
      <c r="P77" s="1169"/>
      <c r="Q77" s="577"/>
      <c r="R77" s="577"/>
      <c r="S77" s="577"/>
      <c r="T77" s="577"/>
      <c r="U77" s="577"/>
      <c r="V77" s="577"/>
      <c r="W77" s="577"/>
      <c r="X77" s="577"/>
      <c r="Y77" s="577"/>
      <c r="Z77" s="250"/>
      <c r="AA77" s="250"/>
      <c r="AB77" s="250"/>
      <c r="AC77" s="250"/>
      <c r="AM77" s="250"/>
      <c r="AN77" s="250"/>
      <c r="AO77" s="250"/>
      <c r="AP77" s="250"/>
      <c r="AQ77" s="250"/>
      <c r="AR77" s="250"/>
      <c r="AS77" s="250"/>
    </row>
    <row r="78" spans="1:45" s="407" customFormat="1" ht="18.95" customHeight="1">
      <c r="A78" s="595"/>
      <c r="B78" s="596">
        <v>1.1499999999999999</v>
      </c>
      <c r="C78" s="244" t="s">
        <v>1793</v>
      </c>
      <c r="D78" s="230"/>
      <c r="E78" s="267"/>
      <c r="F78" s="561"/>
      <c r="G78" s="267"/>
      <c r="H78" s="267"/>
      <c r="I78" s="267"/>
      <c r="J78" s="267"/>
      <c r="K78" s="267"/>
      <c r="L78" s="267"/>
      <c r="M78" s="267"/>
      <c r="N78" s="269"/>
      <c r="O78" s="1174">
        <v>0.93490804699999996</v>
      </c>
      <c r="P78" s="1169"/>
      <c r="Q78" s="577"/>
      <c r="R78" s="577"/>
      <c r="S78" s="577"/>
      <c r="T78" s="577"/>
      <c r="U78" s="577"/>
      <c r="V78" s="577"/>
      <c r="W78" s="577"/>
      <c r="X78" s="577"/>
      <c r="Y78" s="577"/>
      <c r="Z78" s="250"/>
      <c r="AA78" s="250"/>
      <c r="AB78" s="250"/>
      <c r="AC78" s="250"/>
      <c r="AM78" s="250"/>
      <c r="AN78" s="250"/>
      <c r="AO78" s="250"/>
      <c r="AP78" s="250"/>
      <c r="AQ78" s="250"/>
      <c r="AR78" s="250"/>
      <c r="AS78" s="250"/>
    </row>
    <row r="79" spans="1:45" s="407" customFormat="1" ht="18.95" customHeight="1">
      <c r="A79" s="595"/>
      <c r="B79" s="591"/>
      <c r="C79" s="244" t="s">
        <v>1784</v>
      </c>
      <c r="D79" s="230"/>
      <c r="E79" s="267"/>
      <c r="F79" s="561" t="s">
        <v>402</v>
      </c>
      <c r="G79" s="267"/>
      <c r="H79" s="267"/>
      <c r="I79" s="267">
        <f>ROUNDDOWN(E79*G79,2)</f>
        <v>0</v>
      </c>
      <c r="J79" s="267"/>
      <c r="K79" s="267"/>
      <c r="L79" s="267">
        <f>ROUNDDOWN(E79*J79,2)</f>
        <v>0</v>
      </c>
      <c r="M79" s="267">
        <f>I79+L79</f>
        <v>0</v>
      </c>
      <c r="N79" s="269"/>
      <c r="O79" s="1174">
        <v>0.93490804699999996</v>
      </c>
      <c r="P79" s="1169"/>
      <c r="Q79" s="599"/>
      <c r="R79" s="599"/>
      <c r="S79" s="599"/>
      <c r="T79" s="597"/>
      <c r="U79" s="577"/>
      <c r="V79" s="577"/>
      <c r="W79" s="599"/>
      <c r="X79" s="600"/>
      <c r="Y79" s="583"/>
      <c r="Z79" s="250"/>
      <c r="AA79" s="250"/>
      <c r="AB79" s="250"/>
      <c r="AC79" s="250"/>
      <c r="AM79" s="250"/>
      <c r="AN79" s="250"/>
      <c r="AO79" s="250"/>
      <c r="AP79" s="250"/>
      <c r="AQ79" s="250"/>
      <c r="AR79" s="250"/>
      <c r="AS79" s="250"/>
    </row>
    <row r="80" spans="1:45" s="407" customFormat="1" ht="18.95" customHeight="1">
      <c r="A80" s="203"/>
      <c r="B80" s="591"/>
      <c r="C80" s="244" t="s">
        <v>1791</v>
      </c>
      <c r="D80" s="230"/>
      <c r="E80" s="267"/>
      <c r="F80" s="561" t="s">
        <v>402</v>
      </c>
      <c r="G80" s="269"/>
      <c r="H80" s="269"/>
      <c r="I80" s="269">
        <f>ROUNDDOWN(E80*G80,2)</f>
        <v>0</v>
      </c>
      <c r="J80" s="267"/>
      <c r="K80" s="267"/>
      <c r="L80" s="267">
        <f>ROUNDDOWN(E80*J80,2)</f>
        <v>0</v>
      </c>
      <c r="M80" s="267">
        <f>I80+L80</f>
        <v>0</v>
      </c>
      <c r="N80" s="269"/>
      <c r="O80" s="1174">
        <v>0.93490804699999996</v>
      </c>
      <c r="P80" s="1169"/>
      <c r="Q80" s="577"/>
      <c r="R80" s="577"/>
      <c r="S80" s="577"/>
      <c r="T80" s="577"/>
      <c r="U80" s="577"/>
      <c r="V80" s="577"/>
      <c r="W80" s="599"/>
      <c r="X80" s="600"/>
      <c r="Y80" s="597"/>
      <c r="Z80" s="250"/>
      <c r="AA80" s="250"/>
      <c r="AB80" s="250"/>
      <c r="AC80" s="250"/>
      <c r="AM80" s="250"/>
      <c r="AN80" s="250"/>
      <c r="AO80" s="250"/>
      <c r="AP80" s="250"/>
      <c r="AQ80" s="250"/>
      <c r="AR80" s="250"/>
      <c r="AS80" s="250"/>
    </row>
    <row r="81" spans="1:45" s="407" customFormat="1" ht="18.95" customHeight="1">
      <c r="A81" s="122"/>
      <c r="B81" s="591"/>
      <c r="C81" s="244" t="s">
        <v>1787</v>
      </c>
      <c r="D81" s="230"/>
      <c r="E81" s="267"/>
      <c r="F81" s="561" t="s">
        <v>402</v>
      </c>
      <c r="G81" s="269"/>
      <c r="H81" s="269"/>
      <c r="I81" s="269">
        <f>ROUNDDOWN(E81*G81,2)</f>
        <v>0</v>
      </c>
      <c r="J81" s="267"/>
      <c r="K81" s="267"/>
      <c r="L81" s="267">
        <f>ROUNDDOWN(E81*J81,2)</f>
        <v>0</v>
      </c>
      <c r="M81" s="267">
        <f>I81+L81</f>
        <v>0</v>
      </c>
      <c r="N81" s="269"/>
      <c r="O81" s="1174">
        <v>0.93490804699999996</v>
      </c>
      <c r="P81" s="1169"/>
      <c r="Q81" s="577"/>
      <c r="R81" s="577"/>
      <c r="S81" s="583"/>
      <c r="T81" s="583"/>
      <c r="U81" s="577"/>
      <c r="V81" s="577"/>
      <c r="W81" s="599"/>
      <c r="X81" s="601"/>
      <c r="Y81" s="597"/>
      <c r="Z81" s="250"/>
      <c r="AA81" s="250"/>
      <c r="AB81" s="250"/>
      <c r="AC81" s="250"/>
      <c r="AM81" s="250"/>
      <c r="AN81" s="250"/>
      <c r="AO81" s="250"/>
      <c r="AP81" s="250"/>
      <c r="AQ81" s="250"/>
      <c r="AR81" s="250"/>
      <c r="AS81" s="250"/>
    </row>
    <row r="82" spans="1:45" s="407" customFormat="1" ht="18.95" customHeight="1">
      <c r="A82" s="243"/>
      <c r="B82" s="591"/>
      <c r="C82" s="244" t="s">
        <v>1788</v>
      </c>
      <c r="D82" s="230"/>
      <c r="E82" s="267"/>
      <c r="F82" s="561" t="s">
        <v>402</v>
      </c>
      <c r="G82" s="267"/>
      <c r="H82" s="267"/>
      <c r="I82" s="267">
        <f>ROUNDDOWN(E82*G82,2)</f>
        <v>0</v>
      </c>
      <c r="J82" s="267"/>
      <c r="K82" s="267"/>
      <c r="L82" s="267">
        <f>ROUNDDOWN(E82*J82,2)</f>
        <v>0</v>
      </c>
      <c r="M82" s="267">
        <f>I82+L82</f>
        <v>0</v>
      </c>
      <c r="N82" s="269"/>
      <c r="O82" s="1174">
        <v>0.93490804699999996</v>
      </c>
      <c r="P82" s="1169"/>
      <c r="Q82" s="577"/>
      <c r="R82" s="577"/>
      <c r="S82" s="583"/>
      <c r="T82" s="583"/>
      <c r="U82" s="577"/>
      <c r="V82" s="577"/>
      <c r="W82" s="599"/>
      <c r="X82" s="577"/>
      <c r="Y82" s="602"/>
      <c r="Z82" s="250"/>
      <c r="AA82" s="250"/>
      <c r="AB82" s="250"/>
      <c r="AC82" s="250"/>
      <c r="AM82" s="250"/>
      <c r="AN82" s="250"/>
      <c r="AO82" s="250"/>
      <c r="AP82" s="250"/>
      <c r="AQ82" s="250"/>
      <c r="AR82" s="250"/>
      <c r="AS82" s="250"/>
    </row>
    <row r="83" spans="1:45" s="407" customFormat="1" ht="18.95" customHeight="1">
      <c r="A83" s="203"/>
      <c r="B83" s="591"/>
      <c r="C83" s="244" t="s">
        <v>1779</v>
      </c>
      <c r="D83" s="230"/>
      <c r="E83" s="267"/>
      <c r="F83" s="561" t="s">
        <v>402</v>
      </c>
      <c r="G83" s="267"/>
      <c r="H83" s="267"/>
      <c r="I83" s="267">
        <f>ROUNDDOWN(E83*G83,2)</f>
        <v>0</v>
      </c>
      <c r="J83" s="267"/>
      <c r="K83" s="267"/>
      <c r="L83" s="267">
        <f>ROUNDDOWN(E83*J83,2)</f>
        <v>0</v>
      </c>
      <c r="M83" s="267">
        <f>I83+L83</f>
        <v>0</v>
      </c>
      <c r="N83" s="269"/>
      <c r="O83" s="1174">
        <v>0.93490804699999996</v>
      </c>
      <c r="P83" s="1169"/>
      <c r="Q83" s="577"/>
      <c r="R83" s="577"/>
      <c r="S83" s="577"/>
      <c r="T83" s="577"/>
      <c r="U83" s="577"/>
      <c r="V83" s="577"/>
      <c r="W83" s="599"/>
      <c r="X83" s="577"/>
      <c r="Y83" s="597"/>
      <c r="Z83" s="250"/>
      <c r="AA83" s="250"/>
      <c r="AB83" s="250"/>
      <c r="AC83" s="250"/>
      <c r="AM83" s="250"/>
      <c r="AN83" s="250"/>
      <c r="AO83" s="250"/>
      <c r="AP83" s="250"/>
      <c r="AQ83" s="250"/>
      <c r="AR83" s="250"/>
      <c r="AS83" s="250"/>
    </row>
    <row r="84" spans="1:45" s="407" customFormat="1" ht="18.95" customHeight="1">
      <c r="A84" s="203"/>
      <c r="B84" s="591" t="s">
        <v>1794</v>
      </c>
      <c r="C84" s="244" t="s">
        <v>1795</v>
      </c>
      <c r="D84" s="230"/>
      <c r="E84" s="267"/>
      <c r="F84" s="561"/>
      <c r="G84" s="267"/>
      <c r="H84" s="267"/>
      <c r="I84" s="267"/>
      <c r="J84" s="267"/>
      <c r="K84" s="267"/>
      <c r="L84" s="267"/>
      <c r="M84" s="267"/>
      <c r="N84" s="269"/>
      <c r="O84" s="1174">
        <v>0.93490804699999996</v>
      </c>
      <c r="P84" s="1169"/>
      <c r="Q84" s="577"/>
      <c r="R84" s="577"/>
      <c r="S84" s="577"/>
      <c r="T84" s="577"/>
      <c r="U84" s="577"/>
      <c r="V84" s="577"/>
      <c r="W84" s="577"/>
      <c r="X84" s="577"/>
      <c r="Y84" s="577"/>
      <c r="Z84" s="250"/>
      <c r="AA84" s="250"/>
      <c r="AB84" s="250"/>
      <c r="AC84" s="250"/>
      <c r="AM84" s="250"/>
      <c r="AN84" s="250"/>
      <c r="AO84" s="250"/>
      <c r="AP84" s="250"/>
      <c r="AQ84" s="250"/>
      <c r="AR84" s="250"/>
      <c r="AS84" s="250"/>
    </row>
    <row r="85" spans="1:45" s="407" customFormat="1" ht="18.95" customHeight="1">
      <c r="A85" s="203"/>
      <c r="B85" s="591"/>
      <c r="C85" s="244" t="s">
        <v>1784</v>
      </c>
      <c r="D85" s="230"/>
      <c r="E85" s="267">
        <v>0</v>
      </c>
      <c r="F85" s="561" t="s">
        <v>402</v>
      </c>
      <c r="G85" s="267">
        <v>1615</v>
      </c>
      <c r="H85" s="267"/>
      <c r="I85" s="267">
        <f>ROUNDDOWN(E85*G85,2)</f>
        <v>0</v>
      </c>
      <c r="J85" s="267">
        <v>200</v>
      </c>
      <c r="K85" s="267"/>
      <c r="L85" s="267">
        <f>ROUNDDOWN(E85*J85,2)</f>
        <v>0</v>
      </c>
      <c r="M85" s="267">
        <f>I85+L85</f>
        <v>0</v>
      </c>
      <c r="N85" s="269"/>
      <c r="O85" s="1174">
        <v>0.93490804699999996</v>
      </c>
      <c r="P85" s="1169"/>
      <c r="Q85" s="577"/>
      <c r="R85" s="577"/>
      <c r="S85" s="577"/>
      <c r="T85" s="577"/>
      <c r="U85" s="577"/>
      <c r="V85" s="577"/>
      <c r="W85" s="577"/>
      <c r="X85" s="577"/>
      <c r="Y85" s="577"/>
      <c r="Z85" s="250"/>
      <c r="AA85" s="250"/>
      <c r="AB85" s="250"/>
      <c r="AC85" s="250"/>
      <c r="AM85" s="250"/>
      <c r="AN85" s="250"/>
      <c r="AO85" s="250"/>
      <c r="AP85" s="250"/>
      <c r="AQ85" s="250"/>
      <c r="AR85" s="250"/>
      <c r="AS85" s="250"/>
    </row>
    <row r="86" spans="1:45" s="407" customFormat="1" ht="18.95" customHeight="1">
      <c r="A86" s="203"/>
      <c r="B86" s="591"/>
      <c r="C86" s="244" t="s">
        <v>1791</v>
      </c>
      <c r="D86" s="230"/>
      <c r="E86" s="267">
        <v>0</v>
      </c>
      <c r="F86" s="561" t="s">
        <v>402</v>
      </c>
      <c r="G86" s="267">
        <v>4512.5</v>
      </c>
      <c r="H86" s="267"/>
      <c r="I86" s="267">
        <f>ROUNDDOWN(E86*G86,2)</f>
        <v>0</v>
      </c>
      <c r="J86" s="267">
        <v>250</v>
      </c>
      <c r="K86" s="267"/>
      <c r="L86" s="267">
        <f>ROUNDDOWN(E86*J86,2)</f>
        <v>0</v>
      </c>
      <c r="M86" s="267">
        <f>I86+L86</f>
        <v>0</v>
      </c>
      <c r="N86" s="269"/>
      <c r="O86" s="1174">
        <v>0.93490804699999996</v>
      </c>
      <c r="P86" s="1169"/>
      <c r="Q86" s="577"/>
      <c r="R86" s="577"/>
      <c r="S86" s="577"/>
      <c r="T86" s="577"/>
      <c r="U86" s="577"/>
      <c r="V86" s="577"/>
      <c r="W86" s="577"/>
      <c r="X86" s="577"/>
      <c r="Y86" s="577"/>
      <c r="Z86" s="250"/>
      <c r="AA86" s="250"/>
      <c r="AB86" s="250"/>
      <c r="AC86" s="250"/>
      <c r="AM86" s="250"/>
      <c r="AN86" s="250"/>
      <c r="AO86" s="250"/>
      <c r="AP86" s="250"/>
      <c r="AQ86" s="250"/>
      <c r="AR86" s="250"/>
      <c r="AS86" s="250"/>
    </row>
    <row r="87" spans="1:45" s="407" customFormat="1" ht="18.95" customHeight="1">
      <c r="A87" s="203"/>
      <c r="B87" s="591"/>
      <c r="C87" s="244" t="s">
        <v>1787</v>
      </c>
      <c r="D87" s="230"/>
      <c r="E87" s="267">
        <v>2</v>
      </c>
      <c r="F87" s="561" t="s">
        <v>402</v>
      </c>
      <c r="G87" s="267">
        <v>7410</v>
      </c>
      <c r="H87" s="269">
        <f t="shared" ref="H87:H88" si="30">G87*O87</f>
        <v>6927.6686282699993</v>
      </c>
      <c r="I87" s="269">
        <f t="shared" ref="I87:I88" si="31">E87*H87</f>
        <v>13855.337256539999</v>
      </c>
      <c r="J87" s="267">
        <v>400</v>
      </c>
      <c r="K87" s="267">
        <f t="shared" ref="K87:K88" si="32">J87*O87</f>
        <v>373.96321879999999</v>
      </c>
      <c r="L87" s="267">
        <f t="shared" ref="L87:L88" si="33">E87*K87</f>
        <v>747.92643759999999</v>
      </c>
      <c r="M87" s="267">
        <f>I87+L87</f>
        <v>14603.263694139998</v>
      </c>
      <c r="N87" s="269"/>
      <c r="O87" s="1174">
        <v>0.93490804699999996</v>
      </c>
      <c r="P87" s="1169"/>
      <c r="Q87" s="583"/>
      <c r="R87" s="583"/>
      <c r="S87" s="583"/>
      <c r="T87" s="577"/>
      <c r="U87" s="577"/>
      <c r="V87" s="577"/>
      <c r="W87" s="577"/>
      <c r="X87" s="577"/>
      <c r="Y87" s="577"/>
      <c r="Z87" s="250"/>
      <c r="AA87" s="250"/>
      <c r="AB87" s="250"/>
      <c r="AC87" s="250"/>
      <c r="AM87" s="250"/>
      <c r="AN87" s="250"/>
      <c r="AO87" s="250"/>
      <c r="AP87" s="250"/>
      <c r="AQ87" s="250"/>
      <c r="AR87" s="250"/>
      <c r="AS87" s="250"/>
    </row>
    <row r="88" spans="1:45" s="407" customFormat="1" ht="18.95" customHeight="1">
      <c r="A88" s="203"/>
      <c r="B88" s="591"/>
      <c r="C88" s="244" t="s">
        <v>1788</v>
      </c>
      <c r="D88" s="230"/>
      <c r="E88" s="267">
        <v>4</v>
      </c>
      <c r="F88" s="561" t="s">
        <v>402</v>
      </c>
      <c r="G88" s="267">
        <v>8125</v>
      </c>
      <c r="H88" s="269">
        <f t="shared" si="30"/>
        <v>7596.1278818749997</v>
      </c>
      <c r="I88" s="269">
        <f t="shared" si="31"/>
        <v>30384.511527499999</v>
      </c>
      <c r="J88" s="267">
        <v>500</v>
      </c>
      <c r="K88" s="267">
        <f t="shared" si="32"/>
        <v>467.45402350000001</v>
      </c>
      <c r="L88" s="267">
        <f t="shared" si="33"/>
        <v>1869.816094</v>
      </c>
      <c r="M88" s="267">
        <f>I88+L88</f>
        <v>32254.327621500001</v>
      </c>
      <c r="N88" s="269"/>
      <c r="O88" s="1174">
        <v>0.93490804699999996</v>
      </c>
      <c r="P88" s="1169"/>
      <c r="Q88" s="583"/>
      <c r="R88" s="577"/>
      <c r="S88" s="583"/>
      <c r="T88" s="577"/>
      <c r="U88" s="577"/>
      <c r="V88" s="577"/>
      <c r="W88" s="577"/>
      <c r="X88" s="577"/>
      <c r="Y88" s="577"/>
      <c r="Z88" s="250"/>
      <c r="AA88" s="250"/>
      <c r="AB88" s="250"/>
      <c r="AC88" s="250"/>
      <c r="AM88" s="250"/>
      <c r="AN88" s="250"/>
      <c r="AO88" s="250"/>
      <c r="AP88" s="250"/>
      <c r="AQ88" s="250"/>
      <c r="AR88" s="250"/>
      <c r="AS88" s="250"/>
    </row>
    <row r="89" spans="1:45" s="407" customFormat="1" ht="18.95" customHeight="1">
      <c r="A89" s="203"/>
      <c r="B89" s="591"/>
      <c r="C89" s="244" t="s">
        <v>1779</v>
      </c>
      <c r="D89" s="230"/>
      <c r="E89" s="267">
        <v>0</v>
      </c>
      <c r="F89" s="561" t="s">
        <v>402</v>
      </c>
      <c r="G89" s="267">
        <v>10925</v>
      </c>
      <c r="H89" s="267"/>
      <c r="I89" s="267">
        <f>ROUNDDOWN(E89*G89,2)</f>
        <v>0</v>
      </c>
      <c r="J89" s="267">
        <v>800</v>
      </c>
      <c r="K89" s="267"/>
      <c r="L89" s="267">
        <f>ROUNDDOWN(E89*J89,2)</f>
        <v>0</v>
      </c>
      <c r="M89" s="267">
        <f>I89+L89</f>
        <v>0</v>
      </c>
      <c r="N89" s="269"/>
      <c r="O89" s="1174">
        <v>0.93490804699999996</v>
      </c>
      <c r="P89" s="1169"/>
      <c r="Q89" s="577"/>
      <c r="R89" s="577"/>
      <c r="S89" s="577"/>
      <c r="T89" s="577"/>
      <c r="U89" s="592"/>
      <c r="V89" s="592"/>
      <c r="W89" s="592"/>
      <c r="X89" s="577"/>
      <c r="Y89" s="577"/>
      <c r="Z89" s="250"/>
      <c r="AA89" s="250"/>
      <c r="AB89" s="250"/>
      <c r="AC89" s="250"/>
      <c r="AM89" s="250"/>
      <c r="AN89" s="250"/>
      <c r="AO89" s="250"/>
      <c r="AP89" s="250"/>
      <c r="AQ89" s="250"/>
      <c r="AR89" s="250"/>
      <c r="AS89" s="250"/>
    </row>
    <row r="90" spans="1:45" s="407" customFormat="1" ht="18.95" customHeight="1">
      <c r="A90" s="203"/>
      <c r="B90" s="596">
        <v>1.18</v>
      </c>
      <c r="C90" s="244" t="s">
        <v>1796</v>
      </c>
      <c r="D90" s="230"/>
      <c r="E90" s="267"/>
      <c r="F90" s="561"/>
      <c r="G90" s="267"/>
      <c r="H90" s="267"/>
      <c r="I90" s="267"/>
      <c r="J90" s="267"/>
      <c r="K90" s="267"/>
      <c r="L90" s="267"/>
      <c r="M90" s="267"/>
      <c r="N90" s="269"/>
      <c r="O90" s="1174">
        <v>0.93490804699999996</v>
      </c>
      <c r="P90" s="1169"/>
      <c r="Q90" s="577"/>
      <c r="R90" s="577"/>
      <c r="S90" s="577"/>
      <c r="T90" s="577"/>
      <c r="U90" s="577"/>
      <c r="V90" s="577"/>
      <c r="W90" s="577"/>
      <c r="X90" s="577"/>
      <c r="Y90" s="577"/>
      <c r="Z90" s="250"/>
      <c r="AA90" s="250"/>
      <c r="AB90" s="250"/>
      <c r="AC90" s="250"/>
      <c r="AM90" s="250"/>
      <c r="AN90" s="250"/>
      <c r="AO90" s="250"/>
      <c r="AP90" s="250"/>
      <c r="AQ90" s="250"/>
      <c r="AR90" s="250"/>
      <c r="AS90" s="250"/>
    </row>
    <row r="91" spans="1:45" s="407" customFormat="1" ht="18.95" customHeight="1">
      <c r="A91" s="224"/>
      <c r="B91" s="591"/>
      <c r="C91" s="244" t="s">
        <v>1783</v>
      </c>
      <c r="D91" s="230"/>
      <c r="E91" s="267">
        <v>2</v>
      </c>
      <c r="F91" s="561" t="s">
        <v>402</v>
      </c>
      <c r="G91" s="267">
        <v>3750</v>
      </c>
      <c r="H91" s="269">
        <f t="shared" ref="H91" si="34">G91*O91</f>
        <v>3505.9051762499998</v>
      </c>
      <c r="I91" s="269">
        <f t="shared" ref="I91" si="35">E91*H91</f>
        <v>7011.8103524999997</v>
      </c>
      <c r="J91" s="267">
        <v>150</v>
      </c>
      <c r="K91" s="267">
        <f t="shared" ref="K91:K103" si="36">J91*O91</f>
        <v>140.23620704999999</v>
      </c>
      <c r="L91" s="267">
        <f t="shared" ref="L91" si="37">E91*K91</f>
        <v>280.47241409999998</v>
      </c>
      <c r="M91" s="267">
        <f>I91+L91</f>
        <v>7292.2827665999994</v>
      </c>
      <c r="N91" s="269"/>
      <c r="O91" s="1174">
        <v>0.93490804699999996</v>
      </c>
      <c r="P91" s="1169"/>
      <c r="Q91" s="583"/>
      <c r="R91" s="577"/>
      <c r="S91" s="583"/>
      <c r="T91" s="577"/>
      <c r="U91" s="577"/>
      <c r="V91" s="577"/>
      <c r="W91" s="577"/>
      <c r="X91" s="577"/>
      <c r="Y91" s="577"/>
      <c r="Z91" s="250"/>
      <c r="AA91" s="250"/>
      <c r="AB91" s="250"/>
      <c r="AC91" s="250"/>
      <c r="AM91" s="250"/>
      <c r="AN91" s="250"/>
      <c r="AO91" s="250"/>
      <c r="AP91" s="250"/>
      <c r="AQ91" s="250"/>
      <c r="AR91" s="250"/>
      <c r="AS91" s="250"/>
    </row>
    <row r="92" spans="1:45" s="407" customFormat="1" ht="18.95" customHeight="1">
      <c r="A92" s="224"/>
      <c r="B92" s="596">
        <v>1.19</v>
      </c>
      <c r="C92" s="244" t="s">
        <v>1797</v>
      </c>
      <c r="D92" s="230"/>
      <c r="E92" s="267"/>
      <c r="F92" s="561"/>
      <c r="G92" s="267"/>
      <c r="H92" s="267"/>
      <c r="I92" s="267"/>
      <c r="J92" s="267"/>
      <c r="K92" s="267"/>
      <c r="L92" s="267"/>
      <c r="M92" s="267"/>
      <c r="N92" s="269"/>
      <c r="O92" s="1174">
        <v>0.93490804699999996</v>
      </c>
      <c r="P92" s="1169"/>
      <c r="Q92" s="577"/>
      <c r="R92" s="577"/>
      <c r="S92" s="577"/>
      <c r="T92" s="577"/>
      <c r="U92" s="577"/>
      <c r="V92" s="577"/>
      <c r="W92" s="577"/>
      <c r="X92" s="577"/>
      <c r="Y92" s="577"/>
      <c r="Z92" s="250"/>
      <c r="AA92" s="250"/>
      <c r="AB92" s="250"/>
      <c r="AC92" s="250"/>
      <c r="AM92" s="250"/>
      <c r="AN92" s="250"/>
      <c r="AO92" s="250"/>
      <c r="AP92" s="250"/>
      <c r="AQ92" s="250"/>
      <c r="AR92" s="250"/>
      <c r="AS92" s="250"/>
    </row>
    <row r="93" spans="1:45" s="407" customFormat="1" ht="18.95" customHeight="1">
      <c r="A93" s="224"/>
      <c r="B93" s="591"/>
      <c r="C93" s="244" t="s">
        <v>1798</v>
      </c>
      <c r="D93" s="230"/>
      <c r="E93" s="267">
        <v>85</v>
      </c>
      <c r="F93" s="561" t="s">
        <v>402</v>
      </c>
      <c r="G93" s="267">
        <v>250</v>
      </c>
      <c r="H93" s="269">
        <f t="shared" ref="H93" si="38">G93*O93</f>
        <v>233.72701175</v>
      </c>
      <c r="I93" s="269">
        <f t="shared" ref="I93" si="39">E93*H93</f>
        <v>19866.79599875</v>
      </c>
      <c r="J93" s="267">
        <v>50</v>
      </c>
      <c r="K93" s="267">
        <f t="shared" si="36"/>
        <v>46.745402349999999</v>
      </c>
      <c r="L93" s="267">
        <f t="shared" ref="L93" si="40">E93*K93</f>
        <v>3973.3591997499998</v>
      </c>
      <c r="M93" s="267">
        <f>I93+L93</f>
        <v>23840.155198500001</v>
      </c>
      <c r="N93" s="269"/>
      <c r="O93" s="1174">
        <v>0.93490804699999996</v>
      </c>
      <c r="P93" s="1169"/>
      <c r="Q93" s="577"/>
      <c r="R93" s="577"/>
      <c r="S93" s="577"/>
      <c r="T93" s="577"/>
      <c r="U93" s="577"/>
      <c r="V93" s="577"/>
      <c r="W93" s="577"/>
      <c r="X93" s="577"/>
      <c r="Y93" s="577"/>
      <c r="Z93" s="250"/>
      <c r="AA93" s="250"/>
      <c r="AB93" s="250"/>
      <c r="AC93" s="250"/>
      <c r="AM93" s="250"/>
      <c r="AN93" s="250"/>
      <c r="AO93" s="250"/>
      <c r="AP93" s="250"/>
      <c r="AQ93" s="250"/>
      <c r="AR93" s="250"/>
      <c r="AS93" s="250"/>
    </row>
    <row r="94" spans="1:45" s="407" customFormat="1" ht="18.95" customHeight="1">
      <c r="A94" s="224"/>
      <c r="B94" s="596">
        <v>1.2</v>
      </c>
      <c r="C94" s="244" t="s">
        <v>1799</v>
      </c>
      <c r="D94" s="230"/>
      <c r="E94" s="267"/>
      <c r="F94" s="269"/>
      <c r="G94" s="267"/>
      <c r="H94" s="267"/>
      <c r="I94" s="267"/>
      <c r="J94" s="269"/>
      <c r="K94" s="267"/>
      <c r="L94" s="271"/>
      <c r="M94" s="269"/>
      <c r="N94" s="269"/>
      <c r="O94" s="1174">
        <v>0.93490804699999996</v>
      </c>
      <c r="P94" s="1169"/>
      <c r="Q94" s="580"/>
      <c r="R94" s="580"/>
      <c r="S94" s="580"/>
      <c r="T94" s="577"/>
      <c r="U94" s="577"/>
      <c r="V94" s="577"/>
      <c r="W94" s="577"/>
      <c r="X94" s="577"/>
      <c r="Y94" s="577"/>
      <c r="Z94" s="250"/>
      <c r="AA94" s="250"/>
      <c r="AB94" s="250"/>
      <c r="AC94" s="250"/>
      <c r="AM94" s="250"/>
      <c r="AN94" s="250"/>
      <c r="AO94" s="250"/>
      <c r="AP94" s="250"/>
      <c r="AQ94" s="250"/>
      <c r="AR94" s="250"/>
      <c r="AS94" s="250"/>
    </row>
    <row r="95" spans="1:45" s="407" customFormat="1" ht="18.95" customHeight="1">
      <c r="A95" s="224"/>
      <c r="B95" s="591"/>
      <c r="C95" s="244" t="s">
        <v>1800</v>
      </c>
      <c r="D95" s="230"/>
      <c r="E95" s="267">
        <v>18</v>
      </c>
      <c r="F95" s="561" t="s">
        <v>402</v>
      </c>
      <c r="G95" s="267">
        <v>300</v>
      </c>
      <c r="H95" s="269">
        <f t="shared" ref="H95" si="41">G95*O95</f>
        <v>280.47241409999998</v>
      </c>
      <c r="I95" s="269">
        <f t="shared" ref="I95" si="42">E95*H95</f>
        <v>5048.5034538</v>
      </c>
      <c r="J95" s="267">
        <v>50</v>
      </c>
      <c r="K95" s="267">
        <f t="shared" si="36"/>
        <v>46.745402349999999</v>
      </c>
      <c r="L95" s="267">
        <f t="shared" ref="L95" si="43">E95*K95</f>
        <v>841.4172423</v>
      </c>
      <c r="M95" s="267">
        <f>I95+L95</f>
        <v>5889.9206961</v>
      </c>
      <c r="N95" s="269"/>
      <c r="O95" s="1174">
        <v>0.93490804699999996</v>
      </c>
      <c r="P95" s="1169"/>
      <c r="Q95" s="583"/>
      <c r="R95" s="583"/>
      <c r="S95" s="583"/>
      <c r="T95" s="579"/>
      <c r="U95" s="580"/>
      <c r="V95" s="586"/>
      <c r="W95" s="586"/>
      <c r="X95" s="577"/>
      <c r="Y95" s="577"/>
      <c r="Z95" s="250"/>
      <c r="AA95" s="250"/>
      <c r="AB95" s="250"/>
      <c r="AC95" s="250"/>
      <c r="AM95" s="250"/>
      <c r="AN95" s="250"/>
      <c r="AO95" s="250"/>
      <c r="AP95" s="250"/>
      <c r="AQ95" s="250"/>
      <c r="AR95" s="250"/>
      <c r="AS95" s="250"/>
    </row>
    <row r="96" spans="1:45" s="407" customFormat="1" ht="18.95" customHeight="1">
      <c r="A96" s="336"/>
      <c r="B96" s="596">
        <v>1.21</v>
      </c>
      <c r="C96" s="244" t="s">
        <v>1801</v>
      </c>
      <c r="D96" s="230"/>
      <c r="E96" s="267"/>
      <c r="F96" s="561"/>
      <c r="G96" s="267"/>
      <c r="H96" s="267"/>
      <c r="I96" s="267"/>
      <c r="J96" s="267"/>
      <c r="K96" s="267"/>
      <c r="L96" s="267"/>
      <c r="M96" s="267"/>
      <c r="N96" s="269"/>
      <c r="O96" s="1174">
        <v>0.93490804699999996</v>
      </c>
      <c r="P96" s="1169"/>
      <c r="Q96" s="583"/>
      <c r="R96" s="583"/>
      <c r="S96" s="583"/>
      <c r="T96" s="579"/>
      <c r="U96" s="580"/>
      <c r="V96" s="586"/>
      <c r="W96" s="586"/>
      <c r="X96" s="577"/>
      <c r="Y96" s="577"/>
      <c r="Z96" s="250"/>
      <c r="AA96" s="250"/>
      <c r="AB96" s="250"/>
      <c r="AC96" s="250"/>
      <c r="AM96" s="250"/>
      <c r="AN96" s="250"/>
      <c r="AO96" s="250"/>
      <c r="AP96" s="250"/>
      <c r="AQ96" s="250"/>
      <c r="AR96" s="250"/>
      <c r="AS96" s="250"/>
    </row>
    <row r="97" spans="1:45" s="407" customFormat="1" ht="18.95" customHeight="1">
      <c r="A97" s="154"/>
      <c r="B97" s="591"/>
      <c r="C97" s="244" t="s">
        <v>1802</v>
      </c>
      <c r="D97" s="230"/>
      <c r="E97" s="267">
        <v>0</v>
      </c>
      <c r="F97" s="561" t="s">
        <v>402</v>
      </c>
      <c r="G97" s="267">
        <v>1500</v>
      </c>
      <c r="H97" s="267"/>
      <c r="I97" s="267">
        <f>ROUNDDOWN(E97*G97,2)</f>
        <v>0</v>
      </c>
      <c r="J97" s="267">
        <v>200</v>
      </c>
      <c r="K97" s="267">
        <f t="shared" si="36"/>
        <v>186.9816094</v>
      </c>
      <c r="L97" s="267">
        <f>ROUNDDOWN(E97*J97,2)</f>
        <v>0</v>
      </c>
      <c r="M97" s="267">
        <f>I97+L97</f>
        <v>0</v>
      </c>
      <c r="N97" s="269"/>
      <c r="O97" s="1174">
        <v>0.93490804699999996</v>
      </c>
      <c r="P97" s="1169"/>
      <c r="Q97" s="583"/>
      <c r="R97" s="583"/>
      <c r="S97" s="583"/>
      <c r="T97" s="579"/>
      <c r="U97" s="580"/>
      <c r="V97" s="586"/>
      <c r="W97" s="586"/>
      <c r="X97" s="577"/>
      <c r="Y97" s="577"/>
      <c r="Z97" s="250"/>
      <c r="AA97" s="250"/>
      <c r="AB97" s="250"/>
      <c r="AC97" s="250"/>
      <c r="AM97" s="250"/>
      <c r="AN97" s="250"/>
      <c r="AO97" s="250"/>
      <c r="AP97" s="250"/>
      <c r="AQ97" s="250"/>
      <c r="AR97" s="250"/>
      <c r="AS97" s="250"/>
    </row>
    <row r="98" spans="1:45" s="407" customFormat="1" ht="18.95" customHeight="1">
      <c r="A98" s="154"/>
      <c r="B98" s="591"/>
      <c r="C98" s="244" t="s">
        <v>1803</v>
      </c>
      <c r="D98" s="230"/>
      <c r="E98" s="267">
        <v>0</v>
      </c>
      <c r="F98" s="561" t="s">
        <v>402</v>
      </c>
      <c r="G98" s="267">
        <v>2000</v>
      </c>
      <c r="H98" s="267"/>
      <c r="I98" s="267">
        <f>ROUNDDOWN(E98*G98,2)</f>
        <v>0</v>
      </c>
      <c r="J98" s="267">
        <v>200</v>
      </c>
      <c r="K98" s="267">
        <f t="shared" si="36"/>
        <v>186.9816094</v>
      </c>
      <c r="L98" s="267">
        <f>ROUNDDOWN(E98*J98,2)</f>
        <v>0</v>
      </c>
      <c r="M98" s="267">
        <f>I98+L98</f>
        <v>0</v>
      </c>
      <c r="N98" s="267"/>
      <c r="O98" s="1174">
        <v>0.93490804699999996</v>
      </c>
      <c r="P98" s="1169"/>
      <c r="Q98" s="583"/>
      <c r="R98" s="583"/>
      <c r="S98" s="583"/>
      <c r="T98" s="579"/>
      <c r="U98" s="580"/>
      <c r="V98" s="586"/>
      <c r="W98" s="586"/>
      <c r="X98" s="577"/>
      <c r="Y98" s="577"/>
      <c r="Z98" s="250"/>
      <c r="AA98" s="250"/>
      <c r="AB98" s="250"/>
      <c r="AC98" s="250"/>
      <c r="AM98" s="250"/>
      <c r="AN98" s="250"/>
      <c r="AO98" s="250"/>
      <c r="AP98" s="250"/>
      <c r="AQ98" s="250"/>
      <c r="AR98" s="250"/>
      <c r="AS98" s="250"/>
    </row>
    <row r="99" spans="1:45" s="407" customFormat="1" ht="18.95" customHeight="1">
      <c r="A99" s="154"/>
      <c r="B99" s="591"/>
      <c r="C99" s="244" t="s">
        <v>1804</v>
      </c>
      <c r="D99" s="230"/>
      <c r="E99" s="267">
        <v>8</v>
      </c>
      <c r="F99" s="561" t="s">
        <v>402</v>
      </c>
      <c r="G99" s="267">
        <v>4000</v>
      </c>
      <c r="H99" s="269">
        <f t="shared" ref="H99" si="44">G99*O99</f>
        <v>3739.632188</v>
      </c>
      <c r="I99" s="269">
        <f t="shared" ref="I99" si="45">E99*H99</f>
        <v>29917.057504</v>
      </c>
      <c r="J99" s="267">
        <v>200</v>
      </c>
      <c r="K99" s="267">
        <f t="shared" si="36"/>
        <v>186.9816094</v>
      </c>
      <c r="L99" s="267">
        <f t="shared" ref="L99" si="46">E99*K99</f>
        <v>1495.8528752</v>
      </c>
      <c r="M99" s="267">
        <f>I99+L99</f>
        <v>31412.910379199999</v>
      </c>
      <c r="N99" s="267"/>
      <c r="O99" s="1174">
        <v>0.93490804699999996</v>
      </c>
      <c r="P99" s="1169"/>
      <c r="Q99" s="583"/>
      <c r="R99" s="583"/>
      <c r="S99" s="583"/>
      <c r="T99" s="579"/>
      <c r="U99" s="580"/>
      <c r="V99" s="602"/>
      <c r="W99" s="602"/>
      <c r="X99" s="577"/>
      <c r="Y99" s="577"/>
      <c r="Z99" s="250"/>
      <c r="AA99" s="250"/>
      <c r="AB99" s="250"/>
      <c r="AC99" s="250"/>
      <c r="AM99" s="250"/>
      <c r="AN99" s="250"/>
      <c r="AO99" s="250"/>
      <c r="AP99" s="250"/>
      <c r="AQ99" s="250"/>
      <c r="AR99" s="250"/>
      <c r="AS99" s="250"/>
    </row>
    <row r="100" spans="1:45" s="407" customFormat="1" ht="18.95" customHeight="1">
      <c r="A100" s="154"/>
      <c r="B100" s="596">
        <v>1.22</v>
      </c>
      <c r="C100" s="244" t="s">
        <v>1805</v>
      </c>
      <c r="D100" s="230"/>
      <c r="E100" s="267"/>
      <c r="F100" s="561"/>
      <c r="G100" s="267"/>
      <c r="H100" s="267"/>
      <c r="I100" s="267"/>
      <c r="J100" s="267"/>
      <c r="K100" s="267"/>
      <c r="L100" s="267"/>
      <c r="M100" s="267"/>
      <c r="N100" s="267"/>
      <c r="O100" s="1174">
        <v>0.93490804699999996</v>
      </c>
      <c r="P100" s="1169"/>
      <c r="Q100" s="583"/>
      <c r="R100" s="583"/>
      <c r="S100" s="583"/>
      <c r="T100" s="579"/>
      <c r="U100" s="580"/>
      <c r="V100" s="586"/>
      <c r="W100" s="586"/>
      <c r="X100" s="577"/>
      <c r="Y100" s="577"/>
      <c r="Z100" s="250"/>
      <c r="AA100" s="250"/>
      <c r="AB100" s="250"/>
      <c r="AC100" s="250"/>
      <c r="AM100" s="250"/>
      <c r="AN100" s="250"/>
      <c r="AO100" s="250"/>
      <c r="AP100" s="250"/>
      <c r="AQ100" s="250"/>
      <c r="AR100" s="250"/>
      <c r="AS100" s="250"/>
    </row>
    <row r="101" spans="1:45" s="407" customFormat="1" ht="18.95" customHeight="1">
      <c r="A101" s="154"/>
      <c r="B101" s="591"/>
      <c r="C101" s="244" t="s">
        <v>1806</v>
      </c>
      <c r="D101" s="230"/>
      <c r="E101" s="267">
        <v>21</v>
      </c>
      <c r="F101" s="561" t="s">
        <v>402</v>
      </c>
      <c r="G101" s="267">
        <v>1000</v>
      </c>
      <c r="H101" s="269">
        <f t="shared" ref="H101" si="47">G101*O101</f>
        <v>934.90804700000001</v>
      </c>
      <c r="I101" s="269">
        <f t="shared" ref="I101" si="48">E101*H101</f>
        <v>19633.068986999999</v>
      </c>
      <c r="J101" s="267">
        <v>500</v>
      </c>
      <c r="K101" s="267">
        <f t="shared" si="36"/>
        <v>467.45402350000001</v>
      </c>
      <c r="L101" s="267">
        <f t="shared" ref="L101" si="49">E101*K101</f>
        <v>9816.5344934999994</v>
      </c>
      <c r="M101" s="267">
        <f>I101+L101</f>
        <v>29449.603480499998</v>
      </c>
      <c r="N101" s="267"/>
      <c r="O101" s="1174">
        <v>0.93490804699999996</v>
      </c>
      <c r="P101" s="1169"/>
      <c r="Q101" s="577"/>
      <c r="R101" s="577"/>
      <c r="S101" s="577"/>
      <c r="T101" s="577"/>
      <c r="U101" s="586"/>
      <c r="V101" s="586"/>
      <c r="W101" s="586"/>
      <c r="X101" s="577"/>
      <c r="Y101" s="577"/>
      <c r="Z101" s="250"/>
      <c r="AA101" s="250"/>
      <c r="AB101" s="250"/>
      <c r="AC101" s="250"/>
      <c r="AM101" s="250"/>
      <c r="AN101" s="250"/>
      <c r="AO101" s="250"/>
      <c r="AP101" s="250"/>
      <c r="AQ101" s="250"/>
      <c r="AR101" s="250"/>
      <c r="AS101" s="250"/>
    </row>
    <row r="102" spans="1:45" s="407" customFormat="1" ht="18.95" customHeight="1">
      <c r="A102" s="154"/>
      <c r="B102" s="596">
        <v>1.23</v>
      </c>
      <c r="C102" s="244" t="s">
        <v>1807</v>
      </c>
      <c r="D102" s="230"/>
      <c r="E102" s="267"/>
      <c r="F102" s="561"/>
      <c r="G102" s="267"/>
      <c r="H102" s="267"/>
      <c r="I102" s="267"/>
      <c r="J102" s="267"/>
      <c r="K102" s="267"/>
      <c r="L102" s="267"/>
      <c r="M102" s="267"/>
      <c r="N102" s="267"/>
      <c r="O102" s="1174">
        <v>0.93490804699999996</v>
      </c>
      <c r="P102" s="1169"/>
      <c r="Q102" s="577"/>
      <c r="R102" s="577"/>
      <c r="S102" s="577"/>
      <c r="T102" s="577"/>
      <c r="U102" s="586"/>
      <c r="V102" s="586"/>
      <c r="W102" s="586"/>
      <c r="X102" s="577"/>
      <c r="Y102" s="577"/>
      <c r="Z102" s="250"/>
      <c r="AA102" s="250"/>
      <c r="AB102" s="250"/>
      <c r="AC102" s="250"/>
      <c r="AM102" s="250"/>
      <c r="AN102" s="250"/>
      <c r="AO102" s="250"/>
      <c r="AP102" s="250"/>
      <c r="AQ102" s="250"/>
      <c r="AR102" s="250"/>
      <c r="AS102" s="250"/>
    </row>
    <row r="103" spans="1:45" s="407" customFormat="1" ht="18.95" customHeight="1">
      <c r="A103" s="154"/>
      <c r="B103" s="591"/>
      <c r="C103" s="244" t="s">
        <v>1808</v>
      </c>
      <c r="D103" s="230"/>
      <c r="E103" s="267">
        <v>1</v>
      </c>
      <c r="F103" s="561" t="s">
        <v>402</v>
      </c>
      <c r="G103" s="267">
        <v>9675</v>
      </c>
      <c r="H103" s="269">
        <f t="shared" ref="H103" si="50">G103*O103</f>
        <v>9045.2353547250004</v>
      </c>
      <c r="I103" s="269">
        <f t="shared" ref="I103" si="51">E103*H103</f>
        <v>9045.2353547250004</v>
      </c>
      <c r="J103" s="267">
        <v>500</v>
      </c>
      <c r="K103" s="267">
        <f t="shared" si="36"/>
        <v>467.45402350000001</v>
      </c>
      <c r="L103" s="267">
        <f t="shared" ref="L103" si="52">E103*K103</f>
        <v>467.45402350000001</v>
      </c>
      <c r="M103" s="267">
        <f>I103+L103</f>
        <v>9512.6893782250008</v>
      </c>
      <c r="N103" s="267"/>
      <c r="O103" s="1174">
        <v>0.93490804699999996</v>
      </c>
      <c r="P103" s="1169"/>
      <c r="Q103" s="583"/>
      <c r="R103" s="577"/>
      <c r="S103" s="583"/>
      <c r="T103" s="577"/>
      <c r="U103" s="592"/>
      <c r="V103" s="592"/>
      <c r="W103" s="592"/>
      <c r="X103" s="577"/>
      <c r="Y103" s="577"/>
      <c r="Z103" s="250"/>
      <c r="AA103" s="250"/>
      <c r="AB103" s="250"/>
      <c r="AC103" s="250"/>
      <c r="AM103" s="250"/>
      <c r="AN103" s="250"/>
      <c r="AO103" s="250"/>
      <c r="AP103" s="250"/>
      <c r="AQ103" s="250"/>
      <c r="AR103" s="250"/>
      <c r="AS103" s="250"/>
    </row>
    <row r="104" spans="1:45" ht="18.95" customHeight="1">
      <c r="A104" s="595"/>
      <c r="B104" s="1345" t="s">
        <v>1206</v>
      </c>
      <c r="C104" s="1346"/>
      <c r="D104" s="1346"/>
      <c r="E104" s="271"/>
      <c r="F104" s="339"/>
      <c r="G104" s="271"/>
      <c r="H104" s="271"/>
      <c r="I104" s="271">
        <f>SUM(I29:I103)</f>
        <v>1374631.0149914958</v>
      </c>
      <c r="J104" s="271"/>
      <c r="K104" s="271"/>
      <c r="L104" s="271">
        <f>SUM(L29:L103)</f>
        <v>142541.69029390201</v>
      </c>
      <c r="M104" s="271">
        <f>SUM(M29:M103)</f>
        <v>1517172.7052853971</v>
      </c>
      <c r="N104" s="267"/>
      <c r="O104" s="1174">
        <v>0.93490804699999996</v>
      </c>
      <c r="P104" s="1168"/>
      <c r="Q104" s="583"/>
      <c r="R104" s="583"/>
      <c r="S104" s="583"/>
      <c r="T104" s="579"/>
      <c r="U104" s="580"/>
      <c r="V104" s="577"/>
      <c r="W104" s="577"/>
      <c r="X104" s="577"/>
      <c r="Y104" s="577"/>
    </row>
    <row r="105" spans="1:45" ht="18.95" customHeight="1">
      <c r="A105" s="595"/>
      <c r="B105" s="603"/>
      <c r="C105" s="374"/>
      <c r="D105" s="374"/>
      <c r="E105" s="267"/>
      <c r="F105" s="269"/>
      <c r="G105" s="269"/>
      <c r="H105" s="269"/>
      <c r="I105" s="269"/>
      <c r="J105" s="269"/>
      <c r="K105" s="269"/>
      <c r="L105" s="269"/>
      <c r="M105" s="267"/>
      <c r="N105" s="267"/>
      <c r="O105" s="1174">
        <v>0.93490804699999996</v>
      </c>
      <c r="P105" s="1168"/>
      <c r="Q105" s="583"/>
      <c r="R105" s="583"/>
      <c r="S105" s="583"/>
      <c r="T105" s="579"/>
      <c r="U105" s="580"/>
      <c r="V105" s="577"/>
      <c r="W105" s="577"/>
      <c r="X105" s="577"/>
      <c r="Y105" s="577"/>
    </row>
    <row r="106" spans="1:45" ht="18.95" customHeight="1">
      <c r="A106" s="587">
        <v>2</v>
      </c>
      <c r="B106" s="588" t="s">
        <v>1749</v>
      </c>
      <c r="C106" s="589"/>
      <c r="D106" s="230"/>
      <c r="E106" s="267"/>
      <c r="F106" s="561"/>
      <c r="G106" s="267"/>
      <c r="H106" s="267"/>
      <c r="I106" s="267"/>
      <c r="J106" s="267"/>
      <c r="K106" s="267"/>
      <c r="L106" s="267"/>
      <c r="M106" s="267"/>
      <c r="N106" s="269" t="s">
        <v>1750</v>
      </c>
      <c r="O106" s="1174">
        <v>0.93490804699999996</v>
      </c>
      <c r="P106" s="1168"/>
      <c r="Q106" s="583"/>
      <c r="R106" s="583"/>
      <c r="S106" s="583"/>
      <c r="T106" s="579"/>
      <c r="U106" s="580"/>
      <c r="V106" s="577"/>
      <c r="W106" s="577"/>
      <c r="X106" s="577"/>
      <c r="Y106" s="577"/>
    </row>
    <row r="107" spans="1:45" ht="18.95" customHeight="1">
      <c r="A107" s="224"/>
      <c r="B107" s="1307" t="s">
        <v>1211</v>
      </c>
      <c r="C107" s="1308"/>
      <c r="D107" s="1308"/>
      <c r="E107" s="267"/>
      <c r="F107" s="561"/>
      <c r="G107" s="267"/>
      <c r="H107" s="267"/>
      <c r="I107" s="267"/>
      <c r="J107" s="267"/>
      <c r="K107" s="267"/>
      <c r="L107" s="267"/>
      <c r="M107" s="271"/>
      <c r="N107" s="269"/>
      <c r="O107" s="1174">
        <v>0.93490804699999996</v>
      </c>
      <c r="P107" s="1168"/>
      <c r="Q107" s="583"/>
      <c r="R107" s="583"/>
      <c r="S107" s="583"/>
      <c r="T107" s="579"/>
      <c r="U107" s="580"/>
      <c r="V107" s="577"/>
      <c r="W107" s="577"/>
      <c r="X107" s="577"/>
      <c r="Y107" s="577"/>
    </row>
    <row r="108" spans="1:45" ht="18.95" customHeight="1">
      <c r="A108" s="122"/>
      <c r="B108" s="155"/>
      <c r="C108" s="156"/>
      <c r="D108" s="156"/>
      <c r="E108" s="267"/>
      <c r="F108" s="561"/>
      <c r="G108" s="267"/>
      <c r="H108" s="267"/>
      <c r="I108" s="267"/>
      <c r="J108" s="267"/>
      <c r="K108" s="267"/>
      <c r="L108" s="267"/>
      <c r="M108" s="271"/>
      <c r="N108" s="269"/>
      <c r="O108" s="1174">
        <v>0.93490804699999996</v>
      </c>
      <c r="P108" s="1168"/>
      <c r="Q108" s="583"/>
      <c r="R108" s="583"/>
      <c r="S108" s="583"/>
      <c r="T108" s="579"/>
      <c r="U108" s="580"/>
      <c r="V108" s="577"/>
      <c r="W108" s="577"/>
      <c r="X108" s="577"/>
      <c r="Y108" s="577"/>
    </row>
    <row r="109" spans="1:45" ht="18.95" customHeight="1">
      <c r="A109" s="122"/>
      <c r="B109" s="155"/>
      <c r="C109" s="156"/>
      <c r="D109" s="156"/>
      <c r="E109" s="267"/>
      <c r="F109" s="561"/>
      <c r="G109" s="267"/>
      <c r="H109" s="267"/>
      <c r="I109" s="267"/>
      <c r="J109" s="267"/>
      <c r="K109" s="267"/>
      <c r="L109" s="267"/>
      <c r="M109" s="271"/>
      <c r="N109" s="269"/>
      <c r="O109" s="1174">
        <v>0.93490804699999996</v>
      </c>
      <c r="P109" s="1168"/>
      <c r="Q109" s="583"/>
      <c r="R109" s="583"/>
      <c r="S109" s="583"/>
      <c r="T109" s="579"/>
      <c r="U109" s="580"/>
      <c r="V109" s="577"/>
      <c r="W109" s="577"/>
      <c r="X109" s="577"/>
      <c r="Y109" s="577"/>
    </row>
    <row r="110" spans="1:45" ht="18.95" customHeight="1">
      <c r="A110" s="604">
        <v>3</v>
      </c>
      <c r="B110" s="588" t="s">
        <v>1751</v>
      </c>
      <c r="C110" s="605"/>
      <c r="D110" s="374"/>
      <c r="E110" s="267"/>
      <c r="F110" s="561"/>
      <c r="G110" s="267"/>
      <c r="H110" s="267"/>
      <c r="I110" s="267"/>
      <c r="J110" s="267"/>
      <c r="K110" s="267"/>
      <c r="L110" s="267"/>
      <c r="M110" s="267"/>
      <c r="N110" s="269"/>
      <c r="O110" s="1174">
        <v>0.93490804699999996</v>
      </c>
      <c r="P110" s="1168"/>
      <c r="Q110" s="583"/>
      <c r="R110" s="583"/>
      <c r="S110" s="583"/>
      <c r="T110" s="579"/>
      <c r="U110" s="580"/>
      <c r="V110" s="577"/>
      <c r="W110" s="577"/>
      <c r="X110" s="577"/>
      <c r="Y110" s="577"/>
    </row>
    <row r="111" spans="1:45" ht="18.95" customHeight="1">
      <c r="A111" s="587"/>
      <c r="B111" s="588" t="s">
        <v>1657</v>
      </c>
      <c r="C111" s="589"/>
      <c r="D111" s="230"/>
      <c r="E111" s="267"/>
      <c r="F111" s="561"/>
      <c r="G111" s="267"/>
      <c r="H111" s="267"/>
      <c r="I111" s="267"/>
      <c r="J111" s="267"/>
      <c r="K111" s="267"/>
      <c r="L111" s="267"/>
      <c r="M111" s="267"/>
      <c r="N111" s="269"/>
      <c r="O111" s="1174">
        <v>0.93490804699999996</v>
      </c>
      <c r="P111" s="1168"/>
      <c r="Q111" s="583"/>
      <c r="R111" s="583"/>
      <c r="S111" s="583"/>
      <c r="T111" s="579"/>
      <c r="U111" s="580"/>
      <c r="V111" s="577"/>
      <c r="W111" s="577"/>
      <c r="X111" s="577"/>
      <c r="Y111" s="577"/>
    </row>
    <row r="112" spans="1:45" ht="18.95" customHeight="1">
      <c r="A112" s="595"/>
      <c r="B112" s="590">
        <v>3.1</v>
      </c>
      <c r="C112" s="374" t="s">
        <v>1809</v>
      </c>
      <c r="D112" s="374"/>
      <c r="E112" s="267"/>
      <c r="F112" s="561"/>
      <c r="G112" s="267"/>
      <c r="H112" s="267"/>
      <c r="I112" s="267"/>
      <c r="J112" s="267"/>
      <c r="K112" s="267"/>
      <c r="L112" s="267"/>
      <c r="M112" s="267"/>
      <c r="N112" s="269"/>
      <c r="O112" s="1174">
        <v>0.93490804699999996</v>
      </c>
      <c r="P112" s="1168"/>
      <c r="Q112" s="583"/>
      <c r="R112" s="583"/>
      <c r="S112" s="583"/>
      <c r="T112" s="579"/>
      <c r="U112" s="580"/>
      <c r="V112" s="577"/>
      <c r="W112" s="577"/>
      <c r="X112" s="577"/>
      <c r="Y112" s="577"/>
    </row>
    <row r="113" spans="1:45" ht="18.95" customHeight="1">
      <c r="A113" s="595"/>
      <c r="B113" s="591"/>
      <c r="C113" s="374" t="s">
        <v>1810</v>
      </c>
      <c r="D113" s="374"/>
      <c r="E113" s="267">
        <v>1</v>
      </c>
      <c r="F113" s="561" t="s">
        <v>402</v>
      </c>
      <c r="G113" s="267">
        <v>506430</v>
      </c>
      <c r="H113" s="269">
        <f t="shared" ref="H113" si="53">G113*O113</f>
        <v>473465.48224220995</v>
      </c>
      <c r="I113" s="269">
        <f t="shared" ref="I113" si="54">E113*H113</f>
        <v>473465.48224220995</v>
      </c>
      <c r="J113" s="267">
        <v>25000</v>
      </c>
      <c r="K113" s="267">
        <f t="shared" ref="K113" si="55">J113*O113</f>
        <v>23372.701174999998</v>
      </c>
      <c r="L113" s="267">
        <f t="shared" ref="L113" si="56">E113*K113</f>
        <v>23372.701174999998</v>
      </c>
      <c r="M113" s="267">
        <f>I113+L113</f>
        <v>496838.18341720995</v>
      </c>
      <c r="N113" s="269"/>
      <c r="O113" s="1174">
        <v>0.93490804699999996</v>
      </c>
      <c r="P113" s="1168"/>
      <c r="Q113" s="599"/>
      <c r="R113" s="577"/>
      <c r="S113" s="599"/>
      <c r="T113" s="577"/>
      <c r="U113" s="577"/>
      <c r="V113" s="577"/>
      <c r="W113" s="577"/>
      <c r="X113" s="577"/>
      <c r="Y113" s="577"/>
    </row>
    <row r="114" spans="1:45" ht="18.95" customHeight="1">
      <c r="A114" s="595"/>
      <c r="B114" s="591"/>
      <c r="C114" s="244" t="s">
        <v>1811</v>
      </c>
      <c r="D114" s="374"/>
      <c r="E114" s="267">
        <v>1</v>
      </c>
      <c r="F114" s="561" t="s">
        <v>402</v>
      </c>
      <c r="G114" s="267"/>
      <c r="H114" s="267"/>
      <c r="I114" s="267">
        <f>ROUNDDOWN(E114*G114,2)</f>
        <v>0</v>
      </c>
      <c r="J114" s="267">
        <v>0</v>
      </c>
      <c r="K114" s="267"/>
      <c r="L114" s="267">
        <f>ROUNDDOWN(E114*J114,2)</f>
        <v>0</v>
      </c>
      <c r="M114" s="267">
        <f>SUM(I114,L114)</f>
        <v>0</v>
      </c>
      <c r="N114" s="269" t="s">
        <v>1759</v>
      </c>
      <c r="O114" s="1174">
        <v>0.93490804699999996</v>
      </c>
      <c r="P114" s="1168"/>
      <c r="Q114" s="577"/>
      <c r="R114" s="577"/>
      <c r="S114" s="583"/>
      <c r="T114" s="577"/>
      <c r="U114" s="577"/>
      <c r="V114" s="577"/>
      <c r="W114" s="577"/>
      <c r="X114" s="577"/>
      <c r="Y114" s="577"/>
    </row>
    <row r="115" spans="1:45" ht="18.95" customHeight="1">
      <c r="A115" s="595"/>
      <c r="B115" s="591"/>
      <c r="C115" s="374" t="s">
        <v>1812</v>
      </c>
      <c r="D115" s="374"/>
      <c r="E115" s="267">
        <v>1</v>
      </c>
      <c r="F115" s="561" t="s">
        <v>402</v>
      </c>
      <c r="G115" s="267">
        <v>34920</v>
      </c>
      <c r="H115" s="269">
        <f t="shared" ref="H115" si="57">G115*O115</f>
        <v>32646.989001239999</v>
      </c>
      <c r="I115" s="269">
        <f t="shared" ref="I115" si="58">E115*H115</f>
        <v>32646.989001239999</v>
      </c>
      <c r="J115" s="267">
        <v>3000</v>
      </c>
      <c r="K115" s="267">
        <f t="shared" ref="K115" si="59">J115*O115</f>
        <v>2804.7241409999997</v>
      </c>
      <c r="L115" s="267">
        <f t="shared" ref="L115" si="60">E115*K115</f>
        <v>2804.7241409999997</v>
      </c>
      <c r="M115" s="267">
        <f>I115+L115</f>
        <v>35451.713142239998</v>
      </c>
      <c r="N115" s="269"/>
      <c r="O115" s="1174">
        <v>0.93490804699999996</v>
      </c>
      <c r="P115" s="1168"/>
      <c r="Q115" s="599"/>
      <c r="R115" s="577"/>
      <c r="S115" s="599"/>
      <c r="T115" s="577"/>
      <c r="U115" s="577"/>
      <c r="V115" s="577"/>
      <c r="W115" s="577"/>
      <c r="X115" s="577"/>
      <c r="Y115" s="577"/>
    </row>
    <row r="116" spans="1:45" ht="18.95" customHeight="1">
      <c r="A116" s="595"/>
      <c r="B116" s="591"/>
      <c r="C116" s="244" t="s">
        <v>1813</v>
      </c>
      <c r="D116" s="374"/>
      <c r="E116" s="267">
        <v>1</v>
      </c>
      <c r="F116" s="561" t="s">
        <v>402</v>
      </c>
      <c r="G116" s="267"/>
      <c r="H116" s="267"/>
      <c r="I116" s="267">
        <f>ROUNDDOWN(E116*G116,2)</f>
        <v>0</v>
      </c>
      <c r="J116" s="267"/>
      <c r="K116" s="267"/>
      <c r="L116" s="267">
        <f>ROUNDDOWN(E116*J116,2)</f>
        <v>0</v>
      </c>
      <c r="M116" s="267">
        <f>I116+L116</f>
        <v>0</v>
      </c>
      <c r="N116" s="269" t="s">
        <v>1759</v>
      </c>
      <c r="O116" s="1174">
        <v>0.93490804699999996</v>
      </c>
      <c r="P116" s="1168"/>
      <c r="Q116" s="577"/>
      <c r="R116" s="577"/>
      <c r="S116" s="577"/>
      <c r="T116" s="577"/>
      <c r="U116" s="577"/>
      <c r="V116" s="577"/>
      <c r="W116" s="577"/>
      <c r="X116" s="577"/>
      <c r="Y116" s="577"/>
    </row>
    <row r="117" spans="1:45" ht="18.95" customHeight="1">
      <c r="A117" s="154"/>
      <c r="B117" s="588" t="s">
        <v>1760</v>
      </c>
      <c r="C117" s="244"/>
      <c r="D117" s="230"/>
      <c r="E117" s="267"/>
      <c r="F117" s="561"/>
      <c r="G117" s="267"/>
      <c r="H117" s="267"/>
      <c r="I117" s="267"/>
      <c r="J117" s="267"/>
      <c r="K117" s="267"/>
      <c r="L117" s="267"/>
      <c r="M117" s="267"/>
      <c r="N117" s="267"/>
      <c r="O117" s="1174">
        <v>0.93490804699999996</v>
      </c>
      <c r="P117" s="1168"/>
      <c r="Q117" s="577"/>
      <c r="R117" s="577"/>
      <c r="S117" s="577"/>
      <c r="T117" s="577"/>
      <c r="U117" s="577"/>
      <c r="V117" s="577"/>
      <c r="W117" s="577"/>
      <c r="X117" s="577"/>
      <c r="Y117" s="577"/>
    </row>
    <row r="118" spans="1:45" ht="18.95" customHeight="1">
      <c r="A118" s="595"/>
      <c r="B118" s="590">
        <v>3.2</v>
      </c>
      <c r="C118" s="374" t="s">
        <v>1814</v>
      </c>
      <c r="D118" s="374"/>
      <c r="E118" s="267"/>
      <c r="F118" s="561"/>
      <c r="G118" s="267"/>
      <c r="H118" s="267"/>
      <c r="I118" s="267"/>
      <c r="J118" s="267"/>
      <c r="K118" s="267"/>
      <c r="L118" s="267"/>
      <c r="M118" s="267"/>
      <c r="N118" s="269"/>
      <c r="O118" s="1174">
        <v>0.93490804699999996</v>
      </c>
      <c r="P118" s="1168"/>
      <c r="Q118" s="577"/>
      <c r="R118" s="577"/>
      <c r="S118" s="577"/>
      <c r="T118" s="577"/>
      <c r="U118" s="577"/>
      <c r="V118" s="577"/>
      <c r="W118" s="577"/>
      <c r="X118" s="577"/>
      <c r="Y118" s="577"/>
    </row>
    <row r="119" spans="1:45" s="407" customFormat="1" ht="18.95" customHeight="1">
      <c r="A119" s="595"/>
      <c r="B119" s="591"/>
      <c r="C119" s="374" t="s">
        <v>1785</v>
      </c>
      <c r="D119" s="374"/>
      <c r="E119" s="267">
        <v>0</v>
      </c>
      <c r="F119" s="561" t="s">
        <v>1079</v>
      </c>
      <c r="G119" s="267">
        <v>39</v>
      </c>
      <c r="H119" s="267"/>
      <c r="I119" s="267">
        <f t="shared" ref="I119:I125" si="61">ROUNDDOWN(E119*G119,2)</f>
        <v>0</v>
      </c>
      <c r="J119" s="267">
        <v>30</v>
      </c>
      <c r="K119" s="267"/>
      <c r="L119" s="267">
        <f t="shared" ref="L119:L125" si="62">ROUNDDOWN(E119*J119,2)</f>
        <v>0</v>
      </c>
      <c r="M119" s="267">
        <f t="shared" ref="M119:M125" si="63">I119+L119</f>
        <v>0</v>
      </c>
      <c r="N119" s="267"/>
      <c r="O119" s="1174">
        <v>0.93490804699999996</v>
      </c>
      <c r="P119" s="1169"/>
      <c r="Q119" s="599" t="s">
        <v>1815</v>
      </c>
      <c r="R119" s="583"/>
      <c r="S119" s="577"/>
      <c r="T119" s="577"/>
      <c r="U119" s="577"/>
      <c r="V119" s="577"/>
      <c r="W119" s="577"/>
      <c r="X119" s="577"/>
      <c r="Y119" s="577"/>
      <c r="Z119" s="250"/>
      <c r="AA119" s="250"/>
      <c r="AB119" s="250"/>
      <c r="AC119" s="250"/>
      <c r="AM119" s="250"/>
      <c r="AN119" s="250"/>
      <c r="AO119" s="250"/>
      <c r="AP119" s="250"/>
      <c r="AQ119" s="250"/>
      <c r="AR119" s="250"/>
      <c r="AS119" s="250"/>
    </row>
    <row r="120" spans="1:45" s="407" customFormat="1" ht="18.95" customHeight="1">
      <c r="A120" s="595"/>
      <c r="B120" s="591"/>
      <c r="C120" s="374" t="s">
        <v>1786</v>
      </c>
      <c r="D120" s="374"/>
      <c r="E120" s="267">
        <v>0</v>
      </c>
      <c r="F120" s="561" t="s">
        <v>1079</v>
      </c>
      <c r="G120" s="267">
        <v>51</v>
      </c>
      <c r="H120" s="267"/>
      <c r="I120" s="267">
        <f t="shared" si="61"/>
        <v>0</v>
      </c>
      <c r="J120" s="267">
        <v>30</v>
      </c>
      <c r="K120" s="267"/>
      <c r="L120" s="267">
        <f t="shared" si="62"/>
        <v>0</v>
      </c>
      <c r="M120" s="267">
        <f t="shared" si="63"/>
        <v>0</v>
      </c>
      <c r="N120" s="267"/>
      <c r="O120" s="1174">
        <v>0.93490804699999996</v>
      </c>
      <c r="P120" s="1169"/>
      <c r="Q120" s="599" t="s">
        <v>1815</v>
      </c>
      <c r="R120" s="583"/>
      <c r="S120" s="577"/>
      <c r="T120" s="577"/>
      <c r="U120" s="577"/>
      <c r="V120" s="577"/>
      <c r="W120" s="577"/>
      <c r="X120" s="577"/>
      <c r="Y120" s="577"/>
      <c r="Z120" s="250"/>
      <c r="AA120" s="250"/>
      <c r="AB120" s="250"/>
      <c r="AC120" s="250"/>
      <c r="AM120" s="250"/>
      <c r="AN120" s="250"/>
      <c r="AO120" s="250"/>
      <c r="AP120" s="250"/>
      <c r="AQ120" s="250"/>
      <c r="AR120" s="250"/>
      <c r="AS120" s="250"/>
    </row>
    <row r="121" spans="1:45" s="407" customFormat="1" ht="18.95" customHeight="1">
      <c r="A121" s="595"/>
      <c r="B121" s="591"/>
      <c r="C121" s="374" t="s">
        <v>1787</v>
      </c>
      <c r="D121" s="374"/>
      <c r="E121" s="267">
        <v>271</v>
      </c>
      <c r="F121" s="561" t="s">
        <v>1079</v>
      </c>
      <c r="G121" s="267">
        <v>54.67</v>
      </c>
      <c r="H121" s="269">
        <f t="shared" ref="H121" si="64">G121*O121</f>
        <v>51.111422929489997</v>
      </c>
      <c r="I121" s="269">
        <f t="shared" ref="I121" si="65">E121*H121</f>
        <v>13851.195613891789</v>
      </c>
      <c r="J121" s="267">
        <v>40</v>
      </c>
      <c r="K121" s="267">
        <f t="shared" ref="K121" si="66">J121*O121</f>
        <v>37.396321880000002</v>
      </c>
      <c r="L121" s="267">
        <f t="shared" ref="L121" si="67">E121*K121</f>
        <v>10134.40322948</v>
      </c>
      <c r="M121" s="267">
        <f t="shared" si="63"/>
        <v>23985.598843371787</v>
      </c>
      <c r="N121" s="267"/>
      <c r="O121" s="1174">
        <v>0.93490804699999996</v>
      </c>
      <c r="P121" s="1169"/>
      <c r="Q121" s="599" t="s">
        <v>1815</v>
      </c>
      <c r="R121" s="583">
        <v>54.67</v>
      </c>
      <c r="S121" s="583"/>
      <c r="T121" s="577"/>
      <c r="U121" s="577"/>
      <c r="V121" s="577"/>
      <c r="W121" s="577"/>
      <c r="X121" s="577"/>
      <c r="Y121" s="577"/>
      <c r="Z121" s="250"/>
      <c r="AA121" s="250"/>
      <c r="AB121" s="250"/>
      <c r="AC121" s="250"/>
      <c r="AM121" s="250"/>
      <c r="AN121" s="250"/>
      <c r="AO121" s="250"/>
      <c r="AP121" s="250"/>
      <c r="AQ121" s="250"/>
      <c r="AR121" s="250"/>
      <c r="AS121" s="250"/>
    </row>
    <row r="122" spans="1:45" s="407" customFormat="1" ht="18.95" customHeight="1">
      <c r="A122" s="595"/>
      <c r="B122" s="591"/>
      <c r="C122" s="374" t="s">
        <v>1788</v>
      </c>
      <c r="D122" s="374"/>
      <c r="E122" s="267">
        <v>0</v>
      </c>
      <c r="F122" s="561" t="s">
        <v>1079</v>
      </c>
      <c r="G122" s="267">
        <v>129</v>
      </c>
      <c r="H122" s="267"/>
      <c r="I122" s="267">
        <f t="shared" si="61"/>
        <v>0</v>
      </c>
      <c r="J122" s="267">
        <v>50</v>
      </c>
      <c r="K122" s="267"/>
      <c r="L122" s="267">
        <f t="shared" si="62"/>
        <v>0</v>
      </c>
      <c r="M122" s="267">
        <f t="shared" si="63"/>
        <v>0</v>
      </c>
      <c r="N122" s="267"/>
      <c r="O122" s="1174">
        <v>0.93490804699999996</v>
      </c>
      <c r="P122" s="1169"/>
      <c r="Q122" s="599" t="s">
        <v>1815</v>
      </c>
      <c r="R122" s="583"/>
      <c r="S122" s="577"/>
      <c r="T122" s="577"/>
      <c r="U122" s="577"/>
      <c r="V122" s="577"/>
      <c r="W122" s="577"/>
      <c r="X122" s="577"/>
      <c r="Y122" s="577"/>
      <c r="Z122" s="250"/>
      <c r="AA122" s="250"/>
      <c r="AB122" s="250"/>
      <c r="AC122" s="250"/>
      <c r="AM122" s="250"/>
      <c r="AN122" s="250"/>
      <c r="AO122" s="250"/>
      <c r="AP122" s="250"/>
      <c r="AQ122" s="250"/>
      <c r="AR122" s="250"/>
      <c r="AS122" s="250"/>
    </row>
    <row r="123" spans="1:45" s="407" customFormat="1" ht="18.95" customHeight="1">
      <c r="A123" s="595"/>
      <c r="B123" s="591"/>
      <c r="C123" s="374" t="s">
        <v>1779</v>
      </c>
      <c r="D123" s="374"/>
      <c r="E123" s="267">
        <v>177</v>
      </c>
      <c r="F123" s="561" t="s">
        <v>1079</v>
      </c>
      <c r="G123" s="267">
        <v>126.17</v>
      </c>
      <c r="H123" s="269">
        <f t="shared" ref="H123:H124" si="68">G123*O123</f>
        <v>117.95734828998999</v>
      </c>
      <c r="I123" s="269">
        <f t="shared" ref="I123:I124" si="69">E123*H123</f>
        <v>20878.450647328227</v>
      </c>
      <c r="J123" s="267">
        <v>75</v>
      </c>
      <c r="K123" s="267">
        <f t="shared" ref="K123:K124" si="70">J123*O123</f>
        <v>70.118103524999995</v>
      </c>
      <c r="L123" s="267">
        <f t="shared" ref="L123:L124" si="71">E123*K123</f>
        <v>12410.904323924999</v>
      </c>
      <c r="M123" s="267">
        <f t="shared" si="63"/>
        <v>33289.354971253226</v>
      </c>
      <c r="N123" s="267"/>
      <c r="O123" s="1174">
        <v>0.93490804699999996</v>
      </c>
      <c r="P123" s="1169"/>
      <c r="Q123" s="599" t="s">
        <v>1815</v>
      </c>
      <c r="R123" s="583">
        <v>126.17</v>
      </c>
      <c r="S123" s="583"/>
      <c r="T123" s="577"/>
      <c r="U123" s="577"/>
      <c r="V123" s="577"/>
      <c r="W123" s="577"/>
      <c r="X123" s="577"/>
      <c r="Y123" s="577"/>
      <c r="Z123" s="250"/>
      <c r="AA123" s="250"/>
      <c r="AB123" s="250"/>
      <c r="AC123" s="250"/>
      <c r="AM123" s="250"/>
      <c r="AN123" s="250"/>
      <c r="AO123" s="250"/>
      <c r="AP123" s="250"/>
      <c r="AQ123" s="250"/>
      <c r="AR123" s="250"/>
      <c r="AS123" s="250"/>
    </row>
    <row r="124" spans="1:45" s="407" customFormat="1" ht="18.95" customHeight="1">
      <c r="A124" s="595"/>
      <c r="B124" s="591"/>
      <c r="C124" s="374" t="s">
        <v>1780</v>
      </c>
      <c r="D124" s="374"/>
      <c r="E124" s="267">
        <v>195</v>
      </c>
      <c r="F124" s="561" t="s">
        <v>1079</v>
      </c>
      <c r="G124" s="267">
        <v>203.07</v>
      </c>
      <c r="H124" s="269">
        <f t="shared" si="68"/>
        <v>189.85177710428999</v>
      </c>
      <c r="I124" s="269">
        <f t="shared" si="69"/>
        <v>37021.096535336546</v>
      </c>
      <c r="J124" s="267">
        <v>100</v>
      </c>
      <c r="K124" s="267">
        <f t="shared" si="70"/>
        <v>93.490804699999998</v>
      </c>
      <c r="L124" s="267">
        <f t="shared" si="71"/>
        <v>18230.706916499999</v>
      </c>
      <c r="M124" s="267">
        <f t="shared" si="63"/>
        <v>55251.803451836546</v>
      </c>
      <c r="N124" s="267"/>
      <c r="O124" s="1174">
        <v>0.93490804699999996</v>
      </c>
      <c r="P124" s="1169"/>
      <c r="Q124" s="599" t="s">
        <v>1815</v>
      </c>
      <c r="R124" s="583">
        <v>203.07</v>
      </c>
      <c r="S124" s="583"/>
      <c r="T124" s="577"/>
      <c r="U124" s="577"/>
      <c r="V124" s="577"/>
      <c r="W124" s="577"/>
      <c r="X124" s="577"/>
      <c r="Y124" s="577"/>
      <c r="Z124" s="250"/>
      <c r="AA124" s="250"/>
      <c r="AB124" s="250"/>
      <c r="AC124" s="250"/>
      <c r="AM124" s="250"/>
      <c r="AN124" s="250"/>
      <c r="AO124" s="250"/>
      <c r="AP124" s="250"/>
      <c r="AQ124" s="250"/>
      <c r="AR124" s="250"/>
      <c r="AS124" s="250"/>
    </row>
    <row r="125" spans="1:45" s="407" customFormat="1" ht="18.95" customHeight="1">
      <c r="A125" s="595"/>
      <c r="B125" s="591"/>
      <c r="C125" s="374" t="s">
        <v>1816</v>
      </c>
      <c r="D125" s="374"/>
      <c r="E125" s="267">
        <v>0</v>
      </c>
      <c r="F125" s="561" t="s">
        <v>1079</v>
      </c>
      <c r="G125" s="267">
        <v>431.08</v>
      </c>
      <c r="H125" s="267"/>
      <c r="I125" s="267">
        <f t="shared" si="61"/>
        <v>0</v>
      </c>
      <c r="J125" s="267">
        <v>200</v>
      </c>
      <c r="K125" s="267"/>
      <c r="L125" s="267">
        <f t="shared" si="62"/>
        <v>0</v>
      </c>
      <c r="M125" s="606">
        <f t="shared" si="63"/>
        <v>0</v>
      </c>
      <c r="N125" s="267"/>
      <c r="O125" s="1174">
        <v>0.93490804699999996</v>
      </c>
      <c r="P125" s="1169"/>
      <c r="Q125" s="599" t="s">
        <v>1815</v>
      </c>
      <c r="R125" s="583">
        <v>431.08</v>
      </c>
      <c r="S125" s="583"/>
      <c r="T125" s="579"/>
      <c r="U125" s="580"/>
      <c r="V125" s="583"/>
      <c r="W125" s="577"/>
      <c r="X125" s="577"/>
      <c r="Y125" s="577"/>
      <c r="Z125" s="250"/>
      <c r="AA125" s="250"/>
      <c r="AB125" s="250"/>
      <c r="AC125" s="250"/>
      <c r="AM125" s="250"/>
      <c r="AN125" s="250"/>
      <c r="AO125" s="250"/>
      <c r="AP125" s="250"/>
      <c r="AQ125" s="250"/>
      <c r="AR125" s="250"/>
      <c r="AS125" s="250"/>
    </row>
    <row r="126" spans="1:45" s="407" customFormat="1" ht="18.95" customHeight="1">
      <c r="A126" s="595"/>
      <c r="B126" s="590">
        <v>3.3</v>
      </c>
      <c r="C126" s="374" t="s">
        <v>1817</v>
      </c>
      <c r="D126" s="374"/>
      <c r="E126" s="267"/>
      <c r="F126" s="561"/>
      <c r="G126" s="267"/>
      <c r="H126" s="267"/>
      <c r="I126" s="267"/>
      <c r="J126" s="267"/>
      <c r="K126" s="267"/>
      <c r="L126" s="267"/>
      <c r="M126" s="267"/>
      <c r="N126" s="269"/>
      <c r="O126" s="1174">
        <v>0.93490804699999996</v>
      </c>
      <c r="P126" s="1169"/>
      <c r="Q126" s="599"/>
      <c r="R126" s="583"/>
      <c r="S126" s="583"/>
      <c r="T126" s="579"/>
      <c r="U126" s="580"/>
      <c r="V126" s="583"/>
      <c r="W126" s="577"/>
      <c r="X126" s="577"/>
      <c r="Y126" s="577"/>
      <c r="Z126" s="250"/>
      <c r="AA126" s="250"/>
      <c r="AB126" s="250"/>
      <c r="AC126" s="250"/>
      <c r="AM126" s="250"/>
      <c r="AN126" s="250"/>
      <c r="AO126" s="250"/>
      <c r="AP126" s="250"/>
      <c r="AQ126" s="250"/>
      <c r="AR126" s="250"/>
      <c r="AS126" s="250"/>
    </row>
    <row r="127" spans="1:45" s="407" customFormat="1" ht="18.95" customHeight="1">
      <c r="A127" s="595"/>
      <c r="B127" s="591"/>
      <c r="C127" s="374" t="s">
        <v>1785</v>
      </c>
      <c r="D127" s="374"/>
      <c r="E127" s="267"/>
      <c r="F127" s="561" t="s">
        <v>1079</v>
      </c>
      <c r="G127" s="267">
        <v>18.309999999999999</v>
      </c>
      <c r="H127" s="267"/>
      <c r="I127" s="267">
        <f t="shared" ref="I127:I133" si="72">ROUNDDOWN(E127*G127,2)</f>
        <v>0</v>
      </c>
      <c r="J127" s="267">
        <v>30</v>
      </c>
      <c r="K127" s="267"/>
      <c r="L127" s="267">
        <f t="shared" ref="L127:L133" si="73">ROUNDDOWN(E127*J127,2)</f>
        <v>0</v>
      </c>
      <c r="M127" s="267">
        <f t="shared" ref="M127:M133" si="74">I127+L127</f>
        <v>0</v>
      </c>
      <c r="N127" s="267"/>
      <c r="O127" s="1174">
        <v>0.93490804699999996</v>
      </c>
      <c r="P127" s="1169"/>
      <c r="Q127" s="599" t="s">
        <v>1815</v>
      </c>
      <c r="R127" s="583">
        <v>18.309999999999999</v>
      </c>
      <c r="S127" s="583"/>
      <c r="T127" s="579"/>
      <c r="U127" s="580"/>
      <c r="V127" s="583"/>
      <c r="W127" s="577"/>
      <c r="X127" s="577"/>
      <c r="Y127" s="577"/>
      <c r="Z127" s="250"/>
      <c r="AA127" s="250"/>
      <c r="AB127" s="250"/>
      <c r="AC127" s="250"/>
      <c r="AM127" s="250"/>
      <c r="AN127" s="250"/>
      <c r="AO127" s="250"/>
      <c r="AP127" s="250"/>
      <c r="AQ127" s="250"/>
      <c r="AR127" s="250"/>
      <c r="AS127" s="250"/>
    </row>
    <row r="128" spans="1:45" s="407" customFormat="1" ht="18.95" customHeight="1">
      <c r="A128" s="595"/>
      <c r="B128" s="591"/>
      <c r="C128" s="374" t="s">
        <v>1786</v>
      </c>
      <c r="D128" s="374"/>
      <c r="E128" s="267">
        <v>0</v>
      </c>
      <c r="F128" s="561" t="s">
        <v>1079</v>
      </c>
      <c r="G128" s="267">
        <v>34</v>
      </c>
      <c r="H128" s="267"/>
      <c r="I128" s="267">
        <f t="shared" si="72"/>
        <v>0</v>
      </c>
      <c r="J128" s="267">
        <v>30</v>
      </c>
      <c r="K128" s="267"/>
      <c r="L128" s="267">
        <f t="shared" si="73"/>
        <v>0</v>
      </c>
      <c r="M128" s="267">
        <f t="shared" si="74"/>
        <v>0</v>
      </c>
      <c r="N128" s="267"/>
      <c r="O128" s="1174">
        <v>0.93490804699999996</v>
      </c>
      <c r="P128" s="1169"/>
      <c r="Q128" s="599" t="s">
        <v>1815</v>
      </c>
      <c r="R128" s="583"/>
      <c r="S128" s="577"/>
      <c r="T128" s="577"/>
      <c r="U128" s="577"/>
      <c r="V128" s="577"/>
      <c r="W128" s="577"/>
      <c r="X128" s="577"/>
      <c r="Y128" s="577"/>
      <c r="Z128" s="250"/>
      <c r="AA128" s="250"/>
      <c r="AB128" s="250"/>
      <c r="AC128" s="250"/>
      <c r="AM128" s="250"/>
      <c r="AN128" s="250"/>
      <c r="AO128" s="250"/>
      <c r="AP128" s="250"/>
      <c r="AQ128" s="250"/>
      <c r="AR128" s="250"/>
      <c r="AS128" s="250"/>
    </row>
    <row r="129" spans="1:45" s="407" customFormat="1" ht="18.95" customHeight="1">
      <c r="A129" s="595"/>
      <c r="B129" s="591"/>
      <c r="C129" s="374" t="s">
        <v>1787</v>
      </c>
      <c r="D129" s="374"/>
      <c r="E129" s="267">
        <v>172</v>
      </c>
      <c r="F129" s="561" t="s">
        <v>1079</v>
      </c>
      <c r="G129" s="267">
        <v>37.85</v>
      </c>
      <c r="H129" s="269">
        <f t="shared" ref="H129:H131" si="75">G129*O129</f>
        <v>35.386269578949999</v>
      </c>
      <c r="I129" s="269">
        <f t="shared" ref="I129:I131" si="76">E129*H129</f>
        <v>6086.4383675793997</v>
      </c>
      <c r="J129" s="267">
        <v>40</v>
      </c>
      <c r="K129" s="267">
        <f t="shared" ref="K129:K131" si="77">J129*O129</f>
        <v>37.396321880000002</v>
      </c>
      <c r="L129" s="267">
        <f t="shared" ref="L129:L131" si="78">E129*K129</f>
        <v>6432.1673633600003</v>
      </c>
      <c r="M129" s="267">
        <f t="shared" si="74"/>
        <v>12518.6057309394</v>
      </c>
      <c r="N129" s="267"/>
      <c r="O129" s="1174">
        <v>0.93490804699999996</v>
      </c>
      <c r="P129" s="1169"/>
      <c r="Q129" s="599" t="s">
        <v>1815</v>
      </c>
      <c r="R129" s="583">
        <v>37.85</v>
      </c>
      <c r="S129" s="583"/>
      <c r="T129" s="577"/>
      <c r="U129" s="577"/>
      <c r="V129" s="577"/>
      <c r="W129" s="577"/>
      <c r="X129" s="577"/>
      <c r="Y129" s="577"/>
      <c r="Z129" s="250"/>
      <c r="AA129" s="250"/>
      <c r="AB129" s="250"/>
      <c r="AC129" s="250"/>
      <c r="AM129" s="250"/>
      <c r="AN129" s="250"/>
      <c r="AO129" s="250"/>
      <c r="AP129" s="250"/>
      <c r="AQ129" s="250"/>
      <c r="AR129" s="250"/>
      <c r="AS129" s="250"/>
    </row>
    <row r="130" spans="1:45" s="407" customFormat="1" ht="18.95" customHeight="1">
      <c r="A130" s="595"/>
      <c r="B130" s="591"/>
      <c r="C130" s="374" t="s">
        <v>1788</v>
      </c>
      <c r="D130" s="374"/>
      <c r="E130" s="267">
        <v>118</v>
      </c>
      <c r="F130" s="561" t="s">
        <v>1079</v>
      </c>
      <c r="G130" s="267">
        <v>59.93</v>
      </c>
      <c r="H130" s="269">
        <f t="shared" si="75"/>
        <v>56.02903925671</v>
      </c>
      <c r="I130" s="269">
        <f t="shared" si="76"/>
        <v>6611.4266322917802</v>
      </c>
      <c r="J130" s="267">
        <v>50</v>
      </c>
      <c r="K130" s="267">
        <f t="shared" si="77"/>
        <v>46.745402349999999</v>
      </c>
      <c r="L130" s="267">
        <f t="shared" si="78"/>
        <v>5515.9574772999995</v>
      </c>
      <c r="M130" s="267">
        <f t="shared" si="74"/>
        <v>12127.38410959178</v>
      </c>
      <c r="N130" s="267"/>
      <c r="O130" s="1174">
        <v>0.93490804699999996</v>
      </c>
      <c r="P130" s="1169"/>
      <c r="Q130" s="599" t="s">
        <v>1815</v>
      </c>
      <c r="R130" s="583">
        <v>59.93</v>
      </c>
      <c r="S130" s="583"/>
      <c r="T130" s="577"/>
      <c r="U130" s="577"/>
      <c r="V130" s="577"/>
      <c r="W130" s="577"/>
      <c r="X130" s="577"/>
      <c r="Y130" s="577"/>
      <c r="Z130" s="250"/>
      <c r="AA130" s="250"/>
      <c r="AB130" s="250"/>
      <c r="AC130" s="250"/>
      <c r="AM130" s="250"/>
      <c r="AN130" s="250"/>
      <c r="AO130" s="250"/>
      <c r="AP130" s="250"/>
      <c r="AQ130" s="250"/>
      <c r="AR130" s="250"/>
      <c r="AS130" s="250"/>
    </row>
    <row r="131" spans="1:45" s="407" customFormat="1" ht="18.95" customHeight="1">
      <c r="A131" s="595"/>
      <c r="B131" s="591"/>
      <c r="C131" s="374" t="s">
        <v>1779</v>
      </c>
      <c r="D131" s="374"/>
      <c r="E131" s="267">
        <v>21</v>
      </c>
      <c r="F131" s="561" t="s">
        <v>1079</v>
      </c>
      <c r="G131" s="267">
        <v>83.06</v>
      </c>
      <c r="H131" s="269">
        <f t="shared" si="75"/>
        <v>77.653462383819999</v>
      </c>
      <c r="I131" s="269">
        <f t="shared" si="76"/>
        <v>1630.7227100602199</v>
      </c>
      <c r="J131" s="267">
        <v>75</v>
      </c>
      <c r="K131" s="267">
        <f t="shared" si="77"/>
        <v>70.118103524999995</v>
      </c>
      <c r="L131" s="267">
        <f t="shared" si="78"/>
        <v>1472.480174025</v>
      </c>
      <c r="M131" s="267">
        <f t="shared" si="74"/>
        <v>3103.2028840852199</v>
      </c>
      <c r="N131" s="267"/>
      <c r="O131" s="1174">
        <v>0.93490804699999996</v>
      </c>
      <c r="P131" s="1169"/>
      <c r="Q131" s="599" t="s">
        <v>1815</v>
      </c>
      <c r="R131" s="583">
        <v>83.06</v>
      </c>
      <c r="S131" s="583"/>
      <c r="T131" s="583"/>
      <c r="U131" s="577"/>
      <c r="V131" s="577"/>
      <c r="W131" s="577"/>
      <c r="X131" s="577"/>
      <c r="Y131" s="577"/>
      <c r="Z131" s="250"/>
      <c r="AA131" s="250"/>
      <c r="AB131" s="250"/>
      <c r="AC131" s="250"/>
      <c r="AM131" s="250"/>
      <c r="AN131" s="250"/>
      <c r="AO131" s="250"/>
      <c r="AP131" s="250"/>
      <c r="AQ131" s="250"/>
      <c r="AR131" s="250"/>
      <c r="AS131" s="250"/>
    </row>
    <row r="132" spans="1:45" s="407" customFormat="1" ht="18.95" customHeight="1">
      <c r="A132" s="595"/>
      <c r="B132" s="591"/>
      <c r="C132" s="374" t="s">
        <v>1780</v>
      </c>
      <c r="D132" s="374"/>
      <c r="E132" s="267">
        <v>0</v>
      </c>
      <c r="F132" s="561" t="s">
        <v>1079</v>
      </c>
      <c r="G132" s="267">
        <v>134.58000000000001</v>
      </c>
      <c r="H132" s="267"/>
      <c r="I132" s="267">
        <f t="shared" si="72"/>
        <v>0</v>
      </c>
      <c r="J132" s="267">
        <v>100</v>
      </c>
      <c r="K132" s="267"/>
      <c r="L132" s="267">
        <f t="shared" si="73"/>
        <v>0</v>
      </c>
      <c r="M132" s="267">
        <f t="shared" si="74"/>
        <v>0</v>
      </c>
      <c r="N132" s="267"/>
      <c r="O132" s="1174">
        <v>0.93490804699999996</v>
      </c>
      <c r="P132" s="1169"/>
      <c r="Q132" s="599" t="s">
        <v>1815</v>
      </c>
      <c r="R132" s="583">
        <v>134.58000000000001</v>
      </c>
      <c r="S132" s="583"/>
      <c r="T132" s="579"/>
      <c r="U132" s="580"/>
      <c r="V132" s="583"/>
      <c r="W132" s="577"/>
      <c r="X132" s="577"/>
      <c r="Y132" s="577"/>
      <c r="Z132" s="250"/>
      <c r="AA132" s="250"/>
      <c r="AB132" s="250"/>
      <c r="AC132" s="250"/>
      <c r="AM132" s="250"/>
      <c r="AN132" s="250"/>
      <c r="AO132" s="250"/>
      <c r="AP132" s="250"/>
      <c r="AQ132" s="250"/>
      <c r="AR132" s="250"/>
      <c r="AS132" s="250"/>
    </row>
    <row r="133" spans="1:45" s="407" customFormat="1" ht="18.95" customHeight="1">
      <c r="A133" s="595"/>
      <c r="B133" s="591"/>
      <c r="C133" s="374" t="s">
        <v>1816</v>
      </c>
      <c r="D133" s="374"/>
      <c r="E133" s="267">
        <v>0</v>
      </c>
      <c r="F133" s="561" t="s">
        <v>1079</v>
      </c>
      <c r="G133" s="267">
        <v>285.63</v>
      </c>
      <c r="H133" s="267"/>
      <c r="I133" s="267">
        <f t="shared" si="72"/>
        <v>0</v>
      </c>
      <c r="J133" s="267">
        <v>200</v>
      </c>
      <c r="K133" s="267"/>
      <c r="L133" s="267">
        <f t="shared" si="73"/>
        <v>0</v>
      </c>
      <c r="M133" s="606">
        <f t="shared" si="74"/>
        <v>0</v>
      </c>
      <c r="N133" s="267"/>
      <c r="O133" s="1174">
        <v>0.93490804699999996</v>
      </c>
      <c r="P133" s="1169"/>
      <c r="Q133" s="599" t="s">
        <v>1815</v>
      </c>
      <c r="R133" s="583">
        <v>285.63</v>
      </c>
      <c r="S133" s="583"/>
      <c r="T133" s="579"/>
      <c r="U133" s="580"/>
      <c r="V133" s="583"/>
      <c r="W133" s="577"/>
      <c r="X133" s="577"/>
      <c r="Y133" s="577"/>
      <c r="Z133" s="250"/>
      <c r="AA133" s="250"/>
      <c r="AB133" s="250"/>
      <c r="AC133" s="250"/>
      <c r="AM133" s="250"/>
      <c r="AN133" s="250"/>
      <c r="AO133" s="250"/>
      <c r="AP133" s="250"/>
      <c r="AQ133" s="250"/>
      <c r="AR133" s="250"/>
      <c r="AS133" s="250"/>
    </row>
    <row r="134" spans="1:45" s="407" customFormat="1" ht="18.95" customHeight="1">
      <c r="A134" s="595"/>
      <c r="B134" s="216" t="s">
        <v>1818</v>
      </c>
      <c r="C134" s="374" t="s">
        <v>1819</v>
      </c>
      <c r="D134" s="374"/>
      <c r="E134" s="267"/>
      <c r="F134" s="561"/>
      <c r="G134" s="267"/>
      <c r="H134" s="267"/>
      <c r="I134" s="267"/>
      <c r="J134" s="267"/>
      <c r="K134" s="267"/>
      <c r="L134" s="267"/>
      <c r="M134" s="267"/>
      <c r="N134" s="269"/>
      <c r="O134" s="1174">
        <v>0.93490804699999996</v>
      </c>
      <c r="P134" s="1169"/>
      <c r="Q134" s="583"/>
      <c r="R134" s="583"/>
      <c r="S134" s="583"/>
      <c r="T134" s="579"/>
      <c r="U134" s="580"/>
      <c r="V134" s="583"/>
      <c r="W134" s="577"/>
      <c r="X134" s="577"/>
      <c r="Y134" s="577"/>
      <c r="Z134" s="250"/>
      <c r="AA134" s="250"/>
      <c r="AB134" s="250"/>
      <c r="AC134" s="250"/>
      <c r="AM134" s="250"/>
      <c r="AN134" s="250"/>
      <c r="AO134" s="250"/>
      <c r="AP134" s="250"/>
      <c r="AQ134" s="250"/>
      <c r="AR134" s="250"/>
      <c r="AS134" s="250"/>
    </row>
    <row r="135" spans="1:45" s="407" customFormat="1" ht="18.95" customHeight="1">
      <c r="A135" s="595"/>
      <c r="B135" s="591"/>
      <c r="C135" s="374" t="s">
        <v>1820</v>
      </c>
      <c r="D135" s="374"/>
      <c r="E135" s="267">
        <v>0</v>
      </c>
      <c r="F135" s="561" t="s">
        <v>1079</v>
      </c>
      <c r="G135" s="267"/>
      <c r="H135" s="267"/>
      <c r="I135" s="267">
        <f>ROUNDDOWN(E135*G135,2)</f>
        <v>0</v>
      </c>
      <c r="J135" s="267">
        <v>40</v>
      </c>
      <c r="K135" s="267"/>
      <c r="L135" s="267">
        <f>ROUNDDOWN(E135*J135,2)</f>
        <v>0</v>
      </c>
      <c r="M135" s="267">
        <f t="shared" ref="M135:M143" si="79">I135+L135</f>
        <v>0</v>
      </c>
      <c r="N135" s="269"/>
      <c r="O135" s="1174">
        <v>0.93490804699999996</v>
      </c>
      <c r="P135" s="1169"/>
      <c r="Q135" s="583"/>
      <c r="R135" s="583"/>
      <c r="S135" s="583"/>
      <c r="T135" s="579"/>
      <c r="U135" s="580"/>
      <c r="V135" s="583"/>
      <c r="W135" s="577"/>
      <c r="X135" s="577"/>
      <c r="Y135" s="577"/>
      <c r="Z135" s="250"/>
      <c r="AA135" s="250"/>
      <c r="AB135" s="250"/>
      <c r="AC135" s="250"/>
      <c r="AM135" s="250"/>
      <c r="AN135" s="250"/>
      <c r="AO135" s="250"/>
      <c r="AP135" s="250"/>
      <c r="AQ135" s="250"/>
      <c r="AR135" s="250"/>
      <c r="AS135" s="250"/>
    </row>
    <row r="136" spans="1:45" s="407" customFormat="1" ht="18.95" customHeight="1">
      <c r="A136" s="595"/>
      <c r="B136" s="591"/>
      <c r="C136" s="374" t="s">
        <v>1821</v>
      </c>
      <c r="D136" s="374"/>
      <c r="E136" s="267">
        <v>0</v>
      </c>
      <c r="F136" s="561" t="s">
        <v>1079</v>
      </c>
      <c r="G136" s="267"/>
      <c r="H136" s="267"/>
      <c r="I136" s="267">
        <f>ROUNDDOWN(E136*G136,2)</f>
        <v>0</v>
      </c>
      <c r="J136" s="267">
        <v>60</v>
      </c>
      <c r="K136" s="267"/>
      <c r="L136" s="267">
        <f>ROUNDDOWN(E136*J136,2)</f>
        <v>0</v>
      </c>
      <c r="M136" s="267">
        <f t="shared" si="79"/>
        <v>0</v>
      </c>
      <c r="N136" s="269"/>
      <c r="O136" s="1174">
        <v>0.93490804699999996</v>
      </c>
      <c r="P136" s="1169"/>
      <c r="Q136" s="583"/>
      <c r="R136" s="583"/>
      <c r="S136" s="583"/>
      <c r="T136" s="579"/>
      <c r="U136" s="580"/>
      <c r="V136" s="583"/>
      <c r="W136" s="577"/>
      <c r="X136" s="577"/>
      <c r="Y136" s="577"/>
      <c r="Z136" s="250"/>
      <c r="AA136" s="250"/>
      <c r="AB136" s="250"/>
      <c r="AC136" s="250"/>
      <c r="AM136" s="250"/>
      <c r="AN136" s="250"/>
      <c r="AO136" s="250"/>
      <c r="AP136" s="250"/>
      <c r="AQ136" s="250"/>
      <c r="AR136" s="250"/>
      <c r="AS136" s="250"/>
    </row>
    <row r="137" spans="1:45" s="407" customFormat="1" ht="18.95" customHeight="1">
      <c r="A137" s="595"/>
      <c r="B137" s="591"/>
      <c r="C137" s="374" t="s">
        <v>1770</v>
      </c>
      <c r="D137" s="374"/>
      <c r="E137" s="267">
        <v>47</v>
      </c>
      <c r="F137" s="561" t="s">
        <v>1079</v>
      </c>
      <c r="G137" s="267">
        <v>152.9</v>
      </c>
      <c r="H137" s="269">
        <f t="shared" ref="H137:H143" si="80">G137*O137</f>
        <v>142.9474403863</v>
      </c>
      <c r="I137" s="269">
        <f t="shared" ref="I137:I139" si="81">E137*H137</f>
        <v>6718.5296981561005</v>
      </c>
      <c r="J137" s="267">
        <v>75</v>
      </c>
      <c r="K137" s="267">
        <f t="shared" ref="K137:K139" si="82">J137*O137</f>
        <v>70.118103524999995</v>
      </c>
      <c r="L137" s="267">
        <f t="shared" ref="L137:L139" si="83">E137*K137</f>
        <v>3295.5508656749998</v>
      </c>
      <c r="M137" s="267">
        <f t="shared" si="79"/>
        <v>10014.080563831099</v>
      </c>
      <c r="N137" s="269"/>
      <c r="O137" s="1174">
        <v>0.93490804699999996</v>
      </c>
      <c r="P137" s="1169"/>
      <c r="Q137" s="599" t="s">
        <v>1773</v>
      </c>
      <c r="R137" s="583">
        <v>152.9</v>
      </c>
      <c r="S137" s="583"/>
      <c r="T137" s="579"/>
      <c r="U137" s="580"/>
      <c r="V137" s="583"/>
      <c r="W137" s="577"/>
      <c r="X137" s="577"/>
      <c r="Y137" s="577"/>
      <c r="Z137" s="250"/>
      <c r="AA137" s="250"/>
      <c r="AB137" s="250"/>
      <c r="AC137" s="250"/>
      <c r="AM137" s="250"/>
      <c r="AN137" s="250"/>
      <c r="AO137" s="250"/>
      <c r="AP137" s="250"/>
      <c r="AQ137" s="250"/>
      <c r="AR137" s="250"/>
      <c r="AS137" s="250"/>
    </row>
    <row r="138" spans="1:45" s="407" customFormat="1" ht="18.95" customHeight="1">
      <c r="A138" s="595"/>
      <c r="B138" s="591"/>
      <c r="C138" s="374" t="s">
        <v>1771</v>
      </c>
      <c r="D138" s="374"/>
      <c r="E138" s="267">
        <v>77</v>
      </c>
      <c r="F138" s="561" t="s">
        <v>1079</v>
      </c>
      <c r="G138" s="267">
        <v>224.4</v>
      </c>
      <c r="H138" s="269">
        <f t="shared" si="80"/>
        <v>209.79336574679999</v>
      </c>
      <c r="I138" s="269">
        <f t="shared" si="81"/>
        <v>16154.0891625036</v>
      </c>
      <c r="J138" s="267">
        <v>120</v>
      </c>
      <c r="K138" s="267">
        <f t="shared" si="82"/>
        <v>112.18896563999999</v>
      </c>
      <c r="L138" s="267">
        <f t="shared" si="83"/>
        <v>8638.5503542799997</v>
      </c>
      <c r="M138" s="267">
        <f t="shared" si="79"/>
        <v>24792.639516783602</v>
      </c>
      <c r="N138" s="269"/>
      <c r="O138" s="1174">
        <v>0.93490804699999996</v>
      </c>
      <c r="P138" s="1169"/>
      <c r="Q138" s="599" t="s">
        <v>1773</v>
      </c>
      <c r="R138" s="583">
        <v>224.4</v>
      </c>
      <c r="S138" s="583"/>
      <c r="T138" s="579"/>
      <c r="U138" s="580"/>
      <c r="V138" s="583"/>
      <c r="W138" s="577"/>
      <c r="X138" s="577"/>
      <c r="Y138" s="577"/>
      <c r="Z138" s="250"/>
      <c r="AA138" s="250"/>
      <c r="AB138" s="250"/>
      <c r="AC138" s="250"/>
      <c r="AM138" s="250"/>
      <c r="AN138" s="250"/>
      <c r="AO138" s="250"/>
      <c r="AP138" s="250"/>
      <c r="AQ138" s="250"/>
      <c r="AR138" s="250"/>
      <c r="AS138" s="250"/>
    </row>
    <row r="139" spans="1:45" s="407" customFormat="1" ht="18.95" customHeight="1">
      <c r="A139" s="595"/>
      <c r="B139" s="216"/>
      <c r="C139" s="374" t="s">
        <v>1822</v>
      </c>
      <c r="D139" s="374"/>
      <c r="E139" s="267">
        <v>91</v>
      </c>
      <c r="F139" s="561" t="s">
        <v>1079</v>
      </c>
      <c r="G139" s="267">
        <v>471.9</v>
      </c>
      <c r="H139" s="269">
        <f t="shared" si="80"/>
        <v>441.18310737929994</v>
      </c>
      <c r="I139" s="269">
        <f t="shared" si="81"/>
        <v>40147.662771516298</v>
      </c>
      <c r="J139" s="267">
        <v>250</v>
      </c>
      <c r="K139" s="267">
        <f t="shared" si="82"/>
        <v>233.72701175</v>
      </c>
      <c r="L139" s="267">
        <f t="shared" si="83"/>
        <v>21269.158069249999</v>
      </c>
      <c r="M139" s="267">
        <f t="shared" si="79"/>
        <v>61416.820840766297</v>
      </c>
      <c r="N139" s="269"/>
      <c r="O139" s="1174">
        <v>0.93490804699999996</v>
      </c>
      <c r="P139" s="1169"/>
      <c r="Q139" s="599" t="s">
        <v>1773</v>
      </c>
      <c r="R139" s="583">
        <v>471.9</v>
      </c>
      <c r="S139" s="583"/>
      <c r="T139" s="579"/>
      <c r="U139" s="580"/>
      <c r="V139" s="583"/>
      <c r="W139" s="577"/>
      <c r="X139" s="577"/>
      <c r="Y139" s="577"/>
      <c r="Z139" s="250"/>
      <c r="AA139" s="250"/>
      <c r="AB139" s="250"/>
      <c r="AC139" s="250"/>
      <c r="AM139" s="250"/>
      <c r="AN139" s="250"/>
      <c r="AO139" s="250"/>
      <c r="AP139" s="250"/>
      <c r="AQ139" s="250"/>
      <c r="AR139" s="250"/>
      <c r="AS139" s="250"/>
    </row>
    <row r="140" spans="1:45" s="407" customFormat="1" ht="18.95" customHeight="1">
      <c r="A140" s="595"/>
      <c r="B140" s="216"/>
      <c r="C140" s="374" t="s">
        <v>1823</v>
      </c>
      <c r="D140" s="374"/>
      <c r="E140" s="267"/>
      <c r="F140" s="561" t="s">
        <v>1079</v>
      </c>
      <c r="G140" s="267">
        <v>1434.4</v>
      </c>
      <c r="H140" s="269">
        <f t="shared" si="80"/>
        <v>1341.0321026168001</v>
      </c>
      <c r="I140" s="267">
        <f>E140*G140</f>
        <v>0</v>
      </c>
      <c r="J140" s="267">
        <v>400</v>
      </c>
      <c r="K140" s="267"/>
      <c r="L140" s="267">
        <f>E140*J140</f>
        <v>0</v>
      </c>
      <c r="M140" s="267">
        <f t="shared" si="79"/>
        <v>0</v>
      </c>
      <c r="N140" s="269"/>
      <c r="O140" s="1174">
        <v>0.93490804699999996</v>
      </c>
      <c r="P140" s="1169"/>
      <c r="Q140" s="599" t="s">
        <v>1773</v>
      </c>
      <c r="R140" s="970">
        <v>1434.4</v>
      </c>
      <c r="S140" s="583"/>
      <c r="T140" s="579"/>
      <c r="U140" s="580"/>
      <c r="V140" s="583"/>
      <c r="W140" s="577"/>
      <c r="X140" s="577"/>
      <c r="Y140" s="577"/>
      <c r="Z140" s="250"/>
      <c r="AA140" s="250"/>
      <c r="AB140" s="250"/>
      <c r="AC140" s="250"/>
      <c r="AM140" s="250"/>
      <c r="AN140" s="250"/>
      <c r="AO140" s="250"/>
      <c r="AP140" s="250"/>
      <c r="AQ140" s="250"/>
      <c r="AR140" s="250"/>
      <c r="AS140" s="250"/>
    </row>
    <row r="141" spans="1:45" s="407" customFormat="1" ht="18.95" customHeight="1">
      <c r="A141" s="595"/>
      <c r="B141" s="216" t="s">
        <v>1824</v>
      </c>
      <c r="C141" s="374" t="s">
        <v>1774</v>
      </c>
      <c r="D141" s="374"/>
      <c r="E141" s="267">
        <v>1</v>
      </c>
      <c r="F141" s="561" t="s">
        <v>1321</v>
      </c>
      <c r="G141" s="267">
        <v>63793</v>
      </c>
      <c r="H141" s="269">
        <f t="shared" si="80"/>
        <v>59640.589042271</v>
      </c>
      <c r="I141" s="269">
        <f t="shared" ref="I141:I143" si="84">E141*H141</f>
        <v>59640.589042271</v>
      </c>
      <c r="J141" s="267">
        <v>19138</v>
      </c>
      <c r="K141" s="267">
        <f t="shared" ref="K141:K143" si="85">J141*O141</f>
        <v>17892.270203485998</v>
      </c>
      <c r="L141" s="267">
        <f t="shared" ref="L141:L143" si="86">E141*K141</f>
        <v>17892.270203485998</v>
      </c>
      <c r="M141" s="267">
        <f t="shared" si="79"/>
        <v>77532.85924575699</v>
      </c>
      <c r="N141" s="269" t="s">
        <v>1825</v>
      </c>
      <c r="O141" s="1174">
        <v>0.93490804699999996</v>
      </c>
      <c r="P141" s="1169"/>
      <c r="Q141" s="583"/>
      <c r="R141" s="583"/>
      <c r="S141" s="583"/>
      <c r="T141" s="579"/>
      <c r="U141" s="580"/>
      <c r="V141" s="583"/>
      <c r="W141" s="577"/>
      <c r="X141" s="577"/>
      <c r="Y141" s="577"/>
      <c r="Z141" s="250"/>
      <c r="AA141" s="250"/>
      <c r="AB141" s="250"/>
      <c r="AC141" s="250"/>
      <c r="AM141" s="250"/>
      <c r="AN141" s="250"/>
      <c r="AO141" s="250"/>
      <c r="AP141" s="250"/>
      <c r="AQ141" s="250"/>
      <c r="AR141" s="250"/>
      <c r="AS141" s="250"/>
    </row>
    <row r="142" spans="1:45" s="407" customFormat="1" ht="18.95" customHeight="1">
      <c r="A142" s="595"/>
      <c r="B142" s="216" t="s">
        <v>1826</v>
      </c>
      <c r="C142" s="374" t="s">
        <v>1775</v>
      </c>
      <c r="D142" s="374"/>
      <c r="E142" s="267">
        <v>1</v>
      </c>
      <c r="F142" s="561" t="s">
        <v>1321</v>
      </c>
      <c r="G142" s="267">
        <v>47845</v>
      </c>
      <c r="H142" s="269">
        <f t="shared" si="80"/>
        <v>44730.675508715001</v>
      </c>
      <c r="I142" s="269">
        <f t="shared" si="84"/>
        <v>44730.675508715001</v>
      </c>
      <c r="J142" s="267">
        <v>14354</v>
      </c>
      <c r="K142" s="267">
        <f t="shared" si="85"/>
        <v>13419.670106637999</v>
      </c>
      <c r="L142" s="267">
        <f t="shared" si="86"/>
        <v>13419.670106637999</v>
      </c>
      <c r="M142" s="267">
        <f t="shared" si="79"/>
        <v>58150.345615352999</v>
      </c>
      <c r="N142" s="269" t="s">
        <v>1827</v>
      </c>
      <c r="O142" s="1174">
        <v>0.93490804699999996</v>
      </c>
      <c r="P142" s="1169"/>
      <c r="Q142" s="583"/>
      <c r="R142" s="583"/>
      <c r="S142" s="583"/>
      <c r="T142" s="579"/>
      <c r="U142" s="580"/>
      <c r="V142" s="583"/>
      <c r="W142" s="577"/>
      <c r="X142" s="577"/>
      <c r="Y142" s="577"/>
      <c r="Z142" s="250"/>
      <c r="AA142" s="250"/>
      <c r="AB142" s="250"/>
      <c r="AC142" s="250"/>
      <c r="AM142" s="250"/>
      <c r="AN142" s="250"/>
      <c r="AO142" s="250"/>
      <c r="AP142" s="250"/>
      <c r="AQ142" s="250"/>
      <c r="AR142" s="250"/>
      <c r="AS142" s="250"/>
    </row>
    <row r="143" spans="1:45" s="407" customFormat="1" ht="18.95" customHeight="1">
      <c r="A143" s="595"/>
      <c r="B143" s="216" t="s">
        <v>1828</v>
      </c>
      <c r="C143" s="374" t="s">
        <v>1776</v>
      </c>
      <c r="D143" s="374"/>
      <c r="E143" s="267">
        <v>1</v>
      </c>
      <c r="F143" s="561" t="s">
        <v>1321</v>
      </c>
      <c r="G143" s="267">
        <v>15949</v>
      </c>
      <c r="H143" s="269">
        <f t="shared" si="80"/>
        <v>14910.848441602999</v>
      </c>
      <c r="I143" s="269">
        <f t="shared" si="84"/>
        <v>14910.848441602999</v>
      </c>
      <c r="J143" s="267">
        <v>4785</v>
      </c>
      <c r="K143" s="267">
        <f t="shared" si="85"/>
        <v>4473.5350048949995</v>
      </c>
      <c r="L143" s="267">
        <f t="shared" si="86"/>
        <v>4473.5350048949995</v>
      </c>
      <c r="M143" s="267">
        <f t="shared" si="79"/>
        <v>19384.383446497999</v>
      </c>
      <c r="N143" s="269"/>
      <c r="O143" s="1174">
        <v>0.93490804699999996</v>
      </c>
      <c r="P143" s="1169"/>
      <c r="Q143" s="583"/>
      <c r="R143" s="583"/>
      <c r="S143" s="583"/>
      <c r="T143" s="579"/>
      <c r="U143" s="580"/>
      <c r="V143" s="583"/>
      <c r="W143" s="577"/>
      <c r="X143" s="577"/>
      <c r="Y143" s="577"/>
      <c r="Z143" s="250"/>
      <c r="AA143" s="250"/>
      <c r="AB143" s="250"/>
      <c r="AC143" s="250"/>
      <c r="AM143" s="250"/>
      <c r="AN143" s="250"/>
      <c r="AO143" s="250"/>
      <c r="AP143" s="250"/>
      <c r="AQ143" s="250"/>
      <c r="AR143" s="250"/>
      <c r="AS143" s="250"/>
    </row>
    <row r="144" spans="1:45" s="407" customFormat="1" ht="18.95" customHeight="1">
      <c r="A144" s="595"/>
      <c r="B144" s="588" t="s">
        <v>1777</v>
      </c>
      <c r="C144" s="244"/>
      <c r="D144" s="230"/>
      <c r="E144" s="267"/>
      <c r="F144" s="561"/>
      <c r="G144" s="267"/>
      <c r="H144" s="267"/>
      <c r="I144" s="267"/>
      <c r="J144" s="267"/>
      <c r="K144" s="267"/>
      <c r="L144" s="267"/>
      <c r="M144" s="267"/>
      <c r="N144" s="269"/>
      <c r="O144" s="1174">
        <v>0.93490804699999996</v>
      </c>
      <c r="P144" s="1169"/>
      <c r="Q144" s="577"/>
      <c r="R144" s="577"/>
      <c r="S144" s="577"/>
      <c r="T144" s="577"/>
      <c r="U144" s="580"/>
      <c r="V144" s="583"/>
      <c r="W144" s="577"/>
      <c r="X144" s="577"/>
      <c r="Y144" s="577"/>
      <c r="Z144" s="250"/>
      <c r="AA144" s="250"/>
      <c r="AB144" s="250"/>
      <c r="AC144" s="250"/>
      <c r="AM144" s="250"/>
      <c r="AN144" s="250"/>
      <c r="AO144" s="250"/>
      <c r="AP144" s="250"/>
      <c r="AQ144" s="250"/>
      <c r="AR144" s="250"/>
      <c r="AS144" s="250"/>
    </row>
    <row r="145" spans="1:45" s="407" customFormat="1" ht="18.95" customHeight="1">
      <c r="A145" s="595"/>
      <c r="B145" s="590">
        <v>3.8</v>
      </c>
      <c r="C145" s="374" t="s">
        <v>1829</v>
      </c>
      <c r="D145" s="374"/>
      <c r="E145" s="267"/>
      <c r="F145" s="561"/>
      <c r="G145" s="267"/>
      <c r="H145" s="267"/>
      <c r="I145" s="267"/>
      <c r="J145" s="267"/>
      <c r="K145" s="267"/>
      <c r="L145" s="267"/>
      <c r="M145" s="267"/>
      <c r="N145" s="269"/>
      <c r="O145" s="1174">
        <v>0.93490804699999996</v>
      </c>
      <c r="P145" s="1169"/>
      <c r="Q145" s="599"/>
      <c r="R145" s="577"/>
      <c r="S145" s="592"/>
      <c r="T145" s="583"/>
      <c r="U145" s="580"/>
      <c r="V145" s="583"/>
      <c r="W145" s="577"/>
      <c r="X145" s="577"/>
      <c r="Y145" s="577"/>
      <c r="Z145" s="250"/>
      <c r="AA145" s="250"/>
      <c r="AB145" s="250"/>
      <c r="AC145" s="250"/>
      <c r="AM145" s="250"/>
      <c r="AN145" s="250"/>
      <c r="AO145" s="250"/>
      <c r="AP145" s="250"/>
      <c r="AQ145" s="250"/>
      <c r="AR145" s="250"/>
      <c r="AS145" s="250"/>
    </row>
    <row r="146" spans="1:45" s="407" customFormat="1" ht="18.95" customHeight="1">
      <c r="A146" s="595"/>
      <c r="B146" s="591"/>
      <c r="C146" s="374" t="s">
        <v>1787</v>
      </c>
      <c r="D146" s="374"/>
      <c r="E146" s="267">
        <v>36</v>
      </c>
      <c r="F146" s="561" t="s">
        <v>402</v>
      </c>
      <c r="G146" s="267">
        <v>772</v>
      </c>
      <c r="H146" s="269">
        <f t="shared" ref="H146" si="87">G146*O146</f>
        <v>721.74901228399995</v>
      </c>
      <c r="I146" s="269">
        <f t="shared" ref="I146" si="88">E146*H146</f>
        <v>25982.964442223998</v>
      </c>
      <c r="J146" s="267">
        <v>200</v>
      </c>
      <c r="K146" s="267">
        <f t="shared" ref="K146" si="89">J146*O146</f>
        <v>186.9816094</v>
      </c>
      <c r="L146" s="267">
        <f t="shared" ref="L146" si="90">E146*K146</f>
        <v>6731.3379384</v>
      </c>
      <c r="M146" s="267">
        <f>I146+L146</f>
        <v>32714.302380623998</v>
      </c>
      <c r="N146" s="269"/>
      <c r="O146" s="1174">
        <v>0.93490804699999996</v>
      </c>
      <c r="P146" s="1169"/>
      <c r="Q146" s="607"/>
      <c r="R146" s="597"/>
      <c r="S146" s="607"/>
      <c r="T146" s="597"/>
      <c r="U146" s="580"/>
      <c r="V146" s="583"/>
      <c r="W146" s="577"/>
      <c r="X146" s="577"/>
      <c r="Y146" s="577"/>
      <c r="Z146" s="250"/>
      <c r="AA146" s="250"/>
      <c r="AB146" s="250"/>
      <c r="AC146" s="250"/>
      <c r="AM146" s="250"/>
      <c r="AN146" s="250"/>
      <c r="AO146" s="250"/>
      <c r="AP146" s="250"/>
      <c r="AQ146" s="250"/>
      <c r="AR146" s="250"/>
      <c r="AS146" s="250"/>
    </row>
    <row r="147" spans="1:45" s="407" customFormat="1" ht="18.95" customHeight="1">
      <c r="A147" s="595"/>
      <c r="B147" s="591"/>
      <c r="C147" s="374" t="s">
        <v>1779</v>
      </c>
      <c r="D147" s="374"/>
      <c r="E147" s="267">
        <v>0</v>
      </c>
      <c r="F147" s="561" t="s">
        <v>402</v>
      </c>
      <c r="G147" s="267">
        <v>950</v>
      </c>
      <c r="H147" s="267"/>
      <c r="I147" s="267">
        <f>ROUNDDOWN(E147*G147,2)</f>
        <v>0</v>
      </c>
      <c r="J147" s="267">
        <v>300</v>
      </c>
      <c r="K147" s="267"/>
      <c r="L147" s="267">
        <f>ROUNDDOWN(E147*J147,2)</f>
        <v>0</v>
      </c>
      <c r="M147" s="267">
        <f>I147+L147</f>
        <v>0</v>
      </c>
      <c r="N147" s="269"/>
      <c r="O147" s="1174">
        <v>0.93490804699999996</v>
      </c>
      <c r="P147" s="1169"/>
      <c r="Q147" s="607"/>
      <c r="R147" s="597"/>
      <c r="S147" s="608"/>
      <c r="T147" s="583"/>
      <c r="U147" s="577"/>
      <c r="V147" s="577"/>
      <c r="W147" s="577"/>
      <c r="X147" s="577"/>
      <c r="Y147" s="577"/>
      <c r="Z147" s="250"/>
      <c r="AA147" s="250"/>
      <c r="AB147" s="250"/>
      <c r="AC147" s="250"/>
      <c r="AM147" s="250"/>
      <c r="AN147" s="250"/>
      <c r="AO147" s="250"/>
      <c r="AP147" s="250"/>
      <c r="AQ147" s="250"/>
      <c r="AR147" s="250"/>
      <c r="AS147" s="250"/>
    </row>
    <row r="148" spans="1:45" s="407" customFormat="1" ht="18.95" customHeight="1">
      <c r="A148" s="595"/>
      <c r="B148" s="590">
        <v>3.9</v>
      </c>
      <c r="C148" s="374" t="s">
        <v>1830</v>
      </c>
      <c r="D148" s="374"/>
      <c r="E148" s="267"/>
      <c r="F148" s="561"/>
      <c r="G148" s="267"/>
      <c r="H148" s="267"/>
      <c r="I148" s="267"/>
      <c r="J148" s="267"/>
      <c r="K148" s="267"/>
      <c r="L148" s="267"/>
      <c r="M148" s="267"/>
      <c r="N148" s="269"/>
      <c r="O148" s="1174">
        <v>0.93490804699999996</v>
      </c>
      <c r="P148" s="1169"/>
      <c r="Q148" s="607"/>
      <c r="R148" s="597"/>
      <c r="S148" s="607"/>
      <c r="T148" s="578"/>
      <c r="U148" s="577"/>
      <c r="V148" s="577"/>
      <c r="W148" s="577"/>
      <c r="X148" s="577"/>
      <c r="Y148" s="577"/>
      <c r="Z148" s="250"/>
      <c r="AA148" s="250"/>
      <c r="AB148" s="250"/>
      <c r="AC148" s="250"/>
      <c r="AM148" s="250"/>
      <c r="AN148" s="250"/>
      <c r="AO148" s="250"/>
      <c r="AP148" s="250"/>
      <c r="AQ148" s="250"/>
      <c r="AR148" s="250"/>
      <c r="AS148" s="250"/>
    </row>
    <row r="149" spans="1:45" s="407" customFormat="1" ht="18.95" customHeight="1">
      <c r="A149" s="595"/>
      <c r="B149" s="591"/>
      <c r="C149" s="374" t="s">
        <v>1787</v>
      </c>
      <c r="D149" s="374"/>
      <c r="E149" s="267">
        <v>5</v>
      </c>
      <c r="F149" s="561" t="s">
        <v>402</v>
      </c>
      <c r="G149" s="267">
        <v>796</v>
      </c>
      <c r="H149" s="269">
        <f>G149*O149</f>
        <v>744.18680541200001</v>
      </c>
      <c r="I149" s="269">
        <f t="shared" ref="I149:I156" si="91">E149*H149</f>
        <v>3720.9340270600001</v>
      </c>
      <c r="J149" s="267">
        <v>200</v>
      </c>
      <c r="K149" s="267">
        <f t="shared" ref="K149:K168" si="92">J149*O149</f>
        <v>186.9816094</v>
      </c>
      <c r="L149" s="267">
        <f t="shared" ref="L149:L174" si="93">E149*K149</f>
        <v>934.90804700000001</v>
      </c>
      <c r="M149" s="267">
        <f>I149+L149</f>
        <v>4655.8420740600004</v>
      </c>
      <c r="N149" s="269"/>
      <c r="O149" s="1174">
        <v>0.93490804699999996</v>
      </c>
      <c r="P149" s="1169"/>
      <c r="Q149" s="607"/>
      <c r="R149" s="597"/>
      <c r="S149" s="607"/>
      <c r="T149" s="609"/>
      <c r="U149" s="577"/>
      <c r="V149" s="577"/>
      <c r="W149" s="577"/>
      <c r="X149" s="577"/>
      <c r="Y149" s="577"/>
      <c r="Z149" s="250"/>
      <c r="AA149" s="250"/>
      <c r="AB149" s="250"/>
      <c r="AC149" s="250"/>
      <c r="AM149" s="250"/>
      <c r="AN149" s="250"/>
      <c r="AO149" s="250"/>
      <c r="AP149" s="250"/>
      <c r="AQ149" s="250"/>
      <c r="AR149" s="250"/>
      <c r="AS149" s="250"/>
    </row>
    <row r="150" spans="1:45" s="407" customFormat="1" ht="18.95" customHeight="1">
      <c r="A150" s="595"/>
      <c r="B150" s="591"/>
      <c r="C150" s="374" t="s">
        <v>1779</v>
      </c>
      <c r="D150" s="374"/>
      <c r="E150" s="267">
        <v>2</v>
      </c>
      <c r="F150" s="561" t="s">
        <v>402</v>
      </c>
      <c r="G150" s="267">
        <v>1088</v>
      </c>
      <c r="H150" s="269">
        <f t="shared" ref="H149:H152" si="94">G150*O150</f>
        <v>1017.179955136</v>
      </c>
      <c r="I150" s="269">
        <f t="shared" si="91"/>
        <v>2034.359910272</v>
      </c>
      <c r="J150" s="267">
        <v>300</v>
      </c>
      <c r="K150" s="267">
        <f t="shared" si="92"/>
        <v>280.47241409999998</v>
      </c>
      <c r="L150" s="267">
        <f t="shared" si="93"/>
        <v>560.94482819999996</v>
      </c>
      <c r="M150" s="267">
        <f>I150+L150</f>
        <v>2595.3047384719998</v>
      </c>
      <c r="N150" s="269"/>
      <c r="O150" s="1174">
        <v>0.93490804699999996</v>
      </c>
      <c r="P150" s="1169"/>
      <c r="Q150" s="607"/>
      <c r="R150" s="597"/>
      <c r="S150" s="607"/>
      <c r="T150" s="609"/>
      <c r="U150" s="577"/>
      <c r="V150" s="577"/>
      <c r="W150" s="577"/>
      <c r="X150" s="577"/>
      <c r="Y150" s="577"/>
      <c r="Z150" s="250"/>
      <c r="AA150" s="250"/>
      <c r="AB150" s="250"/>
      <c r="AC150" s="250"/>
      <c r="AM150" s="250"/>
      <c r="AN150" s="250"/>
      <c r="AO150" s="250"/>
      <c r="AP150" s="250"/>
      <c r="AQ150" s="250"/>
      <c r="AR150" s="250"/>
      <c r="AS150" s="250"/>
    </row>
    <row r="151" spans="1:45" s="407" customFormat="1" ht="18.95" customHeight="1">
      <c r="A151" s="595"/>
      <c r="B151" s="591"/>
      <c r="C151" s="374" t="s">
        <v>1780</v>
      </c>
      <c r="D151" s="374"/>
      <c r="E151" s="267">
        <v>2</v>
      </c>
      <c r="F151" s="561" t="s">
        <v>402</v>
      </c>
      <c r="G151" s="267">
        <v>1088</v>
      </c>
      <c r="H151" s="269">
        <f t="shared" si="94"/>
        <v>1017.179955136</v>
      </c>
      <c r="I151" s="269">
        <f t="shared" si="91"/>
        <v>2034.359910272</v>
      </c>
      <c r="J151" s="267">
        <v>400</v>
      </c>
      <c r="K151" s="267">
        <f t="shared" si="92"/>
        <v>373.96321879999999</v>
      </c>
      <c r="L151" s="267">
        <f t="shared" si="93"/>
        <v>747.92643759999999</v>
      </c>
      <c r="M151" s="267">
        <f>I151+L151</f>
        <v>2782.2863478720001</v>
      </c>
      <c r="N151" s="269"/>
      <c r="O151" s="1174">
        <v>0.93490804699999996</v>
      </c>
      <c r="P151" s="1169"/>
      <c r="Q151" s="607"/>
      <c r="R151" s="597"/>
      <c r="S151" s="607"/>
      <c r="T151" s="609"/>
      <c r="U151" s="577"/>
      <c r="V151" s="577"/>
      <c r="W151" s="577"/>
      <c r="X151" s="577"/>
      <c r="Y151" s="577"/>
      <c r="Z151" s="250"/>
      <c r="AA151" s="250"/>
      <c r="AB151" s="250"/>
      <c r="AC151" s="250"/>
      <c r="AM151" s="250"/>
      <c r="AN151" s="250"/>
      <c r="AO151" s="250"/>
      <c r="AP151" s="250"/>
      <c r="AQ151" s="250"/>
      <c r="AR151" s="250"/>
      <c r="AS151" s="250"/>
    </row>
    <row r="152" spans="1:45" s="407" customFormat="1" ht="18.95" customHeight="1">
      <c r="A152" s="595"/>
      <c r="B152" s="591"/>
      <c r="C152" s="374" t="s">
        <v>1816</v>
      </c>
      <c r="D152" s="374"/>
      <c r="E152" s="267">
        <v>3</v>
      </c>
      <c r="F152" s="561" t="s">
        <v>402</v>
      </c>
      <c r="G152" s="267">
        <v>1860</v>
      </c>
      <c r="H152" s="269">
        <f t="shared" si="94"/>
        <v>1738.9289674199999</v>
      </c>
      <c r="I152" s="269">
        <f t="shared" si="91"/>
        <v>5216.7869022599998</v>
      </c>
      <c r="J152" s="267">
        <v>600</v>
      </c>
      <c r="K152" s="267">
        <f t="shared" si="92"/>
        <v>560.94482819999996</v>
      </c>
      <c r="L152" s="267">
        <f t="shared" si="93"/>
        <v>1682.8344846</v>
      </c>
      <c r="M152" s="267">
        <f>I152+L152</f>
        <v>6899.6213868599998</v>
      </c>
      <c r="N152" s="269"/>
      <c r="O152" s="1174">
        <v>0.93490804699999996</v>
      </c>
      <c r="P152" s="1169"/>
      <c r="Q152" s="577"/>
      <c r="R152" s="577"/>
      <c r="S152" s="577"/>
      <c r="T152" s="577"/>
      <c r="U152" s="577"/>
      <c r="V152" s="577"/>
      <c r="W152" s="577"/>
      <c r="X152" s="577"/>
      <c r="Y152" s="577"/>
      <c r="Z152" s="250"/>
      <c r="AA152" s="250"/>
      <c r="AB152" s="250"/>
      <c r="AC152" s="250"/>
      <c r="AM152" s="250"/>
      <c r="AN152" s="250"/>
      <c r="AO152" s="250"/>
      <c r="AP152" s="250"/>
      <c r="AQ152" s="250"/>
      <c r="AR152" s="250"/>
      <c r="AS152" s="250"/>
    </row>
    <row r="153" spans="1:45" s="407" customFormat="1" ht="18.95" customHeight="1">
      <c r="A153" s="595"/>
      <c r="B153" s="596">
        <v>3.1</v>
      </c>
      <c r="C153" s="374" t="s">
        <v>1831</v>
      </c>
      <c r="D153" s="374"/>
      <c r="E153" s="267"/>
      <c r="F153" s="561"/>
      <c r="G153" s="267"/>
      <c r="H153" s="267"/>
      <c r="I153" s="267"/>
      <c r="J153" s="267"/>
      <c r="K153" s="267"/>
      <c r="L153" s="267"/>
      <c r="M153" s="267"/>
      <c r="N153" s="269"/>
      <c r="O153" s="1174">
        <v>0.93490804699999996</v>
      </c>
      <c r="P153" s="1169"/>
      <c r="Q153" s="607"/>
      <c r="R153" s="597"/>
      <c r="S153" s="608"/>
      <c r="T153" s="583"/>
      <c r="U153" s="577"/>
      <c r="V153" s="577"/>
      <c r="W153" s="577"/>
      <c r="X153" s="577"/>
      <c r="Y153" s="577"/>
      <c r="Z153" s="250"/>
      <c r="AA153" s="250"/>
      <c r="AB153" s="250"/>
      <c r="AC153" s="250"/>
      <c r="AM153" s="250"/>
      <c r="AN153" s="250"/>
      <c r="AO153" s="250"/>
      <c r="AP153" s="250"/>
      <c r="AQ153" s="250"/>
      <c r="AR153" s="250"/>
      <c r="AS153" s="250"/>
    </row>
    <row r="154" spans="1:45" s="407" customFormat="1" ht="18.95" customHeight="1">
      <c r="A154" s="595"/>
      <c r="B154" s="591"/>
      <c r="C154" s="374" t="s">
        <v>1787</v>
      </c>
      <c r="D154" s="374"/>
      <c r="E154" s="267">
        <v>23</v>
      </c>
      <c r="F154" s="561" t="s">
        <v>402</v>
      </c>
      <c r="G154" s="267">
        <v>500</v>
      </c>
      <c r="H154" s="269">
        <f t="shared" ref="H154:H156" si="95">G154*O154</f>
        <v>467.45402350000001</v>
      </c>
      <c r="I154" s="269">
        <f t="shared" si="91"/>
        <v>10751.4425405</v>
      </c>
      <c r="J154" s="267">
        <v>100</v>
      </c>
      <c r="K154" s="267">
        <f t="shared" si="92"/>
        <v>93.490804699999998</v>
      </c>
      <c r="L154" s="267">
        <f t="shared" si="93"/>
        <v>2150.2885080999999</v>
      </c>
      <c r="M154" s="267">
        <f>I154+L154</f>
        <v>12901.731048600001</v>
      </c>
      <c r="N154" s="269"/>
      <c r="O154" s="1174">
        <v>0.93490804699999996</v>
      </c>
      <c r="P154" s="1169"/>
      <c r="Q154" s="607"/>
      <c r="R154" s="597"/>
      <c r="S154" s="607"/>
      <c r="T154" s="597"/>
      <c r="U154" s="577"/>
      <c r="V154" s="577"/>
      <c r="W154" s="577"/>
      <c r="X154" s="577"/>
      <c r="Y154" s="577"/>
      <c r="Z154" s="250"/>
      <c r="AA154" s="250"/>
      <c r="AB154" s="250"/>
      <c r="AC154" s="250"/>
      <c r="AM154" s="250"/>
      <c r="AN154" s="250"/>
      <c r="AO154" s="250"/>
      <c r="AP154" s="250"/>
      <c r="AQ154" s="250"/>
      <c r="AR154" s="250"/>
      <c r="AS154" s="250"/>
    </row>
    <row r="155" spans="1:45" s="407" customFormat="1" ht="18.95" customHeight="1">
      <c r="A155" s="595"/>
      <c r="B155" s="591"/>
      <c r="C155" s="374" t="s">
        <v>1779</v>
      </c>
      <c r="D155" s="374"/>
      <c r="E155" s="267">
        <v>10</v>
      </c>
      <c r="F155" s="561" t="s">
        <v>402</v>
      </c>
      <c r="G155" s="267">
        <v>680</v>
      </c>
      <c r="H155" s="269">
        <f t="shared" si="95"/>
        <v>635.73747195999999</v>
      </c>
      <c r="I155" s="269">
        <f t="shared" si="91"/>
        <v>6357.3747196000004</v>
      </c>
      <c r="J155" s="267">
        <v>150</v>
      </c>
      <c r="K155" s="267">
        <f t="shared" si="92"/>
        <v>140.23620704999999</v>
      </c>
      <c r="L155" s="267">
        <f t="shared" si="93"/>
        <v>1402.3620704999998</v>
      </c>
      <c r="M155" s="267">
        <f>I155+L155</f>
        <v>7759.7367900999998</v>
      </c>
      <c r="N155" s="269"/>
      <c r="O155" s="1174">
        <v>0.93490804699999996</v>
      </c>
      <c r="P155" s="1169"/>
      <c r="Q155" s="607"/>
      <c r="R155" s="597"/>
      <c r="S155" s="607"/>
      <c r="T155" s="597"/>
      <c r="U155" s="577"/>
      <c r="V155" s="577"/>
      <c r="W155" s="577"/>
      <c r="X155" s="577"/>
      <c r="Y155" s="577"/>
      <c r="Z155" s="250"/>
      <c r="AA155" s="250"/>
      <c r="AB155" s="250"/>
      <c r="AC155" s="250"/>
      <c r="AM155" s="250"/>
      <c r="AN155" s="250"/>
      <c r="AO155" s="250"/>
      <c r="AP155" s="250"/>
      <c r="AQ155" s="250"/>
      <c r="AR155" s="250"/>
      <c r="AS155" s="250"/>
    </row>
    <row r="156" spans="1:45" s="407" customFormat="1" ht="18.95" customHeight="1">
      <c r="A156" s="595"/>
      <c r="B156" s="591"/>
      <c r="C156" s="374" t="s">
        <v>1780</v>
      </c>
      <c r="D156" s="374"/>
      <c r="E156" s="267">
        <v>19</v>
      </c>
      <c r="F156" s="561" t="s">
        <v>402</v>
      </c>
      <c r="G156" s="267">
        <v>750</v>
      </c>
      <c r="H156" s="269">
        <f t="shared" si="95"/>
        <v>701.18103524999992</v>
      </c>
      <c r="I156" s="269">
        <f t="shared" si="91"/>
        <v>13322.439669749998</v>
      </c>
      <c r="J156" s="267">
        <v>200</v>
      </c>
      <c r="K156" s="267">
        <f t="shared" si="92"/>
        <v>186.9816094</v>
      </c>
      <c r="L156" s="267">
        <f t="shared" si="93"/>
        <v>3552.6505785999998</v>
      </c>
      <c r="M156" s="267">
        <f>I156+L156</f>
        <v>16875.090248349996</v>
      </c>
      <c r="N156" s="339"/>
      <c r="O156" s="1174">
        <v>0.93490804699999996</v>
      </c>
      <c r="P156" s="1169"/>
      <c r="Q156" s="607"/>
      <c r="R156" s="597"/>
      <c r="S156" s="607"/>
      <c r="T156" s="597"/>
      <c r="U156" s="577"/>
      <c r="V156" s="577"/>
      <c r="W156" s="577"/>
      <c r="X156" s="577"/>
      <c r="Y156" s="577"/>
      <c r="Z156" s="250"/>
      <c r="AA156" s="250"/>
      <c r="AB156" s="250"/>
      <c r="AC156" s="250"/>
      <c r="AM156" s="250"/>
      <c r="AN156" s="250"/>
      <c r="AO156" s="250"/>
      <c r="AP156" s="250"/>
      <c r="AQ156" s="250"/>
      <c r="AR156" s="250"/>
      <c r="AS156" s="250"/>
    </row>
    <row r="157" spans="1:45" s="407" customFormat="1" ht="18.95" customHeight="1">
      <c r="A157" s="336"/>
      <c r="B157" s="591"/>
      <c r="C157" s="374" t="s">
        <v>1816</v>
      </c>
      <c r="D157" s="374"/>
      <c r="E157" s="267">
        <v>3</v>
      </c>
      <c r="F157" s="561" t="s">
        <v>402</v>
      </c>
      <c r="G157" s="267"/>
      <c r="H157" s="267"/>
      <c r="I157" s="267">
        <f>ROUNDDOWN(E157*G157,2)</f>
        <v>0</v>
      </c>
      <c r="J157" s="267">
        <v>300</v>
      </c>
      <c r="K157" s="267">
        <f t="shared" si="92"/>
        <v>280.47241409999998</v>
      </c>
      <c r="L157" s="267">
        <f t="shared" si="93"/>
        <v>841.4172423</v>
      </c>
      <c r="M157" s="267">
        <f>I157+L157</f>
        <v>841.4172423</v>
      </c>
      <c r="N157" s="269"/>
      <c r="O157" s="1174">
        <v>0.93490804699999996</v>
      </c>
      <c r="P157" s="1169"/>
      <c r="Q157" s="577"/>
      <c r="R157" s="577"/>
      <c r="S157" s="577"/>
      <c r="T157" s="577"/>
      <c r="U157" s="577"/>
      <c r="V157" s="577"/>
      <c r="W157" s="583"/>
      <c r="X157" s="583"/>
      <c r="Y157" s="583"/>
      <c r="Z157" s="250"/>
      <c r="AA157" s="250"/>
      <c r="AB157" s="250"/>
      <c r="AC157" s="250"/>
      <c r="AM157" s="250"/>
      <c r="AN157" s="250"/>
      <c r="AO157" s="250"/>
      <c r="AP157" s="250"/>
      <c r="AQ157" s="250"/>
      <c r="AR157" s="250"/>
      <c r="AS157" s="250"/>
    </row>
    <row r="158" spans="1:45" s="407" customFormat="1" ht="18.95" customHeight="1">
      <c r="A158" s="595"/>
      <c r="B158" s="596">
        <v>3.11</v>
      </c>
      <c r="C158" s="374" t="s">
        <v>1832</v>
      </c>
      <c r="D158" s="374"/>
      <c r="E158" s="267"/>
      <c r="F158" s="561"/>
      <c r="G158" s="267"/>
      <c r="H158" s="267"/>
      <c r="I158" s="267"/>
      <c r="J158" s="267"/>
      <c r="K158" s="267"/>
      <c r="L158" s="267"/>
      <c r="M158" s="267"/>
      <c r="N158" s="267"/>
      <c r="O158" s="1174">
        <v>0.93490804699999996</v>
      </c>
      <c r="P158" s="1169"/>
      <c r="Q158" s="607"/>
      <c r="R158" s="597"/>
      <c r="S158" s="592"/>
      <c r="T158" s="577"/>
      <c r="U158" s="577"/>
      <c r="V158" s="577"/>
      <c r="W158" s="577"/>
      <c r="X158" s="577"/>
      <c r="Y158" s="577"/>
      <c r="Z158" s="250"/>
      <c r="AA158" s="250"/>
      <c r="AB158" s="250"/>
      <c r="AC158" s="250"/>
      <c r="AM158" s="250"/>
      <c r="AN158" s="250"/>
      <c r="AO158" s="250"/>
      <c r="AP158" s="250"/>
      <c r="AQ158" s="250"/>
      <c r="AR158" s="250"/>
      <c r="AS158" s="250"/>
    </row>
    <row r="159" spans="1:45" s="407" customFormat="1" ht="18.95" customHeight="1">
      <c r="A159" s="595"/>
      <c r="B159" s="591"/>
      <c r="C159" s="374" t="s">
        <v>1787</v>
      </c>
      <c r="D159" s="374"/>
      <c r="E159" s="267">
        <v>2</v>
      </c>
      <c r="F159" s="561" t="s">
        <v>402</v>
      </c>
      <c r="G159" s="267">
        <v>944</v>
      </c>
      <c r="H159" s="269">
        <f t="shared" ref="H159:H160" si="96">G159*O159</f>
        <v>882.55319636799993</v>
      </c>
      <c r="I159" s="269">
        <f t="shared" ref="I159:I161" si="97">E159*H159</f>
        <v>1765.1063927359999</v>
      </c>
      <c r="J159" s="267">
        <v>200</v>
      </c>
      <c r="K159" s="267">
        <f t="shared" si="92"/>
        <v>186.9816094</v>
      </c>
      <c r="L159" s="267">
        <f t="shared" si="93"/>
        <v>373.96321879999999</v>
      </c>
      <c r="M159" s="267">
        <f>I159+L159</f>
        <v>2139.0696115359997</v>
      </c>
      <c r="N159" s="267"/>
      <c r="O159" s="1174">
        <v>0.93490804699999996</v>
      </c>
      <c r="P159" s="1169"/>
      <c r="Q159" s="607"/>
      <c r="R159" s="597"/>
      <c r="S159" s="607"/>
      <c r="T159" s="597"/>
      <c r="U159" s="580"/>
      <c r="V159" s="597"/>
      <c r="W159" s="597"/>
      <c r="X159" s="577"/>
      <c r="Y159" s="577"/>
      <c r="Z159" s="250"/>
      <c r="AA159" s="250"/>
      <c r="AB159" s="250"/>
      <c r="AC159" s="250"/>
      <c r="AM159" s="250"/>
      <c r="AN159" s="250"/>
      <c r="AO159" s="250"/>
      <c r="AP159" s="250"/>
      <c r="AQ159" s="250"/>
      <c r="AR159" s="250"/>
      <c r="AS159" s="250"/>
    </row>
    <row r="160" spans="1:45" s="407" customFormat="1" ht="18.95" customHeight="1">
      <c r="A160" s="595"/>
      <c r="B160" s="591"/>
      <c r="C160" s="374" t="s">
        <v>1779</v>
      </c>
      <c r="D160" s="374"/>
      <c r="E160" s="267">
        <v>2</v>
      </c>
      <c r="F160" s="561" t="s">
        <v>402</v>
      </c>
      <c r="G160" s="267">
        <v>1084</v>
      </c>
      <c r="H160" s="269">
        <f t="shared" si="96"/>
        <v>1013.440322948</v>
      </c>
      <c r="I160" s="269">
        <f t="shared" si="97"/>
        <v>2026.880645896</v>
      </c>
      <c r="J160" s="267">
        <v>300</v>
      </c>
      <c r="K160" s="267">
        <f t="shared" si="92"/>
        <v>280.47241409999998</v>
      </c>
      <c r="L160" s="267">
        <f t="shared" si="93"/>
        <v>560.94482819999996</v>
      </c>
      <c r="M160" s="267">
        <f>I160+L160</f>
        <v>2587.8254740960001</v>
      </c>
      <c r="N160" s="267"/>
      <c r="O160" s="1174">
        <v>0.93490804699999996</v>
      </c>
      <c r="P160" s="1169"/>
      <c r="Q160" s="607"/>
      <c r="R160" s="597"/>
      <c r="S160" s="607"/>
      <c r="T160" s="597"/>
      <c r="U160" s="580"/>
      <c r="V160" s="597"/>
      <c r="W160" s="597"/>
      <c r="X160" s="577"/>
      <c r="Y160" s="577"/>
      <c r="Z160" s="250"/>
      <c r="AA160" s="250"/>
      <c r="AB160" s="250"/>
      <c r="AC160" s="250"/>
      <c r="AM160" s="250"/>
      <c r="AN160" s="250"/>
      <c r="AO160" s="250"/>
      <c r="AP160" s="250"/>
      <c r="AQ160" s="250"/>
      <c r="AR160" s="250"/>
      <c r="AS160" s="250"/>
    </row>
    <row r="161" spans="1:45" s="407" customFormat="1" ht="18.95" customHeight="1">
      <c r="A161" s="595"/>
      <c r="B161" s="591"/>
      <c r="C161" s="374" t="s">
        <v>1780</v>
      </c>
      <c r="D161" s="374"/>
      <c r="E161" s="267">
        <v>0</v>
      </c>
      <c r="F161" s="561" t="s">
        <v>402</v>
      </c>
      <c r="G161" s="267">
        <v>1224</v>
      </c>
      <c r="H161" s="267"/>
      <c r="I161" s="269">
        <f t="shared" si="97"/>
        <v>0</v>
      </c>
      <c r="J161" s="267">
        <v>400</v>
      </c>
      <c r="K161" s="267">
        <f t="shared" si="92"/>
        <v>373.96321879999999</v>
      </c>
      <c r="L161" s="267">
        <f t="shared" si="93"/>
        <v>0</v>
      </c>
      <c r="M161" s="267">
        <f>I161+L161</f>
        <v>0</v>
      </c>
      <c r="N161" s="267"/>
      <c r="O161" s="1174">
        <v>0.93490804699999996</v>
      </c>
      <c r="P161" s="1169"/>
      <c r="Q161" s="607"/>
      <c r="R161" s="597"/>
      <c r="S161" s="607"/>
      <c r="T161" s="597"/>
      <c r="U161" s="580"/>
      <c r="V161" s="597"/>
      <c r="W161" s="597"/>
      <c r="X161" s="577"/>
      <c r="Y161" s="577"/>
      <c r="Z161" s="250"/>
      <c r="AA161" s="250"/>
      <c r="AB161" s="250"/>
      <c r="AC161" s="250"/>
      <c r="AM161" s="250"/>
      <c r="AN161" s="250"/>
      <c r="AO161" s="250"/>
      <c r="AP161" s="250"/>
      <c r="AQ161" s="250"/>
      <c r="AR161" s="250"/>
      <c r="AS161" s="250"/>
    </row>
    <row r="162" spans="1:45" s="407" customFormat="1" ht="18.95" customHeight="1">
      <c r="A162" s="595"/>
      <c r="B162" s="591"/>
      <c r="C162" s="374" t="s">
        <v>1816</v>
      </c>
      <c r="D162" s="374"/>
      <c r="E162" s="267">
        <v>0</v>
      </c>
      <c r="F162" s="561" t="s">
        <v>402</v>
      </c>
      <c r="G162" s="267">
        <v>1760</v>
      </c>
      <c r="H162" s="267"/>
      <c r="I162" s="267">
        <f>ROUNDDOWN(E162*G162,2)</f>
        <v>0</v>
      </c>
      <c r="J162" s="267">
        <v>500</v>
      </c>
      <c r="K162" s="267">
        <f t="shared" si="92"/>
        <v>467.45402350000001</v>
      </c>
      <c r="L162" s="267">
        <f t="shared" si="93"/>
        <v>0</v>
      </c>
      <c r="M162" s="267">
        <f>I162+L162</f>
        <v>0</v>
      </c>
      <c r="N162" s="267"/>
      <c r="O162" s="1174">
        <v>0.93490804699999996</v>
      </c>
      <c r="P162" s="1169"/>
      <c r="Q162" s="583"/>
      <c r="R162" s="583"/>
      <c r="S162" s="583"/>
      <c r="T162" s="579"/>
      <c r="U162" s="580"/>
      <c r="V162" s="597"/>
      <c r="W162" s="597"/>
      <c r="X162" s="577"/>
      <c r="Y162" s="577"/>
      <c r="Z162" s="250"/>
      <c r="AA162" s="250"/>
      <c r="AB162" s="250"/>
      <c r="AC162" s="250"/>
      <c r="AM162" s="250"/>
      <c r="AN162" s="250"/>
      <c r="AO162" s="250"/>
      <c r="AP162" s="250"/>
      <c r="AQ162" s="250"/>
      <c r="AR162" s="250"/>
      <c r="AS162" s="250"/>
    </row>
    <row r="163" spans="1:45" s="407" customFormat="1" ht="18.95" customHeight="1">
      <c r="A163" s="595"/>
      <c r="B163" s="596">
        <v>3.12</v>
      </c>
      <c r="C163" s="374" t="s">
        <v>1792</v>
      </c>
      <c r="D163" s="374"/>
      <c r="E163" s="267"/>
      <c r="F163" s="561"/>
      <c r="G163" s="267"/>
      <c r="H163" s="267"/>
      <c r="I163" s="267"/>
      <c r="J163" s="267"/>
      <c r="K163" s="267"/>
      <c r="L163" s="267"/>
      <c r="M163" s="267"/>
      <c r="N163" s="267"/>
      <c r="O163" s="1174">
        <v>0.93490804699999996</v>
      </c>
      <c r="P163" s="1169"/>
      <c r="Q163" s="583"/>
      <c r="R163" s="583"/>
      <c r="S163" s="583"/>
      <c r="T163" s="579"/>
      <c r="U163" s="580"/>
      <c r="V163" s="597"/>
      <c r="W163" s="597"/>
      <c r="X163" s="577"/>
      <c r="Y163" s="577"/>
      <c r="Z163" s="250"/>
      <c r="AA163" s="250"/>
      <c r="AB163" s="250"/>
      <c r="AC163" s="250"/>
      <c r="AM163" s="250"/>
      <c r="AN163" s="250"/>
      <c r="AO163" s="250"/>
      <c r="AP163" s="250"/>
      <c r="AQ163" s="250"/>
      <c r="AR163" s="250"/>
      <c r="AS163" s="250"/>
    </row>
    <row r="164" spans="1:45" s="407" customFormat="1" ht="18.95" customHeight="1">
      <c r="A164" s="595"/>
      <c r="B164" s="591"/>
      <c r="C164" s="374" t="s">
        <v>1787</v>
      </c>
      <c r="D164" s="374"/>
      <c r="E164" s="267">
        <v>1</v>
      </c>
      <c r="F164" s="561" t="s">
        <v>402</v>
      </c>
      <c r="G164" s="267">
        <v>1515</v>
      </c>
      <c r="H164" s="269">
        <f t="shared" ref="H164:H168" si="98">G164*O164</f>
        <v>1416.3856912050001</v>
      </c>
      <c r="I164" s="269">
        <f t="shared" ref="I164:I168" si="99">E164*H164</f>
        <v>1416.3856912050001</v>
      </c>
      <c r="J164" s="267">
        <v>100</v>
      </c>
      <c r="K164" s="267">
        <f t="shared" si="92"/>
        <v>93.490804699999998</v>
      </c>
      <c r="L164" s="267">
        <f t="shared" si="93"/>
        <v>93.490804699999998</v>
      </c>
      <c r="M164" s="267">
        <f t="shared" ref="M164:M174" si="100">I164+L164</f>
        <v>1509.876495905</v>
      </c>
      <c r="N164" s="267"/>
      <c r="O164" s="1174">
        <v>0.93490804699999996</v>
      </c>
      <c r="P164" s="1169"/>
      <c r="Q164" s="583"/>
      <c r="R164" s="577"/>
      <c r="S164" s="583"/>
      <c r="T164" s="577"/>
      <c r="U164" s="577"/>
      <c r="V164" s="577"/>
      <c r="W164" s="577"/>
      <c r="X164" s="577"/>
      <c r="Y164" s="577"/>
      <c r="Z164" s="250"/>
      <c r="AA164" s="250"/>
      <c r="AB164" s="250"/>
      <c r="AC164" s="250"/>
      <c r="AM164" s="250"/>
      <c r="AN164" s="250"/>
      <c r="AO164" s="250"/>
      <c r="AP164" s="250"/>
      <c r="AQ164" s="250"/>
      <c r="AR164" s="250"/>
      <c r="AS164" s="250"/>
    </row>
    <row r="165" spans="1:45" s="407" customFormat="1" ht="18.95" customHeight="1">
      <c r="A165" s="595"/>
      <c r="B165" s="591"/>
      <c r="C165" s="374" t="s">
        <v>1788</v>
      </c>
      <c r="D165" s="374"/>
      <c r="E165" s="267">
        <v>0</v>
      </c>
      <c r="F165" s="561" t="s">
        <v>402</v>
      </c>
      <c r="G165" s="267">
        <v>1782</v>
      </c>
      <c r="H165" s="269">
        <f t="shared" si="98"/>
        <v>1666.0061397539998</v>
      </c>
      <c r="I165" s="269">
        <f t="shared" si="99"/>
        <v>0</v>
      </c>
      <c r="J165" s="267">
        <v>125</v>
      </c>
      <c r="K165" s="267">
        <f t="shared" si="92"/>
        <v>116.863505875</v>
      </c>
      <c r="L165" s="267">
        <f t="shared" si="93"/>
        <v>0</v>
      </c>
      <c r="M165" s="267">
        <f t="shared" si="100"/>
        <v>0</v>
      </c>
      <c r="N165" s="267"/>
      <c r="O165" s="1174">
        <v>0.93490804699999996</v>
      </c>
      <c r="P165" s="1169"/>
      <c r="Q165" s="599"/>
      <c r="S165" s="599"/>
      <c r="T165" s="597"/>
      <c r="U165" s="577"/>
      <c r="V165" s="577"/>
      <c r="W165" s="577"/>
      <c r="X165" s="577"/>
      <c r="Y165" s="577"/>
      <c r="Z165" s="250"/>
      <c r="AA165" s="250"/>
      <c r="AB165" s="250"/>
      <c r="AC165" s="250"/>
      <c r="AM165" s="250"/>
      <c r="AN165" s="250"/>
      <c r="AO165" s="250"/>
      <c r="AP165" s="250"/>
      <c r="AQ165" s="250"/>
      <c r="AR165" s="250"/>
      <c r="AS165" s="250"/>
    </row>
    <row r="166" spans="1:45" s="407" customFormat="1" ht="18.95" customHeight="1">
      <c r="A166" s="595"/>
      <c r="B166" s="591"/>
      <c r="C166" s="374" t="s">
        <v>1779</v>
      </c>
      <c r="D166" s="374"/>
      <c r="E166" s="267">
        <v>6</v>
      </c>
      <c r="F166" s="561" t="s">
        <v>402</v>
      </c>
      <c r="G166" s="267">
        <v>2415</v>
      </c>
      <c r="H166" s="269">
        <f t="shared" si="98"/>
        <v>2257.8029335050001</v>
      </c>
      <c r="I166" s="269">
        <f t="shared" si="99"/>
        <v>13546.817601030001</v>
      </c>
      <c r="J166" s="267">
        <v>150</v>
      </c>
      <c r="K166" s="267">
        <f t="shared" si="92"/>
        <v>140.23620704999999</v>
      </c>
      <c r="L166" s="267">
        <f t="shared" si="93"/>
        <v>841.4172423</v>
      </c>
      <c r="M166" s="267">
        <f t="shared" si="100"/>
        <v>14388.234843330001</v>
      </c>
      <c r="N166" s="269"/>
      <c r="O166" s="1174">
        <v>0.93490804699999996</v>
      </c>
      <c r="P166" s="1169"/>
      <c r="Q166" s="583"/>
      <c r="R166" s="577"/>
      <c r="S166" s="583"/>
      <c r="T166" s="577"/>
      <c r="U166" s="577"/>
      <c r="V166" s="577"/>
      <c r="W166" s="577"/>
      <c r="X166" s="577"/>
      <c r="Y166" s="577"/>
      <c r="Z166" s="250"/>
      <c r="AA166" s="250"/>
      <c r="AB166" s="250"/>
      <c r="AC166" s="250"/>
      <c r="AM166" s="250"/>
      <c r="AN166" s="250"/>
      <c r="AO166" s="250"/>
      <c r="AP166" s="250"/>
      <c r="AQ166" s="250"/>
      <c r="AR166" s="250"/>
      <c r="AS166" s="250"/>
    </row>
    <row r="167" spans="1:45" s="407" customFormat="1" ht="18.95" customHeight="1">
      <c r="A167" s="595"/>
      <c r="B167" s="591"/>
      <c r="C167" s="374" t="s">
        <v>1780</v>
      </c>
      <c r="D167" s="374"/>
      <c r="E167" s="267">
        <v>7</v>
      </c>
      <c r="F167" s="561" t="s">
        <v>402</v>
      </c>
      <c r="G167" s="267">
        <v>3100</v>
      </c>
      <c r="H167" s="269">
        <f t="shared" si="98"/>
        <v>2898.2149457</v>
      </c>
      <c r="I167" s="269">
        <f t="shared" si="99"/>
        <v>20287.504619899999</v>
      </c>
      <c r="J167" s="267">
        <v>400</v>
      </c>
      <c r="K167" s="267">
        <f t="shared" si="92"/>
        <v>373.96321879999999</v>
      </c>
      <c r="L167" s="267">
        <f t="shared" si="93"/>
        <v>2617.7425315999999</v>
      </c>
      <c r="M167" s="267">
        <f t="shared" si="100"/>
        <v>22905.2471515</v>
      </c>
      <c r="N167" s="269"/>
      <c r="O167" s="1174">
        <v>0.93490804699999996</v>
      </c>
      <c r="P167" s="1169"/>
      <c r="Q167" s="583"/>
      <c r="R167" s="577"/>
      <c r="S167" s="583"/>
      <c r="T167" s="577"/>
      <c r="U167" s="577"/>
      <c r="V167" s="577"/>
      <c r="W167" s="577"/>
      <c r="X167" s="577"/>
      <c r="Y167" s="577"/>
      <c r="Z167" s="250"/>
      <c r="AA167" s="250"/>
      <c r="AB167" s="250"/>
      <c r="AC167" s="250"/>
      <c r="AM167" s="250"/>
      <c r="AN167" s="250"/>
      <c r="AO167" s="250"/>
      <c r="AP167" s="250"/>
      <c r="AQ167" s="250"/>
      <c r="AR167" s="250"/>
      <c r="AS167" s="250"/>
    </row>
    <row r="168" spans="1:45" s="407" customFormat="1" ht="18.95" customHeight="1">
      <c r="A168" s="154"/>
      <c r="B168" s="591"/>
      <c r="C168" s="374" t="s">
        <v>1816</v>
      </c>
      <c r="D168" s="374"/>
      <c r="E168" s="267">
        <v>4</v>
      </c>
      <c r="F168" s="561" t="s">
        <v>402</v>
      </c>
      <c r="G168" s="267">
        <v>4290</v>
      </c>
      <c r="H168" s="269">
        <f t="shared" si="98"/>
        <v>4010.7555216299997</v>
      </c>
      <c r="I168" s="269">
        <f t="shared" si="99"/>
        <v>16043.022086519999</v>
      </c>
      <c r="J168" s="267">
        <v>300</v>
      </c>
      <c r="K168" s="267">
        <f t="shared" si="92"/>
        <v>280.47241409999998</v>
      </c>
      <c r="L168" s="267">
        <f t="shared" si="93"/>
        <v>1121.8896563999999</v>
      </c>
      <c r="M168" s="267">
        <f t="shared" si="100"/>
        <v>17164.911742919998</v>
      </c>
      <c r="N168" s="269"/>
      <c r="O168" s="1174">
        <v>0.93490804699999996</v>
      </c>
      <c r="P168" s="1169"/>
      <c r="Q168" s="583"/>
      <c r="R168" s="577"/>
      <c r="S168" s="583"/>
      <c r="T168" s="577"/>
      <c r="U168" s="577"/>
      <c r="V168" s="577"/>
      <c r="W168" s="577"/>
      <c r="X168" s="577"/>
      <c r="Y168" s="577"/>
      <c r="Z168" s="250"/>
      <c r="AA168" s="250"/>
      <c r="AB168" s="250"/>
      <c r="AC168" s="250"/>
      <c r="AM168" s="250"/>
      <c r="AN168" s="250"/>
      <c r="AO168" s="250"/>
      <c r="AP168" s="250"/>
      <c r="AQ168" s="250"/>
      <c r="AR168" s="250"/>
      <c r="AS168" s="250"/>
    </row>
    <row r="169" spans="1:45" s="407" customFormat="1" ht="18.95" customHeight="1">
      <c r="A169" s="154"/>
      <c r="B169" s="591"/>
      <c r="C169" s="374" t="s">
        <v>1833</v>
      </c>
      <c r="D169" s="374"/>
      <c r="E169" s="267">
        <v>0</v>
      </c>
      <c r="F169" s="561" t="s">
        <v>402</v>
      </c>
      <c r="G169" s="267">
        <v>6050</v>
      </c>
      <c r="H169" s="267"/>
      <c r="I169" s="267">
        <f t="shared" ref="I169:I173" si="101">ROUNDDOWN(E169*G169,2)</f>
        <v>0</v>
      </c>
      <c r="J169" s="267">
        <v>400</v>
      </c>
      <c r="K169" s="267"/>
      <c r="L169" s="267">
        <f t="shared" si="93"/>
        <v>0</v>
      </c>
      <c r="M169" s="267">
        <f t="shared" si="100"/>
        <v>0</v>
      </c>
      <c r="N169" s="269"/>
      <c r="O169" s="1174">
        <v>0.93490804699999996</v>
      </c>
      <c r="P169" s="1169"/>
      <c r="Q169" s="577"/>
      <c r="R169" s="577"/>
      <c r="S169" s="577"/>
      <c r="T169" s="577"/>
      <c r="U169" s="577"/>
      <c r="V169" s="577"/>
      <c r="W169" s="577"/>
      <c r="X169" s="577"/>
      <c r="Y169" s="577"/>
      <c r="Z169" s="250"/>
      <c r="AA169" s="250"/>
      <c r="AB169" s="250"/>
      <c r="AC169" s="250"/>
      <c r="AM169" s="250"/>
      <c r="AN169" s="250"/>
      <c r="AO169" s="250"/>
      <c r="AP169" s="250"/>
      <c r="AQ169" s="250"/>
      <c r="AR169" s="250"/>
      <c r="AS169" s="250"/>
    </row>
    <row r="170" spans="1:45" s="407" customFormat="1" ht="18.95" customHeight="1">
      <c r="A170" s="154"/>
      <c r="B170" s="591"/>
      <c r="C170" s="374" t="s">
        <v>1834</v>
      </c>
      <c r="D170" s="374"/>
      <c r="E170" s="267">
        <v>0</v>
      </c>
      <c r="F170" s="561" t="s">
        <v>402</v>
      </c>
      <c r="G170" s="267">
        <v>7425</v>
      </c>
      <c r="H170" s="267"/>
      <c r="I170" s="267">
        <f t="shared" si="101"/>
        <v>0</v>
      </c>
      <c r="J170" s="267">
        <v>500</v>
      </c>
      <c r="K170" s="267"/>
      <c r="L170" s="267">
        <f t="shared" si="93"/>
        <v>0</v>
      </c>
      <c r="M170" s="267">
        <f t="shared" si="100"/>
        <v>0</v>
      </c>
      <c r="N170" s="269"/>
      <c r="O170" s="1174">
        <v>0.93490804699999996</v>
      </c>
      <c r="P170" s="1169"/>
      <c r="Q170" s="577"/>
      <c r="R170" s="577"/>
      <c r="S170" s="577"/>
      <c r="T170" s="577"/>
      <c r="U170" s="577"/>
      <c r="V170" s="577"/>
      <c r="W170" s="577"/>
      <c r="X170" s="577"/>
      <c r="Y170" s="577"/>
      <c r="Z170" s="250"/>
      <c r="AA170" s="250"/>
      <c r="AB170" s="250"/>
      <c r="AC170" s="250"/>
      <c r="AM170" s="250"/>
      <c r="AN170" s="250"/>
      <c r="AO170" s="250"/>
      <c r="AP170" s="250"/>
      <c r="AQ170" s="250"/>
      <c r="AR170" s="250"/>
      <c r="AS170" s="250"/>
    </row>
    <row r="171" spans="1:45" s="407" customFormat="1" ht="18.95" customHeight="1">
      <c r="A171" s="154"/>
      <c r="B171" s="596">
        <v>3.13</v>
      </c>
      <c r="C171" s="244" t="s">
        <v>1835</v>
      </c>
      <c r="D171" s="230"/>
      <c r="E171" s="267">
        <v>0</v>
      </c>
      <c r="F171" s="561" t="s">
        <v>402</v>
      </c>
      <c r="G171" s="267">
        <v>4500</v>
      </c>
      <c r="H171" s="267"/>
      <c r="I171" s="267">
        <f t="shared" si="101"/>
        <v>0</v>
      </c>
      <c r="J171" s="267">
        <v>1400</v>
      </c>
      <c r="K171" s="267"/>
      <c r="L171" s="267">
        <f t="shared" si="93"/>
        <v>0</v>
      </c>
      <c r="M171" s="267">
        <f t="shared" si="100"/>
        <v>0</v>
      </c>
      <c r="N171" s="269"/>
      <c r="O171" s="1174">
        <v>0.93490804699999996</v>
      </c>
      <c r="P171" s="1169"/>
      <c r="Q171" s="577"/>
      <c r="R171" s="577"/>
      <c r="S171" s="577"/>
      <c r="T171" s="577"/>
      <c r="U171" s="577"/>
      <c r="V171" s="577"/>
      <c r="W171" s="577"/>
      <c r="X171" s="577"/>
      <c r="Y171" s="577"/>
      <c r="Z171" s="250"/>
      <c r="AA171" s="250"/>
      <c r="AB171" s="250"/>
      <c r="AC171" s="250"/>
      <c r="AM171" s="250"/>
      <c r="AN171" s="250"/>
      <c r="AO171" s="250"/>
      <c r="AP171" s="250"/>
      <c r="AQ171" s="250"/>
      <c r="AR171" s="250"/>
      <c r="AS171" s="250"/>
    </row>
    <row r="172" spans="1:45" s="407" customFormat="1" ht="18.95" customHeight="1">
      <c r="A172" s="154"/>
      <c r="B172" s="596">
        <v>3.14</v>
      </c>
      <c r="C172" s="374" t="s">
        <v>1836</v>
      </c>
      <c r="D172" s="230"/>
      <c r="E172" s="267"/>
      <c r="F172" s="561"/>
      <c r="G172" s="267"/>
      <c r="H172" s="267"/>
      <c r="I172" s="267">
        <f t="shared" si="101"/>
        <v>0</v>
      </c>
      <c r="J172" s="267"/>
      <c r="K172" s="267"/>
      <c r="L172" s="267">
        <f t="shared" si="93"/>
        <v>0</v>
      </c>
      <c r="M172" s="267">
        <f t="shared" si="100"/>
        <v>0</v>
      </c>
      <c r="N172" s="269"/>
      <c r="O172" s="1174">
        <v>0.93490804699999996</v>
      </c>
      <c r="P172" s="1169"/>
      <c r="Q172" s="577"/>
      <c r="R172" s="577"/>
      <c r="S172" s="592"/>
      <c r="T172" s="577"/>
      <c r="U172" s="577"/>
      <c r="V172" s="577"/>
      <c r="W172" s="577"/>
      <c r="X172" s="577"/>
      <c r="Y172" s="577"/>
      <c r="Z172" s="250"/>
      <c r="AA172" s="250"/>
      <c r="AB172" s="250"/>
      <c r="AC172" s="250"/>
      <c r="AM172" s="250"/>
      <c r="AN172" s="250"/>
      <c r="AO172" s="250"/>
      <c r="AP172" s="250"/>
      <c r="AQ172" s="250"/>
      <c r="AR172" s="250"/>
      <c r="AS172" s="250"/>
    </row>
    <row r="173" spans="1:45" s="407" customFormat="1" ht="18.95" customHeight="1">
      <c r="A173" s="154"/>
      <c r="B173" s="591"/>
      <c r="C173" s="374" t="s">
        <v>1837</v>
      </c>
      <c r="D173" s="230"/>
      <c r="E173" s="267">
        <v>0</v>
      </c>
      <c r="F173" s="561" t="s">
        <v>402</v>
      </c>
      <c r="G173" s="267">
        <v>14560</v>
      </c>
      <c r="H173" s="267"/>
      <c r="I173" s="267">
        <f t="shared" si="101"/>
        <v>0</v>
      </c>
      <c r="J173" s="267">
        <v>1500</v>
      </c>
      <c r="K173" s="267"/>
      <c r="L173" s="267">
        <f t="shared" si="93"/>
        <v>0</v>
      </c>
      <c r="M173" s="267">
        <f t="shared" si="100"/>
        <v>0</v>
      </c>
      <c r="N173" s="269"/>
      <c r="O173" s="1174">
        <v>0.93490804699999996</v>
      </c>
      <c r="P173" s="1169"/>
      <c r="Q173" s="599"/>
      <c r="R173" s="577"/>
      <c r="S173" s="599"/>
      <c r="T173" s="597"/>
      <c r="U173" s="583"/>
      <c r="V173" s="577"/>
      <c r="W173" s="577"/>
      <c r="X173" s="577"/>
      <c r="Y173" s="577"/>
      <c r="Z173" s="250"/>
      <c r="AA173" s="250"/>
      <c r="AB173" s="250"/>
      <c r="AC173" s="250"/>
      <c r="AM173" s="250"/>
      <c r="AN173" s="250"/>
      <c r="AO173" s="250"/>
      <c r="AP173" s="250"/>
      <c r="AQ173" s="250"/>
      <c r="AR173" s="250"/>
      <c r="AS173" s="250"/>
    </row>
    <row r="174" spans="1:45" ht="18.95" customHeight="1">
      <c r="A174" s="154"/>
      <c r="B174" s="591"/>
      <c r="C174" s="374" t="s">
        <v>1838</v>
      </c>
      <c r="D174" s="230"/>
      <c r="E174" s="267">
        <v>7</v>
      </c>
      <c r="F174" s="561" t="s">
        <v>402</v>
      </c>
      <c r="G174" s="267">
        <v>9960</v>
      </c>
      <c r="H174" s="269">
        <f t="shared" ref="H174" si="102">G174*O174</f>
        <v>9311.684148119999</v>
      </c>
      <c r="I174" s="269">
        <f t="shared" ref="I174" si="103">E174*H174</f>
        <v>65181.789036839997</v>
      </c>
      <c r="J174" s="267">
        <v>1500</v>
      </c>
      <c r="K174" s="267">
        <f t="shared" ref="K174" si="104">J174*O174</f>
        <v>1402.3620704999998</v>
      </c>
      <c r="L174" s="267">
        <f t="shared" si="93"/>
        <v>9816.5344934999994</v>
      </c>
      <c r="M174" s="267">
        <f t="shared" si="100"/>
        <v>74998.32353034</v>
      </c>
      <c r="N174" s="269"/>
      <c r="O174" s="1174">
        <v>0.93490804699999996</v>
      </c>
      <c r="P174" s="1168"/>
      <c r="Q174" s="599"/>
      <c r="R174" s="577"/>
      <c r="S174" s="599"/>
      <c r="T174" s="597"/>
      <c r="U174" s="597"/>
      <c r="V174" s="577"/>
      <c r="W174" s="577"/>
      <c r="X174" s="577"/>
      <c r="Y174" s="577"/>
    </row>
    <row r="175" spans="1:45" ht="18.95" customHeight="1">
      <c r="A175" s="203"/>
      <c r="B175" s="1345" t="s">
        <v>1216</v>
      </c>
      <c r="C175" s="1346"/>
      <c r="D175" s="1346"/>
      <c r="E175" s="267"/>
      <c r="F175" s="269"/>
      <c r="G175" s="267"/>
      <c r="H175" s="267"/>
      <c r="I175" s="339">
        <f>SUM(I111:I174)</f>
        <v>964182.36457076774</v>
      </c>
      <c r="J175" s="267"/>
      <c r="K175" s="267"/>
      <c r="L175" s="339">
        <f>SUM(L111:L174)</f>
        <v>183393.43231561399</v>
      </c>
      <c r="M175" s="339">
        <f>SUM(M111:M174)</f>
        <v>1147575.7968863822</v>
      </c>
      <c r="N175" s="269"/>
      <c r="O175" s="1174">
        <v>0.93490804699999996</v>
      </c>
      <c r="P175" s="1168"/>
      <c r="Q175" s="583"/>
      <c r="R175" s="583"/>
      <c r="S175" s="583"/>
      <c r="T175" s="583"/>
      <c r="U175" s="597"/>
      <c r="V175" s="577"/>
      <c r="W175" s="577"/>
      <c r="X175" s="577"/>
      <c r="Y175" s="577"/>
    </row>
    <row r="176" spans="1:45" ht="18.95" customHeight="1">
      <c r="A176" s="224"/>
      <c r="B176" s="122"/>
      <c r="C176" s="329"/>
      <c r="D176" s="330"/>
      <c r="E176" s="267"/>
      <c r="F176" s="269"/>
      <c r="G176" s="267"/>
      <c r="H176" s="267"/>
      <c r="I176" s="267"/>
      <c r="J176" s="267"/>
      <c r="K176" s="267"/>
      <c r="L176" s="269"/>
      <c r="M176" s="267"/>
      <c r="N176" s="269"/>
      <c r="O176" s="1174">
        <v>0.93490804699999996</v>
      </c>
      <c r="P176" s="1168"/>
      <c r="Q176" s="599"/>
      <c r="R176" s="577"/>
      <c r="S176" s="577"/>
      <c r="T176" s="577"/>
      <c r="U176" s="577"/>
      <c r="V176" s="577"/>
      <c r="W176" s="577"/>
      <c r="X176" s="577"/>
      <c r="Y176" s="577"/>
    </row>
    <row r="177" spans="1:38" ht="18.95" customHeight="1">
      <c r="A177" s="604">
        <v>4</v>
      </c>
      <c r="B177" s="588" t="s">
        <v>1752</v>
      </c>
      <c r="C177" s="605"/>
      <c r="D177" s="374"/>
      <c r="E177" s="267"/>
      <c r="F177" s="561"/>
      <c r="G177" s="267"/>
      <c r="H177" s="267"/>
      <c r="I177" s="267"/>
      <c r="J177" s="267"/>
      <c r="K177" s="267"/>
      <c r="L177" s="267"/>
      <c r="M177" s="267"/>
      <c r="N177" s="269"/>
      <c r="O177" s="1174">
        <v>0.93490804699999996</v>
      </c>
      <c r="P177" s="1169"/>
      <c r="Q177" s="599"/>
      <c r="R177" s="577"/>
      <c r="S177" s="577"/>
      <c r="T177" s="577"/>
      <c r="U177" s="577"/>
      <c r="V177" s="577"/>
      <c r="W177" s="577"/>
      <c r="X177" s="577"/>
      <c r="Y177" s="577"/>
      <c r="AB177" s="408"/>
      <c r="AD177" s="407"/>
      <c r="AE177" s="407"/>
      <c r="AF177" s="407"/>
      <c r="AG177" s="407"/>
      <c r="AH177" s="407"/>
      <c r="AI177" s="407"/>
      <c r="AJ177" s="407"/>
      <c r="AK177" s="407"/>
      <c r="AL177" s="407"/>
    </row>
    <row r="178" spans="1:38" ht="18.95" customHeight="1">
      <c r="A178" s="154"/>
      <c r="B178" s="588" t="s">
        <v>1760</v>
      </c>
      <c r="C178" s="244"/>
      <c r="D178" s="230"/>
      <c r="E178" s="267"/>
      <c r="F178" s="561"/>
      <c r="G178" s="269"/>
      <c r="H178" s="269"/>
      <c r="I178" s="269"/>
      <c r="J178" s="267"/>
      <c r="K178" s="267"/>
      <c r="L178" s="267"/>
      <c r="M178" s="267"/>
      <c r="N178" s="267"/>
      <c r="O178" s="1174">
        <v>0.93490804699999996</v>
      </c>
      <c r="P178" s="1169"/>
      <c r="Q178" s="610"/>
      <c r="R178" s="580"/>
      <c r="S178" s="580"/>
      <c r="T178" s="577"/>
      <c r="U178" s="577"/>
      <c r="V178" s="577"/>
      <c r="W178" s="577"/>
      <c r="X178" s="577"/>
      <c r="Y178" s="577"/>
      <c r="AD178" s="407"/>
      <c r="AE178" s="407"/>
      <c r="AF178" s="407"/>
      <c r="AG178" s="407"/>
      <c r="AH178" s="407"/>
      <c r="AI178" s="407"/>
      <c r="AJ178" s="407"/>
      <c r="AK178" s="407"/>
      <c r="AL178" s="407"/>
    </row>
    <row r="179" spans="1:38" ht="18.95" customHeight="1">
      <c r="A179" s="595"/>
      <c r="B179" s="590">
        <v>4.0999999999999996</v>
      </c>
      <c r="C179" s="374" t="s">
        <v>1839</v>
      </c>
      <c r="D179" s="374"/>
      <c r="E179" s="267"/>
      <c r="F179" s="561"/>
      <c r="G179" s="267"/>
      <c r="H179" s="267"/>
      <c r="I179" s="267"/>
      <c r="J179" s="267"/>
      <c r="K179" s="267"/>
      <c r="L179" s="267"/>
      <c r="M179" s="267"/>
      <c r="N179" s="269"/>
      <c r="O179" s="1174">
        <v>0.93490804699999996</v>
      </c>
      <c r="P179" s="1169"/>
      <c r="Q179" s="599"/>
      <c r="R179" s="577"/>
      <c r="S179" s="577"/>
      <c r="T179" s="577"/>
      <c r="U179" s="577"/>
      <c r="V179" s="577"/>
      <c r="W179" s="577"/>
      <c r="X179" s="577"/>
      <c r="Y179" s="577"/>
      <c r="AD179" s="407"/>
      <c r="AE179" s="407"/>
      <c r="AF179" s="407"/>
      <c r="AG179" s="407"/>
      <c r="AH179" s="407"/>
      <c r="AI179" s="407"/>
      <c r="AJ179" s="407"/>
      <c r="AK179" s="407"/>
      <c r="AL179" s="407"/>
    </row>
    <row r="180" spans="1:38" ht="18.95" customHeight="1">
      <c r="A180" s="595"/>
      <c r="B180" s="591"/>
      <c r="C180" s="374" t="s">
        <v>1788</v>
      </c>
      <c r="D180" s="374"/>
      <c r="E180" s="267">
        <v>0</v>
      </c>
      <c r="F180" s="561" t="s">
        <v>1079</v>
      </c>
      <c r="G180" s="267"/>
      <c r="H180" s="267"/>
      <c r="I180" s="267">
        <f t="shared" ref="I180:I186" si="105">ROUNDDOWN(E180*G180,2)</f>
        <v>0</v>
      </c>
      <c r="J180" s="267"/>
      <c r="K180" s="267"/>
      <c r="L180" s="267">
        <f t="shared" ref="L180" si="106">ROUNDDOWN(E180*J180,2)</f>
        <v>0</v>
      </c>
      <c r="M180" s="267">
        <f t="shared" ref="M180:M186" si="107">I180+L180</f>
        <v>0</v>
      </c>
      <c r="N180" s="267"/>
      <c r="O180" s="1174">
        <v>0.93490804699999996</v>
      </c>
      <c r="P180" s="1169"/>
      <c r="Q180" s="599"/>
      <c r="R180" s="577"/>
      <c r="S180" s="599"/>
      <c r="T180" s="611"/>
      <c r="U180" s="586"/>
      <c r="V180" s="586"/>
      <c r="W180" s="586"/>
      <c r="X180" s="612"/>
      <c r="Y180" s="577"/>
      <c r="AD180" s="407"/>
      <c r="AE180" s="407"/>
      <c r="AF180" s="407"/>
      <c r="AG180" s="407"/>
      <c r="AH180" s="407"/>
      <c r="AI180" s="407"/>
      <c r="AJ180" s="407"/>
      <c r="AK180" s="407"/>
      <c r="AL180" s="407"/>
    </row>
    <row r="181" spans="1:38" ht="18.95" customHeight="1">
      <c r="A181" s="595"/>
      <c r="B181" s="591"/>
      <c r="C181" s="374" t="s">
        <v>1779</v>
      </c>
      <c r="D181" s="374"/>
      <c r="E181" s="267">
        <v>46</v>
      </c>
      <c r="F181" s="561" t="s">
        <v>1079</v>
      </c>
      <c r="G181" s="269">
        <v>611</v>
      </c>
      <c r="H181" s="269">
        <f t="shared" ref="H181:H182" si="108">G181*O181</f>
        <v>571.22881671699997</v>
      </c>
      <c r="I181" s="269">
        <f t="shared" ref="I181:I182" si="109">E181*H181</f>
        <v>26276.525568981997</v>
      </c>
      <c r="J181" s="267">
        <v>145</v>
      </c>
      <c r="K181" s="267">
        <f t="shared" ref="K181:K182" si="110">J181*O181</f>
        <v>135.561666815</v>
      </c>
      <c r="L181" s="267">
        <f t="shared" ref="L181:L197" si="111">E181*K181</f>
        <v>6235.8366734900001</v>
      </c>
      <c r="M181" s="267">
        <f t="shared" si="107"/>
        <v>32512.362242471998</v>
      </c>
      <c r="N181" s="267"/>
      <c r="O181" s="1174">
        <v>0.93490804699999996</v>
      </c>
      <c r="P181" s="1169"/>
      <c r="Q181" s="599"/>
      <c r="R181" s="577"/>
      <c r="S181" s="599"/>
      <c r="T181" s="611"/>
      <c r="U181" s="583"/>
      <c r="V181" s="583"/>
      <c r="W181" s="583"/>
      <c r="X181" s="579"/>
      <c r="Y181" s="577"/>
      <c r="AD181" s="407"/>
      <c r="AE181" s="407"/>
      <c r="AF181" s="407"/>
      <c r="AG181" s="407"/>
      <c r="AH181" s="407"/>
      <c r="AI181" s="407"/>
      <c r="AJ181" s="407"/>
      <c r="AK181" s="407"/>
      <c r="AL181" s="407"/>
    </row>
    <row r="182" spans="1:38" ht="18.95" customHeight="1">
      <c r="A182" s="595"/>
      <c r="B182" s="591"/>
      <c r="C182" s="374" t="s">
        <v>1780</v>
      </c>
      <c r="D182" s="374"/>
      <c r="E182" s="267">
        <v>74</v>
      </c>
      <c r="F182" s="561" t="s">
        <v>1079</v>
      </c>
      <c r="G182" s="269">
        <v>890</v>
      </c>
      <c r="H182" s="269">
        <f t="shared" si="108"/>
        <v>832.06816183000001</v>
      </c>
      <c r="I182" s="269">
        <f t="shared" si="109"/>
        <v>61573.043975419998</v>
      </c>
      <c r="J182" s="267">
        <v>200</v>
      </c>
      <c r="K182" s="267">
        <f t="shared" si="110"/>
        <v>186.9816094</v>
      </c>
      <c r="L182" s="267">
        <f t="shared" si="111"/>
        <v>13836.6390956</v>
      </c>
      <c r="M182" s="267">
        <f t="shared" si="107"/>
        <v>75409.683071020001</v>
      </c>
      <c r="N182" s="267"/>
      <c r="O182" s="1174">
        <v>0.93490804699999996</v>
      </c>
      <c r="P182" s="1169"/>
      <c r="Q182" s="599"/>
      <c r="R182" s="577"/>
      <c r="S182" s="599"/>
      <c r="T182" s="611"/>
      <c r="U182" s="583"/>
      <c r="V182" s="583"/>
      <c r="W182" s="583"/>
      <c r="X182" s="612"/>
      <c r="Y182" s="577"/>
      <c r="AD182" s="407"/>
      <c r="AE182" s="407"/>
      <c r="AF182" s="407"/>
      <c r="AG182" s="407"/>
      <c r="AH182" s="407"/>
      <c r="AI182" s="407"/>
      <c r="AJ182" s="407"/>
      <c r="AK182" s="407"/>
      <c r="AL182" s="407"/>
    </row>
    <row r="183" spans="1:38" ht="18.95" customHeight="1">
      <c r="A183" s="595"/>
      <c r="B183" s="591"/>
      <c r="C183" s="374" t="s">
        <v>1816</v>
      </c>
      <c r="D183" s="374"/>
      <c r="E183" s="267">
        <v>0</v>
      </c>
      <c r="F183" s="561" t="s">
        <v>1079</v>
      </c>
      <c r="G183" s="269"/>
      <c r="H183" s="269"/>
      <c r="I183" s="267">
        <f t="shared" si="105"/>
        <v>0</v>
      </c>
      <c r="J183" s="267"/>
      <c r="K183" s="267"/>
      <c r="L183" s="267">
        <f t="shared" si="111"/>
        <v>0</v>
      </c>
      <c r="M183" s="267">
        <f t="shared" si="107"/>
        <v>0</v>
      </c>
      <c r="N183" s="267"/>
      <c r="O183" s="1174">
        <v>0.93490804699999996</v>
      </c>
      <c r="P183" s="1169"/>
      <c r="Q183" s="599"/>
      <c r="R183" s="577"/>
      <c r="S183" s="599"/>
      <c r="T183" s="611"/>
      <c r="U183" s="586"/>
      <c r="V183" s="586"/>
      <c r="W183" s="586"/>
      <c r="X183" s="612"/>
      <c r="Y183" s="577"/>
      <c r="AD183" s="407"/>
      <c r="AE183" s="407"/>
      <c r="AF183" s="407"/>
      <c r="AG183" s="407"/>
      <c r="AH183" s="407"/>
      <c r="AI183" s="407"/>
      <c r="AJ183" s="407"/>
      <c r="AK183" s="407"/>
      <c r="AL183" s="407"/>
    </row>
    <row r="184" spans="1:38" ht="18.95" customHeight="1">
      <c r="A184" s="595"/>
      <c r="B184" s="591"/>
      <c r="C184" s="374" t="s">
        <v>1840</v>
      </c>
      <c r="D184" s="374"/>
      <c r="E184" s="267">
        <v>0</v>
      </c>
      <c r="F184" s="561" t="s">
        <v>1079</v>
      </c>
      <c r="G184" s="267"/>
      <c r="H184" s="267"/>
      <c r="I184" s="267">
        <f t="shared" si="105"/>
        <v>0</v>
      </c>
      <c r="J184" s="267"/>
      <c r="K184" s="267"/>
      <c r="L184" s="267">
        <f t="shared" si="111"/>
        <v>0</v>
      </c>
      <c r="M184" s="267">
        <f t="shared" si="107"/>
        <v>0</v>
      </c>
      <c r="N184" s="267"/>
      <c r="O184" s="1174">
        <v>0.93490804699999996</v>
      </c>
      <c r="P184" s="1169"/>
      <c r="Q184" s="599"/>
      <c r="R184" s="577"/>
      <c r="S184" s="599"/>
      <c r="T184" s="611"/>
      <c r="U184" s="586"/>
      <c r="V184" s="586"/>
      <c r="W184" s="586"/>
      <c r="X184" s="609"/>
      <c r="Y184" s="577"/>
      <c r="AD184" s="407"/>
      <c r="AE184" s="407"/>
      <c r="AF184" s="407"/>
      <c r="AG184" s="407"/>
      <c r="AH184" s="407"/>
      <c r="AI184" s="407"/>
      <c r="AJ184" s="407"/>
      <c r="AK184" s="407"/>
      <c r="AL184" s="407"/>
    </row>
    <row r="185" spans="1:38" ht="18.95" customHeight="1">
      <c r="A185" s="595"/>
      <c r="B185" s="591"/>
      <c r="C185" s="374" t="s">
        <v>1841</v>
      </c>
      <c r="D185" s="374"/>
      <c r="E185" s="267">
        <v>0</v>
      </c>
      <c r="F185" s="561" t="s">
        <v>1079</v>
      </c>
      <c r="G185" s="267"/>
      <c r="H185" s="267"/>
      <c r="I185" s="267">
        <f t="shared" si="105"/>
        <v>0</v>
      </c>
      <c r="J185" s="267"/>
      <c r="K185" s="267"/>
      <c r="L185" s="267">
        <f t="shared" si="111"/>
        <v>0</v>
      </c>
      <c r="M185" s="267">
        <f t="shared" si="107"/>
        <v>0</v>
      </c>
      <c r="N185" s="267"/>
      <c r="O185" s="1174">
        <v>0.93490804699999996</v>
      </c>
      <c r="P185" s="1169"/>
      <c r="Q185" s="599"/>
      <c r="R185" s="577"/>
      <c r="S185" s="577"/>
      <c r="T185" s="577"/>
      <c r="U185" s="577"/>
      <c r="V185" s="583"/>
      <c r="W185" s="583"/>
      <c r="X185" s="583"/>
      <c r="Y185" s="583"/>
      <c r="AD185" s="407"/>
      <c r="AE185" s="407"/>
      <c r="AF185" s="407"/>
      <c r="AG185" s="407"/>
      <c r="AH185" s="407"/>
      <c r="AI185" s="407"/>
      <c r="AJ185" s="407"/>
      <c r="AK185" s="407"/>
      <c r="AL185" s="407"/>
    </row>
    <row r="186" spans="1:38" ht="18.95" customHeight="1">
      <c r="A186" s="595"/>
      <c r="B186" s="590"/>
      <c r="C186" s="374" t="s">
        <v>1842</v>
      </c>
      <c r="D186" s="374"/>
      <c r="E186" s="267">
        <v>0</v>
      </c>
      <c r="F186" s="561" t="s">
        <v>1079</v>
      </c>
      <c r="G186" s="267"/>
      <c r="H186" s="267"/>
      <c r="I186" s="267">
        <f t="shared" si="105"/>
        <v>0</v>
      </c>
      <c r="J186" s="267"/>
      <c r="K186" s="267"/>
      <c r="L186" s="267">
        <f t="shared" si="111"/>
        <v>0</v>
      </c>
      <c r="M186" s="267">
        <f t="shared" si="107"/>
        <v>0</v>
      </c>
      <c r="N186" s="267"/>
      <c r="O186" s="1174">
        <v>0.93490804699999996</v>
      </c>
      <c r="P186" s="1169"/>
      <c r="Q186" s="610"/>
      <c r="R186" s="580"/>
      <c r="S186" s="580"/>
      <c r="T186" s="577"/>
      <c r="U186" s="577"/>
      <c r="V186" s="577"/>
      <c r="W186" s="577"/>
      <c r="X186" s="577"/>
      <c r="Y186" s="577"/>
      <c r="AD186" s="407"/>
      <c r="AE186" s="407"/>
      <c r="AF186" s="407"/>
      <c r="AG186" s="407"/>
      <c r="AH186" s="407"/>
      <c r="AI186" s="407"/>
      <c r="AJ186" s="407"/>
      <c r="AK186" s="407"/>
      <c r="AL186" s="407"/>
    </row>
    <row r="187" spans="1:38" ht="18.95" customHeight="1">
      <c r="A187" s="595"/>
      <c r="B187" s="590">
        <v>4.2</v>
      </c>
      <c r="C187" s="374" t="s">
        <v>1843</v>
      </c>
      <c r="D187" s="374"/>
      <c r="E187" s="267"/>
      <c r="F187" s="561"/>
      <c r="G187" s="267"/>
      <c r="H187" s="267"/>
      <c r="I187" s="267"/>
      <c r="J187" s="267"/>
      <c r="K187" s="267"/>
      <c r="L187" s="267">
        <f t="shared" si="111"/>
        <v>0</v>
      </c>
      <c r="M187" s="267"/>
      <c r="N187" s="267"/>
      <c r="O187" s="1174">
        <v>0.93490804699999996</v>
      </c>
      <c r="P187" s="1169"/>
      <c r="Q187" s="599"/>
      <c r="R187" s="577"/>
      <c r="S187" s="599"/>
      <c r="T187" s="602"/>
      <c r="U187" s="602"/>
      <c r="V187" s="602"/>
      <c r="W187" s="602"/>
      <c r="X187" s="586"/>
      <c r="Y187" s="586"/>
      <c r="AD187" s="407"/>
      <c r="AE187" s="407"/>
      <c r="AF187" s="407"/>
      <c r="AG187" s="407"/>
      <c r="AH187" s="407"/>
      <c r="AI187" s="407"/>
      <c r="AJ187" s="407"/>
      <c r="AK187" s="407"/>
      <c r="AL187" s="407"/>
    </row>
    <row r="188" spans="1:38" ht="18.95" customHeight="1">
      <c r="A188" s="595"/>
      <c r="B188" s="591"/>
      <c r="C188" s="374" t="s">
        <v>1769</v>
      </c>
      <c r="D188" s="374"/>
      <c r="E188" s="267">
        <v>0</v>
      </c>
      <c r="F188" s="561" t="s">
        <v>1079</v>
      </c>
      <c r="G188" s="267">
        <v>110</v>
      </c>
      <c r="H188" s="267"/>
      <c r="I188" s="267">
        <f>ROUNDDOWN(E188*G188,2)</f>
        <v>0</v>
      </c>
      <c r="J188" s="267">
        <v>60</v>
      </c>
      <c r="K188" s="267"/>
      <c r="L188" s="267">
        <f t="shared" si="111"/>
        <v>0</v>
      </c>
      <c r="M188" s="267">
        <f t="shared" ref="M188:M198" si="112">I188+L188</f>
        <v>0</v>
      </c>
      <c r="N188" s="267"/>
      <c r="O188" s="1174">
        <v>0.93490804699999996</v>
      </c>
      <c r="P188" s="1169"/>
      <c r="Q188" s="599" t="s">
        <v>1773</v>
      </c>
      <c r="R188" s="616">
        <v>110</v>
      </c>
      <c r="S188" s="599"/>
      <c r="T188" s="602"/>
      <c r="U188" s="602"/>
      <c r="V188" s="602"/>
      <c r="W188" s="602"/>
      <c r="X188" s="586"/>
      <c r="Y188" s="586"/>
      <c r="AD188" s="407"/>
      <c r="AE188" s="407"/>
      <c r="AF188" s="407"/>
      <c r="AG188" s="407"/>
      <c r="AH188" s="407"/>
      <c r="AI188" s="407"/>
      <c r="AJ188" s="407"/>
      <c r="AK188" s="407"/>
      <c r="AL188" s="407"/>
    </row>
    <row r="189" spans="1:38" ht="18.95" customHeight="1">
      <c r="A189" s="595"/>
      <c r="B189" s="591"/>
      <c r="C189" s="374" t="s">
        <v>1770</v>
      </c>
      <c r="D189" s="374"/>
      <c r="E189" s="267">
        <v>83</v>
      </c>
      <c r="F189" s="561" t="s">
        <v>1079</v>
      </c>
      <c r="G189" s="267">
        <v>152.9</v>
      </c>
      <c r="H189" s="269">
        <f t="shared" ref="H189:H190" si="113">G189*O189</f>
        <v>142.9474403863</v>
      </c>
      <c r="I189" s="269">
        <f t="shared" ref="I189:I190" si="114">E189*H189</f>
        <v>11864.637552062901</v>
      </c>
      <c r="J189" s="267">
        <v>75</v>
      </c>
      <c r="K189" s="267">
        <f t="shared" ref="K189:K190" si="115">J189*O189</f>
        <v>70.118103524999995</v>
      </c>
      <c r="L189" s="267">
        <f t="shared" si="111"/>
        <v>5819.8025925749998</v>
      </c>
      <c r="M189" s="267">
        <f t="shared" si="112"/>
        <v>17684.440144637902</v>
      </c>
      <c r="N189" s="269"/>
      <c r="O189" s="1174">
        <v>0.93490804699999996</v>
      </c>
      <c r="P189" s="1169"/>
      <c r="Q189" s="599" t="s">
        <v>1773</v>
      </c>
      <c r="R189" s="616">
        <v>152.9</v>
      </c>
      <c r="S189" s="577"/>
      <c r="T189" s="602"/>
      <c r="U189" s="602"/>
      <c r="V189" s="602"/>
      <c r="W189" s="602"/>
      <c r="X189" s="586"/>
      <c r="Y189" s="586"/>
      <c r="AB189" s="408"/>
      <c r="AD189" s="407"/>
      <c r="AE189" s="407"/>
      <c r="AF189" s="407"/>
      <c r="AG189" s="407"/>
      <c r="AH189" s="407"/>
      <c r="AI189" s="407"/>
      <c r="AJ189" s="407"/>
      <c r="AK189" s="407"/>
      <c r="AL189" s="407"/>
    </row>
    <row r="190" spans="1:38" ht="18.95" customHeight="1">
      <c r="A190" s="595"/>
      <c r="B190" s="591"/>
      <c r="C190" s="374" t="s">
        <v>1771</v>
      </c>
      <c r="D190" s="374"/>
      <c r="E190" s="267">
        <v>198</v>
      </c>
      <c r="F190" s="561" t="s">
        <v>1079</v>
      </c>
      <c r="G190" s="267">
        <v>224.4</v>
      </c>
      <c r="H190" s="269">
        <f t="shared" si="113"/>
        <v>209.79336574679999</v>
      </c>
      <c r="I190" s="269">
        <f t="shared" si="114"/>
        <v>41539.086417866398</v>
      </c>
      <c r="J190" s="267">
        <v>120</v>
      </c>
      <c r="K190" s="267">
        <f t="shared" si="115"/>
        <v>112.18896563999999</v>
      </c>
      <c r="L190" s="267">
        <f t="shared" si="111"/>
        <v>22213.415196719998</v>
      </c>
      <c r="M190" s="267">
        <f t="shared" si="112"/>
        <v>63752.501614586392</v>
      </c>
      <c r="N190" s="269"/>
      <c r="O190" s="1174">
        <v>0.93490804699999996</v>
      </c>
      <c r="P190" s="1169"/>
      <c r="Q190" s="599" t="s">
        <v>1773</v>
      </c>
      <c r="R190" s="616">
        <v>224.4</v>
      </c>
      <c r="S190" s="577"/>
      <c r="T190" s="586"/>
      <c r="U190" s="586"/>
      <c r="V190" s="586"/>
      <c r="W190" s="586"/>
      <c r="X190" s="586"/>
      <c r="Y190" s="586"/>
      <c r="AD190" s="407"/>
      <c r="AE190" s="407"/>
      <c r="AF190" s="407"/>
      <c r="AG190" s="407"/>
      <c r="AH190" s="407"/>
      <c r="AI190" s="407"/>
      <c r="AJ190" s="407"/>
      <c r="AK190" s="407"/>
      <c r="AL190" s="407"/>
    </row>
    <row r="191" spans="1:38" ht="18.95" customHeight="1">
      <c r="A191" s="595"/>
      <c r="B191" s="591"/>
      <c r="C191" s="374" t="s">
        <v>1822</v>
      </c>
      <c r="D191" s="374"/>
      <c r="E191" s="267">
        <v>0</v>
      </c>
      <c r="F191" s="561" t="s">
        <v>1079</v>
      </c>
      <c r="G191" s="267">
        <v>471.9</v>
      </c>
      <c r="H191" s="267"/>
      <c r="I191" s="267">
        <f>ROUNDDOWN(E191*G191,2)</f>
        <v>0</v>
      </c>
      <c r="J191" s="267">
        <v>250</v>
      </c>
      <c r="K191" s="267"/>
      <c r="L191" s="267">
        <f t="shared" si="111"/>
        <v>0</v>
      </c>
      <c r="M191" s="267">
        <f t="shared" si="112"/>
        <v>0</v>
      </c>
      <c r="N191" s="269"/>
      <c r="O191" s="1174">
        <v>0.93490804699999996</v>
      </c>
      <c r="P191" s="1169"/>
      <c r="Q191" s="599" t="s">
        <v>1773</v>
      </c>
      <c r="R191" s="616">
        <v>471.9</v>
      </c>
      <c r="S191" s="580"/>
      <c r="T191" s="577"/>
      <c r="U191" s="577"/>
      <c r="V191" s="577"/>
      <c r="W191" s="577"/>
      <c r="X191" s="577"/>
      <c r="Y191" s="577"/>
      <c r="AD191" s="407"/>
      <c r="AE191" s="407"/>
      <c r="AF191" s="407"/>
      <c r="AG191" s="407"/>
      <c r="AH191" s="407"/>
      <c r="AI191" s="407"/>
      <c r="AJ191" s="407"/>
      <c r="AK191" s="407"/>
      <c r="AL191" s="407"/>
    </row>
    <row r="192" spans="1:38" ht="18.95" customHeight="1">
      <c r="A192" s="595"/>
      <c r="B192" s="216"/>
      <c r="C192" s="374" t="s">
        <v>1844</v>
      </c>
      <c r="D192" s="374"/>
      <c r="E192" s="267">
        <v>0</v>
      </c>
      <c r="F192" s="561" t="s">
        <v>1079</v>
      </c>
      <c r="G192" s="267">
        <v>915.2</v>
      </c>
      <c r="H192" s="267"/>
      <c r="I192" s="267">
        <f>ROUNDDOWN(E192*G192,2)</f>
        <v>0</v>
      </c>
      <c r="J192" s="267">
        <v>350</v>
      </c>
      <c r="K192" s="267"/>
      <c r="L192" s="267">
        <f t="shared" si="111"/>
        <v>0</v>
      </c>
      <c r="M192" s="267">
        <f t="shared" si="112"/>
        <v>0</v>
      </c>
      <c r="N192" s="267"/>
      <c r="O192" s="1174">
        <v>0.93490804699999996</v>
      </c>
      <c r="P192" s="1169"/>
      <c r="Q192" s="599" t="s">
        <v>1773</v>
      </c>
      <c r="R192" s="616">
        <v>915.2</v>
      </c>
      <c r="S192" s="599"/>
      <c r="T192" s="586"/>
      <c r="U192" s="583"/>
      <c r="V192" s="583"/>
      <c r="W192" s="583"/>
      <c r="X192" s="583"/>
      <c r="Y192" s="586"/>
      <c r="AD192" s="407"/>
      <c r="AE192" s="407"/>
      <c r="AF192" s="407"/>
      <c r="AG192" s="407"/>
      <c r="AH192" s="407"/>
      <c r="AI192" s="407"/>
      <c r="AJ192" s="407"/>
      <c r="AK192" s="407"/>
      <c r="AL192" s="407"/>
    </row>
    <row r="193" spans="1:38" ht="18.95" customHeight="1">
      <c r="A193" s="595"/>
      <c r="B193" s="216"/>
      <c r="C193" s="374" t="s">
        <v>1845</v>
      </c>
      <c r="D193" s="374"/>
      <c r="E193" s="267">
        <v>0</v>
      </c>
      <c r="F193" s="561" t="s">
        <v>1079</v>
      </c>
      <c r="G193" s="267">
        <v>1434.4</v>
      </c>
      <c r="H193" s="267"/>
      <c r="I193" s="267">
        <f>E193*G193</f>
        <v>0</v>
      </c>
      <c r="J193" s="267">
        <v>400</v>
      </c>
      <c r="K193" s="267"/>
      <c r="L193" s="267">
        <f t="shared" si="111"/>
        <v>0</v>
      </c>
      <c r="M193" s="267">
        <f t="shared" si="112"/>
        <v>0</v>
      </c>
      <c r="N193" s="267"/>
      <c r="O193" s="1174">
        <v>0.93490804699999996</v>
      </c>
      <c r="P193" s="1169"/>
      <c r="Q193" s="599" t="s">
        <v>1773</v>
      </c>
      <c r="R193" s="616">
        <v>1434.4</v>
      </c>
      <c r="S193" s="577"/>
      <c r="T193" s="577"/>
      <c r="U193" s="586"/>
      <c r="V193" s="586"/>
      <c r="W193" s="586"/>
      <c r="X193" s="586"/>
      <c r="Y193" s="577"/>
      <c r="AD193" s="407"/>
      <c r="AE193" s="407"/>
      <c r="AF193" s="407"/>
      <c r="AG193" s="407"/>
      <c r="AH193" s="407"/>
      <c r="AI193" s="407"/>
      <c r="AJ193" s="407"/>
      <c r="AK193" s="407"/>
      <c r="AL193" s="407"/>
    </row>
    <row r="194" spans="1:38" ht="18.95" customHeight="1">
      <c r="A194" s="595"/>
      <c r="B194" s="216"/>
      <c r="C194" s="374" t="s">
        <v>1846</v>
      </c>
      <c r="D194" s="374"/>
      <c r="E194" s="267">
        <v>0</v>
      </c>
      <c r="F194" s="561" t="s">
        <v>1079</v>
      </c>
      <c r="G194" s="267">
        <v>2068</v>
      </c>
      <c r="H194" s="267"/>
      <c r="I194" s="267">
        <f>E194*G194</f>
        <v>0</v>
      </c>
      <c r="J194" s="267">
        <v>450</v>
      </c>
      <c r="K194" s="267"/>
      <c r="L194" s="267">
        <f t="shared" si="111"/>
        <v>0</v>
      </c>
      <c r="M194" s="267">
        <f t="shared" si="112"/>
        <v>0</v>
      </c>
      <c r="N194" s="267"/>
      <c r="O194" s="1174">
        <v>0.93490804699999996</v>
      </c>
      <c r="P194" s="1169"/>
      <c r="Q194" s="599" t="s">
        <v>1773</v>
      </c>
      <c r="R194" s="616">
        <v>2068</v>
      </c>
      <c r="S194" s="577"/>
      <c r="T194" s="586"/>
      <c r="U194" s="586"/>
      <c r="V194" s="586"/>
      <c r="W194" s="586"/>
      <c r="X194" s="586"/>
      <c r="Y194" s="586"/>
      <c r="AD194" s="407"/>
      <c r="AE194" s="407"/>
      <c r="AF194" s="407"/>
      <c r="AG194" s="407"/>
      <c r="AH194" s="407"/>
      <c r="AI194" s="407"/>
      <c r="AJ194" s="407"/>
      <c r="AK194" s="407"/>
      <c r="AL194" s="407"/>
    </row>
    <row r="195" spans="1:38" ht="18.95" customHeight="1">
      <c r="A195" s="595"/>
      <c r="B195" s="216" t="s">
        <v>1847</v>
      </c>
      <c r="C195" s="374" t="s">
        <v>1774</v>
      </c>
      <c r="D195" s="374"/>
      <c r="E195" s="267">
        <v>1</v>
      </c>
      <c r="F195" s="561" t="s">
        <v>1321</v>
      </c>
      <c r="G195" s="267">
        <v>60436</v>
      </c>
      <c r="H195" s="269">
        <f t="shared" ref="H195:H197" si="116">G195*O195</f>
        <v>56502.102728491998</v>
      </c>
      <c r="I195" s="269">
        <f t="shared" ref="I195:I197" si="117">E195*H195</f>
        <v>56502.102728491998</v>
      </c>
      <c r="J195" s="267">
        <v>18131</v>
      </c>
      <c r="K195" s="267">
        <f t="shared" ref="K195:K197" si="118">J195*O195</f>
        <v>16950.817800156998</v>
      </c>
      <c r="L195" s="267">
        <f t="shared" si="111"/>
        <v>16950.817800156998</v>
      </c>
      <c r="M195" s="267">
        <f t="shared" si="112"/>
        <v>73452.920528649003</v>
      </c>
      <c r="N195" s="267"/>
      <c r="O195" s="1174">
        <v>0.93490804699999996</v>
      </c>
      <c r="P195" s="1169"/>
      <c r="Q195" s="599"/>
      <c r="R195" s="577"/>
      <c r="S195" s="577"/>
      <c r="T195" s="586"/>
      <c r="U195" s="586"/>
      <c r="V195" s="586"/>
      <c r="W195" s="586"/>
      <c r="X195" s="586"/>
      <c r="Y195" s="586"/>
      <c r="AD195" s="407"/>
      <c r="AE195" s="407"/>
      <c r="AF195" s="407"/>
      <c r="AG195" s="407"/>
      <c r="AH195" s="407"/>
      <c r="AI195" s="407"/>
      <c r="AJ195" s="407"/>
      <c r="AK195" s="407"/>
      <c r="AL195" s="407"/>
    </row>
    <row r="196" spans="1:38" ht="18.95" customHeight="1">
      <c r="A196" s="595"/>
      <c r="B196" s="216" t="s">
        <v>1848</v>
      </c>
      <c r="C196" s="374" t="s">
        <v>1775</v>
      </c>
      <c r="D196" s="374"/>
      <c r="E196" s="267">
        <v>1</v>
      </c>
      <c r="F196" s="561" t="s">
        <v>1321</v>
      </c>
      <c r="G196" s="267">
        <v>30218</v>
      </c>
      <c r="H196" s="269">
        <f t="shared" si="116"/>
        <v>28251.051364245999</v>
      </c>
      <c r="I196" s="269">
        <f t="shared" si="117"/>
        <v>28251.051364245999</v>
      </c>
      <c r="J196" s="267">
        <v>9066</v>
      </c>
      <c r="K196" s="267">
        <f t="shared" si="118"/>
        <v>8475.8763541019998</v>
      </c>
      <c r="L196" s="267">
        <f t="shared" si="111"/>
        <v>8475.8763541019998</v>
      </c>
      <c r="M196" s="267">
        <f t="shared" si="112"/>
        <v>36726.927718348001</v>
      </c>
      <c r="N196" s="267"/>
      <c r="O196" s="1174">
        <v>0.93490804699999996</v>
      </c>
      <c r="P196" s="1169"/>
      <c r="Q196" s="610"/>
      <c r="R196" s="580"/>
      <c r="S196" s="580"/>
      <c r="T196" s="577"/>
      <c r="U196" s="577"/>
      <c r="V196" s="577"/>
      <c r="W196" s="577"/>
      <c r="X196" s="577"/>
      <c r="Y196" s="577"/>
      <c r="AD196" s="407"/>
      <c r="AE196" s="407"/>
      <c r="AF196" s="407"/>
      <c r="AG196" s="407"/>
      <c r="AH196" s="407"/>
      <c r="AI196" s="407"/>
      <c r="AJ196" s="407"/>
      <c r="AK196" s="407"/>
      <c r="AL196" s="407"/>
    </row>
    <row r="197" spans="1:38" ht="18.95" customHeight="1">
      <c r="A197" s="595"/>
      <c r="B197" s="216" t="s">
        <v>1849</v>
      </c>
      <c r="C197" s="374" t="s">
        <v>1776</v>
      </c>
      <c r="D197" s="374"/>
      <c r="E197" s="267">
        <v>1</v>
      </c>
      <c r="F197" s="561" t="s">
        <v>1321</v>
      </c>
      <c r="G197" s="267">
        <v>15109</v>
      </c>
      <c r="H197" s="269">
        <f t="shared" si="116"/>
        <v>14125.525682123</v>
      </c>
      <c r="I197" s="269">
        <f t="shared" si="117"/>
        <v>14125.525682123</v>
      </c>
      <c r="J197" s="267">
        <v>4533</v>
      </c>
      <c r="K197" s="267">
        <f t="shared" si="118"/>
        <v>4237.9381770509999</v>
      </c>
      <c r="L197" s="267">
        <f t="shared" si="111"/>
        <v>4237.9381770509999</v>
      </c>
      <c r="M197" s="267">
        <f t="shared" si="112"/>
        <v>18363.463859174</v>
      </c>
      <c r="N197" s="269"/>
      <c r="O197" s="1174">
        <v>0.93490804699999996</v>
      </c>
      <c r="P197" s="1169"/>
      <c r="Q197" s="599"/>
      <c r="R197" s="577"/>
      <c r="S197" s="599"/>
      <c r="T197" s="586"/>
      <c r="U197" s="586"/>
      <c r="V197" s="586"/>
      <c r="W197" s="586"/>
      <c r="X197" s="586"/>
      <c r="Y197" s="586"/>
      <c r="AD197" s="407"/>
      <c r="AE197" s="407"/>
      <c r="AF197" s="407"/>
      <c r="AG197" s="407"/>
      <c r="AH197" s="407"/>
      <c r="AI197" s="407"/>
      <c r="AJ197" s="407"/>
      <c r="AK197" s="407"/>
      <c r="AL197" s="407"/>
    </row>
    <row r="198" spans="1:38" ht="18.95" customHeight="1">
      <c r="A198" s="595"/>
      <c r="B198" s="591"/>
      <c r="C198" s="374"/>
      <c r="D198" s="374"/>
      <c r="E198" s="267"/>
      <c r="F198" s="561"/>
      <c r="G198" s="267"/>
      <c r="H198" s="267"/>
      <c r="I198" s="267"/>
      <c r="J198" s="267"/>
      <c r="K198" s="267"/>
      <c r="L198" s="267"/>
      <c r="M198" s="267">
        <f t="shared" si="112"/>
        <v>0</v>
      </c>
      <c r="N198" s="269"/>
      <c r="O198" s="1174">
        <v>0.93490804699999996</v>
      </c>
      <c r="P198" s="1169"/>
      <c r="Q198" s="599"/>
      <c r="R198" s="577"/>
      <c r="S198" s="577"/>
      <c r="T198" s="586"/>
      <c r="U198" s="586"/>
      <c r="V198" s="586"/>
      <c r="W198" s="586"/>
      <c r="X198" s="586"/>
      <c r="Y198" s="586"/>
      <c r="AD198" s="407"/>
      <c r="AE198" s="407"/>
      <c r="AF198" s="407"/>
      <c r="AG198" s="407"/>
      <c r="AH198" s="407"/>
      <c r="AI198" s="407"/>
      <c r="AJ198" s="407"/>
      <c r="AK198" s="407"/>
      <c r="AL198" s="407"/>
    </row>
    <row r="199" spans="1:38" ht="18.95" customHeight="1">
      <c r="A199" s="595"/>
      <c r="B199" s="588" t="s">
        <v>1777</v>
      </c>
      <c r="C199" s="244"/>
      <c r="D199" s="230"/>
      <c r="E199" s="267"/>
      <c r="F199" s="561"/>
      <c r="G199" s="267"/>
      <c r="H199" s="267"/>
      <c r="I199" s="267"/>
      <c r="J199" s="267"/>
      <c r="K199" s="267"/>
      <c r="L199" s="267"/>
      <c r="M199" s="267"/>
      <c r="N199" s="269"/>
      <c r="O199" s="1174">
        <v>0.93490804699999996</v>
      </c>
      <c r="P199" s="1169"/>
      <c r="Q199" s="599"/>
      <c r="R199" s="577"/>
      <c r="S199" s="577"/>
      <c r="T199" s="586"/>
      <c r="U199" s="586"/>
      <c r="V199" s="586"/>
      <c r="W199" s="586"/>
      <c r="X199" s="586"/>
      <c r="Y199" s="586"/>
      <c r="AD199" s="407"/>
      <c r="AE199" s="407"/>
      <c r="AF199" s="407"/>
      <c r="AG199" s="407"/>
      <c r="AH199" s="407"/>
      <c r="AI199" s="407"/>
      <c r="AJ199" s="407"/>
      <c r="AK199" s="407"/>
      <c r="AL199" s="407"/>
    </row>
    <row r="200" spans="1:38" ht="18.95" customHeight="1">
      <c r="A200" s="595"/>
      <c r="B200" s="590">
        <v>4.7</v>
      </c>
      <c r="C200" s="374" t="s">
        <v>1850</v>
      </c>
      <c r="D200" s="374"/>
      <c r="E200" s="267"/>
      <c r="F200" s="561"/>
      <c r="G200" s="267"/>
      <c r="H200" s="267"/>
      <c r="I200" s="267"/>
      <c r="J200" s="267"/>
      <c r="K200" s="267"/>
      <c r="L200" s="267"/>
      <c r="M200" s="267"/>
      <c r="N200" s="269"/>
      <c r="O200" s="1174">
        <v>0.93490804699999996</v>
      </c>
      <c r="P200" s="1169"/>
      <c r="Q200" s="577"/>
      <c r="R200" s="577"/>
      <c r="S200" s="592"/>
      <c r="T200" s="577"/>
      <c r="U200" s="586"/>
      <c r="V200" s="586"/>
      <c r="W200" s="586"/>
      <c r="X200" s="577"/>
      <c r="Y200" s="577"/>
      <c r="AD200" s="407"/>
      <c r="AE200" s="407"/>
      <c r="AF200" s="407"/>
      <c r="AG200" s="407"/>
      <c r="AH200" s="407"/>
      <c r="AI200" s="407"/>
      <c r="AJ200" s="407"/>
      <c r="AK200" s="407"/>
      <c r="AL200" s="407"/>
    </row>
    <row r="201" spans="1:38" ht="18.95" customHeight="1">
      <c r="A201" s="595"/>
      <c r="B201" s="591"/>
      <c r="C201" s="374" t="s">
        <v>1779</v>
      </c>
      <c r="D201" s="374"/>
      <c r="E201" s="267">
        <v>8</v>
      </c>
      <c r="F201" s="561" t="s">
        <v>402</v>
      </c>
      <c r="G201" s="267">
        <v>928</v>
      </c>
      <c r="H201" s="269">
        <f t="shared" ref="H201:H202" si="119">G201*O201</f>
        <v>867.59466761599992</v>
      </c>
      <c r="I201" s="269">
        <f t="shared" ref="I201:I203" si="120">E201*H201</f>
        <v>6940.7573409279994</v>
      </c>
      <c r="J201" s="267">
        <v>300</v>
      </c>
      <c r="K201" s="267">
        <f t="shared" ref="K201:K211" si="121">J201*O201</f>
        <v>280.47241409999998</v>
      </c>
      <c r="L201" s="267">
        <f t="shared" ref="L201:L202" si="122">E201*K201</f>
        <v>2243.7793127999998</v>
      </c>
      <c r="M201" s="267">
        <f>I201+L201</f>
        <v>9184.5366537279988</v>
      </c>
      <c r="N201" s="269"/>
      <c r="O201" s="1174">
        <v>0.93490804699999996</v>
      </c>
      <c r="P201" s="1169"/>
      <c r="Q201" s="602"/>
      <c r="R201" s="577"/>
      <c r="S201" s="602"/>
      <c r="T201" s="583"/>
      <c r="U201" s="577"/>
      <c r="V201" s="577"/>
      <c r="W201" s="577"/>
      <c r="X201" s="577"/>
      <c r="Y201" s="577"/>
      <c r="AD201" s="407"/>
      <c r="AE201" s="407"/>
      <c r="AF201" s="407"/>
      <c r="AG201" s="407"/>
      <c r="AH201" s="407"/>
      <c r="AI201" s="407"/>
      <c r="AJ201" s="407"/>
      <c r="AK201" s="407"/>
      <c r="AL201" s="407"/>
    </row>
    <row r="202" spans="1:38" ht="18.95" customHeight="1">
      <c r="A202" s="595"/>
      <c r="B202" s="591"/>
      <c r="C202" s="374" t="s">
        <v>1780</v>
      </c>
      <c r="D202" s="374"/>
      <c r="E202" s="267">
        <v>16</v>
      </c>
      <c r="F202" s="561" t="s">
        <v>402</v>
      </c>
      <c r="G202" s="267">
        <v>944</v>
      </c>
      <c r="H202" s="269">
        <f t="shared" si="119"/>
        <v>882.55319636799993</v>
      </c>
      <c r="I202" s="269">
        <f t="shared" si="120"/>
        <v>14120.851141887999</v>
      </c>
      <c r="J202" s="267">
        <v>400</v>
      </c>
      <c r="K202" s="267">
        <f t="shared" si="121"/>
        <v>373.96321879999999</v>
      </c>
      <c r="L202" s="267">
        <f t="shared" si="122"/>
        <v>5983.4115007999999</v>
      </c>
      <c r="M202" s="267">
        <f>I202+L202</f>
        <v>20104.262642687998</v>
      </c>
      <c r="N202" s="269"/>
      <c r="O202" s="1174">
        <v>0.93490804699999996</v>
      </c>
      <c r="P202" s="1169"/>
      <c r="Q202" s="602"/>
      <c r="R202" s="602"/>
      <c r="S202" s="602"/>
      <c r="T202" s="583"/>
      <c r="U202" s="580"/>
      <c r="V202" s="577"/>
      <c r="W202" s="577"/>
      <c r="X202" s="577"/>
      <c r="Y202" s="577"/>
      <c r="AD202" s="407"/>
      <c r="AE202" s="407"/>
      <c r="AF202" s="407"/>
      <c r="AG202" s="407"/>
      <c r="AH202" s="407"/>
      <c r="AI202" s="407"/>
      <c r="AJ202" s="407"/>
      <c r="AK202" s="407"/>
      <c r="AL202" s="407"/>
    </row>
    <row r="203" spans="1:38" ht="18.95" customHeight="1">
      <c r="A203" s="595"/>
      <c r="B203" s="591"/>
      <c r="C203" s="374" t="s">
        <v>1816</v>
      </c>
      <c r="D203" s="374"/>
      <c r="E203" s="267">
        <v>0</v>
      </c>
      <c r="F203" s="561" t="s">
        <v>402</v>
      </c>
      <c r="G203" s="267">
        <v>2530</v>
      </c>
      <c r="H203" s="267"/>
      <c r="I203" s="269">
        <f t="shared" si="120"/>
        <v>0</v>
      </c>
      <c r="J203" s="267">
        <v>600</v>
      </c>
      <c r="K203" s="267">
        <f t="shared" si="121"/>
        <v>560.94482819999996</v>
      </c>
      <c r="L203" s="267">
        <f>ROUNDDOWN(E203*J203,2)</f>
        <v>0</v>
      </c>
      <c r="M203" s="267">
        <f>I203+L203</f>
        <v>0</v>
      </c>
      <c r="N203" s="269"/>
      <c r="O203" s="1174">
        <v>0.93490804699999996</v>
      </c>
      <c r="P203" s="1169"/>
      <c r="Q203" s="602"/>
      <c r="R203" s="602"/>
      <c r="S203" s="602"/>
      <c r="T203" s="609"/>
      <c r="U203" s="580"/>
      <c r="V203" s="577"/>
      <c r="W203" s="577"/>
      <c r="X203" s="577"/>
      <c r="Y203" s="577"/>
      <c r="AD203" s="407"/>
      <c r="AE203" s="407"/>
      <c r="AF203" s="407"/>
      <c r="AG203" s="407"/>
      <c r="AH203" s="407"/>
      <c r="AI203" s="407"/>
      <c r="AJ203" s="407"/>
      <c r="AK203" s="407"/>
      <c r="AL203" s="407"/>
    </row>
    <row r="204" spans="1:38" ht="18.95" customHeight="1">
      <c r="A204" s="595"/>
      <c r="B204" s="591"/>
      <c r="C204" s="374" t="s">
        <v>1833</v>
      </c>
      <c r="D204" s="374"/>
      <c r="E204" s="267">
        <v>0</v>
      </c>
      <c r="F204" s="561" t="s">
        <v>402</v>
      </c>
      <c r="G204" s="267">
        <v>3245</v>
      </c>
      <c r="H204" s="267"/>
      <c r="I204" s="267">
        <f>ROUNDDOWN(E204*G204,2)</f>
        <v>0</v>
      </c>
      <c r="J204" s="267">
        <v>800</v>
      </c>
      <c r="K204" s="267">
        <f t="shared" si="121"/>
        <v>747.92643759999999</v>
      </c>
      <c r="L204" s="267">
        <f>ROUNDDOWN(E204*J204,2)</f>
        <v>0</v>
      </c>
      <c r="M204" s="267">
        <f>I204+L204</f>
        <v>0</v>
      </c>
      <c r="N204" s="269"/>
      <c r="O204" s="1174">
        <v>0.93490804699999996</v>
      </c>
      <c r="P204" s="1169"/>
      <c r="Q204" s="599"/>
      <c r="R204" s="583"/>
      <c r="S204" s="583"/>
      <c r="T204" s="579"/>
      <c r="U204" s="580"/>
      <c r="V204" s="577"/>
      <c r="W204" s="577"/>
      <c r="X204" s="577"/>
      <c r="Y204" s="577"/>
      <c r="AD204" s="407"/>
      <c r="AE204" s="407"/>
      <c r="AF204" s="407"/>
      <c r="AG204" s="407"/>
      <c r="AH204" s="407"/>
      <c r="AI204" s="407"/>
      <c r="AJ204" s="407"/>
      <c r="AK204" s="407"/>
      <c r="AL204" s="407"/>
    </row>
    <row r="205" spans="1:38" ht="18.95" customHeight="1">
      <c r="A205" s="595"/>
      <c r="B205" s="590">
        <v>4.8</v>
      </c>
      <c r="C205" s="374" t="s">
        <v>1851</v>
      </c>
      <c r="D205" s="374"/>
      <c r="E205" s="267"/>
      <c r="F205" s="561"/>
      <c r="G205" s="267"/>
      <c r="H205" s="267"/>
      <c r="I205" s="267"/>
      <c r="J205" s="267"/>
      <c r="K205" s="267"/>
      <c r="L205" s="267"/>
      <c r="M205" s="267"/>
      <c r="N205" s="269"/>
      <c r="O205" s="1174">
        <v>0.93490804699999996</v>
      </c>
      <c r="P205" s="1169"/>
      <c r="Q205" s="599"/>
      <c r="R205" s="583"/>
      <c r="S205" s="583"/>
      <c r="T205" s="579"/>
      <c r="U205" s="580"/>
      <c r="V205" s="577"/>
      <c r="W205" s="577"/>
      <c r="X205" s="577"/>
      <c r="Y205" s="577"/>
      <c r="AD205" s="407"/>
      <c r="AE205" s="407"/>
      <c r="AF205" s="407"/>
      <c r="AG205" s="407"/>
      <c r="AH205" s="407"/>
      <c r="AI205" s="407"/>
      <c r="AJ205" s="407"/>
      <c r="AK205" s="407"/>
      <c r="AL205" s="407"/>
    </row>
    <row r="206" spans="1:38" ht="18.95" customHeight="1">
      <c r="A206" s="595"/>
      <c r="B206" s="591"/>
      <c r="C206" s="374" t="s">
        <v>1779</v>
      </c>
      <c r="D206" s="374"/>
      <c r="E206" s="267">
        <v>7</v>
      </c>
      <c r="F206" s="561" t="s">
        <v>402</v>
      </c>
      <c r="G206" s="267">
        <v>816</v>
      </c>
      <c r="H206" s="269">
        <f t="shared" ref="H206" si="123">G206*O206</f>
        <v>762.88496635199999</v>
      </c>
      <c r="I206" s="269">
        <f t="shared" ref="I206:I208" si="124">E206*H206</f>
        <v>5340.1947644640004</v>
      </c>
      <c r="J206" s="267">
        <v>300</v>
      </c>
      <c r="K206" s="267">
        <f t="shared" si="121"/>
        <v>280.47241409999998</v>
      </c>
      <c r="L206" s="267">
        <f t="shared" ref="L206" si="125">E206*K206</f>
        <v>1963.3068986999999</v>
      </c>
      <c r="M206" s="267">
        <f>I206+L206</f>
        <v>7303.5016631640001</v>
      </c>
      <c r="N206" s="269"/>
      <c r="O206" s="1174">
        <v>0.93490804699999996</v>
      </c>
      <c r="P206" s="1169"/>
      <c r="Q206" s="602"/>
      <c r="R206" s="597"/>
      <c r="S206" s="602"/>
      <c r="T206" s="579"/>
      <c r="U206" s="580"/>
      <c r="V206" s="577"/>
      <c r="W206" s="577"/>
      <c r="X206" s="577"/>
      <c r="Y206" s="577"/>
      <c r="AD206" s="407"/>
      <c r="AE206" s="407"/>
      <c r="AF206" s="407"/>
      <c r="AG206" s="407"/>
      <c r="AH206" s="407"/>
      <c r="AI206" s="407"/>
      <c r="AJ206" s="407"/>
      <c r="AK206" s="407"/>
      <c r="AL206" s="407"/>
    </row>
    <row r="207" spans="1:38" ht="18.95" customHeight="1">
      <c r="A207" s="595"/>
      <c r="B207" s="591"/>
      <c r="C207" s="374" t="s">
        <v>1780</v>
      </c>
      <c r="D207" s="374"/>
      <c r="E207" s="267">
        <v>0</v>
      </c>
      <c r="F207" s="561" t="s">
        <v>402</v>
      </c>
      <c r="G207" s="267">
        <v>2068</v>
      </c>
      <c r="H207" s="267"/>
      <c r="I207" s="269">
        <f t="shared" si="124"/>
        <v>0</v>
      </c>
      <c r="J207" s="267">
        <v>400</v>
      </c>
      <c r="K207" s="267">
        <f t="shared" si="121"/>
        <v>373.96321879999999</v>
      </c>
      <c r="L207" s="267">
        <f>ROUNDDOWN(E207*J207,2)</f>
        <v>0</v>
      </c>
      <c r="M207" s="267">
        <f>I207+L207</f>
        <v>0</v>
      </c>
      <c r="N207" s="269"/>
      <c r="O207" s="1174">
        <v>0.93490804699999996</v>
      </c>
      <c r="P207" s="1168"/>
      <c r="Q207" s="602"/>
      <c r="R207" s="597"/>
      <c r="S207" s="602"/>
      <c r="T207" s="579"/>
      <c r="U207" s="580"/>
      <c r="V207" s="577"/>
      <c r="W207" s="577"/>
      <c r="X207" s="577"/>
      <c r="Y207" s="577"/>
    </row>
    <row r="208" spans="1:38" ht="18.95" customHeight="1">
      <c r="A208" s="595"/>
      <c r="B208" s="590">
        <v>4.9000000000000004</v>
      </c>
      <c r="C208" s="374" t="s">
        <v>1852</v>
      </c>
      <c r="D208" s="374"/>
      <c r="E208" s="267"/>
      <c r="F208" s="561"/>
      <c r="G208" s="267"/>
      <c r="H208" s="267"/>
      <c r="I208" s="269">
        <f t="shared" si="124"/>
        <v>0</v>
      </c>
      <c r="J208" s="267"/>
      <c r="K208" s="267"/>
      <c r="L208" s="267"/>
      <c r="M208" s="267"/>
      <c r="N208" s="269"/>
      <c r="O208" s="1174">
        <v>0.93490804699999996</v>
      </c>
      <c r="P208" s="1168"/>
      <c r="Q208" s="599"/>
      <c r="R208" s="583"/>
      <c r="S208" s="583"/>
      <c r="T208" s="579"/>
      <c r="U208" s="580"/>
      <c r="V208" s="577"/>
      <c r="W208" s="577"/>
      <c r="X208" s="577"/>
      <c r="Y208" s="577"/>
    </row>
    <row r="209" spans="1:25" ht="18.95" customHeight="1">
      <c r="A209" s="595"/>
      <c r="B209" s="613"/>
      <c r="C209" s="374" t="s">
        <v>1788</v>
      </c>
      <c r="D209" s="374"/>
      <c r="E209" s="267">
        <v>0</v>
      </c>
      <c r="F209" s="561" t="s">
        <v>402</v>
      </c>
      <c r="G209" s="267">
        <v>1782</v>
      </c>
      <c r="H209" s="267"/>
      <c r="I209" s="267">
        <f t="shared" ref="I209:I215" si="126">ROUNDDOWN(E209*G209,2)</f>
        <v>0</v>
      </c>
      <c r="J209" s="267">
        <v>125</v>
      </c>
      <c r="K209" s="267">
        <f t="shared" si="121"/>
        <v>116.863505875</v>
      </c>
      <c r="L209" s="267">
        <f t="shared" ref="L209:L215" si="127">ROUNDDOWN(E209*J209,2)</f>
        <v>0</v>
      </c>
      <c r="M209" s="267">
        <f t="shared" ref="M209:M215" si="128">I209+L209</f>
        <v>0</v>
      </c>
      <c r="N209" s="269"/>
      <c r="O209" s="1174">
        <v>0.93490804699999996</v>
      </c>
      <c r="P209" s="1168"/>
      <c r="Q209" s="599"/>
      <c r="R209" s="583"/>
      <c r="S209" s="583"/>
      <c r="T209" s="579"/>
      <c r="U209" s="580"/>
      <c r="V209" s="577"/>
      <c r="W209" s="577"/>
      <c r="X209" s="577"/>
      <c r="Y209" s="577"/>
    </row>
    <row r="210" spans="1:25" ht="18.95" customHeight="1">
      <c r="A210" s="595"/>
      <c r="B210" s="613"/>
      <c r="C210" s="374" t="s">
        <v>1779</v>
      </c>
      <c r="D210" s="374"/>
      <c r="E210" s="267">
        <v>2</v>
      </c>
      <c r="F210" s="561" t="s">
        <v>402</v>
      </c>
      <c r="G210" s="267">
        <v>2583</v>
      </c>
      <c r="H210" s="269">
        <f t="shared" ref="H210:H211" si="129">G210*O210</f>
        <v>2414.8674854010001</v>
      </c>
      <c r="I210" s="269">
        <f t="shared" ref="I210:I212" si="130">E210*H210</f>
        <v>4829.7349708020001</v>
      </c>
      <c r="J210" s="267">
        <v>150</v>
      </c>
      <c r="K210" s="267">
        <f t="shared" si="121"/>
        <v>140.23620704999999</v>
      </c>
      <c r="L210" s="267">
        <f t="shared" ref="L210:L211" si="131">E210*K210</f>
        <v>280.47241409999998</v>
      </c>
      <c r="M210" s="267">
        <f t="shared" si="128"/>
        <v>5110.2073849019998</v>
      </c>
      <c r="N210" s="269"/>
      <c r="O210" s="1174">
        <v>0.93490804699999996</v>
      </c>
      <c r="P210" s="1168"/>
      <c r="Q210" s="583"/>
      <c r="R210" s="583"/>
      <c r="S210" s="583"/>
      <c r="T210" s="579"/>
      <c r="U210" s="580"/>
      <c r="V210" s="577"/>
      <c r="W210" s="577"/>
      <c r="X210" s="577"/>
      <c r="Y210" s="577"/>
    </row>
    <row r="211" spans="1:25" ht="18.95" customHeight="1">
      <c r="A211" s="595"/>
      <c r="B211" s="613"/>
      <c r="C211" s="374" t="s">
        <v>1780</v>
      </c>
      <c r="D211" s="374"/>
      <c r="E211" s="267">
        <v>20</v>
      </c>
      <c r="F211" s="561" t="s">
        <v>402</v>
      </c>
      <c r="G211" s="267">
        <v>3100</v>
      </c>
      <c r="H211" s="269">
        <f t="shared" si="129"/>
        <v>2898.2149457</v>
      </c>
      <c r="I211" s="269">
        <f t="shared" si="130"/>
        <v>57964.298913999999</v>
      </c>
      <c r="J211" s="267">
        <v>200</v>
      </c>
      <c r="K211" s="267">
        <f t="shared" si="121"/>
        <v>186.9816094</v>
      </c>
      <c r="L211" s="267">
        <f t="shared" si="131"/>
        <v>3739.632188</v>
      </c>
      <c r="M211" s="267">
        <f t="shared" si="128"/>
        <v>61703.931102000002</v>
      </c>
      <c r="N211" s="269"/>
      <c r="O211" s="1174">
        <v>0.93490804699999996</v>
      </c>
      <c r="P211" s="1168"/>
      <c r="Q211" s="583"/>
      <c r="R211" s="583"/>
      <c r="S211" s="583"/>
      <c r="T211" s="579"/>
      <c r="U211" s="580"/>
      <c r="V211" s="577"/>
      <c r="W211" s="577"/>
      <c r="X211" s="577"/>
      <c r="Y211" s="577"/>
    </row>
    <row r="212" spans="1:25" ht="18.95" customHeight="1">
      <c r="A212" s="595"/>
      <c r="B212" s="613"/>
      <c r="C212" s="374" t="s">
        <v>1816</v>
      </c>
      <c r="D212" s="374"/>
      <c r="E212" s="267">
        <v>0</v>
      </c>
      <c r="F212" s="561" t="s">
        <v>402</v>
      </c>
      <c r="G212" s="267">
        <v>4290</v>
      </c>
      <c r="H212" s="267"/>
      <c r="I212" s="269">
        <f t="shared" si="130"/>
        <v>0</v>
      </c>
      <c r="J212" s="267">
        <v>300</v>
      </c>
      <c r="K212" s="267"/>
      <c r="L212" s="267">
        <f t="shared" si="127"/>
        <v>0</v>
      </c>
      <c r="M212" s="267">
        <f t="shared" si="128"/>
        <v>0</v>
      </c>
      <c r="N212" s="269"/>
      <c r="O212" s="1174">
        <v>0.93490804699999996</v>
      </c>
      <c r="P212" s="1168"/>
      <c r="Q212" s="599"/>
      <c r="R212" s="583"/>
      <c r="S212" s="583"/>
      <c r="T212" s="579"/>
      <c r="U212" s="580"/>
      <c r="V212" s="577"/>
      <c r="W212" s="577"/>
      <c r="X212" s="577"/>
      <c r="Y212" s="577"/>
    </row>
    <row r="213" spans="1:25" ht="18.95" customHeight="1">
      <c r="A213" s="595"/>
      <c r="B213" s="613"/>
      <c r="C213" s="374" t="s">
        <v>1840</v>
      </c>
      <c r="D213" s="374"/>
      <c r="E213" s="267">
        <v>0</v>
      </c>
      <c r="F213" s="561" t="s">
        <v>402</v>
      </c>
      <c r="G213" s="267">
        <v>6050</v>
      </c>
      <c r="H213" s="267"/>
      <c r="I213" s="267">
        <f t="shared" si="126"/>
        <v>0</v>
      </c>
      <c r="J213" s="267">
        <v>400</v>
      </c>
      <c r="K213" s="267"/>
      <c r="L213" s="267">
        <f t="shared" si="127"/>
        <v>0</v>
      </c>
      <c r="M213" s="267">
        <f t="shared" si="128"/>
        <v>0</v>
      </c>
      <c r="N213" s="269"/>
      <c r="O213" s="1174">
        <v>0.93490804699999996</v>
      </c>
      <c r="P213" s="1168"/>
      <c r="Q213" s="599"/>
      <c r="R213" s="583"/>
      <c r="S213" s="583"/>
      <c r="T213" s="579"/>
      <c r="U213" s="580"/>
      <c r="V213" s="577"/>
      <c r="W213" s="577"/>
      <c r="X213" s="577"/>
      <c r="Y213" s="577"/>
    </row>
    <row r="214" spans="1:25" ht="18.95" customHeight="1">
      <c r="A214" s="595"/>
      <c r="B214" s="613"/>
      <c r="C214" s="374" t="s">
        <v>1841</v>
      </c>
      <c r="D214" s="374"/>
      <c r="E214" s="267">
        <v>0</v>
      </c>
      <c r="F214" s="561" t="s">
        <v>402</v>
      </c>
      <c r="G214" s="267">
        <v>7425</v>
      </c>
      <c r="H214" s="267"/>
      <c r="I214" s="267">
        <f t="shared" si="126"/>
        <v>0</v>
      </c>
      <c r="J214" s="267">
        <v>500</v>
      </c>
      <c r="K214" s="267"/>
      <c r="L214" s="267">
        <f t="shared" si="127"/>
        <v>0</v>
      </c>
      <c r="M214" s="267">
        <f t="shared" si="128"/>
        <v>0</v>
      </c>
      <c r="N214" s="269"/>
      <c r="O214" s="1174">
        <v>0.93490804699999996</v>
      </c>
      <c r="P214" s="1168"/>
      <c r="Q214" s="599"/>
      <c r="R214" s="583"/>
      <c r="S214" s="583"/>
      <c r="T214" s="579"/>
      <c r="U214" s="580"/>
      <c r="V214" s="577"/>
      <c r="W214" s="577"/>
      <c r="X214" s="577"/>
      <c r="Y214" s="577"/>
    </row>
    <row r="215" spans="1:25" ht="18.95" customHeight="1">
      <c r="A215" s="595"/>
      <c r="B215" s="613"/>
      <c r="C215" s="374" t="s">
        <v>1842</v>
      </c>
      <c r="D215" s="374"/>
      <c r="E215" s="267">
        <v>0</v>
      </c>
      <c r="F215" s="561" t="s">
        <v>402</v>
      </c>
      <c r="G215" s="267">
        <v>8690</v>
      </c>
      <c r="H215" s="267"/>
      <c r="I215" s="267">
        <f t="shared" si="126"/>
        <v>0</v>
      </c>
      <c r="J215" s="267">
        <v>600</v>
      </c>
      <c r="K215" s="267"/>
      <c r="L215" s="267">
        <f t="shared" si="127"/>
        <v>0</v>
      </c>
      <c r="M215" s="267">
        <f t="shared" si="128"/>
        <v>0</v>
      </c>
      <c r="N215" s="269"/>
      <c r="O215" s="1174">
        <v>0.93490804699999996</v>
      </c>
      <c r="P215" s="1168"/>
      <c r="Q215" s="599"/>
      <c r="R215" s="583"/>
      <c r="S215" s="583"/>
      <c r="T215" s="579"/>
      <c r="U215" s="580"/>
      <c r="V215" s="577"/>
      <c r="W215" s="577"/>
      <c r="X215" s="577"/>
      <c r="Y215" s="577"/>
    </row>
    <row r="216" spans="1:25" ht="18.95" customHeight="1">
      <c r="A216" s="204"/>
      <c r="B216" s="1345" t="s">
        <v>1220</v>
      </c>
      <c r="C216" s="1346"/>
      <c r="D216" s="1346"/>
      <c r="E216" s="271"/>
      <c r="F216" s="339"/>
      <c r="G216" s="271"/>
      <c r="H216" s="271"/>
      <c r="I216" s="271">
        <f>SUM(I178:I215)</f>
        <v>329327.81042127428</v>
      </c>
      <c r="J216" s="271"/>
      <c r="K216" s="271"/>
      <c r="L216" s="271">
        <f>SUM(L178:L215)</f>
        <v>91980.928204094991</v>
      </c>
      <c r="M216" s="271">
        <f>SUM(M178:M215)</f>
        <v>421308.73862536927</v>
      </c>
      <c r="N216" s="269"/>
      <c r="O216" s="1174">
        <v>0.93490804699999996</v>
      </c>
      <c r="P216" s="1168"/>
      <c r="Q216" s="599"/>
      <c r="R216" s="583"/>
      <c r="S216" s="583"/>
      <c r="T216" s="579"/>
      <c r="U216" s="580"/>
      <c r="V216" s="577"/>
      <c r="W216" s="577"/>
      <c r="X216" s="577"/>
      <c r="Y216" s="577"/>
    </row>
    <row r="217" spans="1:25" ht="18.95" customHeight="1">
      <c r="A217" s="139"/>
      <c r="B217" s="422"/>
      <c r="C217" s="451"/>
      <c r="D217" s="451"/>
      <c r="E217" s="271"/>
      <c r="F217" s="339"/>
      <c r="G217" s="271"/>
      <c r="H217" s="271"/>
      <c r="I217" s="271"/>
      <c r="J217" s="271"/>
      <c r="K217" s="271"/>
      <c r="L217" s="271"/>
      <c r="M217" s="271"/>
      <c r="N217" s="269"/>
      <c r="O217" s="1174">
        <v>0.93490804699999996</v>
      </c>
      <c r="P217" s="1168"/>
      <c r="Q217" s="599"/>
      <c r="R217" s="583"/>
      <c r="S217" s="583"/>
      <c r="T217" s="579"/>
      <c r="U217" s="580"/>
      <c r="V217" s="577"/>
      <c r="W217" s="577"/>
      <c r="X217" s="577"/>
      <c r="Y217" s="577"/>
    </row>
    <row r="218" spans="1:25" ht="18.95" customHeight="1">
      <c r="A218" s="139"/>
      <c r="B218" s="422"/>
      <c r="C218" s="451"/>
      <c r="D218" s="451"/>
      <c r="E218" s="271"/>
      <c r="F218" s="339"/>
      <c r="G218" s="271"/>
      <c r="H218" s="271"/>
      <c r="I218" s="271"/>
      <c r="J218" s="271"/>
      <c r="K218" s="271"/>
      <c r="L218" s="271"/>
      <c r="M218" s="271"/>
      <c r="N218" s="269"/>
      <c r="O218" s="1174">
        <v>0.93490804699999996</v>
      </c>
      <c r="P218" s="1168"/>
      <c r="Q218" s="599"/>
      <c r="R218" s="583"/>
      <c r="S218" s="583"/>
      <c r="T218" s="579"/>
      <c r="U218" s="580"/>
      <c r="V218" s="577"/>
      <c r="W218" s="577"/>
      <c r="X218" s="577"/>
      <c r="Y218" s="577"/>
    </row>
    <row r="219" spans="1:25" ht="18.95" customHeight="1">
      <c r="A219" s="139"/>
      <c r="B219" s="422"/>
      <c r="C219" s="451"/>
      <c r="D219" s="451"/>
      <c r="E219" s="271"/>
      <c r="F219" s="339"/>
      <c r="G219" s="271"/>
      <c r="H219" s="271"/>
      <c r="I219" s="271"/>
      <c r="J219" s="271"/>
      <c r="K219" s="271"/>
      <c r="L219" s="271"/>
      <c r="M219" s="271"/>
      <c r="N219" s="269"/>
      <c r="O219" s="1174">
        <v>0.93490804699999996</v>
      </c>
      <c r="P219" s="1168"/>
      <c r="Q219" s="599"/>
      <c r="R219" s="583"/>
      <c r="S219" s="583"/>
      <c r="T219" s="579"/>
      <c r="U219" s="580"/>
      <c r="V219" s="577"/>
      <c r="W219" s="577"/>
      <c r="X219" s="577"/>
      <c r="Y219" s="577"/>
    </row>
    <row r="220" spans="1:25" ht="18.95" customHeight="1">
      <c r="A220" s="139"/>
      <c r="B220" s="422"/>
      <c r="C220" s="451"/>
      <c r="D220" s="451"/>
      <c r="E220" s="271"/>
      <c r="F220" s="339"/>
      <c r="G220" s="271"/>
      <c r="H220" s="271"/>
      <c r="I220" s="271"/>
      <c r="J220" s="271"/>
      <c r="K220" s="271"/>
      <c r="L220" s="271"/>
      <c r="M220" s="271"/>
      <c r="N220" s="269"/>
      <c r="O220" s="1174">
        <v>0.93490804699999996</v>
      </c>
      <c r="P220" s="1168"/>
      <c r="Q220" s="599"/>
      <c r="R220" s="583"/>
      <c r="S220" s="583"/>
      <c r="T220" s="579"/>
      <c r="U220" s="580"/>
      <c r="V220" s="577"/>
      <c r="W220" s="577"/>
      <c r="X220" s="577"/>
      <c r="Y220" s="577"/>
    </row>
    <row r="221" spans="1:25" ht="18.95" customHeight="1">
      <c r="A221" s="595"/>
      <c r="B221" s="603"/>
      <c r="C221" s="374"/>
      <c r="D221" s="374"/>
      <c r="E221" s="267"/>
      <c r="F221" s="561"/>
      <c r="G221" s="269"/>
      <c r="H221" s="269"/>
      <c r="I221" s="269"/>
      <c r="J221" s="267"/>
      <c r="K221" s="267"/>
      <c r="L221" s="267"/>
      <c r="M221" s="269"/>
      <c r="N221" s="269"/>
      <c r="O221" s="1174">
        <v>0.93490804699999996</v>
      </c>
      <c r="P221" s="1168"/>
      <c r="Q221" s="599"/>
      <c r="R221" s="583"/>
      <c r="S221" s="583"/>
      <c r="T221" s="579"/>
      <c r="U221" s="580"/>
      <c r="V221" s="577"/>
      <c r="W221" s="577"/>
      <c r="X221" s="577"/>
      <c r="Y221" s="577"/>
    </row>
    <row r="222" spans="1:25" ht="18.95" customHeight="1">
      <c r="A222" s="604">
        <v>5</v>
      </c>
      <c r="B222" s="588" t="s">
        <v>1753</v>
      </c>
      <c r="C222" s="605"/>
      <c r="D222" s="374"/>
      <c r="E222" s="267"/>
      <c r="F222" s="561"/>
      <c r="G222" s="267"/>
      <c r="H222" s="267"/>
      <c r="I222" s="267"/>
      <c r="J222" s="267"/>
      <c r="K222" s="267"/>
      <c r="L222" s="267"/>
      <c r="M222" s="267"/>
      <c r="N222" s="269"/>
      <c r="O222" s="1174">
        <v>0.93490804699999996</v>
      </c>
      <c r="P222" s="1168"/>
      <c r="Q222" s="599"/>
      <c r="R222" s="583"/>
      <c r="S222" s="583"/>
      <c r="T222" s="579"/>
      <c r="U222" s="580"/>
      <c r="V222" s="577"/>
      <c r="W222" s="577"/>
      <c r="X222" s="577"/>
      <c r="Y222" s="577"/>
    </row>
    <row r="223" spans="1:25" ht="18.95" customHeight="1">
      <c r="A223" s="604"/>
      <c r="B223" s="588"/>
      <c r="C223" s="605"/>
      <c r="D223" s="374"/>
      <c r="E223" s="267"/>
      <c r="F223" s="561"/>
      <c r="G223" s="267"/>
      <c r="H223" s="267"/>
      <c r="I223" s="267"/>
      <c r="J223" s="267"/>
      <c r="K223" s="267"/>
      <c r="L223" s="267"/>
      <c r="M223" s="267"/>
      <c r="N223" s="269"/>
      <c r="O223" s="1174">
        <v>0.93490804699999996</v>
      </c>
      <c r="P223" s="1168"/>
      <c r="Q223" s="599"/>
      <c r="R223" s="583"/>
      <c r="S223" s="583"/>
      <c r="T223" s="579"/>
      <c r="U223" s="580"/>
      <c r="V223" s="577"/>
      <c r="W223" s="577"/>
      <c r="X223" s="577"/>
      <c r="Y223" s="577"/>
    </row>
    <row r="224" spans="1:25" ht="18.95" customHeight="1">
      <c r="A224" s="154"/>
      <c r="B224" s="588" t="s">
        <v>1760</v>
      </c>
      <c r="C224" s="244"/>
      <c r="D224" s="230"/>
      <c r="E224" s="267"/>
      <c r="F224" s="561"/>
      <c r="G224" s="269"/>
      <c r="H224" s="269"/>
      <c r="I224" s="269"/>
      <c r="J224" s="267"/>
      <c r="K224" s="267"/>
      <c r="L224" s="267"/>
      <c r="M224" s="267"/>
      <c r="N224" s="267"/>
      <c r="O224" s="1174">
        <v>0.93490804699999996</v>
      </c>
      <c r="P224" s="1168"/>
      <c r="Q224" s="599"/>
      <c r="R224" s="577"/>
      <c r="S224" s="577"/>
      <c r="T224" s="577"/>
      <c r="U224" s="577"/>
      <c r="V224" s="577"/>
      <c r="W224" s="577"/>
      <c r="X224" s="577"/>
      <c r="Y224" s="577"/>
    </row>
    <row r="225" spans="1:25" ht="18.95" customHeight="1">
      <c r="A225" s="595"/>
      <c r="B225" s="590">
        <v>5.0999999999999996</v>
      </c>
      <c r="C225" s="374" t="s">
        <v>1853</v>
      </c>
      <c r="D225" s="374"/>
      <c r="E225" s="267"/>
      <c r="F225" s="561"/>
      <c r="G225" s="267"/>
      <c r="H225" s="267"/>
      <c r="I225" s="267"/>
      <c r="J225" s="267"/>
      <c r="K225" s="267"/>
      <c r="L225" s="267"/>
      <c r="M225" s="267"/>
      <c r="N225" s="269"/>
      <c r="O225" s="1174">
        <v>0.93490804699999996</v>
      </c>
      <c r="P225" s="1168"/>
      <c r="Q225" s="614"/>
      <c r="R225" s="615"/>
      <c r="S225" s="615"/>
      <c r="T225" s="583"/>
      <c r="U225" s="577"/>
      <c r="V225" s="577"/>
      <c r="W225" s="577"/>
      <c r="X225" s="577"/>
      <c r="Y225" s="577"/>
    </row>
    <row r="226" spans="1:25" ht="18.95" customHeight="1">
      <c r="A226" s="595"/>
      <c r="B226" s="613"/>
      <c r="C226" s="374" t="s">
        <v>1854</v>
      </c>
      <c r="D226" s="374"/>
      <c r="E226" s="267"/>
      <c r="F226" s="561"/>
      <c r="G226" s="267"/>
      <c r="H226" s="267"/>
      <c r="I226" s="267"/>
      <c r="J226" s="267"/>
      <c r="K226" s="267"/>
      <c r="L226" s="267"/>
      <c r="M226" s="267"/>
      <c r="N226" s="269"/>
      <c r="O226" s="1174">
        <v>0.93490804699999996</v>
      </c>
      <c r="P226" s="1168"/>
      <c r="Q226" s="599"/>
      <c r="R226" s="577"/>
      <c r="S226" s="577"/>
      <c r="T226" s="577"/>
      <c r="U226" s="577"/>
      <c r="V226" s="577"/>
      <c r="W226" s="577"/>
      <c r="X226" s="577"/>
      <c r="Y226" s="577"/>
    </row>
    <row r="227" spans="1:25" ht="18.95" customHeight="1">
      <c r="A227" s="595"/>
      <c r="B227" s="613"/>
      <c r="C227" s="374" t="s">
        <v>1788</v>
      </c>
      <c r="D227" s="374"/>
      <c r="E227" s="267">
        <v>17</v>
      </c>
      <c r="F227" s="561" t="s">
        <v>1079</v>
      </c>
      <c r="G227" s="267">
        <v>231.67</v>
      </c>
      <c r="H227" s="269">
        <f t="shared" ref="H227:H229" si="132">G227*O227</f>
        <v>216.59014724848998</v>
      </c>
      <c r="I227" s="269">
        <f t="shared" ref="I227:I229" si="133">E227*H227</f>
        <v>3682.03250322433</v>
      </c>
      <c r="J227" s="267">
        <v>150</v>
      </c>
      <c r="K227" s="267">
        <f t="shared" ref="K227:K234" si="134">J227*O227</f>
        <v>140.23620704999999</v>
      </c>
      <c r="L227" s="267">
        <f t="shared" ref="L227:L234" si="135">E227*K227</f>
        <v>2384.0155198499997</v>
      </c>
      <c r="M227" s="267">
        <f>I227+L227</f>
        <v>6066.0480230743296</v>
      </c>
      <c r="N227" s="269"/>
      <c r="O227" s="1174">
        <v>0.93490804699999996</v>
      </c>
      <c r="P227" s="1168"/>
      <c r="Q227" s="599"/>
      <c r="R227" s="577"/>
      <c r="S227" s="599"/>
      <c r="T227" s="616"/>
      <c r="U227" s="577"/>
      <c r="V227" s="577"/>
      <c r="W227" s="577"/>
      <c r="X227" s="577"/>
      <c r="Y227" s="577"/>
    </row>
    <row r="228" spans="1:25" ht="18.95" customHeight="1">
      <c r="A228" s="595"/>
      <c r="B228" s="613"/>
      <c r="C228" s="374" t="s">
        <v>1780</v>
      </c>
      <c r="D228" s="374"/>
      <c r="E228" s="267">
        <v>88</v>
      </c>
      <c r="F228" s="561" t="s">
        <v>1079</v>
      </c>
      <c r="G228" s="267">
        <v>428.33</v>
      </c>
      <c r="H228" s="269">
        <f t="shared" si="132"/>
        <v>400.44916377150997</v>
      </c>
      <c r="I228" s="269">
        <f t="shared" si="133"/>
        <v>35239.526411892875</v>
      </c>
      <c r="J228" s="267">
        <v>280</v>
      </c>
      <c r="K228" s="267">
        <f t="shared" si="134"/>
        <v>261.77425316</v>
      </c>
      <c r="L228" s="267">
        <f t="shared" si="135"/>
        <v>23036.134278080001</v>
      </c>
      <c r="M228" s="267">
        <f>I228+L228</f>
        <v>58275.660689972879</v>
      </c>
      <c r="N228" s="269"/>
      <c r="O228" s="1174">
        <v>0.93490804699999996</v>
      </c>
      <c r="P228" s="1168"/>
      <c r="Q228" s="599"/>
      <c r="R228" s="577"/>
      <c r="S228" s="599"/>
      <c r="T228" s="616"/>
      <c r="U228" s="583"/>
      <c r="V228" s="583"/>
      <c r="W228" s="583"/>
      <c r="X228" s="577"/>
      <c r="Y228" s="577"/>
    </row>
    <row r="229" spans="1:25" ht="18.95" customHeight="1">
      <c r="A229" s="595"/>
      <c r="B229" s="613"/>
      <c r="C229" s="374" t="s">
        <v>1816</v>
      </c>
      <c r="D229" s="374"/>
      <c r="E229" s="267">
        <v>36</v>
      </c>
      <c r="F229" s="561" t="s">
        <v>1079</v>
      </c>
      <c r="G229" s="267">
        <v>733.33</v>
      </c>
      <c r="H229" s="269">
        <f t="shared" si="132"/>
        <v>685.59611810651006</v>
      </c>
      <c r="I229" s="269">
        <f t="shared" si="133"/>
        <v>24681.460251834364</v>
      </c>
      <c r="J229" s="267">
        <v>500</v>
      </c>
      <c r="K229" s="267">
        <f t="shared" si="134"/>
        <v>467.45402350000001</v>
      </c>
      <c r="L229" s="267">
        <f t="shared" si="135"/>
        <v>16828.344846</v>
      </c>
      <c r="M229" s="267">
        <f>I229+L229</f>
        <v>41509.805097834367</v>
      </c>
      <c r="N229" s="269"/>
      <c r="O229" s="1174">
        <v>0.93490804699999996</v>
      </c>
      <c r="P229" s="1168"/>
      <c r="Q229" s="599"/>
      <c r="R229" s="577"/>
      <c r="S229" s="599"/>
      <c r="T229" s="616"/>
      <c r="U229" s="577"/>
      <c r="V229" s="577"/>
      <c r="W229" s="577"/>
      <c r="X229" s="577"/>
      <c r="Y229" s="577"/>
    </row>
    <row r="230" spans="1:25" ht="18.95" customHeight="1">
      <c r="A230" s="154"/>
      <c r="B230" s="590">
        <v>5.2</v>
      </c>
      <c r="C230" s="374" t="s">
        <v>1855</v>
      </c>
      <c r="D230" s="374"/>
      <c r="E230" s="267"/>
      <c r="F230" s="561"/>
      <c r="G230" s="267"/>
      <c r="H230" s="267"/>
      <c r="I230" s="267"/>
      <c r="J230" s="267"/>
      <c r="K230" s="267"/>
      <c r="L230" s="267"/>
      <c r="M230" s="267"/>
      <c r="N230" s="269"/>
      <c r="O230" s="1174">
        <v>0.93490804699999996</v>
      </c>
      <c r="P230" s="1168"/>
      <c r="Q230" s="599"/>
      <c r="R230" s="577"/>
      <c r="S230" s="599"/>
      <c r="T230" s="616"/>
      <c r="U230" s="577"/>
      <c r="V230" s="577"/>
      <c r="W230" s="577"/>
      <c r="X230" s="577"/>
      <c r="Y230" s="577"/>
    </row>
    <row r="231" spans="1:25" ht="18.95" customHeight="1">
      <c r="A231" s="595"/>
      <c r="B231" s="613"/>
      <c r="C231" s="374" t="s">
        <v>1856</v>
      </c>
      <c r="D231" s="374"/>
      <c r="E231" s="267">
        <v>120</v>
      </c>
      <c r="F231" s="561" t="s">
        <v>1079</v>
      </c>
      <c r="G231" s="267">
        <v>1037.3</v>
      </c>
      <c r="H231" s="269">
        <f t="shared" ref="H231:H234" si="136">G231*O231</f>
        <v>969.78011715309992</v>
      </c>
      <c r="I231" s="269">
        <f t="shared" ref="I231:I234" si="137">E231*H231</f>
        <v>116373.614058372</v>
      </c>
      <c r="J231" s="267">
        <v>250</v>
      </c>
      <c r="K231" s="267">
        <f t="shared" si="134"/>
        <v>233.72701175</v>
      </c>
      <c r="L231" s="267">
        <f t="shared" si="135"/>
        <v>28047.241409999999</v>
      </c>
      <c r="M231" s="267">
        <f>I231+L231</f>
        <v>144420.855468372</v>
      </c>
      <c r="N231" s="267"/>
      <c r="O231" s="1174">
        <v>0.93490804699999996</v>
      </c>
      <c r="P231" s="1168"/>
      <c r="Q231" s="583" t="s">
        <v>1764</v>
      </c>
      <c r="R231" s="577"/>
      <c r="S231" s="599"/>
      <c r="T231" s="616"/>
      <c r="U231" s="577"/>
      <c r="V231" s="577"/>
      <c r="W231" s="577"/>
      <c r="X231" s="577"/>
      <c r="Y231" s="577"/>
    </row>
    <row r="232" spans="1:25" ht="18.95" customHeight="1">
      <c r="A232" s="203"/>
      <c r="B232" s="590">
        <v>5.3</v>
      </c>
      <c r="C232" s="374" t="s">
        <v>1774</v>
      </c>
      <c r="D232" s="374"/>
      <c r="E232" s="267">
        <v>1</v>
      </c>
      <c r="F232" s="561" t="s">
        <v>1321</v>
      </c>
      <c r="G232" s="267">
        <v>77003</v>
      </c>
      <c r="H232" s="269">
        <f t="shared" si="136"/>
        <v>71990.724343141002</v>
      </c>
      <c r="I232" s="269">
        <f t="shared" si="137"/>
        <v>71990.724343141002</v>
      </c>
      <c r="J232" s="267">
        <v>23101</v>
      </c>
      <c r="K232" s="267">
        <f t="shared" si="134"/>
        <v>21597.310793746998</v>
      </c>
      <c r="L232" s="267">
        <f t="shared" si="135"/>
        <v>21597.310793746998</v>
      </c>
      <c r="M232" s="267">
        <f>I232+L232</f>
        <v>93588.035136888007</v>
      </c>
      <c r="N232" s="269"/>
      <c r="O232" s="1174">
        <v>0.93490804699999996</v>
      </c>
      <c r="P232" s="1168"/>
      <c r="Q232" s="599"/>
      <c r="R232" s="577"/>
      <c r="S232" s="599"/>
      <c r="T232" s="616"/>
      <c r="U232" s="577"/>
      <c r="V232" s="577"/>
      <c r="W232" s="577"/>
      <c r="X232" s="580"/>
      <c r="Y232" s="577"/>
    </row>
    <row r="233" spans="1:25" ht="18.95" customHeight="1">
      <c r="A233" s="203"/>
      <c r="B233" s="590">
        <v>5.3</v>
      </c>
      <c r="C233" s="374" t="s">
        <v>1775</v>
      </c>
      <c r="D233" s="374"/>
      <c r="E233" s="267">
        <v>1</v>
      </c>
      <c r="F233" s="561" t="s">
        <v>1321</v>
      </c>
      <c r="G233" s="267">
        <v>38502</v>
      </c>
      <c r="H233" s="269">
        <f t="shared" si="136"/>
        <v>35995.829625594</v>
      </c>
      <c r="I233" s="269">
        <f t="shared" si="137"/>
        <v>35995.829625594</v>
      </c>
      <c r="J233" s="267">
        <v>11551</v>
      </c>
      <c r="K233" s="267">
        <f t="shared" si="134"/>
        <v>10799.122850897</v>
      </c>
      <c r="L233" s="267">
        <f t="shared" si="135"/>
        <v>10799.122850897</v>
      </c>
      <c r="M233" s="267">
        <f>I233+L233</f>
        <v>46794.952476491002</v>
      </c>
      <c r="N233" s="269"/>
      <c r="O233" s="1174">
        <v>0.93490804699999996</v>
      </c>
      <c r="P233" s="1168"/>
      <c r="Q233" s="599"/>
      <c r="R233" s="577"/>
      <c r="S233" s="599"/>
      <c r="T233" s="616"/>
      <c r="U233" s="577"/>
      <c r="V233" s="577"/>
      <c r="W233" s="577"/>
      <c r="X233" s="580"/>
      <c r="Y233" s="577"/>
    </row>
    <row r="234" spans="1:25" ht="18.95" customHeight="1">
      <c r="A234" s="203"/>
      <c r="B234" s="590">
        <v>5.3</v>
      </c>
      <c r="C234" s="374" t="s">
        <v>1776</v>
      </c>
      <c r="D234" s="374"/>
      <c r="E234" s="267">
        <v>1</v>
      </c>
      <c r="F234" s="561" t="s">
        <v>1321</v>
      </c>
      <c r="G234" s="267">
        <v>19251</v>
      </c>
      <c r="H234" s="269">
        <f t="shared" si="136"/>
        <v>17997.914812797</v>
      </c>
      <c r="I234" s="269">
        <f t="shared" si="137"/>
        <v>17997.914812797</v>
      </c>
      <c r="J234" s="267">
        <v>5776</v>
      </c>
      <c r="K234" s="267">
        <f t="shared" si="134"/>
        <v>5400.028879472</v>
      </c>
      <c r="L234" s="267">
        <f t="shared" si="135"/>
        <v>5400.028879472</v>
      </c>
      <c r="M234" s="267">
        <f>I234+L234</f>
        <v>23397.943692269</v>
      </c>
      <c r="N234" s="269"/>
      <c r="O234" s="1174">
        <v>0.93490804699999996</v>
      </c>
      <c r="P234" s="1168"/>
      <c r="Q234" s="599"/>
      <c r="R234" s="577"/>
      <c r="S234" s="577"/>
      <c r="T234" s="616"/>
      <c r="U234" s="577"/>
      <c r="V234" s="577"/>
      <c r="W234" s="577"/>
      <c r="X234" s="580"/>
      <c r="Y234" s="577"/>
    </row>
    <row r="235" spans="1:25" ht="18.95" customHeight="1">
      <c r="A235" s="595"/>
      <c r="B235" s="588" t="s">
        <v>1777</v>
      </c>
      <c r="C235" s="244"/>
      <c r="D235" s="230"/>
      <c r="E235" s="267"/>
      <c r="F235" s="561"/>
      <c r="G235" s="267"/>
      <c r="H235" s="267"/>
      <c r="I235" s="267"/>
      <c r="J235" s="267"/>
      <c r="K235" s="267"/>
      <c r="L235" s="267"/>
      <c r="M235" s="267"/>
      <c r="N235" s="267"/>
      <c r="O235" s="1174">
        <v>0.93490804699999996</v>
      </c>
      <c r="P235" s="1168"/>
      <c r="Q235" s="599"/>
      <c r="R235" s="577"/>
      <c r="S235" s="599"/>
      <c r="T235" s="616"/>
      <c r="U235" s="577"/>
      <c r="V235" s="577"/>
      <c r="W235" s="577"/>
      <c r="X235" s="580"/>
      <c r="Y235" s="577"/>
    </row>
    <row r="236" spans="1:25" ht="18.95" customHeight="1">
      <c r="A236" s="595"/>
      <c r="B236" s="590">
        <v>5.7</v>
      </c>
      <c r="C236" s="374" t="s">
        <v>1857</v>
      </c>
      <c r="D236" s="374"/>
      <c r="E236" s="267"/>
      <c r="F236" s="561"/>
      <c r="G236" s="267"/>
      <c r="H236" s="267"/>
      <c r="I236" s="267"/>
      <c r="J236" s="267"/>
      <c r="K236" s="267"/>
      <c r="L236" s="267"/>
      <c r="M236" s="267"/>
      <c r="N236" s="267"/>
      <c r="O236" s="1174">
        <v>0.93490804699999996</v>
      </c>
      <c r="P236" s="1168"/>
      <c r="Q236" s="583"/>
      <c r="R236" s="583"/>
      <c r="S236" s="583"/>
      <c r="T236" s="579"/>
      <c r="U236" s="580"/>
      <c r="V236" s="583"/>
      <c r="W236" s="577"/>
      <c r="X236" s="580"/>
      <c r="Y236" s="577"/>
    </row>
    <row r="237" spans="1:25" ht="18.95" customHeight="1">
      <c r="A237" s="595"/>
      <c r="B237" s="613"/>
      <c r="C237" s="374" t="s">
        <v>1858</v>
      </c>
      <c r="D237" s="374"/>
      <c r="E237" s="267">
        <v>8</v>
      </c>
      <c r="F237" s="561" t="s">
        <v>402</v>
      </c>
      <c r="G237" s="267">
        <v>3900</v>
      </c>
      <c r="H237" s="269">
        <f t="shared" ref="H237:H242" si="138">G237*O237</f>
        <v>3646.1413832999997</v>
      </c>
      <c r="I237" s="269">
        <f t="shared" ref="I237:I245" si="139">E237*H237</f>
        <v>29169.131066399998</v>
      </c>
      <c r="J237" s="267">
        <v>630</v>
      </c>
      <c r="K237" s="267">
        <f t="shared" ref="K237:K254" si="140">J237*O237</f>
        <v>588.99206960999993</v>
      </c>
      <c r="L237" s="267">
        <f t="shared" ref="L237:L245" si="141">E237*K237</f>
        <v>4711.9365568799994</v>
      </c>
      <c r="M237" s="267">
        <f t="shared" ref="M237:M242" si="142">I237+L237</f>
        <v>33881.067623279996</v>
      </c>
      <c r="N237" s="269"/>
      <c r="O237" s="1174">
        <v>0.93490804699999996</v>
      </c>
      <c r="P237" s="1168"/>
      <c r="Q237" s="583"/>
      <c r="R237" s="583"/>
      <c r="S237" s="583"/>
      <c r="T237" s="579"/>
      <c r="U237" s="580"/>
      <c r="V237" s="583"/>
      <c r="W237" s="577"/>
      <c r="X237" s="580"/>
      <c r="Y237" s="577"/>
    </row>
    <row r="238" spans="1:25" ht="18.95" customHeight="1">
      <c r="A238" s="204"/>
      <c r="B238" s="613"/>
      <c r="C238" s="374" t="s">
        <v>1859</v>
      </c>
      <c r="D238" s="374"/>
      <c r="E238" s="267">
        <v>8</v>
      </c>
      <c r="F238" s="561" t="s">
        <v>402</v>
      </c>
      <c r="G238" s="267">
        <v>1100</v>
      </c>
      <c r="H238" s="269">
        <f t="shared" si="138"/>
        <v>1028.3988517</v>
      </c>
      <c r="I238" s="269">
        <f t="shared" si="139"/>
        <v>8227.1908136000002</v>
      </c>
      <c r="J238" s="267">
        <v>200</v>
      </c>
      <c r="K238" s="267">
        <f t="shared" si="140"/>
        <v>186.9816094</v>
      </c>
      <c r="L238" s="267">
        <f t="shared" si="141"/>
        <v>1495.8528752</v>
      </c>
      <c r="M238" s="267">
        <f t="shared" si="142"/>
        <v>9723.0436888000004</v>
      </c>
      <c r="N238" s="269"/>
      <c r="O238" s="1174">
        <v>0.93490804699999996</v>
      </c>
      <c r="P238" s="1168"/>
      <c r="Q238" s="583"/>
      <c r="R238" s="583"/>
      <c r="S238" s="583"/>
      <c r="T238" s="579"/>
      <c r="U238" s="580"/>
      <c r="V238" s="583"/>
      <c r="W238" s="577"/>
      <c r="X238" s="580"/>
      <c r="Y238" s="577"/>
    </row>
    <row r="239" spans="1:25" ht="18.95" customHeight="1">
      <c r="A239" s="595"/>
      <c r="B239" s="613"/>
      <c r="C239" s="374" t="s">
        <v>1860</v>
      </c>
      <c r="D239" s="374"/>
      <c r="E239" s="267">
        <v>8</v>
      </c>
      <c r="F239" s="561" t="s">
        <v>402</v>
      </c>
      <c r="G239" s="267">
        <v>4500</v>
      </c>
      <c r="H239" s="269">
        <f t="shared" si="138"/>
        <v>4207.0862115</v>
      </c>
      <c r="I239" s="269">
        <f t="shared" si="139"/>
        <v>33656.689692</v>
      </c>
      <c r="J239" s="267">
        <v>270</v>
      </c>
      <c r="K239" s="267">
        <f t="shared" si="140"/>
        <v>252.42517268999998</v>
      </c>
      <c r="L239" s="267">
        <f t="shared" si="141"/>
        <v>2019.4013815199999</v>
      </c>
      <c r="M239" s="267">
        <f t="shared" si="142"/>
        <v>35676.091073520001</v>
      </c>
      <c r="N239" s="269"/>
      <c r="O239" s="1174">
        <v>0.93490804699999996</v>
      </c>
      <c r="P239" s="1168"/>
      <c r="Q239" s="583"/>
      <c r="R239" s="583"/>
      <c r="S239" s="583"/>
      <c r="T239" s="579"/>
      <c r="U239" s="580"/>
      <c r="V239" s="583"/>
      <c r="W239" s="577"/>
      <c r="X239" s="580"/>
      <c r="Y239" s="577"/>
    </row>
    <row r="240" spans="1:25" ht="18.95" customHeight="1">
      <c r="A240" s="141"/>
      <c r="B240" s="613"/>
      <c r="C240" s="374" t="s">
        <v>1861</v>
      </c>
      <c r="D240" s="374"/>
      <c r="E240" s="267">
        <v>8</v>
      </c>
      <c r="F240" s="561" t="s">
        <v>402</v>
      </c>
      <c r="G240" s="267">
        <v>4200</v>
      </c>
      <c r="H240" s="269">
        <f t="shared" si="138"/>
        <v>3926.6137973999998</v>
      </c>
      <c r="I240" s="269">
        <f t="shared" si="139"/>
        <v>31412.910379199999</v>
      </c>
      <c r="J240" s="267">
        <v>180</v>
      </c>
      <c r="K240" s="267">
        <f t="shared" si="140"/>
        <v>168.28344845999999</v>
      </c>
      <c r="L240" s="267">
        <f t="shared" si="141"/>
        <v>1346.2675876799999</v>
      </c>
      <c r="M240" s="267">
        <f t="shared" si="142"/>
        <v>32759.177966879997</v>
      </c>
      <c r="N240" s="269"/>
      <c r="O240" s="1174">
        <v>0.93490804699999996</v>
      </c>
      <c r="P240" s="1168"/>
      <c r="Q240" s="583"/>
      <c r="R240" s="583"/>
      <c r="S240" s="583"/>
      <c r="T240" s="579"/>
      <c r="U240" s="580"/>
      <c r="V240" s="583"/>
      <c r="W240" s="577"/>
      <c r="X240" s="580"/>
      <c r="Y240" s="577"/>
    </row>
    <row r="241" spans="1:25" ht="18.95" customHeight="1">
      <c r="A241" s="204"/>
      <c r="B241" s="613"/>
      <c r="C241" s="374" t="s">
        <v>1862</v>
      </c>
      <c r="D241" s="374"/>
      <c r="E241" s="267">
        <v>8</v>
      </c>
      <c r="F241" s="561" t="s">
        <v>402</v>
      </c>
      <c r="G241" s="267">
        <v>880</v>
      </c>
      <c r="H241" s="269">
        <f t="shared" si="138"/>
        <v>822.71908136000002</v>
      </c>
      <c r="I241" s="269">
        <f t="shared" si="139"/>
        <v>6581.7526508800001</v>
      </c>
      <c r="J241" s="267">
        <v>90</v>
      </c>
      <c r="K241" s="267">
        <f t="shared" si="140"/>
        <v>84.141724229999994</v>
      </c>
      <c r="L241" s="267">
        <f t="shared" si="141"/>
        <v>673.13379383999995</v>
      </c>
      <c r="M241" s="267">
        <f t="shared" si="142"/>
        <v>7254.8864447200003</v>
      </c>
      <c r="N241" s="269"/>
      <c r="O241" s="1174">
        <v>0.93490804699999996</v>
      </c>
      <c r="P241" s="1168"/>
      <c r="Q241" s="583"/>
      <c r="R241" s="583"/>
      <c r="S241" s="583"/>
      <c r="T241" s="579"/>
      <c r="U241" s="580"/>
      <c r="V241" s="583"/>
      <c r="W241" s="577"/>
      <c r="X241" s="580"/>
      <c r="Y241" s="577"/>
    </row>
    <row r="242" spans="1:25" ht="18.95" customHeight="1">
      <c r="A242" s="141"/>
      <c r="B242" s="613"/>
      <c r="C242" s="374" t="s">
        <v>1863</v>
      </c>
      <c r="D242" s="374"/>
      <c r="E242" s="267">
        <v>8</v>
      </c>
      <c r="F242" s="561" t="s">
        <v>402</v>
      </c>
      <c r="G242" s="267">
        <v>450</v>
      </c>
      <c r="H242" s="269">
        <f t="shared" si="138"/>
        <v>420.70862115</v>
      </c>
      <c r="I242" s="269">
        <f t="shared" si="139"/>
        <v>3365.6689692</v>
      </c>
      <c r="J242" s="267">
        <v>125</v>
      </c>
      <c r="K242" s="267">
        <f t="shared" si="140"/>
        <v>116.863505875</v>
      </c>
      <c r="L242" s="267">
        <f t="shared" si="141"/>
        <v>934.90804700000001</v>
      </c>
      <c r="M242" s="267">
        <f t="shared" si="142"/>
        <v>4300.5770161999999</v>
      </c>
      <c r="N242" s="269"/>
      <c r="O242" s="1174">
        <v>0.93490804699999996</v>
      </c>
      <c r="P242" s="1168"/>
      <c r="Q242" s="583"/>
      <c r="R242" s="583"/>
      <c r="S242" s="583"/>
      <c r="T242" s="579"/>
      <c r="U242" s="580"/>
      <c r="V242" s="583"/>
      <c r="W242" s="577"/>
      <c r="X242" s="580"/>
      <c r="Y242" s="577"/>
    </row>
    <row r="243" spans="1:25" ht="18.95" customHeight="1">
      <c r="A243" s="204"/>
      <c r="B243" s="590">
        <v>5.8</v>
      </c>
      <c r="C243" s="374" t="s">
        <v>1864</v>
      </c>
      <c r="D243" s="374"/>
      <c r="E243" s="267"/>
      <c r="F243" s="561"/>
      <c r="G243" s="267"/>
      <c r="H243" s="436"/>
      <c r="I243" s="436"/>
      <c r="J243" s="267"/>
      <c r="K243" s="267"/>
      <c r="L243" s="267"/>
      <c r="M243" s="267"/>
      <c r="N243" s="269"/>
      <c r="O243" s="1174">
        <v>0.93490804699999996</v>
      </c>
      <c r="P243" s="1168"/>
      <c r="Q243" s="583"/>
      <c r="R243" s="583"/>
      <c r="S243" s="583"/>
      <c r="T243" s="579"/>
      <c r="U243" s="580"/>
      <c r="V243" s="583"/>
      <c r="W243" s="577"/>
      <c r="X243" s="580"/>
      <c r="Y243" s="577"/>
    </row>
    <row r="244" spans="1:25" ht="18.95" customHeight="1">
      <c r="A244" s="595"/>
      <c r="B244" s="613"/>
      <c r="C244" s="374" t="s">
        <v>1865</v>
      </c>
      <c r="D244" s="374"/>
      <c r="E244" s="267">
        <v>4</v>
      </c>
      <c r="F244" s="561" t="s">
        <v>402</v>
      </c>
      <c r="G244" s="267">
        <v>2650</v>
      </c>
      <c r="H244" s="269">
        <f t="shared" ref="H244:H245" si="143">G244*O244</f>
        <v>2477.50632455</v>
      </c>
      <c r="I244" s="269">
        <f t="shared" si="139"/>
        <v>9910.0252982000002</v>
      </c>
      <c r="J244" s="267">
        <v>200</v>
      </c>
      <c r="K244" s="267">
        <f t="shared" si="140"/>
        <v>186.9816094</v>
      </c>
      <c r="L244" s="267">
        <f t="shared" si="141"/>
        <v>747.92643759999999</v>
      </c>
      <c r="M244" s="267">
        <f>I244+L244</f>
        <v>10657.951735799999</v>
      </c>
      <c r="N244" s="269"/>
      <c r="O244" s="1174">
        <v>0.93490804699999996</v>
      </c>
      <c r="P244" s="1168"/>
      <c r="Q244" s="583"/>
      <c r="R244" s="583"/>
      <c r="S244" s="583"/>
      <c r="T244" s="580"/>
      <c r="V244" s="583"/>
      <c r="W244" s="577"/>
      <c r="X244" s="580"/>
      <c r="Y244" s="577"/>
    </row>
    <row r="245" spans="1:25" ht="18.95" customHeight="1">
      <c r="A245" s="141"/>
      <c r="B245" s="613"/>
      <c r="C245" s="374" t="s">
        <v>1859</v>
      </c>
      <c r="D245" s="374"/>
      <c r="E245" s="267">
        <v>14</v>
      </c>
      <c r="F245" s="561" t="s">
        <v>402</v>
      </c>
      <c r="G245" s="267">
        <v>1100</v>
      </c>
      <c r="H245" s="269">
        <f t="shared" si="143"/>
        <v>1028.3988517</v>
      </c>
      <c r="I245" s="269">
        <f t="shared" si="139"/>
        <v>14397.583923800001</v>
      </c>
      <c r="J245" s="267">
        <v>200</v>
      </c>
      <c r="K245" s="267">
        <f t="shared" si="140"/>
        <v>186.9816094</v>
      </c>
      <c r="L245" s="267">
        <f t="shared" si="141"/>
        <v>2617.7425315999999</v>
      </c>
      <c r="M245" s="267">
        <f>I245+L245</f>
        <v>17015.326455400002</v>
      </c>
      <c r="N245" s="269"/>
      <c r="O245" s="1174">
        <v>0.93490804699999996</v>
      </c>
      <c r="P245" s="1168"/>
      <c r="Q245" s="583"/>
      <c r="R245" s="583"/>
      <c r="S245" s="583"/>
      <c r="T245" s="579"/>
      <c r="U245" s="580"/>
      <c r="V245" s="583"/>
      <c r="W245" s="577"/>
      <c r="X245" s="577"/>
      <c r="Y245" s="577"/>
    </row>
    <row r="246" spans="1:25" ht="18.95" customHeight="1">
      <c r="A246" s="141"/>
      <c r="B246" s="613"/>
      <c r="C246" s="374" t="s">
        <v>1866</v>
      </c>
      <c r="D246" s="374"/>
      <c r="E246" s="267"/>
      <c r="F246" s="561" t="s">
        <v>402</v>
      </c>
      <c r="G246" s="267">
        <v>7600</v>
      </c>
      <c r="H246" s="267"/>
      <c r="I246" s="267">
        <f>ROUNDDOWN(E246*G246,2)</f>
        <v>0</v>
      </c>
      <c r="J246" s="267">
        <v>200</v>
      </c>
      <c r="K246" s="267">
        <f t="shared" si="140"/>
        <v>186.9816094</v>
      </c>
      <c r="L246" s="267">
        <f>ROUNDDOWN(E246*J246,2)</f>
        <v>0</v>
      </c>
      <c r="M246" s="267">
        <f>I246+L246</f>
        <v>0</v>
      </c>
      <c r="N246" s="269"/>
      <c r="O246" s="1174">
        <v>0.93490804699999996</v>
      </c>
      <c r="P246" s="1168"/>
      <c r="Q246" s="583"/>
      <c r="R246" s="583"/>
      <c r="S246" s="583"/>
      <c r="T246" s="579"/>
      <c r="U246" s="580"/>
      <c r="V246" s="583"/>
      <c r="W246" s="577"/>
      <c r="X246" s="577"/>
      <c r="Y246" s="577"/>
    </row>
    <row r="247" spans="1:25" ht="18.95" customHeight="1">
      <c r="A247" s="154"/>
      <c r="B247" s="590">
        <v>5.9</v>
      </c>
      <c r="C247" s="374" t="s">
        <v>1782</v>
      </c>
      <c r="D247" s="374"/>
      <c r="E247" s="267"/>
      <c r="F247" s="561"/>
      <c r="G247" s="267"/>
      <c r="H247" s="267"/>
      <c r="I247" s="267"/>
      <c r="J247" s="267"/>
      <c r="K247" s="267"/>
      <c r="L247" s="267"/>
      <c r="M247" s="267"/>
      <c r="N247" s="269"/>
      <c r="O247" s="1174">
        <v>0.93490804699999996</v>
      </c>
      <c r="P247" s="1168"/>
      <c r="Q247" s="583"/>
      <c r="R247" s="583"/>
      <c r="S247" s="583"/>
      <c r="T247" s="579"/>
      <c r="U247" s="580"/>
      <c r="V247" s="583"/>
      <c r="W247" s="577"/>
      <c r="X247" s="577"/>
      <c r="Y247" s="577"/>
    </row>
    <row r="248" spans="1:25" ht="18.95" customHeight="1">
      <c r="A248" s="595"/>
      <c r="B248" s="613"/>
      <c r="C248" s="374" t="s">
        <v>1867</v>
      </c>
      <c r="D248" s="374"/>
      <c r="E248" s="267">
        <v>2</v>
      </c>
      <c r="F248" s="561" t="s">
        <v>402</v>
      </c>
      <c r="G248" s="267">
        <v>370</v>
      </c>
      <c r="H248" s="269">
        <f t="shared" ref="H248:H249" si="144">G248*O248</f>
        <v>345.91597738999997</v>
      </c>
      <c r="I248" s="269">
        <f t="shared" ref="I248:I249" si="145">E248*H248</f>
        <v>691.83195477999993</v>
      </c>
      <c r="J248" s="267">
        <v>150</v>
      </c>
      <c r="K248" s="267">
        <f t="shared" si="140"/>
        <v>140.23620704999999</v>
      </c>
      <c r="L248" s="267">
        <f t="shared" ref="L248:L249" si="146">E248*K248</f>
        <v>280.47241409999998</v>
      </c>
      <c r="M248" s="267">
        <f>I248+L248</f>
        <v>972.30436887999986</v>
      </c>
      <c r="N248" s="267"/>
      <c r="O248" s="1174">
        <v>0.93490804699999996</v>
      </c>
      <c r="P248" s="1168"/>
      <c r="Q248" s="583"/>
      <c r="R248" s="583"/>
      <c r="S248" s="583"/>
      <c r="T248" s="579"/>
      <c r="U248" s="580"/>
      <c r="V248" s="583"/>
      <c r="W248" s="577"/>
      <c r="X248" s="580"/>
      <c r="Y248" s="577"/>
    </row>
    <row r="249" spans="1:25" ht="18.95" customHeight="1">
      <c r="A249" s="595"/>
      <c r="B249" s="613"/>
      <c r="C249" s="374" t="s">
        <v>1868</v>
      </c>
      <c r="D249" s="374"/>
      <c r="E249" s="267">
        <v>2</v>
      </c>
      <c r="F249" s="561" t="s">
        <v>402</v>
      </c>
      <c r="G249" s="267">
        <v>1020</v>
      </c>
      <c r="H249" s="269">
        <f t="shared" si="144"/>
        <v>953.60620793999999</v>
      </c>
      <c r="I249" s="269">
        <f t="shared" si="145"/>
        <v>1907.21241588</v>
      </c>
      <c r="J249" s="267">
        <v>400</v>
      </c>
      <c r="K249" s="267">
        <f t="shared" si="140"/>
        <v>373.96321879999999</v>
      </c>
      <c r="L249" s="267">
        <f t="shared" si="146"/>
        <v>747.92643759999999</v>
      </c>
      <c r="M249" s="267">
        <f>I249+L249</f>
        <v>2655.1388534799999</v>
      </c>
      <c r="N249" s="267"/>
      <c r="O249" s="1174">
        <v>0.93490804699999996</v>
      </c>
      <c r="P249" s="1168"/>
      <c r="Q249" s="583"/>
      <c r="R249" s="583"/>
      <c r="S249" s="583"/>
      <c r="T249" s="579"/>
      <c r="U249" s="580"/>
      <c r="V249" s="583"/>
      <c r="W249" s="577"/>
      <c r="X249" s="577"/>
      <c r="Y249" s="577"/>
    </row>
    <row r="250" spans="1:25" ht="18.95" customHeight="1">
      <c r="A250" s="595"/>
      <c r="B250" s="596">
        <v>5.0999999999999996</v>
      </c>
      <c r="C250" s="374" t="s">
        <v>1781</v>
      </c>
      <c r="D250" s="374"/>
      <c r="E250" s="267"/>
      <c r="F250" s="561"/>
      <c r="G250" s="267"/>
      <c r="H250" s="267"/>
      <c r="I250" s="267"/>
      <c r="J250" s="267"/>
      <c r="K250" s="267"/>
      <c r="L250" s="267"/>
      <c r="M250" s="267"/>
      <c r="N250" s="269"/>
      <c r="O250" s="1174">
        <v>0.93490804699999996</v>
      </c>
      <c r="P250" s="1168"/>
      <c r="Q250" s="583"/>
      <c r="R250" s="583"/>
      <c r="S250" s="583"/>
      <c r="T250" s="579"/>
      <c r="U250" s="580"/>
      <c r="V250" s="583"/>
      <c r="W250" s="577"/>
      <c r="X250" s="580"/>
      <c r="Y250" s="577"/>
    </row>
    <row r="251" spans="1:25" ht="18.95" customHeight="1">
      <c r="A251" s="204"/>
      <c r="B251" s="613"/>
      <c r="C251" s="374" t="s">
        <v>1808</v>
      </c>
      <c r="D251" s="374"/>
      <c r="E251" s="267">
        <v>1</v>
      </c>
      <c r="F251" s="561" t="s">
        <v>402</v>
      </c>
      <c r="G251" s="267">
        <v>5600</v>
      </c>
      <c r="H251" s="269">
        <f t="shared" ref="H251" si="147">G251*O251</f>
        <v>5235.4850631999998</v>
      </c>
      <c r="I251" s="269">
        <f t="shared" ref="I251:I254" si="148">E251*H251</f>
        <v>5235.4850631999998</v>
      </c>
      <c r="J251" s="267">
        <v>800</v>
      </c>
      <c r="K251" s="267">
        <f t="shared" si="140"/>
        <v>747.92643759999999</v>
      </c>
      <c r="L251" s="267">
        <f t="shared" ref="L251:L254" si="149">E251*K251</f>
        <v>747.92643759999999</v>
      </c>
      <c r="M251" s="267">
        <f>I251+L251</f>
        <v>5983.4115007999999</v>
      </c>
      <c r="N251" s="269"/>
      <c r="O251" s="1174">
        <v>0.93490804699999996</v>
      </c>
      <c r="P251" s="1168"/>
      <c r="Q251" s="583"/>
      <c r="R251" s="583"/>
      <c r="S251" s="583"/>
      <c r="T251" s="579"/>
      <c r="U251" s="580"/>
      <c r="V251" s="583"/>
      <c r="W251" s="577"/>
      <c r="X251" s="577"/>
      <c r="Y251" s="577"/>
    </row>
    <row r="252" spans="1:25" ht="18.95" customHeight="1">
      <c r="A252" s="595"/>
      <c r="B252" s="596">
        <v>5.1100000000000003</v>
      </c>
      <c r="C252" s="374" t="s">
        <v>1869</v>
      </c>
      <c r="D252" s="374"/>
      <c r="E252" s="267"/>
      <c r="F252" s="561"/>
      <c r="G252" s="267"/>
      <c r="H252" s="267"/>
      <c r="I252" s="267"/>
      <c r="J252" s="267"/>
      <c r="K252" s="267"/>
      <c r="L252" s="267" t="s">
        <v>611</v>
      </c>
      <c r="M252" s="267"/>
      <c r="N252" s="267"/>
      <c r="O252" s="1174">
        <v>0.93490804699999996</v>
      </c>
      <c r="P252" s="1168"/>
      <c r="Q252" s="583"/>
      <c r="R252" s="583"/>
      <c r="S252" s="583"/>
      <c r="T252" s="579"/>
      <c r="U252" s="580"/>
      <c r="V252" s="583"/>
      <c r="W252" s="577"/>
      <c r="X252" s="580"/>
      <c r="Y252" s="577"/>
    </row>
    <row r="253" spans="1:25" ht="18.95" customHeight="1">
      <c r="A253" s="595"/>
      <c r="B253" s="613"/>
      <c r="C253" s="374" t="s">
        <v>1783</v>
      </c>
      <c r="D253" s="374"/>
      <c r="E253" s="267">
        <v>2</v>
      </c>
      <c r="F253" s="561" t="s">
        <v>402</v>
      </c>
      <c r="G253" s="267">
        <v>3550</v>
      </c>
      <c r="H253" s="269">
        <f t="shared" ref="H253:H254" si="150">G253*O253</f>
        <v>3318.92356685</v>
      </c>
      <c r="I253" s="269">
        <f t="shared" si="148"/>
        <v>6637.8471337000001</v>
      </c>
      <c r="J253" s="267">
        <v>150</v>
      </c>
      <c r="K253" s="267">
        <f t="shared" si="140"/>
        <v>140.23620704999999</v>
      </c>
      <c r="L253" s="267">
        <f t="shared" si="149"/>
        <v>280.47241409999998</v>
      </c>
      <c r="M253" s="267">
        <f>I253+L253</f>
        <v>6918.3195477999998</v>
      </c>
      <c r="N253" s="267"/>
      <c r="O253" s="1174">
        <v>0.93490804699999996</v>
      </c>
      <c r="P253" s="1168"/>
      <c r="Q253" s="583"/>
      <c r="R253" s="583"/>
      <c r="S253" s="583"/>
      <c r="T253" s="579"/>
      <c r="U253" s="580"/>
      <c r="V253" s="583"/>
      <c r="W253" s="577"/>
      <c r="X253" s="580"/>
      <c r="Y253" s="577"/>
    </row>
    <row r="254" spans="1:25" ht="18.95" customHeight="1">
      <c r="A254" s="204"/>
      <c r="B254" s="596">
        <v>5.12</v>
      </c>
      <c r="C254" s="374" t="s">
        <v>1870</v>
      </c>
      <c r="D254" s="374"/>
      <c r="E254" s="267">
        <v>1</v>
      </c>
      <c r="F254" s="561" t="s">
        <v>402</v>
      </c>
      <c r="G254" s="267">
        <v>12000</v>
      </c>
      <c r="H254" s="269">
        <f t="shared" si="150"/>
        <v>11218.896563999999</v>
      </c>
      <c r="I254" s="269">
        <f t="shared" si="148"/>
        <v>11218.896563999999</v>
      </c>
      <c r="J254" s="267">
        <v>1500</v>
      </c>
      <c r="K254" s="267">
        <f t="shared" si="140"/>
        <v>1402.3620704999998</v>
      </c>
      <c r="L254" s="267">
        <f t="shared" si="149"/>
        <v>1402.3620704999998</v>
      </c>
      <c r="M254" s="267">
        <f>I254+L254</f>
        <v>12621.258634499998</v>
      </c>
      <c r="N254" s="269"/>
      <c r="O254" s="1174">
        <v>0.93490804699999996</v>
      </c>
      <c r="P254" s="1168"/>
      <c r="Q254" s="583"/>
      <c r="R254" s="583"/>
      <c r="S254" s="583"/>
      <c r="T254" s="579"/>
      <c r="U254" s="580"/>
      <c r="V254" s="583"/>
      <c r="W254" s="577"/>
      <c r="X254" s="580"/>
      <c r="Y254" s="577"/>
    </row>
    <row r="255" spans="1:25" ht="18.95" customHeight="1">
      <c r="A255" s="204"/>
      <c r="B255" s="596"/>
      <c r="C255" s="374"/>
      <c r="D255" s="374"/>
      <c r="E255" s="267"/>
      <c r="F255" s="561"/>
      <c r="G255" s="267"/>
      <c r="H255" s="267"/>
      <c r="I255" s="267"/>
      <c r="J255" s="267"/>
      <c r="K255" s="267"/>
      <c r="L255" s="267"/>
      <c r="M255" s="267"/>
      <c r="N255" s="269"/>
      <c r="O255" s="1168"/>
      <c r="P255" s="1168"/>
      <c r="Q255" s="583"/>
      <c r="R255" s="583"/>
      <c r="S255" s="583"/>
      <c r="T255" s="579"/>
      <c r="U255" s="580"/>
      <c r="V255" s="583"/>
      <c r="W255" s="577"/>
      <c r="X255" s="577"/>
      <c r="Y255" s="577"/>
    </row>
    <row r="256" spans="1:25" ht="18.95" customHeight="1">
      <c r="A256" s="401"/>
      <c r="B256" s="1380" t="s">
        <v>1295</v>
      </c>
      <c r="C256" s="1381"/>
      <c r="D256" s="1382"/>
      <c r="E256" s="286"/>
      <c r="F256" s="572"/>
      <c r="G256" s="286"/>
      <c r="H256" s="286"/>
      <c r="I256" s="286">
        <f>SUM(I222:I254)</f>
        <v>468373.32793169556</v>
      </c>
      <c r="J256" s="286"/>
      <c r="K256" s="286"/>
      <c r="L256" s="286">
        <f>SUM(L222:L254)</f>
        <v>126098.52756326603</v>
      </c>
      <c r="M256" s="286">
        <f>SUM(M222:M254)</f>
        <v>594471.85549496161</v>
      </c>
      <c r="N256" s="274"/>
      <c r="O256" s="1168"/>
      <c r="P256" s="1168"/>
      <c r="Q256" s="583"/>
      <c r="R256" s="583"/>
      <c r="S256" s="583"/>
      <c r="T256" s="579"/>
      <c r="U256" s="580"/>
      <c r="V256" s="583"/>
      <c r="W256" s="577"/>
      <c r="X256" s="580"/>
      <c r="Y256" s="577"/>
    </row>
  </sheetData>
  <mergeCells count="19">
    <mergeCell ref="B104:D104"/>
    <mergeCell ref="B107:D107"/>
    <mergeCell ref="B175:D175"/>
    <mergeCell ref="S1:U1"/>
    <mergeCell ref="W1:Y1"/>
    <mergeCell ref="N5:N6"/>
    <mergeCell ref="B256:D256"/>
    <mergeCell ref="B216:D216"/>
    <mergeCell ref="A1:C1"/>
    <mergeCell ref="L1:M1"/>
    <mergeCell ref="A2:C2"/>
    <mergeCell ref="A3:C3"/>
    <mergeCell ref="A5:A6"/>
    <mergeCell ref="B5:D6"/>
    <mergeCell ref="E5:E6"/>
    <mergeCell ref="F5:F6"/>
    <mergeCell ref="G5:I5"/>
    <mergeCell ref="J5:L5"/>
    <mergeCell ref="B15:D15"/>
  </mergeCells>
  <phoneticPr fontId="10" type="noConversion"/>
  <printOptions horizontalCentered="1"/>
  <pageMargins left="0.39370078740157499" right="0.39370078740157499" top="1.1811023622047201" bottom="0" header="0.78740157480314998" footer="0"/>
  <pageSetup paperSize="9" scale="74" firstPageNumber="79" fitToHeight="1000" orientation="landscape" useFirstPageNumber="1" r:id="rId1"/>
  <headerFooter alignWithMargins="0">
    <oddHeader xml:space="preserve">&amp;C&amp;"Cordia New,Regular"&amp;14แบบแสดงรายการ ปริมาณงาน และราคา&amp;R&amp;"Cordia New,Regular"&amp;14แบบปร.4(ก) แผ่นที่ &amp;P/103   </oddHeader>
  </headerFooter>
  <rowBreaks count="9" manualBreakCount="9">
    <brk id="24" max="11" man="1"/>
    <brk id="52" max="11" man="1"/>
    <brk id="83" max="11" man="1"/>
    <brk id="109" max="11" man="1"/>
    <brk id="137" max="11" man="1"/>
    <brk id="165" max="11" man="1"/>
    <brk id="193" max="11" man="1"/>
    <brk id="221" max="11" man="1"/>
    <brk id="234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AA364"/>
  <sheetViews>
    <sheetView showGridLines="0" view="pageBreakPreview" topLeftCell="B1" zoomScaleNormal="100" zoomScaleSheetLayoutView="100" workbookViewId="0">
      <selection activeCell="C12" sqref="C12"/>
    </sheetView>
  </sheetViews>
  <sheetFormatPr defaultColWidth="10.42578125" defaultRowHeight="18.95" customHeight="1"/>
  <cols>
    <col min="1" max="1" width="6.7109375" style="250" customWidth="1"/>
    <col min="2" max="2" width="5.42578125" style="407" customWidth="1"/>
    <col min="3" max="3" width="24.42578125" style="407" customWidth="1"/>
    <col min="4" max="4" width="45.7109375" style="250" customWidth="1"/>
    <col min="5" max="5" width="12.7109375" style="293" customWidth="1"/>
    <col min="6" max="6" width="9.5703125" style="293" customWidth="1"/>
    <col min="7" max="7" width="15.7109375" style="293" hidden="1" customWidth="1"/>
    <col min="8" max="8" width="12.140625" style="293" customWidth="1"/>
    <col min="9" max="9" width="15.7109375" style="293" customWidth="1"/>
    <col min="10" max="10" width="15.7109375" style="293" hidden="1" customWidth="1"/>
    <col min="11" max="13" width="15.7109375" style="293" customWidth="1"/>
    <col min="14" max="14" width="16.28515625" style="293" customWidth="1"/>
    <col min="15" max="15" width="16.7109375" style="250" customWidth="1"/>
    <col min="16" max="16" width="13.42578125" style="250" bestFit="1" customWidth="1"/>
    <col min="17" max="17" width="10.85546875" style="250" bestFit="1" customWidth="1"/>
    <col min="18" max="18" width="9.140625" style="250" bestFit="1" customWidth="1"/>
    <col min="19" max="19" width="40.140625" style="250" bestFit="1" customWidth="1"/>
    <col min="20" max="20" width="13.42578125" style="250" bestFit="1" customWidth="1"/>
    <col min="21" max="23" width="10.42578125" style="250"/>
    <col min="24" max="24" width="9.140625" style="250" bestFit="1" customWidth="1"/>
    <col min="25" max="25" width="41.140625" style="250" bestFit="1" customWidth="1"/>
    <col min="26" max="26" width="9.42578125" style="250" bestFit="1" customWidth="1"/>
    <col min="27" max="16384" width="10.42578125" style="250"/>
  </cols>
  <sheetData>
    <row r="1" spans="1:23" s="116" customFormat="1" ht="18.95" customHeight="1">
      <c r="A1" s="1368" t="s">
        <v>1168</v>
      </c>
      <c r="B1" s="1368"/>
      <c r="C1" s="1368"/>
      <c r="D1" s="114" t="e">
        <f>+'RC2_ปร.5 (ก)'!#REF!</f>
        <v>#REF!</v>
      </c>
      <c r="E1" s="253"/>
      <c r="F1" s="253"/>
      <c r="G1" s="254"/>
      <c r="H1" s="254"/>
      <c r="I1" s="255"/>
      <c r="J1" s="255" t="s">
        <v>1169</v>
      </c>
      <c r="K1" s="255" t="s">
        <v>1169</v>
      </c>
      <c r="L1" s="618" t="s">
        <v>1871</v>
      </c>
      <c r="M1" s="618"/>
      <c r="N1" s="253"/>
    </row>
    <row r="2" spans="1:23" s="116" customFormat="1" ht="18.95" customHeight="1">
      <c r="A2" s="1369" t="s">
        <v>4</v>
      </c>
      <c r="B2" s="1369"/>
      <c r="C2" s="1369"/>
      <c r="D2" s="115" t="e">
        <f>+'RC2_ปร.5 (ก)'!#REF!</f>
        <v>#REF!</v>
      </c>
      <c r="E2" s="256"/>
      <c r="F2" s="256"/>
      <c r="G2" s="256"/>
      <c r="H2" s="256"/>
      <c r="I2" s="256"/>
      <c r="J2" s="257" t="s">
        <v>1171</v>
      </c>
      <c r="K2" s="257" t="s">
        <v>1171</v>
      </c>
      <c r="L2" s="258" t="e">
        <f>+'RC2_ปร.5 (ก)'!#REF!</f>
        <v>#REF!</v>
      </c>
      <c r="M2" s="256"/>
      <c r="N2" s="256"/>
    </row>
    <row r="3" spans="1:23" s="116" customFormat="1" ht="18.95" customHeight="1">
      <c r="A3" s="1369" t="s">
        <v>1172</v>
      </c>
      <c r="B3" s="1369"/>
      <c r="C3" s="1369"/>
      <c r="D3" s="115" t="e">
        <f>+'RC2_ปร.5 (ก)'!#REF!</f>
        <v>#REF!</v>
      </c>
      <c r="E3" s="256"/>
      <c r="F3" s="256"/>
      <c r="G3" s="256"/>
      <c r="H3" s="256"/>
      <c r="I3" s="257"/>
      <c r="J3" s="257"/>
      <c r="K3" s="257"/>
      <c r="L3" s="258"/>
      <c r="M3" s="256"/>
      <c r="N3" s="256"/>
    </row>
    <row r="4" spans="1:23" s="116" customFormat="1" ht="18.95" customHeight="1">
      <c r="B4" s="306"/>
      <c r="C4" s="306"/>
      <c r="E4" s="260"/>
      <c r="F4" s="260"/>
      <c r="G4" s="260"/>
      <c r="H4" s="260"/>
      <c r="I4" s="260"/>
      <c r="J4" s="260"/>
      <c r="K4" s="260"/>
      <c r="L4" s="260"/>
      <c r="M4" s="260"/>
      <c r="N4" s="260"/>
    </row>
    <row r="5" spans="1:23" ht="18.95" customHeight="1">
      <c r="A5" s="1360" t="s">
        <v>1007</v>
      </c>
      <c r="B5" s="1370" t="s">
        <v>17</v>
      </c>
      <c r="C5" s="1371"/>
      <c r="D5" s="1372"/>
      <c r="E5" s="1409" t="s">
        <v>1173</v>
      </c>
      <c r="F5" s="1409" t="s">
        <v>1174</v>
      </c>
      <c r="G5" s="1406" t="s">
        <v>1008</v>
      </c>
      <c r="H5" s="1407"/>
      <c r="I5" s="1408"/>
      <c r="J5" s="1406" t="s">
        <v>1010</v>
      </c>
      <c r="K5" s="1407"/>
      <c r="L5" s="1408"/>
      <c r="M5" s="261" t="s">
        <v>1175</v>
      </c>
      <c r="N5" s="1409" t="s">
        <v>19</v>
      </c>
      <c r="P5" s="1357"/>
    </row>
    <row r="6" spans="1:23" ht="18.95" customHeight="1">
      <c r="A6" s="1361"/>
      <c r="B6" s="1373"/>
      <c r="C6" s="1374"/>
      <c r="D6" s="1375"/>
      <c r="E6" s="1410"/>
      <c r="F6" s="1410"/>
      <c r="G6" s="262" t="s">
        <v>203</v>
      </c>
      <c r="H6" s="262" t="s">
        <v>203</v>
      </c>
      <c r="I6" s="262" t="s">
        <v>1176</v>
      </c>
      <c r="J6" s="262" t="s">
        <v>203</v>
      </c>
      <c r="K6" s="262" t="s">
        <v>203</v>
      </c>
      <c r="L6" s="262" t="s">
        <v>1176</v>
      </c>
      <c r="M6" s="262" t="s">
        <v>1177</v>
      </c>
      <c r="N6" s="1410"/>
      <c r="P6" s="1357"/>
    </row>
    <row r="7" spans="1:23" ht="18.95" customHeight="1">
      <c r="A7" s="312"/>
      <c r="B7" s="313" t="s">
        <v>1872</v>
      </c>
      <c r="C7" s="619"/>
      <c r="D7" s="197"/>
      <c r="E7" s="263"/>
      <c r="F7" s="264"/>
      <c r="G7" s="263"/>
      <c r="H7" s="263"/>
      <c r="I7" s="263"/>
      <c r="J7" s="265"/>
      <c r="K7" s="265"/>
      <c r="L7" s="266"/>
      <c r="M7" s="264"/>
      <c r="N7" s="264"/>
      <c r="Q7" s="576"/>
      <c r="W7" s="576"/>
    </row>
    <row r="8" spans="1:23" ht="18.95" customHeight="1">
      <c r="A8" s="224"/>
      <c r="B8" s="620"/>
      <c r="C8" s="620"/>
      <c r="D8" s="167"/>
      <c r="E8" s="267"/>
      <c r="F8" s="268"/>
      <c r="G8" s="267"/>
      <c r="H8" s="267"/>
      <c r="I8" s="270"/>
      <c r="J8" s="269"/>
      <c r="K8" s="269"/>
      <c r="L8" s="269"/>
      <c r="M8" s="270"/>
      <c r="N8" s="268"/>
      <c r="Q8" s="576"/>
      <c r="W8" s="576"/>
    </row>
    <row r="9" spans="1:23" ht="18.95" customHeight="1">
      <c r="A9" s="621">
        <v>1</v>
      </c>
      <c r="B9" s="622" t="s">
        <v>1873</v>
      </c>
      <c r="C9" s="318"/>
      <c r="D9" s="167"/>
      <c r="E9" s="267">
        <v>1</v>
      </c>
      <c r="F9" s="268" t="s">
        <v>351</v>
      </c>
      <c r="G9" s="267"/>
      <c r="H9" s="267"/>
      <c r="I9" s="284">
        <f>I164</f>
        <v>0</v>
      </c>
      <c r="J9" s="284"/>
      <c r="K9" s="284"/>
      <c r="L9" s="284">
        <f>L164</f>
        <v>161271.63810750001</v>
      </c>
      <c r="M9" s="535">
        <f>I9+L9</f>
        <v>161271.63810750001</v>
      </c>
      <c r="N9" s="268"/>
      <c r="O9" s="293">
        <f>P9*0.934908047</f>
        <v>161271.63810749998</v>
      </c>
      <c r="P9" s="293">
        <v>172500</v>
      </c>
      <c r="Q9" s="576"/>
      <c r="W9" s="576"/>
    </row>
    <row r="10" spans="1:23" ht="18.95" customHeight="1">
      <c r="A10" s="314">
        <v>2</v>
      </c>
      <c r="B10" s="623" t="s">
        <v>1874</v>
      </c>
      <c r="C10" s="318"/>
      <c r="D10" s="167"/>
      <c r="E10" s="267">
        <v>1</v>
      </c>
      <c r="F10" s="268" t="s">
        <v>351</v>
      </c>
      <c r="G10" s="267"/>
      <c r="H10" s="267"/>
      <c r="I10" s="284">
        <f>I223</f>
        <v>365140.49156046082</v>
      </c>
      <c r="J10" s="284"/>
      <c r="K10" s="284"/>
      <c r="L10" s="284">
        <f>L223</f>
        <v>21970.339104499995</v>
      </c>
      <c r="M10" s="535">
        <f t="shared" ref="M10:M16" si="0">I10+L10</f>
        <v>387110.83066496084</v>
      </c>
      <c r="N10" s="268"/>
      <c r="O10" s="293">
        <f t="shared" ref="O10:O16" si="1">P10*0.934908047</f>
        <v>387110.83066496096</v>
      </c>
      <c r="P10" s="293">
        <v>414063</v>
      </c>
      <c r="Q10" s="576"/>
      <c r="W10" s="576"/>
    </row>
    <row r="11" spans="1:23" ht="18.95" customHeight="1">
      <c r="A11" s="314">
        <v>3</v>
      </c>
      <c r="B11" s="623" t="s">
        <v>1875</v>
      </c>
      <c r="C11" s="318"/>
      <c r="D11" s="167"/>
      <c r="E11" s="267">
        <v>1</v>
      </c>
      <c r="F11" s="268" t="s">
        <v>351</v>
      </c>
      <c r="G11" s="267"/>
      <c r="H11" s="267"/>
      <c r="I11" s="284">
        <f>I261</f>
        <v>1898494.3983417249</v>
      </c>
      <c r="J11" s="284"/>
      <c r="K11" s="284"/>
      <c r="L11" s="284">
        <f>L261</f>
        <v>543574.79763156816</v>
      </c>
      <c r="M11" s="535">
        <f t="shared" si="0"/>
        <v>2442069.1959732929</v>
      </c>
      <c r="N11" s="268"/>
      <c r="O11" s="293">
        <f t="shared" si="1"/>
        <v>2442069.1959732934</v>
      </c>
      <c r="P11" s="293">
        <v>2612095.6</v>
      </c>
      <c r="Q11" s="576"/>
      <c r="W11" s="576"/>
    </row>
    <row r="12" spans="1:23" ht="18.95" customHeight="1">
      <c r="A12" s="314">
        <v>4</v>
      </c>
      <c r="B12" s="623" t="s">
        <v>1876</v>
      </c>
      <c r="C12" s="318"/>
      <c r="D12" s="167"/>
      <c r="E12" s="267">
        <v>1</v>
      </c>
      <c r="F12" s="268" t="s">
        <v>351</v>
      </c>
      <c r="G12" s="267"/>
      <c r="H12" s="267"/>
      <c r="I12" s="284">
        <f>I275</f>
        <v>1027837.9068718</v>
      </c>
      <c r="J12" s="284"/>
      <c r="K12" s="284"/>
      <c r="L12" s="284">
        <f>L275</f>
        <v>364913.30890503997</v>
      </c>
      <c r="M12" s="535">
        <f t="shared" si="0"/>
        <v>1392751.21577684</v>
      </c>
      <c r="N12" s="268"/>
      <c r="O12" s="293">
        <f t="shared" si="1"/>
        <v>1392751.21577684</v>
      </c>
      <c r="P12" s="293">
        <v>1489720</v>
      </c>
      <c r="Q12" s="576"/>
      <c r="W12" s="576"/>
    </row>
    <row r="13" spans="1:23" ht="18.95" customHeight="1">
      <c r="A13" s="314">
        <v>5</v>
      </c>
      <c r="B13" s="623" t="s">
        <v>1877</v>
      </c>
      <c r="C13" s="318"/>
      <c r="D13" s="167"/>
      <c r="E13" s="267">
        <v>1</v>
      </c>
      <c r="F13" s="268" t="s">
        <v>351</v>
      </c>
      <c r="G13" s="269"/>
      <c r="H13" s="269"/>
      <c r="I13" s="284">
        <f>I333</f>
        <v>248484.18468137737</v>
      </c>
      <c r="J13" s="284"/>
      <c r="K13" s="284"/>
      <c r="L13" s="284">
        <f>L333</f>
        <v>46556.772965167147</v>
      </c>
      <c r="M13" s="535">
        <f t="shared" si="0"/>
        <v>295040.9576465445</v>
      </c>
      <c r="N13" s="268"/>
      <c r="O13" s="293">
        <f t="shared" si="1"/>
        <v>295040.94596019393</v>
      </c>
      <c r="P13" s="293">
        <v>315582.84999999998</v>
      </c>
      <c r="Q13" s="576"/>
      <c r="W13" s="576"/>
    </row>
    <row r="14" spans="1:23" ht="18.95" customHeight="1">
      <c r="A14" s="314">
        <v>6</v>
      </c>
      <c r="B14" s="623" t="s">
        <v>1878</v>
      </c>
      <c r="C14" s="318"/>
      <c r="D14" s="167"/>
      <c r="E14" s="267">
        <v>1</v>
      </c>
      <c r="F14" s="268" t="s">
        <v>351</v>
      </c>
      <c r="G14" s="269"/>
      <c r="H14" s="269"/>
      <c r="I14" s="284">
        <f>I344</f>
        <v>263326.20051801996</v>
      </c>
      <c r="J14" s="284"/>
      <c r="K14" s="284"/>
      <c r="L14" s="284">
        <f>L344</f>
        <v>25726.799637345997</v>
      </c>
      <c r="M14" s="535">
        <f t="shared" si="0"/>
        <v>289053.00015536597</v>
      </c>
      <c r="N14" s="268"/>
      <c r="O14" s="293">
        <f t="shared" si="1"/>
        <v>289053.00015536597</v>
      </c>
      <c r="P14" s="293">
        <v>309178</v>
      </c>
      <c r="Q14" s="576"/>
      <c r="W14" s="576"/>
    </row>
    <row r="15" spans="1:23" ht="18.95" customHeight="1">
      <c r="A15" s="314">
        <v>7</v>
      </c>
      <c r="B15" s="623" t="s">
        <v>1879</v>
      </c>
      <c r="C15" s="318"/>
      <c r="D15" s="167"/>
      <c r="E15" s="267">
        <v>1</v>
      </c>
      <c r="F15" s="268" t="s">
        <v>351</v>
      </c>
      <c r="G15" s="269"/>
      <c r="H15" s="269"/>
      <c r="I15" s="284">
        <f>I359</f>
        <v>1056446.0931099998</v>
      </c>
      <c r="J15" s="284"/>
      <c r="K15" s="284"/>
      <c r="L15" s="284">
        <f>L359</f>
        <v>174827.80478899996</v>
      </c>
      <c r="M15" s="535">
        <f t="shared" si="0"/>
        <v>1231273.8978989997</v>
      </c>
      <c r="N15" s="268"/>
      <c r="O15" s="293">
        <f t="shared" si="1"/>
        <v>1231273.897899</v>
      </c>
      <c r="P15" s="293">
        <v>1317000</v>
      </c>
      <c r="Q15" s="576"/>
      <c r="W15" s="576"/>
    </row>
    <row r="16" spans="1:23" ht="18.95" customHeight="1">
      <c r="A16" s="314">
        <v>8</v>
      </c>
      <c r="B16" s="623" t="s">
        <v>1880</v>
      </c>
      <c r="C16" s="318"/>
      <c r="D16" s="167"/>
      <c r="E16" s="267">
        <v>1</v>
      </c>
      <c r="F16" s="268" t="s">
        <v>351</v>
      </c>
      <c r="G16" s="267"/>
      <c r="H16" s="267"/>
      <c r="I16" s="284">
        <f>I363</f>
        <v>186981.60939999999</v>
      </c>
      <c r="J16" s="284"/>
      <c r="K16" s="284"/>
      <c r="L16" s="284">
        <f>L363</f>
        <v>93490.804699999993</v>
      </c>
      <c r="M16" s="535">
        <f t="shared" si="0"/>
        <v>280472.41409999999</v>
      </c>
      <c r="N16" s="268"/>
      <c r="O16" s="293">
        <f t="shared" si="1"/>
        <v>280472.41409999999</v>
      </c>
      <c r="P16" s="293">
        <v>300000</v>
      </c>
      <c r="Q16" s="576"/>
      <c r="W16" s="576"/>
    </row>
    <row r="17" spans="1:23" ht="18.95" customHeight="1">
      <c r="A17" s="314"/>
      <c r="B17" s="624"/>
      <c r="C17" s="230"/>
      <c r="D17" s="165"/>
      <c r="E17" s="267"/>
      <c r="F17" s="268"/>
      <c r="G17" s="269"/>
      <c r="H17" s="269"/>
      <c r="I17" s="284"/>
      <c r="J17" s="284"/>
      <c r="K17" s="284"/>
      <c r="L17" s="535"/>
      <c r="M17" s="535"/>
      <c r="N17" s="268"/>
      <c r="O17" s="293"/>
      <c r="P17" s="293"/>
      <c r="Q17" s="576"/>
      <c r="W17" s="576"/>
    </row>
    <row r="18" spans="1:23" ht="18.95" customHeight="1">
      <c r="A18" s="314"/>
      <c r="B18" s="1411" t="s">
        <v>1881</v>
      </c>
      <c r="C18" s="1412"/>
      <c r="D18" s="1413"/>
      <c r="E18" s="267"/>
      <c r="F18" s="268"/>
      <c r="G18" s="269"/>
      <c r="H18" s="269"/>
      <c r="I18" s="562">
        <f>SUM(I9:I17)</f>
        <v>5046710.884483383</v>
      </c>
      <c r="J18" s="562"/>
      <c r="K18" s="562"/>
      <c r="L18" s="562">
        <f>SUM(L9:L17)</f>
        <v>1432332.2658401213</v>
      </c>
      <c r="M18" s="562">
        <f>SUM(M9:M17)</f>
        <v>6479043.1503235037</v>
      </c>
      <c r="N18" s="268"/>
      <c r="O18" s="293">
        <f>SUM(O9:O17)</f>
        <v>6479043.1386371544</v>
      </c>
      <c r="P18" s="293">
        <f>SUM(P9:P17)</f>
        <v>6930139.4499999993</v>
      </c>
      <c r="Q18" s="576"/>
      <c r="W18" s="576"/>
    </row>
    <row r="19" spans="1:23" ht="18.95" customHeight="1">
      <c r="A19" s="314"/>
      <c r="B19" s="625"/>
      <c r="C19" s="626"/>
      <c r="D19" s="627"/>
      <c r="E19" s="267"/>
      <c r="F19" s="268"/>
      <c r="G19" s="269"/>
      <c r="H19" s="269"/>
      <c r="I19" s="562"/>
      <c r="J19" s="562"/>
      <c r="K19" s="562"/>
      <c r="L19" s="562"/>
      <c r="M19" s="628"/>
      <c r="N19" s="268"/>
      <c r="Q19" s="576"/>
      <c r="W19" s="576"/>
    </row>
    <row r="20" spans="1:23" ht="23.25">
      <c r="A20" s="314"/>
      <c r="B20" s="625"/>
      <c r="C20" s="626"/>
      <c r="D20" s="627"/>
      <c r="E20" s="267"/>
      <c r="F20" s="268"/>
      <c r="G20" s="269"/>
      <c r="H20" s="269"/>
      <c r="I20" s="562"/>
      <c r="J20" s="562"/>
      <c r="K20" s="562"/>
      <c r="L20" s="562"/>
      <c r="M20" s="628"/>
      <c r="N20" s="268"/>
      <c r="Q20" s="576"/>
      <c r="W20" s="576"/>
    </row>
    <row r="21" spans="1:23" ht="18.95" customHeight="1">
      <c r="A21" s="314"/>
      <c r="B21" s="625"/>
      <c r="C21" s="626"/>
      <c r="D21" s="627"/>
      <c r="E21" s="267"/>
      <c r="F21" s="268"/>
      <c r="G21" s="269"/>
      <c r="H21" s="269"/>
      <c r="I21" s="562"/>
      <c r="J21" s="562"/>
      <c r="K21" s="562"/>
      <c r="L21" s="562"/>
      <c r="M21" s="628"/>
      <c r="N21" s="268"/>
      <c r="Q21" s="576"/>
      <c r="W21" s="576"/>
    </row>
    <row r="22" spans="1:23" ht="18.95" customHeight="1">
      <c r="A22" s="314"/>
      <c r="B22" s="625"/>
      <c r="C22" s="626"/>
      <c r="D22" s="627"/>
      <c r="E22" s="267"/>
      <c r="F22" s="268"/>
      <c r="G22" s="269"/>
      <c r="H22" s="269"/>
      <c r="I22" s="562"/>
      <c r="J22" s="562"/>
      <c r="K22" s="562"/>
      <c r="L22" s="562"/>
      <c r="M22" s="628"/>
      <c r="N22" s="268"/>
      <c r="Q22" s="576"/>
      <c r="W22" s="576"/>
    </row>
    <row r="23" spans="1:23" ht="18.95" customHeight="1">
      <c r="A23" s="314"/>
      <c r="B23" s="625"/>
      <c r="C23" s="626"/>
      <c r="D23" s="627"/>
      <c r="E23" s="267"/>
      <c r="F23" s="268"/>
      <c r="G23" s="269"/>
      <c r="H23" s="269"/>
      <c r="I23" s="562"/>
      <c r="J23" s="562"/>
      <c r="K23" s="562"/>
      <c r="L23" s="562"/>
      <c r="M23" s="628"/>
      <c r="N23" s="268"/>
      <c r="Q23" s="576"/>
      <c r="W23" s="576"/>
    </row>
    <row r="24" spans="1:23" ht="18.95" customHeight="1">
      <c r="A24" s="314"/>
      <c r="B24" s="625"/>
      <c r="C24" s="626"/>
      <c r="D24" s="627"/>
      <c r="E24" s="267"/>
      <c r="F24" s="268"/>
      <c r="G24" s="269"/>
      <c r="H24" s="269"/>
      <c r="I24" s="562"/>
      <c r="J24" s="562"/>
      <c r="K24" s="562"/>
      <c r="L24" s="562"/>
      <c r="M24" s="628"/>
      <c r="N24" s="268"/>
      <c r="Q24" s="576"/>
      <c r="W24" s="576"/>
    </row>
    <row r="25" spans="1:23" ht="18.95" customHeight="1">
      <c r="A25" s="314"/>
      <c r="B25" s="625"/>
      <c r="C25" s="626"/>
      <c r="D25" s="627"/>
      <c r="E25" s="267"/>
      <c r="F25" s="268"/>
      <c r="G25" s="269"/>
      <c r="H25" s="269"/>
      <c r="I25" s="562"/>
      <c r="J25" s="562"/>
      <c r="K25" s="562"/>
      <c r="L25" s="562"/>
      <c r="M25" s="628"/>
      <c r="N25" s="268"/>
      <c r="Q25" s="576"/>
      <c r="W25" s="576"/>
    </row>
    <row r="26" spans="1:23" ht="18.95" customHeight="1">
      <c r="A26" s="314"/>
      <c r="B26" s="625"/>
      <c r="C26" s="626"/>
      <c r="D26" s="627"/>
      <c r="E26" s="267"/>
      <c r="F26" s="268"/>
      <c r="G26" s="269"/>
      <c r="H26" s="269"/>
      <c r="I26" s="562"/>
      <c r="J26" s="562"/>
      <c r="K26" s="562"/>
      <c r="L26" s="562"/>
      <c r="M26" s="628"/>
      <c r="N26" s="268"/>
      <c r="Q26" s="576"/>
      <c r="W26" s="576"/>
    </row>
    <row r="27" spans="1:23" ht="18.95" customHeight="1">
      <c r="A27" s="314"/>
      <c r="B27" s="625"/>
      <c r="C27" s="626"/>
      <c r="D27" s="627"/>
      <c r="E27" s="267"/>
      <c r="F27" s="268"/>
      <c r="G27" s="269"/>
      <c r="H27" s="269"/>
      <c r="I27" s="562"/>
      <c r="J27" s="562"/>
      <c r="K27" s="562"/>
      <c r="L27" s="562"/>
      <c r="M27" s="628"/>
      <c r="N27" s="268"/>
      <c r="Q27" s="576"/>
      <c r="W27" s="576"/>
    </row>
    <row r="28" spans="1:23" ht="18.95" customHeight="1">
      <c r="A28" s="314"/>
      <c r="B28" s="625"/>
      <c r="C28" s="626"/>
      <c r="D28" s="627"/>
      <c r="E28" s="267"/>
      <c r="F28" s="268"/>
      <c r="G28" s="269"/>
      <c r="H28" s="269"/>
      <c r="I28" s="562"/>
      <c r="J28" s="562"/>
      <c r="K28" s="562"/>
      <c r="L28" s="562"/>
      <c r="M28" s="628"/>
      <c r="N28" s="268"/>
      <c r="Q28" s="576"/>
      <c r="W28" s="576"/>
    </row>
    <row r="29" spans="1:23" ht="18.95" customHeight="1">
      <c r="A29" s="314"/>
      <c r="B29" s="625"/>
      <c r="C29" s="626"/>
      <c r="D29" s="627"/>
      <c r="E29" s="267"/>
      <c r="F29" s="268"/>
      <c r="G29" s="269"/>
      <c r="H29" s="269"/>
      <c r="I29" s="562"/>
      <c r="J29" s="562"/>
      <c r="K29" s="562"/>
      <c r="L29" s="562"/>
      <c r="M29" s="628"/>
      <c r="N29" s="268"/>
      <c r="Q29" s="576"/>
      <c r="W29" s="576"/>
    </row>
    <row r="30" spans="1:23" ht="18.95" customHeight="1">
      <c r="A30" s="314"/>
      <c r="B30" s="625"/>
      <c r="C30" s="626"/>
      <c r="D30" s="627"/>
      <c r="E30" s="267"/>
      <c r="F30" s="268"/>
      <c r="G30" s="269"/>
      <c r="H30" s="269"/>
      <c r="I30" s="562"/>
      <c r="J30" s="562"/>
      <c r="K30" s="562"/>
      <c r="L30" s="562"/>
      <c r="M30" s="628"/>
      <c r="N30" s="268"/>
      <c r="Q30" s="576"/>
      <c r="W30" s="576"/>
    </row>
    <row r="31" spans="1:23" ht="18.95" customHeight="1">
      <c r="A31" s="629">
        <v>1</v>
      </c>
      <c r="B31" s="630" t="s">
        <v>1873</v>
      </c>
      <c r="C31" s="338"/>
      <c r="D31" s="165"/>
      <c r="E31" s="267"/>
      <c r="F31" s="268"/>
      <c r="G31" s="267"/>
      <c r="H31" s="267"/>
      <c r="I31" s="267"/>
      <c r="J31" s="269"/>
      <c r="K31" s="269"/>
      <c r="L31" s="269"/>
      <c r="M31" s="270"/>
      <c r="N31" s="268"/>
      <c r="Q31" s="576"/>
      <c r="W31" s="576"/>
    </row>
    <row r="32" spans="1:23" ht="18.95" customHeight="1">
      <c r="A32" s="629"/>
      <c r="B32" s="330">
        <v>1.1000000000000001</v>
      </c>
      <c r="C32" s="631" t="s">
        <v>1873</v>
      </c>
      <c r="D32" s="230"/>
      <c r="E32" s="267"/>
      <c r="F32" s="268"/>
      <c r="G32" s="267"/>
      <c r="H32" s="267"/>
      <c r="I32" s="267"/>
      <c r="J32" s="269"/>
      <c r="K32" s="269"/>
      <c r="L32" s="269"/>
      <c r="M32" s="270"/>
      <c r="N32" s="268"/>
      <c r="Q32" s="576"/>
      <c r="W32" s="576"/>
    </row>
    <row r="33" spans="1:23" ht="18.95" customHeight="1">
      <c r="A33" s="621"/>
      <c r="B33" s="622" t="s">
        <v>1882</v>
      </c>
      <c r="C33" s="318"/>
      <c r="D33" s="235"/>
      <c r="E33" s="267"/>
      <c r="F33" s="268"/>
      <c r="G33" s="267"/>
      <c r="H33" s="267"/>
      <c r="I33" s="267"/>
      <c r="J33" s="269"/>
      <c r="K33" s="269"/>
      <c r="L33" s="269"/>
      <c r="M33" s="270"/>
      <c r="N33" s="268"/>
      <c r="P33" s="306"/>
      <c r="Q33" s="560"/>
      <c r="R33" s="407"/>
      <c r="W33" s="576"/>
    </row>
    <row r="34" spans="1:23" ht="18.95" customHeight="1">
      <c r="A34" s="632"/>
      <c r="B34" s="603"/>
      <c r="C34" s="316" t="s">
        <v>1883</v>
      </c>
      <c r="D34" s="328" t="s">
        <v>1884</v>
      </c>
      <c r="E34" s="267">
        <v>1</v>
      </c>
      <c r="F34" s="356" t="s">
        <v>402</v>
      </c>
      <c r="G34" s="267"/>
      <c r="H34" s="267"/>
      <c r="I34" s="269">
        <f>ROUNDDOWN(E34*G34,2)</f>
        <v>0</v>
      </c>
      <c r="J34" s="270">
        <v>1000</v>
      </c>
      <c r="K34" s="270">
        <f>J34*O34</f>
        <v>934.90804700000001</v>
      </c>
      <c r="L34" s="270">
        <f>E34*K34</f>
        <v>934.90804700000001</v>
      </c>
      <c r="M34" s="270">
        <f t="shared" ref="M34:M41" si="2">I34+L34</f>
        <v>934.90804700000001</v>
      </c>
      <c r="N34" s="268"/>
      <c r="O34" s="250">
        <v>0.93490804699999996</v>
      </c>
      <c r="Q34" s="560"/>
      <c r="W34" s="576"/>
    </row>
    <row r="35" spans="1:23" ht="18.95" customHeight="1">
      <c r="A35" s="632"/>
      <c r="B35" s="603"/>
      <c r="C35" s="316" t="s">
        <v>1885</v>
      </c>
      <c r="D35" s="328" t="s">
        <v>1886</v>
      </c>
      <c r="E35" s="267">
        <v>1</v>
      </c>
      <c r="F35" s="356" t="s">
        <v>402</v>
      </c>
      <c r="G35" s="267"/>
      <c r="H35" s="267"/>
      <c r="I35" s="269">
        <f t="shared" ref="I35:I41" si="3">ROUNDDOWN(E35*G35,2)</f>
        <v>0</v>
      </c>
      <c r="J35" s="270">
        <v>1000</v>
      </c>
      <c r="K35" s="270">
        <f t="shared" ref="K35:K98" si="4">J35*O35</f>
        <v>934.90804700000001</v>
      </c>
      <c r="L35" s="270">
        <f t="shared" ref="L35:L98" si="5">E35*K35</f>
        <v>934.90804700000001</v>
      </c>
      <c r="M35" s="270">
        <f t="shared" si="2"/>
        <v>934.90804700000001</v>
      </c>
      <c r="N35" s="268"/>
      <c r="O35" s="250">
        <v>0.93490804699999996</v>
      </c>
      <c r="Q35" s="560"/>
      <c r="W35" s="576"/>
    </row>
    <row r="36" spans="1:23" ht="18.95" customHeight="1">
      <c r="A36" s="632"/>
      <c r="B36" s="603"/>
      <c r="C36" s="316" t="s">
        <v>1887</v>
      </c>
      <c r="D36" s="328" t="s">
        <v>1886</v>
      </c>
      <c r="E36" s="267">
        <v>1</v>
      </c>
      <c r="F36" s="356" t="s">
        <v>402</v>
      </c>
      <c r="G36" s="267"/>
      <c r="H36" s="267"/>
      <c r="I36" s="269">
        <f t="shared" si="3"/>
        <v>0</v>
      </c>
      <c r="J36" s="270">
        <v>1000</v>
      </c>
      <c r="K36" s="270">
        <f t="shared" si="4"/>
        <v>934.90804700000001</v>
      </c>
      <c r="L36" s="270">
        <f t="shared" si="5"/>
        <v>934.90804700000001</v>
      </c>
      <c r="M36" s="270">
        <f t="shared" si="2"/>
        <v>934.90804700000001</v>
      </c>
      <c r="N36" s="268"/>
      <c r="O36" s="250">
        <v>0.93490804699999996</v>
      </c>
      <c r="Q36" s="560"/>
      <c r="W36" s="576"/>
    </row>
    <row r="37" spans="1:23" ht="18.95" customHeight="1">
      <c r="A37" s="632"/>
      <c r="B37" s="603"/>
      <c r="C37" s="316" t="s">
        <v>1888</v>
      </c>
      <c r="D37" s="328" t="s">
        <v>1886</v>
      </c>
      <c r="E37" s="267">
        <v>1</v>
      </c>
      <c r="F37" s="356" t="s">
        <v>402</v>
      </c>
      <c r="G37" s="267"/>
      <c r="H37" s="267"/>
      <c r="I37" s="269">
        <f t="shared" si="3"/>
        <v>0</v>
      </c>
      <c r="J37" s="270">
        <v>1000</v>
      </c>
      <c r="K37" s="270">
        <f t="shared" si="4"/>
        <v>934.90804700000001</v>
      </c>
      <c r="L37" s="270">
        <f t="shared" si="5"/>
        <v>934.90804700000001</v>
      </c>
      <c r="M37" s="270">
        <f t="shared" si="2"/>
        <v>934.90804700000001</v>
      </c>
      <c r="N37" s="268"/>
      <c r="O37" s="250">
        <v>0.93490804699999996</v>
      </c>
      <c r="Q37" s="560"/>
      <c r="W37" s="576"/>
    </row>
    <row r="38" spans="1:23" ht="18.95" customHeight="1">
      <c r="A38" s="632"/>
      <c r="B38" s="603"/>
      <c r="C38" s="316" t="s">
        <v>1889</v>
      </c>
      <c r="D38" s="328" t="s">
        <v>1886</v>
      </c>
      <c r="E38" s="267">
        <v>1</v>
      </c>
      <c r="F38" s="356" t="s">
        <v>402</v>
      </c>
      <c r="G38" s="267"/>
      <c r="H38" s="267"/>
      <c r="I38" s="269">
        <f t="shared" si="3"/>
        <v>0</v>
      </c>
      <c r="J38" s="270">
        <v>1000</v>
      </c>
      <c r="K38" s="270">
        <f t="shared" si="4"/>
        <v>934.90804700000001</v>
      </c>
      <c r="L38" s="270">
        <f t="shared" si="5"/>
        <v>934.90804700000001</v>
      </c>
      <c r="M38" s="270">
        <f t="shared" si="2"/>
        <v>934.90804700000001</v>
      </c>
      <c r="N38" s="268"/>
      <c r="O38" s="250">
        <v>0.93490804699999996</v>
      </c>
      <c r="Q38" s="560"/>
      <c r="W38" s="576"/>
    </row>
    <row r="39" spans="1:23" ht="18.95" customHeight="1">
      <c r="A39" s="632"/>
      <c r="B39" s="603"/>
      <c r="C39" s="316" t="s">
        <v>1890</v>
      </c>
      <c r="D39" s="328" t="s">
        <v>1891</v>
      </c>
      <c r="E39" s="267">
        <v>1</v>
      </c>
      <c r="F39" s="356" t="s">
        <v>402</v>
      </c>
      <c r="G39" s="267"/>
      <c r="H39" s="267"/>
      <c r="I39" s="269">
        <f t="shared" si="3"/>
        <v>0</v>
      </c>
      <c r="J39" s="270">
        <v>1000</v>
      </c>
      <c r="K39" s="270">
        <f t="shared" si="4"/>
        <v>934.90804700000001</v>
      </c>
      <c r="L39" s="270">
        <f t="shared" si="5"/>
        <v>934.90804700000001</v>
      </c>
      <c r="M39" s="270">
        <f t="shared" si="2"/>
        <v>934.90804700000001</v>
      </c>
      <c r="N39" s="268"/>
      <c r="O39" s="250">
        <v>0.93490804699999996</v>
      </c>
      <c r="Q39" s="560"/>
      <c r="W39" s="576"/>
    </row>
    <row r="40" spans="1:23" ht="18.95" customHeight="1">
      <c r="A40" s="632"/>
      <c r="B40" s="603"/>
      <c r="C40" s="316" t="s">
        <v>1892</v>
      </c>
      <c r="D40" s="328" t="s">
        <v>1891</v>
      </c>
      <c r="E40" s="267">
        <v>1</v>
      </c>
      <c r="F40" s="356" t="s">
        <v>402</v>
      </c>
      <c r="G40" s="267"/>
      <c r="H40" s="267"/>
      <c r="I40" s="269">
        <f t="shared" si="3"/>
        <v>0</v>
      </c>
      <c r="J40" s="270">
        <v>1000</v>
      </c>
      <c r="K40" s="270">
        <f t="shared" si="4"/>
        <v>934.90804700000001</v>
      </c>
      <c r="L40" s="270">
        <f t="shared" si="5"/>
        <v>934.90804700000001</v>
      </c>
      <c r="M40" s="270">
        <f t="shared" si="2"/>
        <v>934.90804700000001</v>
      </c>
      <c r="N40" s="268"/>
      <c r="O40" s="250">
        <v>0.93490804699999996</v>
      </c>
      <c r="Q40" s="560"/>
      <c r="W40" s="576"/>
    </row>
    <row r="41" spans="1:23" ht="18.95" customHeight="1">
      <c r="A41" s="632"/>
      <c r="B41" s="603"/>
      <c r="C41" s="316" t="s">
        <v>1893</v>
      </c>
      <c r="D41" s="328" t="s">
        <v>1891</v>
      </c>
      <c r="E41" s="267">
        <v>1</v>
      </c>
      <c r="F41" s="356" t="s">
        <v>402</v>
      </c>
      <c r="G41" s="267"/>
      <c r="H41" s="267"/>
      <c r="I41" s="269">
        <f t="shared" si="3"/>
        <v>0</v>
      </c>
      <c r="J41" s="270">
        <v>1000</v>
      </c>
      <c r="K41" s="270">
        <f t="shared" si="4"/>
        <v>934.90804700000001</v>
      </c>
      <c r="L41" s="270">
        <f t="shared" si="5"/>
        <v>934.90804700000001</v>
      </c>
      <c r="M41" s="270">
        <f t="shared" si="2"/>
        <v>934.90804700000001</v>
      </c>
      <c r="N41" s="268"/>
      <c r="O41" s="250">
        <v>0.93490804699999996</v>
      </c>
      <c r="Q41" s="560"/>
      <c r="W41" s="576"/>
    </row>
    <row r="42" spans="1:23" ht="18.95" customHeight="1">
      <c r="A42" s="632"/>
      <c r="B42" s="603" t="s">
        <v>1894</v>
      </c>
      <c r="C42" s="633"/>
      <c r="D42" s="633"/>
      <c r="E42" s="267"/>
      <c r="F42" s="356"/>
      <c r="G42" s="267"/>
      <c r="H42" s="267"/>
      <c r="I42" s="269"/>
      <c r="J42" s="270"/>
      <c r="K42" s="270"/>
      <c r="L42" s="270"/>
      <c r="M42" s="270"/>
      <c r="N42" s="268"/>
      <c r="O42" s="250">
        <v>0.93490804699999996</v>
      </c>
      <c r="Q42" s="560"/>
      <c r="W42" s="576"/>
    </row>
    <row r="43" spans="1:23" ht="18.95" customHeight="1">
      <c r="A43" s="632"/>
      <c r="B43" s="603"/>
      <c r="C43" s="316" t="s">
        <v>1895</v>
      </c>
      <c r="D43" s="634" t="s">
        <v>1896</v>
      </c>
      <c r="E43" s="267">
        <v>1</v>
      </c>
      <c r="F43" s="356" t="s">
        <v>402</v>
      </c>
      <c r="G43" s="267"/>
      <c r="H43" s="267"/>
      <c r="I43" s="269">
        <f t="shared" ref="I43:I55" si="6">ROUNDDOWN(E43*G43,2)</f>
        <v>0</v>
      </c>
      <c r="J43" s="270">
        <v>2000</v>
      </c>
      <c r="K43" s="270">
        <f t="shared" si="4"/>
        <v>1869.816094</v>
      </c>
      <c r="L43" s="270">
        <f t="shared" si="5"/>
        <v>1869.816094</v>
      </c>
      <c r="M43" s="270">
        <f t="shared" ref="M43:M55" si="7">I43+L43</f>
        <v>1869.816094</v>
      </c>
      <c r="N43" s="268"/>
      <c r="O43" s="250">
        <v>0.93490804699999996</v>
      </c>
      <c r="Q43" s="560"/>
      <c r="W43" s="576"/>
    </row>
    <row r="44" spans="1:23" ht="18.95" customHeight="1">
      <c r="A44" s="632"/>
      <c r="B44" s="603"/>
      <c r="C44" s="316" t="s">
        <v>1897</v>
      </c>
      <c r="D44" s="328" t="s">
        <v>1898</v>
      </c>
      <c r="E44" s="267">
        <v>1</v>
      </c>
      <c r="F44" s="356" t="s">
        <v>402</v>
      </c>
      <c r="G44" s="267"/>
      <c r="H44" s="267"/>
      <c r="I44" s="269">
        <f t="shared" si="6"/>
        <v>0</v>
      </c>
      <c r="J44" s="270">
        <v>1000</v>
      </c>
      <c r="K44" s="270">
        <f t="shared" si="4"/>
        <v>934.90804700000001</v>
      </c>
      <c r="L44" s="270">
        <f t="shared" si="5"/>
        <v>934.90804700000001</v>
      </c>
      <c r="M44" s="270">
        <f t="shared" si="7"/>
        <v>934.90804700000001</v>
      </c>
      <c r="N44" s="268"/>
      <c r="O44" s="250">
        <v>0.93490804699999996</v>
      </c>
      <c r="Q44" s="560"/>
      <c r="W44" s="576"/>
    </row>
    <row r="45" spans="1:23" ht="18.95" customHeight="1">
      <c r="A45" s="632"/>
      <c r="B45" s="603"/>
      <c r="C45" s="316" t="s">
        <v>1899</v>
      </c>
      <c r="D45" s="328" t="s">
        <v>1900</v>
      </c>
      <c r="E45" s="267">
        <v>1</v>
      </c>
      <c r="F45" s="356" t="s">
        <v>402</v>
      </c>
      <c r="G45" s="267"/>
      <c r="H45" s="267"/>
      <c r="I45" s="269">
        <f t="shared" si="6"/>
        <v>0</v>
      </c>
      <c r="J45" s="270">
        <v>1000</v>
      </c>
      <c r="K45" s="270">
        <f t="shared" si="4"/>
        <v>934.90804700000001</v>
      </c>
      <c r="L45" s="270">
        <f t="shared" si="5"/>
        <v>934.90804700000001</v>
      </c>
      <c r="M45" s="270">
        <f t="shared" si="7"/>
        <v>934.90804700000001</v>
      </c>
      <c r="N45" s="268"/>
      <c r="O45" s="250">
        <v>0.93490804699999996</v>
      </c>
      <c r="Q45" s="560"/>
      <c r="W45" s="576"/>
    </row>
    <row r="46" spans="1:23" ht="18.95" customHeight="1">
      <c r="A46" s="632"/>
      <c r="B46" s="603"/>
      <c r="C46" s="316" t="s">
        <v>1901</v>
      </c>
      <c r="D46" s="328" t="s">
        <v>1900</v>
      </c>
      <c r="E46" s="267">
        <v>1</v>
      </c>
      <c r="F46" s="356" t="s">
        <v>402</v>
      </c>
      <c r="G46" s="267"/>
      <c r="H46" s="267"/>
      <c r="I46" s="269">
        <f t="shared" si="6"/>
        <v>0</v>
      </c>
      <c r="J46" s="270">
        <v>1000</v>
      </c>
      <c r="K46" s="270">
        <f t="shared" si="4"/>
        <v>934.90804700000001</v>
      </c>
      <c r="L46" s="270">
        <f t="shared" si="5"/>
        <v>934.90804700000001</v>
      </c>
      <c r="M46" s="270">
        <f t="shared" si="7"/>
        <v>934.90804700000001</v>
      </c>
      <c r="N46" s="268"/>
      <c r="O46" s="250">
        <v>0.93490804699999996</v>
      </c>
      <c r="Q46" s="560"/>
      <c r="W46" s="576"/>
    </row>
    <row r="47" spans="1:23" ht="18.95" customHeight="1">
      <c r="A47" s="632"/>
      <c r="B47" s="603"/>
      <c r="C47" s="316" t="s">
        <v>1902</v>
      </c>
      <c r="D47" s="328" t="s">
        <v>1900</v>
      </c>
      <c r="E47" s="267">
        <v>1</v>
      </c>
      <c r="F47" s="356" t="s">
        <v>402</v>
      </c>
      <c r="G47" s="267"/>
      <c r="H47" s="267"/>
      <c r="I47" s="269">
        <f t="shared" si="6"/>
        <v>0</v>
      </c>
      <c r="J47" s="270">
        <v>1000</v>
      </c>
      <c r="K47" s="270">
        <f t="shared" si="4"/>
        <v>934.90804700000001</v>
      </c>
      <c r="L47" s="270">
        <f t="shared" si="5"/>
        <v>934.90804700000001</v>
      </c>
      <c r="M47" s="270">
        <f t="shared" si="7"/>
        <v>934.90804700000001</v>
      </c>
      <c r="N47" s="268"/>
      <c r="O47" s="250">
        <v>0.93490804699999996</v>
      </c>
      <c r="Q47" s="560"/>
      <c r="W47" s="576"/>
    </row>
    <row r="48" spans="1:23" ht="18.95" customHeight="1">
      <c r="A48" s="632"/>
      <c r="B48" s="603"/>
      <c r="C48" s="316" t="s">
        <v>1903</v>
      </c>
      <c r="D48" s="328" t="s">
        <v>1884</v>
      </c>
      <c r="E48" s="267">
        <v>1</v>
      </c>
      <c r="F48" s="356" t="s">
        <v>402</v>
      </c>
      <c r="G48" s="267"/>
      <c r="H48" s="267"/>
      <c r="I48" s="269">
        <f t="shared" si="6"/>
        <v>0</v>
      </c>
      <c r="J48" s="270">
        <v>1000</v>
      </c>
      <c r="K48" s="270">
        <f t="shared" si="4"/>
        <v>934.90804700000001</v>
      </c>
      <c r="L48" s="270">
        <f t="shared" si="5"/>
        <v>934.90804700000001</v>
      </c>
      <c r="M48" s="270">
        <f t="shared" si="7"/>
        <v>934.90804700000001</v>
      </c>
      <c r="N48" s="268"/>
      <c r="O48" s="250">
        <v>0.93490804699999996</v>
      </c>
      <c r="Q48" s="560"/>
      <c r="W48" s="576"/>
    </row>
    <row r="49" spans="1:23" ht="18.95" customHeight="1">
      <c r="A49" s="632"/>
      <c r="B49" s="603"/>
      <c r="C49" s="316" t="s">
        <v>1904</v>
      </c>
      <c r="D49" s="328" t="s">
        <v>1905</v>
      </c>
      <c r="E49" s="267">
        <v>1</v>
      </c>
      <c r="F49" s="356" t="s">
        <v>402</v>
      </c>
      <c r="G49" s="267"/>
      <c r="H49" s="267"/>
      <c r="I49" s="269">
        <f t="shared" si="6"/>
        <v>0</v>
      </c>
      <c r="J49" s="270">
        <v>1000</v>
      </c>
      <c r="K49" s="270">
        <f t="shared" si="4"/>
        <v>934.90804700000001</v>
      </c>
      <c r="L49" s="270">
        <f t="shared" si="5"/>
        <v>934.90804700000001</v>
      </c>
      <c r="M49" s="270">
        <f t="shared" si="7"/>
        <v>934.90804700000001</v>
      </c>
      <c r="N49" s="268"/>
      <c r="O49" s="250">
        <v>0.93490804699999996</v>
      </c>
      <c r="Q49" s="560"/>
      <c r="W49" s="576"/>
    </row>
    <row r="50" spans="1:23" ht="18.95" customHeight="1">
      <c r="A50" s="632"/>
      <c r="B50" s="603"/>
      <c r="C50" s="316" t="s">
        <v>1906</v>
      </c>
      <c r="D50" s="328" t="s">
        <v>1905</v>
      </c>
      <c r="E50" s="267">
        <v>1</v>
      </c>
      <c r="F50" s="356" t="s">
        <v>402</v>
      </c>
      <c r="G50" s="267"/>
      <c r="H50" s="267"/>
      <c r="I50" s="269">
        <f t="shared" si="6"/>
        <v>0</v>
      </c>
      <c r="J50" s="270">
        <v>1000</v>
      </c>
      <c r="K50" s="270">
        <f t="shared" si="4"/>
        <v>934.90804700000001</v>
      </c>
      <c r="L50" s="270">
        <f t="shared" si="5"/>
        <v>934.90804700000001</v>
      </c>
      <c r="M50" s="270">
        <f t="shared" si="7"/>
        <v>934.90804700000001</v>
      </c>
      <c r="N50" s="268"/>
      <c r="O50" s="250">
        <v>0.93490804699999996</v>
      </c>
      <c r="Q50" s="560"/>
      <c r="W50" s="576"/>
    </row>
    <row r="51" spans="1:23" ht="18.95" customHeight="1">
      <c r="A51" s="632"/>
      <c r="B51" s="603"/>
      <c r="C51" s="316" t="s">
        <v>1907</v>
      </c>
      <c r="D51" s="328" t="s">
        <v>1905</v>
      </c>
      <c r="E51" s="267">
        <v>1</v>
      </c>
      <c r="F51" s="356" t="s">
        <v>402</v>
      </c>
      <c r="G51" s="267"/>
      <c r="H51" s="267"/>
      <c r="I51" s="269">
        <f t="shared" si="6"/>
        <v>0</v>
      </c>
      <c r="J51" s="270">
        <v>1000</v>
      </c>
      <c r="K51" s="270">
        <f t="shared" si="4"/>
        <v>934.90804700000001</v>
      </c>
      <c r="L51" s="270">
        <f t="shared" si="5"/>
        <v>934.90804700000001</v>
      </c>
      <c r="M51" s="270">
        <f t="shared" si="7"/>
        <v>934.90804700000001</v>
      </c>
      <c r="N51" s="268"/>
      <c r="O51" s="250">
        <v>0.93490804699999996</v>
      </c>
      <c r="Q51" s="560"/>
      <c r="W51" s="576"/>
    </row>
    <row r="52" spans="1:23" ht="18.95" customHeight="1">
      <c r="A52" s="632"/>
      <c r="B52" s="603"/>
      <c r="C52" s="316" t="s">
        <v>1908</v>
      </c>
      <c r="D52" s="328" t="s">
        <v>1905</v>
      </c>
      <c r="E52" s="267">
        <v>1</v>
      </c>
      <c r="F52" s="356" t="s">
        <v>402</v>
      </c>
      <c r="G52" s="267"/>
      <c r="H52" s="267"/>
      <c r="I52" s="269">
        <f t="shared" si="6"/>
        <v>0</v>
      </c>
      <c r="J52" s="270">
        <v>1000</v>
      </c>
      <c r="K52" s="270">
        <f t="shared" si="4"/>
        <v>934.90804700000001</v>
      </c>
      <c r="L52" s="270">
        <f t="shared" si="5"/>
        <v>934.90804700000001</v>
      </c>
      <c r="M52" s="270">
        <f t="shared" si="7"/>
        <v>934.90804700000001</v>
      </c>
      <c r="N52" s="268"/>
      <c r="O52" s="250">
        <v>0.93490804699999996</v>
      </c>
      <c r="Q52" s="560"/>
      <c r="W52" s="576"/>
    </row>
    <row r="53" spans="1:23" ht="18.95" customHeight="1">
      <c r="A53" s="632"/>
      <c r="B53" s="603"/>
      <c r="C53" s="316" t="s">
        <v>1909</v>
      </c>
      <c r="D53" s="328" t="s">
        <v>1910</v>
      </c>
      <c r="E53" s="267">
        <v>1</v>
      </c>
      <c r="F53" s="356" t="s">
        <v>402</v>
      </c>
      <c r="G53" s="267"/>
      <c r="H53" s="267"/>
      <c r="I53" s="269">
        <f t="shared" si="6"/>
        <v>0</v>
      </c>
      <c r="J53" s="270">
        <v>1000</v>
      </c>
      <c r="K53" s="270">
        <f t="shared" si="4"/>
        <v>934.90804700000001</v>
      </c>
      <c r="L53" s="270">
        <f t="shared" si="5"/>
        <v>934.90804700000001</v>
      </c>
      <c r="M53" s="270">
        <f t="shared" si="7"/>
        <v>934.90804700000001</v>
      </c>
      <c r="N53" s="268"/>
      <c r="O53" s="250">
        <v>0.93490804699999996</v>
      </c>
      <c r="Q53" s="560"/>
      <c r="W53" s="576"/>
    </row>
    <row r="54" spans="1:23" ht="18.95" customHeight="1">
      <c r="A54" s="632"/>
      <c r="B54" s="603"/>
      <c r="C54" s="316" t="s">
        <v>1911</v>
      </c>
      <c r="D54" s="328" t="s">
        <v>1884</v>
      </c>
      <c r="E54" s="267">
        <v>1</v>
      </c>
      <c r="F54" s="356" t="s">
        <v>402</v>
      </c>
      <c r="G54" s="267"/>
      <c r="H54" s="267"/>
      <c r="I54" s="269">
        <f t="shared" si="6"/>
        <v>0</v>
      </c>
      <c r="J54" s="270">
        <v>1000</v>
      </c>
      <c r="K54" s="270">
        <f t="shared" si="4"/>
        <v>934.90804700000001</v>
      </c>
      <c r="L54" s="270">
        <f t="shared" si="5"/>
        <v>934.90804700000001</v>
      </c>
      <c r="M54" s="270">
        <f t="shared" si="7"/>
        <v>934.90804700000001</v>
      </c>
      <c r="N54" s="268"/>
      <c r="O54" s="250">
        <v>0.93490804699999996</v>
      </c>
      <c r="Q54" s="560"/>
      <c r="W54" s="576"/>
    </row>
    <row r="55" spans="1:23" ht="18.95" customHeight="1">
      <c r="A55" s="632"/>
      <c r="B55" s="603"/>
      <c r="C55" s="316" t="s">
        <v>1912</v>
      </c>
      <c r="D55" s="328" t="s">
        <v>1900</v>
      </c>
      <c r="E55" s="267">
        <v>1</v>
      </c>
      <c r="F55" s="356" t="s">
        <v>402</v>
      </c>
      <c r="G55" s="267"/>
      <c r="H55" s="267"/>
      <c r="I55" s="269">
        <f t="shared" si="6"/>
        <v>0</v>
      </c>
      <c r="J55" s="270">
        <v>1000</v>
      </c>
      <c r="K55" s="270">
        <f t="shared" si="4"/>
        <v>934.90804700000001</v>
      </c>
      <c r="L55" s="270">
        <f t="shared" si="5"/>
        <v>934.90804700000001</v>
      </c>
      <c r="M55" s="270">
        <f t="shared" si="7"/>
        <v>934.90804700000001</v>
      </c>
      <c r="N55" s="268"/>
      <c r="O55" s="250">
        <v>0.93490804699999996</v>
      </c>
      <c r="Q55" s="560"/>
      <c r="W55" s="576"/>
    </row>
    <row r="56" spans="1:23" ht="18.95" customHeight="1">
      <c r="A56" s="632"/>
      <c r="B56" s="603" t="s">
        <v>1913</v>
      </c>
      <c r="C56" s="633"/>
      <c r="D56" s="633"/>
      <c r="E56" s="267"/>
      <c r="F56" s="356"/>
      <c r="G56" s="267"/>
      <c r="H56" s="267"/>
      <c r="I56" s="269"/>
      <c r="J56" s="270"/>
      <c r="K56" s="270"/>
      <c r="L56" s="270"/>
      <c r="M56" s="270"/>
      <c r="N56" s="268"/>
      <c r="O56" s="250">
        <v>0.93490804699999996</v>
      </c>
      <c r="Q56" s="560"/>
      <c r="W56" s="576"/>
    </row>
    <row r="57" spans="1:23" ht="18.95" customHeight="1">
      <c r="A57" s="632"/>
      <c r="B57" s="603"/>
      <c r="C57" s="316" t="s">
        <v>1914</v>
      </c>
      <c r="D57" s="328" t="s">
        <v>1915</v>
      </c>
      <c r="E57" s="267">
        <v>1</v>
      </c>
      <c r="F57" s="356" t="s">
        <v>402</v>
      </c>
      <c r="G57" s="267"/>
      <c r="H57" s="267"/>
      <c r="I57" s="269">
        <f t="shared" ref="I57:I94" si="8">ROUNDDOWN(E57*G57,2)</f>
        <v>0</v>
      </c>
      <c r="J57" s="270">
        <v>2000</v>
      </c>
      <c r="K57" s="270">
        <f t="shared" si="4"/>
        <v>1869.816094</v>
      </c>
      <c r="L57" s="270">
        <f t="shared" si="5"/>
        <v>1869.816094</v>
      </c>
      <c r="M57" s="270">
        <f t="shared" ref="M57:M94" si="9">I57+L57</f>
        <v>1869.816094</v>
      </c>
      <c r="N57" s="268"/>
      <c r="O57" s="250">
        <v>0.93490804699999996</v>
      </c>
      <c r="Q57" s="560"/>
      <c r="W57" s="576"/>
    </row>
    <row r="58" spans="1:23" ht="18.95" customHeight="1">
      <c r="A58" s="632"/>
      <c r="B58" s="603"/>
      <c r="C58" s="316" t="s">
        <v>1916</v>
      </c>
      <c r="D58" s="328" t="s">
        <v>1917</v>
      </c>
      <c r="E58" s="267">
        <v>1</v>
      </c>
      <c r="F58" s="356" t="s">
        <v>402</v>
      </c>
      <c r="G58" s="267"/>
      <c r="H58" s="267"/>
      <c r="I58" s="269">
        <f t="shared" si="8"/>
        <v>0</v>
      </c>
      <c r="J58" s="270">
        <v>2000</v>
      </c>
      <c r="K58" s="270">
        <f t="shared" si="4"/>
        <v>1869.816094</v>
      </c>
      <c r="L58" s="270">
        <f t="shared" si="5"/>
        <v>1869.816094</v>
      </c>
      <c r="M58" s="270">
        <f t="shared" si="9"/>
        <v>1869.816094</v>
      </c>
      <c r="N58" s="268"/>
      <c r="O58" s="250">
        <v>0.93490804699999996</v>
      </c>
      <c r="Q58" s="560"/>
      <c r="W58" s="576"/>
    </row>
    <row r="59" spans="1:23" ht="18.95" customHeight="1">
      <c r="A59" s="635"/>
      <c r="B59" s="603"/>
      <c r="C59" s="316" t="s">
        <v>1918</v>
      </c>
      <c r="D59" s="328" t="s">
        <v>1919</v>
      </c>
      <c r="E59" s="267">
        <v>1</v>
      </c>
      <c r="F59" s="356" t="s">
        <v>402</v>
      </c>
      <c r="G59" s="267"/>
      <c r="H59" s="267"/>
      <c r="I59" s="269">
        <f t="shared" si="8"/>
        <v>0</v>
      </c>
      <c r="J59" s="270">
        <v>1000</v>
      </c>
      <c r="K59" s="270">
        <f t="shared" si="4"/>
        <v>934.90804700000001</v>
      </c>
      <c r="L59" s="270">
        <f t="shared" si="5"/>
        <v>934.90804700000001</v>
      </c>
      <c r="M59" s="270">
        <f t="shared" si="9"/>
        <v>934.90804700000001</v>
      </c>
      <c r="N59" s="268"/>
      <c r="O59" s="250">
        <v>0.93490804699999996</v>
      </c>
      <c r="Q59" s="560"/>
      <c r="W59" s="576"/>
    </row>
    <row r="60" spans="1:23" ht="18.95" customHeight="1">
      <c r="A60" s="632"/>
      <c r="B60" s="603"/>
      <c r="C60" s="316" t="s">
        <v>1920</v>
      </c>
      <c r="D60" s="328" t="s">
        <v>1919</v>
      </c>
      <c r="E60" s="267">
        <v>1</v>
      </c>
      <c r="F60" s="356" t="s">
        <v>402</v>
      </c>
      <c r="G60" s="267"/>
      <c r="H60" s="267"/>
      <c r="I60" s="269">
        <f t="shared" si="8"/>
        <v>0</v>
      </c>
      <c r="J60" s="270">
        <v>1000</v>
      </c>
      <c r="K60" s="270">
        <f t="shared" si="4"/>
        <v>934.90804700000001</v>
      </c>
      <c r="L60" s="270">
        <f t="shared" si="5"/>
        <v>934.90804700000001</v>
      </c>
      <c r="M60" s="270">
        <f t="shared" si="9"/>
        <v>934.90804700000001</v>
      </c>
      <c r="N60" s="268"/>
      <c r="O60" s="250">
        <v>0.93490804699999996</v>
      </c>
      <c r="Q60" s="560"/>
      <c r="W60" s="576"/>
    </row>
    <row r="61" spans="1:23" ht="18.95" customHeight="1">
      <c r="A61" s="632"/>
      <c r="B61" s="603"/>
      <c r="C61" s="316" t="s">
        <v>1921</v>
      </c>
      <c r="D61" s="328" t="s">
        <v>1919</v>
      </c>
      <c r="E61" s="267">
        <v>1</v>
      </c>
      <c r="F61" s="356" t="s">
        <v>402</v>
      </c>
      <c r="G61" s="267"/>
      <c r="H61" s="267"/>
      <c r="I61" s="269">
        <f t="shared" si="8"/>
        <v>0</v>
      </c>
      <c r="J61" s="270">
        <v>1000</v>
      </c>
      <c r="K61" s="270">
        <f t="shared" si="4"/>
        <v>934.90804700000001</v>
      </c>
      <c r="L61" s="270">
        <f t="shared" si="5"/>
        <v>934.90804700000001</v>
      </c>
      <c r="M61" s="270">
        <f t="shared" si="9"/>
        <v>934.90804700000001</v>
      </c>
      <c r="N61" s="268"/>
      <c r="O61" s="250">
        <v>0.93490804699999996</v>
      </c>
      <c r="Q61" s="560"/>
      <c r="W61" s="576"/>
    </row>
    <row r="62" spans="1:23" ht="18.95" customHeight="1">
      <c r="A62" s="632"/>
      <c r="B62" s="603"/>
      <c r="C62" s="316" t="s">
        <v>1922</v>
      </c>
      <c r="D62" s="328" t="s">
        <v>1919</v>
      </c>
      <c r="E62" s="267">
        <v>1</v>
      </c>
      <c r="F62" s="356" t="s">
        <v>402</v>
      </c>
      <c r="G62" s="267"/>
      <c r="H62" s="267"/>
      <c r="I62" s="269">
        <f t="shared" si="8"/>
        <v>0</v>
      </c>
      <c r="J62" s="270">
        <v>1000</v>
      </c>
      <c r="K62" s="270">
        <f t="shared" si="4"/>
        <v>934.90804700000001</v>
      </c>
      <c r="L62" s="270">
        <f t="shared" si="5"/>
        <v>934.90804700000001</v>
      </c>
      <c r="M62" s="270">
        <f t="shared" si="9"/>
        <v>934.90804700000001</v>
      </c>
      <c r="N62" s="268"/>
      <c r="O62" s="250">
        <v>0.93490804699999996</v>
      </c>
      <c r="Q62" s="560"/>
      <c r="W62" s="576"/>
    </row>
    <row r="63" spans="1:23" ht="18.95" customHeight="1">
      <c r="A63" s="632"/>
      <c r="B63" s="603"/>
      <c r="C63" s="316" t="s">
        <v>1923</v>
      </c>
      <c r="D63" s="328" t="s">
        <v>1905</v>
      </c>
      <c r="E63" s="267">
        <v>1</v>
      </c>
      <c r="F63" s="356" t="s">
        <v>402</v>
      </c>
      <c r="G63" s="267"/>
      <c r="H63" s="267"/>
      <c r="I63" s="269">
        <f t="shared" si="8"/>
        <v>0</v>
      </c>
      <c r="J63" s="270">
        <v>1000</v>
      </c>
      <c r="K63" s="270">
        <f t="shared" si="4"/>
        <v>934.90804700000001</v>
      </c>
      <c r="L63" s="270">
        <f t="shared" si="5"/>
        <v>934.90804700000001</v>
      </c>
      <c r="M63" s="270">
        <f t="shared" si="9"/>
        <v>934.90804700000001</v>
      </c>
      <c r="N63" s="268"/>
      <c r="O63" s="250">
        <v>0.93490804699999996</v>
      </c>
      <c r="Q63" s="560"/>
      <c r="W63" s="576"/>
    </row>
    <row r="64" spans="1:23" ht="18.95" customHeight="1">
      <c r="A64" s="632"/>
      <c r="B64" s="603"/>
      <c r="C64" s="316" t="s">
        <v>1924</v>
      </c>
      <c r="D64" s="328" t="s">
        <v>1905</v>
      </c>
      <c r="E64" s="267">
        <v>1</v>
      </c>
      <c r="F64" s="356" t="s">
        <v>402</v>
      </c>
      <c r="G64" s="267"/>
      <c r="H64" s="267"/>
      <c r="I64" s="269">
        <f t="shared" si="8"/>
        <v>0</v>
      </c>
      <c r="J64" s="270">
        <v>1000</v>
      </c>
      <c r="K64" s="270">
        <f t="shared" si="4"/>
        <v>934.90804700000001</v>
      </c>
      <c r="L64" s="270">
        <f t="shared" si="5"/>
        <v>934.90804700000001</v>
      </c>
      <c r="M64" s="270">
        <f t="shared" si="9"/>
        <v>934.90804700000001</v>
      </c>
      <c r="N64" s="268"/>
      <c r="O64" s="250">
        <v>0.93490804699999996</v>
      </c>
      <c r="Q64" s="560"/>
      <c r="W64" s="576"/>
    </row>
    <row r="65" spans="1:23" ht="18.95" customHeight="1">
      <c r="A65" s="632"/>
      <c r="B65" s="603"/>
      <c r="C65" s="316" t="s">
        <v>1925</v>
      </c>
      <c r="D65" s="328" t="s">
        <v>1905</v>
      </c>
      <c r="E65" s="267">
        <v>1</v>
      </c>
      <c r="F65" s="356" t="s">
        <v>402</v>
      </c>
      <c r="G65" s="267"/>
      <c r="H65" s="267"/>
      <c r="I65" s="269">
        <f t="shared" si="8"/>
        <v>0</v>
      </c>
      <c r="J65" s="270">
        <v>1000</v>
      </c>
      <c r="K65" s="270">
        <f t="shared" si="4"/>
        <v>934.90804700000001</v>
      </c>
      <c r="L65" s="270">
        <f t="shared" si="5"/>
        <v>934.90804700000001</v>
      </c>
      <c r="M65" s="270">
        <f t="shared" si="9"/>
        <v>934.90804700000001</v>
      </c>
      <c r="N65" s="268"/>
      <c r="O65" s="250">
        <v>0.93490804699999996</v>
      </c>
      <c r="Q65" s="560"/>
      <c r="W65" s="576"/>
    </row>
    <row r="66" spans="1:23" ht="18.95" customHeight="1">
      <c r="A66" s="632"/>
      <c r="B66" s="603"/>
      <c r="C66" s="316" t="s">
        <v>1926</v>
      </c>
      <c r="D66" s="328" t="s">
        <v>1905</v>
      </c>
      <c r="E66" s="267">
        <v>1</v>
      </c>
      <c r="F66" s="356" t="s">
        <v>402</v>
      </c>
      <c r="G66" s="267"/>
      <c r="H66" s="267"/>
      <c r="I66" s="269">
        <f t="shared" si="8"/>
        <v>0</v>
      </c>
      <c r="J66" s="270">
        <v>1000</v>
      </c>
      <c r="K66" s="270">
        <f t="shared" si="4"/>
        <v>934.90804700000001</v>
      </c>
      <c r="L66" s="270">
        <f t="shared" si="5"/>
        <v>934.90804700000001</v>
      </c>
      <c r="M66" s="270">
        <f t="shared" si="9"/>
        <v>934.90804700000001</v>
      </c>
      <c r="N66" s="268"/>
      <c r="O66" s="250">
        <v>0.93490804699999996</v>
      </c>
      <c r="Q66" s="560"/>
      <c r="W66" s="576"/>
    </row>
    <row r="67" spans="1:23" ht="18.95" customHeight="1">
      <c r="A67" s="632"/>
      <c r="B67" s="603"/>
      <c r="C67" s="316" t="s">
        <v>1927</v>
      </c>
      <c r="D67" s="328" t="s">
        <v>1905</v>
      </c>
      <c r="E67" s="267">
        <v>1</v>
      </c>
      <c r="F67" s="356" t="s">
        <v>402</v>
      </c>
      <c r="G67" s="267"/>
      <c r="H67" s="267"/>
      <c r="I67" s="269">
        <f t="shared" si="8"/>
        <v>0</v>
      </c>
      <c r="J67" s="270">
        <v>1000</v>
      </c>
      <c r="K67" s="270">
        <f t="shared" si="4"/>
        <v>934.90804700000001</v>
      </c>
      <c r="L67" s="270">
        <f t="shared" si="5"/>
        <v>934.90804700000001</v>
      </c>
      <c r="M67" s="270">
        <f t="shared" si="9"/>
        <v>934.90804700000001</v>
      </c>
      <c r="N67" s="268"/>
      <c r="O67" s="250">
        <v>0.93490804699999996</v>
      </c>
      <c r="Q67" s="560"/>
      <c r="W67" s="576"/>
    </row>
    <row r="68" spans="1:23" ht="18.95" customHeight="1">
      <c r="A68" s="632"/>
      <c r="B68" s="603"/>
      <c r="C68" s="316" t="s">
        <v>1928</v>
      </c>
      <c r="D68" s="328" t="s">
        <v>1905</v>
      </c>
      <c r="E68" s="267">
        <v>1</v>
      </c>
      <c r="F68" s="356" t="s">
        <v>402</v>
      </c>
      <c r="G68" s="267"/>
      <c r="H68" s="267"/>
      <c r="I68" s="269">
        <f t="shared" si="8"/>
        <v>0</v>
      </c>
      <c r="J68" s="270">
        <v>1000</v>
      </c>
      <c r="K68" s="270">
        <f t="shared" si="4"/>
        <v>934.90804700000001</v>
      </c>
      <c r="L68" s="270">
        <f t="shared" si="5"/>
        <v>934.90804700000001</v>
      </c>
      <c r="M68" s="270">
        <f t="shared" si="9"/>
        <v>934.90804700000001</v>
      </c>
      <c r="N68" s="268"/>
      <c r="O68" s="250">
        <v>0.93490804699999996</v>
      </c>
      <c r="Q68" s="560"/>
      <c r="W68" s="576"/>
    </row>
    <row r="69" spans="1:23" ht="18.95" customHeight="1">
      <c r="A69" s="632"/>
      <c r="B69" s="603"/>
      <c r="C69" s="316" t="s">
        <v>1929</v>
      </c>
      <c r="D69" s="328" t="s">
        <v>1905</v>
      </c>
      <c r="E69" s="267">
        <v>1</v>
      </c>
      <c r="F69" s="356" t="s">
        <v>402</v>
      </c>
      <c r="G69" s="267"/>
      <c r="H69" s="267"/>
      <c r="I69" s="269">
        <f t="shared" si="8"/>
        <v>0</v>
      </c>
      <c r="J69" s="270">
        <v>1000</v>
      </c>
      <c r="K69" s="270">
        <f t="shared" si="4"/>
        <v>934.90804700000001</v>
      </c>
      <c r="L69" s="270">
        <f t="shared" si="5"/>
        <v>934.90804700000001</v>
      </c>
      <c r="M69" s="270">
        <f t="shared" si="9"/>
        <v>934.90804700000001</v>
      </c>
      <c r="N69" s="268"/>
      <c r="O69" s="250">
        <v>0.93490804699999996</v>
      </c>
      <c r="Q69" s="560"/>
      <c r="W69" s="576"/>
    </row>
    <row r="70" spans="1:23" ht="18.95" customHeight="1">
      <c r="A70" s="632"/>
      <c r="B70" s="603"/>
      <c r="C70" s="316" t="s">
        <v>1930</v>
      </c>
      <c r="D70" s="328" t="s">
        <v>1905</v>
      </c>
      <c r="E70" s="267">
        <v>1</v>
      </c>
      <c r="F70" s="356" t="s">
        <v>402</v>
      </c>
      <c r="G70" s="267"/>
      <c r="H70" s="267"/>
      <c r="I70" s="269">
        <f t="shared" si="8"/>
        <v>0</v>
      </c>
      <c r="J70" s="270">
        <v>1000</v>
      </c>
      <c r="K70" s="270">
        <f t="shared" si="4"/>
        <v>934.90804700000001</v>
      </c>
      <c r="L70" s="270">
        <f t="shared" si="5"/>
        <v>934.90804700000001</v>
      </c>
      <c r="M70" s="270">
        <f t="shared" si="9"/>
        <v>934.90804700000001</v>
      </c>
      <c r="N70" s="268"/>
      <c r="O70" s="250">
        <v>0.93490804699999996</v>
      </c>
      <c r="Q70" s="560"/>
      <c r="W70" s="576"/>
    </row>
    <row r="71" spans="1:23" ht="18.95" customHeight="1">
      <c r="A71" s="632"/>
      <c r="B71" s="603"/>
      <c r="C71" s="316" t="s">
        <v>1931</v>
      </c>
      <c r="D71" s="328" t="s">
        <v>1905</v>
      </c>
      <c r="E71" s="267">
        <v>1</v>
      </c>
      <c r="F71" s="356" t="s">
        <v>402</v>
      </c>
      <c r="G71" s="267"/>
      <c r="H71" s="267"/>
      <c r="I71" s="269">
        <f t="shared" si="8"/>
        <v>0</v>
      </c>
      <c r="J71" s="270">
        <v>1000</v>
      </c>
      <c r="K71" s="270">
        <f t="shared" si="4"/>
        <v>934.90804700000001</v>
      </c>
      <c r="L71" s="270">
        <f t="shared" si="5"/>
        <v>934.90804700000001</v>
      </c>
      <c r="M71" s="270">
        <f t="shared" si="9"/>
        <v>934.90804700000001</v>
      </c>
      <c r="N71" s="268"/>
      <c r="O71" s="250">
        <v>0.93490804699999996</v>
      </c>
      <c r="Q71" s="560"/>
      <c r="W71" s="576"/>
    </row>
    <row r="72" spans="1:23" ht="18.95" customHeight="1">
      <c r="A72" s="632"/>
      <c r="B72" s="603"/>
      <c r="C72" s="316" t="s">
        <v>1932</v>
      </c>
      <c r="D72" s="328" t="s">
        <v>1884</v>
      </c>
      <c r="E72" s="267">
        <v>1</v>
      </c>
      <c r="F72" s="356" t="s">
        <v>402</v>
      </c>
      <c r="G72" s="267"/>
      <c r="H72" s="267"/>
      <c r="I72" s="269">
        <f t="shared" si="8"/>
        <v>0</v>
      </c>
      <c r="J72" s="270">
        <v>1000</v>
      </c>
      <c r="K72" s="270">
        <f t="shared" si="4"/>
        <v>934.90804700000001</v>
      </c>
      <c r="L72" s="270">
        <f t="shared" si="5"/>
        <v>934.90804700000001</v>
      </c>
      <c r="M72" s="270">
        <f t="shared" si="9"/>
        <v>934.90804700000001</v>
      </c>
      <c r="N72" s="268"/>
      <c r="O72" s="250">
        <v>0.93490804699999996</v>
      </c>
      <c r="Q72" s="560"/>
      <c r="W72" s="576"/>
    </row>
    <row r="73" spans="1:23" ht="18.95" customHeight="1">
      <c r="A73" s="632"/>
      <c r="B73" s="603"/>
      <c r="C73" s="316" t="s">
        <v>1933</v>
      </c>
      <c r="D73" s="328" t="s">
        <v>1898</v>
      </c>
      <c r="E73" s="267">
        <v>1</v>
      </c>
      <c r="F73" s="356" t="s">
        <v>402</v>
      </c>
      <c r="G73" s="267"/>
      <c r="H73" s="267"/>
      <c r="I73" s="269">
        <f t="shared" si="8"/>
        <v>0</v>
      </c>
      <c r="J73" s="270">
        <v>1000</v>
      </c>
      <c r="K73" s="270">
        <f t="shared" si="4"/>
        <v>934.90804700000001</v>
      </c>
      <c r="L73" s="270">
        <f t="shared" si="5"/>
        <v>934.90804700000001</v>
      </c>
      <c r="M73" s="270">
        <f t="shared" si="9"/>
        <v>934.90804700000001</v>
      </c>
      <c r="N73" s="268"/>
      <c r="O73" s="250">
        <v>0.93490804699999996</v>
      </c>
      <c r="Q73" s="560"/>
      <c r="W73" s="576"/>
    </row>
    <row r="74" spans="1:23" ht="18.95" customHeight="1">
      <c r="A74" s="632"/>
      <c r="B74" s="603"/>
      <c r="C74" s="316" t="s">
        <v>1934</v>
      </c>
      <c r="D74" s="328" t="s">
        <v>1886</v>
      </c>
      <c r="E74" s="267">
        <v>1</v>
      </c>
      <c r="F74" s="356" t="s">
        <v>402</v>
      </c>
      <c r="G74" s="267"/>
      <c r="H74" s="267"/>
      <c r="I74" s="269">
        <f t="shared" si="8"/>
        <v>0</v>
      </c>
      <c r="J74" s="270">
        <v>1000</v>
      </c>
      <c r="K74" s="270">
        <f t="shared" si="4"/>
        <v>934.90804700000001</v>
      </c>
      <c r="L74" s="270">
        <f t="shared" si="5"/>
        <v>934.90804700000001</v>
      </c>
      <c r="M74" s="270">
        <f t="shared" si="9"/>
        <v>934.90804700000001</v>
      </c>
      <c r="N74" s="268"/>
      <c r="O74" s="250">
        <v>0.93490804699999996</v>
      </c>
      <c r="Q74" s="560"/>
      <c r="W74" s="576"/>
    </row>
    <row r="75" spans="1:23" ht="18.95" customHeight="1">
      <c r="A75" s="632"/>
      <c r="B75" s="603"/>
      <c r="C75" s="316" t="s">
        <v>1935</v>
      </c>
      <c r="D75" s="328" t="s">
        <v>1886</v>
      </c>
      <c r="E75" s="267">
        <v>1</v>
      </c>
      <c r="F75" s="356" t="s">
        <v>402</v>
      </c>
      <c r="G75" s="267"/>
      <c r="H75" s="267"/>
      <c r="I75" s="269">
        <f t="shared" si="8"/>
        <v>0</v>
      </c>
      <c r="J75" s="270">
        <v>1000</v>
      </c>
      <c r="K75" s="270">
        <f t="shared" si="4"/>
        <v>934.90804700000001</v>
      </c>
      <c r="L75" s="270">
        <f t="shared" si="5"/>
        <v>934.90804700000001</v>
      </c>
      <c r="M75" s="270">
        <f t="shared" si="9"/>
        <v>934.90804700000001</v>
      </c>
      <c r="N75" s="268"/>
      <c r="O75" s="250">
        <v>0.93490804699999996</v>
      </c>
      <c r="Q75" s="560"/>
      <c r="W75" s="576"/>
    </row>
    <row r="76" spans="1:23" ht="18.95" customHeight="1">
      <c r="A76" s="632"/>
      <c r="B76" s="603"/>
      <c r="C76" s="316" t="s">
        <v>1936</v>
      </c>
      <c r="D76" s="328" t="s">
        <v>1886</v>
      </c>
      <c r="E76" s="267">
        <v>1</v>
      </c>
      <c r="F76" s="356" t="s">
        <v>402</v>
      </c>
      <c r="G76" s="267"/>
      <c r="H76" s="267"/>
      <c r="I76" s="269">
        <f t="shared" si="8"/>
        <v>0</v>
      </c>
      <c r="J76" s="270">
        <v>1000</v>
      </c>
      <c r="K76" s="270">
        <f t="shared" si="4"/>
        <v>934.90804700000001</v>
      </c>
      <c r="L76" s="270">
        <f t="shared" si="5"/>
        <v>934.90804700000001</v>
      </c>
      <c r="M76" s="270">
        <f t="shared" si="9"/>
        <v>934.90804700000001</v>
      </c>
      <c r="N76" s="268"/>
      <c r="O76" s="250">
        <v>0.93490804699999996</v>
      </c>
      <c r="Q76" s="560"/>
      <c r="W76" s="576"/>
    </row>
    <row r="77" spans="1:23" ht="18.95" customHeight="1">
      <c r="A77" s="632"/>
      <c r="B77" s="603"/>
      <c r="C77" s="316" t="s">
        <v>1937</v>
      </c>
      <c r="D77" s="328" t="s">
        <v>1886</v>
      </c>
      <c r="E77" s="267">
        <v>1</v>
      </c>
      <c r="F77" s="356" t="s">
        <v>402</v>
      </c>
      <c r="G77" s="267"/>
      <c r="H77" s="267"/>
      <c r="I77" s="269">
        <f t="shared" si="8"/>
        <v>0</v>
      </c>
      <c r="J77" s="270">
        <v>1000</v>
      </c>
      <c r="K77" s="270">
        <f t="shared" si="4"/>
        <v>934.90804700000001</v>
      </c>
      <c r="L77" s="270">
        <f t="shared" si="5"/>
        <v>934.90804700000001</v>
      </c>
      <c r="M77" s="270">
        <f t="shared" si="9"/>
        <v>934.90804700000001</v>
      </c>
      <c r="N77" s="268"/>
      <c r="O77" s="250">
        <v>0.93490804699999996</v>
      </c>
      <c r="Q77" s="560"/>
      <c r="W77" s="576"/>
    </row>
    <row r="78" spans="1:23" ht="18.95" customHeight="1">
      <c r="A78" s="632"/>
      <c r="B78" s="603"/>
      <c r="C78" s="316" t="s">
        <v>1938</v>
      </c>
      <c r="D78" s="328" t="s">
        <v>1919</v>
      </c>
      <c r="E78" s="267">
        <v>1</v>
      </c>
      <c r="F78" s="356" t="s">
        <v>402</v>
      </c>
      <c r="G78" s="267"/>
      <c r="H78" s="267"/>
      <c r="I78" s="269">
        <f t="shared" si="8"/>
        <v>0</v>
      </c>
      <c r="J78" s="270">
        <v>1000</v>
      </c>
      <c r="K78" s="270">
        <f t="shared" si="4"/>
        <v>934.90804700000001</v>
      </c>
      <c r="L78" s="270">
        <f t="shared" si="5"/>
        <v>934.90804700000001</v>
      </c>
      <c r="M78" s="270">
        <f t="shared" si="9"/>
        <v>934.90804700000001</v>
      </c>
      <c r="N78" s="268"/>
      <c r="O78" s="250">
        <v>0.93490804699999996</v>
      </c>
      <c r="Q78" s="560"/>
      <c r="W78" s="576"/>
    </row>
    <row r="79" spans="1:23" ht="18.95" customHeight="1">
      <c r="A79" s="632"/>
      <c r="B79" s="603"/>
      <c r="C79" s="316" t="s">
        <v>1939</v>
      </c>
      <c r="D79" s="328" t="s">
        <v>1919</v>
      </c>
      <c r="E79" s="267">
        <v>1</v>
      </c>
      <c r="F79" s="356" t="s">
        <v>402</v>
      </c>
      <c r="G79" s="267"/>
      <c r="H79" s="267"/>
      <c r="I79" s="269">
        <f t="shared" si="8"/>
        <v>0</v>
      </c>
      <c r="J79" s="270">
        <v>1000</v>
      </c>
      <c r="K79" s="270">
        <f t="shared" si="4"/>
        <v>934.90804700000001</v>
      </c>
      <c r="L79" s="270">
        <f t="shared" si="5"/>
        <v>934.90804700000001</v>
      </c>
      <c r="M79" s="270">
        <f t="shared" si="9"/>
        <v>934.90804700000001</v>
      </c>
      <c r="N79" s="268"/>
      <c r="O79" s="250">
        <v>0.93490804699999996</v>
      </c>
      <c r="Q79" s="560"/>
      <c r="W79" s="576"/>
    </row>
    <row r="80" spans="1:23" ht="18.95" customHeight="1">
      <c r="A80" s="632"/>
      <c r="B80" s="603"/>
      <c r="C80" s="316" t="s">
        <v>1940</v>
      </c>
      <c r="D80" s="328" t="s">
        <v>1919</v>
      </c>
      <c r="E80" s="267">
        <v>1</v>
      </c>
      <c r="F80" s="356" t="s">
        <v>402</v>
      </c>
      <c r="G80" s="267"/>
      <c r="H80" s="267"/>
      <c r="I80" s="269">
        <f t="shared" si="8"/>
        <v>0</v>
      </c>
      <c r="J80" s="270">
        <v>1000</v>
      </c>
      <c r="K80" s="270">
        <f t="shared" si="4"/>
        <v>934.90804700000001</v>
      </c>
      <c r="L80" s="270">
        <f t="shared" si="5"/>
        <v>934.90804700000001</v>
      </c>
      <c r="M80" s="270">
        <f t="shared" si="9"/>
        <v>934.90804700000001</v>
      </c>
      <c r="N80" s="268"/>
      <c r="O80" s="250">
        <v>0.93490804699999996</v>
      </c>
      <c r="Q80" s="560"/>
      <c r="W80" s="576"/>
    </row>
    <row r="81" spans="1:23" ht="18.95" customHeight="1">
      <c r="A81" s="632"/>
      <c r="B81" s="603"/>
      <c r="C81" s="316" t="s">
        <v>1941</v>
      </c>
      <c r="D81" s="328" t="s">
        <v>1919</v>
      </c>
      <c r="E81" s="267">
        <v>1</v>
      </c>
      <c r="F81" s="356" t="s">
        <v>402</v>
      </c>
      <c r="G81" s="267"/>
      <c r="H81" s="267"/>
      <c r="I81" s="269">
        <f t="shared" si="8"/>
        <v>0</v>
      </c>
      <c r="J81" s="270">
        <v>1000</v>
      </c>
      <c r="K81" s="270">
        <f t="shared" si="4"/>
        <v>934.90804700000001</v>
      </c>
      <c r="L81" s="270">
        <f t="shared" si="5"/>
        <v>934.90804700000001</v>
      </c>
      <c r="M81" s="270">
        <f t="shared" si="9"/>
        <v>934.90804700000001</v>
      </c>
      <c r="N81" s="268"/>
      <c r="O81" s="250">
        <v>0.93490804699999996</v>
      </c>
      <c r="Q81" s="560"/>
      <c r="W81" s="576"/>
    </row>
    <row r="82" spans="1:23" ht="18.95" customHeight="1">
      <c r="A82" s="632"/>
      <c r="B82" s="603"/>
      <c r="C82" s="316" t="s">
        <v>1942</v>
      </c>
      <c r="D82" s="328" t="s">
        <v>1905</v>
      </c>
      <c r="E82" s="267">
        <v>1</v>
      </c>
      <c r="F82" s="356" t="s">
        <v>402</v>
      </c>
      <c r="G82" s="267"/>
      <c r="H82" s="267"/>
      <c r="I82" s="269">
        <f t="shared" si="8"/>
        <v>0</v>
      </c>
      <c r="J82" s="270">
        <v>1000</v>
      </c>
      <c r="K82" s="270">
        <f t="shared" si="4"/>
        <v>934.90804700000001</v>
      </c>
      <c r="L82" s="270">
        <f t="shared" si="5"/>
        <v>934.90804700000001</v>
      </c>
      <c r="M82" s="270">
        <f t="shared" si="9"/>
        <v>934.90804700000001</v>
      </c>
      <c r="N82" s="268"/>
      <c r="O82" s="250">
        <v>0.93490804699999996</v>
      </c>
      <c r="Q82" s="560"/>
      <c r="W82" s="576"/>
    </row>
    <row r="83" spans="1:23" ht="18.95" customHeight="1">
      <c r="A83" s="632"/>
      <c r="B83" s="603"/>
      <c r="C83" s="316" t="s">
        <v>1943</v>
      </c>
      <c r="D83" s="328" t="s">
        <v>1905</v>
      </c>
      <c r="E83" s="267">
        <v>1</v>
      </c>
      <c r="F83" s="356" t="s">
        <v>402</v>
      </c>
      <c r="G83" s="267"/>
      <c r="H83" s="267"/>
      <c r="I83" s="269">
        <f t="shared" si="8"/>
        <v>0</v>
      </c>
      <c r="J83" s="270">
        <v>1000</v>
      </c>
      <c r="K83" s="270">
        <f t="shared" si="4"/>
        <v>934.90804700000001</v>
      </c>
      <c r="L83" s="270">
        <f t="shared" si="5"/>
        <v>934.90804700000001</v>
      </c>
      <c r="M83" s="270">
        <f t="shared" si="9"/>
        <v>934.90804700000001</v>
      </c>
      <c r="N83" s="268"/>
      <c r="O83" s="250">
        <v>0.93490804699999996</v>
      </c>
      <c r="Q83" s="560"/>
      <c r="W83" s="576"/>
    </row>
    <row r="84" spans="1:23" ht="18.95" customHeight="1">
      <c r="A84" s="632"/>
      <c r="B84" s="603"/>
      <c r="C84" s="316" t="s">
        <v>1944</v>
      </c>
      <c r="D84" s="328" t="s">
        <v>1905</v>
      </c>
      <c r="E84" s="267">
        <v>1</v>
      </c>
      <c r="F84" s="356" t="s">
        <v>402</v>
      </c>
      <c r="G84" s="267"/>
      <c r="H84" s="267"/>
      <c r="I84" s="269">
        <f t="shared" si="8"/>
        <v>0</v>
      </c>
      <c r="J84" s="270">
        <v>1000</v>
      </c>
      <c r="K84" s="270">
        <f t="shared" si="4"/>
        <v>934.90804700000001</v>
      </c>
      <c r="L84" s="270">
        <f t="shared" si="5"/>
        <v>934.90804700000001</v>
      </c>
      <c r="M84" s="270">
        <f t="shared" si="9"/>
        <v>934.90804700000001</v>
      </c>
      <c r="N84" s="268"/>
      <c r="O84" s="250">
        <v>0.93490804699999996</v>
      </c>
      <c r="Q84" s="560"/>
      <c r="W84" s="576"/>
    </row>
    <row r="85" spans="1:23" ht="18.95" customHeight="1">
      <c r="A85" s="632"/>
      <c r="B85" s="603"/>
      <c r="C85" s="316" t="s">
        <v>1945</v>
      </c>
      <c r="D85" s="328" t="s">
        <v>1905</v>
      </c>
      <c r="E85" s="267">
        <v>1</v>
      </c>
      <c r="F85" s="356" t="s">
        <v>402</v>
      </c>
      <c r="G85" s="267"/>
      <c r="H85" s="267"/>
      <c r="I85" s="269">
        <f t="shared" si="8"/>
        <v>0</v>
      </c>
      <c r="J85" s="270">
        <v>1000</v>
      </c>
      <c r="K85" s="270">
        <f t="shared" si="4"/>
        <v>934.90804700000001</v>
      </c>
      <c r="L85" s="270">
        <f t="shared" si="5"/>
        <v>934.90804700000001</v>
      </c>
      <c r="M85" s="270">
        <f t="shared" si="9"/>
        <v>934.90804700000001</v>
      </c>
      <c r="N85" s="268"/>
      <c r="O85" s="250">
        <v>0.93490804699999996</v>
      </c>
      <c r="Q85" s="560"/>
      <c r="W85" s="576"/>
    </row>
    <row r="86" spans="1:23" ht="18.95" customHeight="1">
      <c r="A86" s="632"/>
      <c r="B86" s="603"/>
      <c r="C86" s="316" t="s">
        <v>1946</v>
      </c>
      <c r="D86" s="328" t="s">
        <v>1905</v>
      </c>
      <c r="E86" s="267">
        <v>1</v>
      </c>
      <c r="F86" s="356" t="s">
        <v>402</v>
      </c>
      <c r="G86" s="267"/>
      <c r="H86" s="267"/>
      <c r="I86" s="269">
        <f t="shared" si="8"/>
        <v>0</v>
      </c>
      <c r="J86" s="270">
        <v>1000</v>
      </c>
      <c r="K86" s="270">
        <f t="shared" si="4"/>
        <v>934.90804700000001</v>
      </c>
      <c r="L86" s="270">
        <f t="shared" si="5"/>
        <v>934.90804700000001</v>
      </c>
      <c r="M86" s="270">
        <f t="shared" si="9"/>
        <v>934.90804700000001</v>
      </c>
      <c r="N86" s="268"/>
      <c r="O86" s="250">
        <v>0.93490804699999996</v>
      </c>
      <c r="Q86" s="560"/>
      <c r="W86" s="576"/>
    </row>
    <row r="87" spans="1:23" ht="18.95" customHeight="1">
      <c r="A87" s="635"/>
      <c r="B87" s="603"/>
      <c r="C87" s="316" t="s">
        <v>1947</v>
      </c>
      <c r="D87" s="330" t="s">
        <v>1905</v>
      </c>
      <c r="E87" s="267">
        <v>1</v>
      </c>
      <c r="F87" s="356" t="s">
        <v>402</v>
      </c>
      <c r="G87" s="267"/>
      <c r="H87" s="267"/>
      <c r="I87" s="269">
        <f t="shared" si="8"/>
        <v>0</v>
      </c>
      <c r="J87" s="270">
        <v>1000</v>
      </c>
      <c r="K87" s="270">
        <f t="shared" si="4"/>
        <v>934.90804700000001</v>
      </c>
      <c r="L87" s="270">
        <f t="shared" si="5"/>
        <v>934.90804700000001</v>
      </c>
      <c r="M87" s="270">
        <f t="shared" si="9"/>
        <v>934.90804700000001</v>
      </c>
      <c r="N87" s="268"/>
      <c r="O87" s="250">
        <v>0.93490804699999996</v>
      </c>
      <c r="Q87" s="560"/>
      <c r="W87" s="576"/>
    </row>
    <row r="88" spans="1:23" ht="18.95" customHeight="1">
      <c r="A88" s="632"/>
      <c r="B88" s="603"/>
      <c r="C88" s="316" t="s">
        <v>1948</v>
      </c>
      <c r="D88" s="328" t="s">
        <v>1905</v>
      </c>
      <c r="E88" s="267">
        <v>1</v>
      </c>
      <c r="F88" s="356" t="s">
        <v>402</v>
      </c>
      <c r="G88" s="267"/>
      <c r="H88" s="267"/>
      <c r="I88" s="269">
        <f t="shared" si="8"/>
        <v>0</v>
      </c>
      <c r="J88" s="270">
        <v>1000</v>
      </c>
      <c r="K88" s="270">
        <f t="shared" si="4"/>
        <v>934.90804700000001</v>
      </c>
      <c r="L88" s="270">
        <f t="shared" si="5"/>
        <v>934.90804700000001</v>
      </c>
      <c r="M88" s="270">
        <f t="shared" si="9"/>
        <v>934.90804700000001</v>
      </c>
      <c r="N88" s="268"/>
      <c r="O88" s="250">
        <v>0.93490804699999996</v>
      </c>
      <c r="Q88" s="560"/>
      <c r="W88" s="576"/>
    </row>
    <row r="89" spans="1:23" ht="18.95" customHeight="1">
      <c r="A89" s="632"/>
      <c r="B89" s="603"/>
      <c r="C89" s="316" t="s">
        <v>1949</v>
      </c>
      <c r="D89" s="328" t="s">
        <v>1905</v>
      </c>
      <c r="E89" s="267">
        <v>1</v>
      </c>
      <c r="F89" s="356" t="s">
        <v>402</v>
      </c>
      <c r="G89" s="267"/>
      <c r="H89" s="267"/>
      <c r="I89" s="269">
        <f t="shared" si="8"/>
        <v>0</v>
      </c>
      <c r="J89" s="270">
        <v>1000</v>
      </c>
      <c r="K89" s="270">
        <f t="shared" si="4"/>
        <v>934.90804700000001</v>
      </c>
      <c r="L89" s="270">
        <f t="shared" si="5"/>
        <v>934.90804700000001</v>
      </c>
      <c r="M89" s="270">
        <f t="shared" si="9"/>
        <v>934.90804700000001</v>
      </c>
      <c r="N89" s="268"/>
      <c r="O89" s="250">
        <v>0.93490804699999996</v>
      </c>
      <c r="Q89" s="560"/>
      <c r="W89" s="576"/>
    </row>
    <row r="90" spans="1:23" ht="18.95" customHeight="1">
      <c r="A90" s="632"/>
      <c r="B90" s="603"/>
      <c r="C90" s="316" t="s">
        <v>1950</v>
      </c>
      <c r="D90" s="328" t="s">
        <v>1905</v>
      </c>
      <c r="E90" s="267">
        <v>1</v>
      </c>
      <c r="F90" s="356" t="s">
        <v>402</v>
      </c>
      <c r="G90" s="267"/>
      <c r="H90" s="267"/>
      <c r="I90" s="269">
        <f t="shared" si="8"/>
        <v>0</v>
      </c>
      <c r="J90" s="270">
        <v>1000</v>
      </c>
      <c r="K90" s="270">
        <f t="shared" si="4"/>
        <v>934.90804700000001</v>
      </c>
      <c r="L90" s="270">
        <f t="shared" si="5"/>
        <v>934.90804700000001</v>
      </c>
      <c r="M90" s="270">
        <f t="shared" si="9"/>
        <v>934.90804700000001</v>
      </c>
      <c r="N90" s="268"/>
      <c r="O90" s="250">
        <v>0.93490804699999996</v>
      </c>
      <c r="Q90" s="560"/>
      <c r="W90" s="576"/>
    </row>
    <row r="91" spans="1:23" ht="18.95" customHeight="1">
      <c r="A91" s="632"/>
      <c r="B91" s="603"/>
      <c r="C91" s="316" t="s">
        <v>1951</v>
      </c>
      <c r="D91" s="328" t="s">
        <v>1905</v>
      </c>
      <c r="E91" s="267">
        <v>1</v>
      </c>
      <c r="F91" s="356" t="s">
        <v>402</v>
      </c>
      <c r="G91" s="267"/>
      <c r="H91" s="267"/>
      <c r="I91" s="269">
        <f t="shared" si="8"/>
        <v>0</v>
      </c>
      <c r="J91" s="270">
        <v>1000</v>
      </c>
      <c r="K91" s="270">
        <f t="shared" si="4"/>
        <v>934.90804700000001</v>
      </c>
      <c r="L91" s="270">
        <f t="shared" si="5"/>
        <v>934.90804700000001</v>
      </c>
      <c r="M91" s="270">
        <f t="shared" si="9"/>
        <v>934.90804700000001</v>
      </c>
      <c r="N91" s="268"/>
      <c r="O91" s="250">
        <v>0.93490804699999996</v>
      </c>
      <c r="Q91" s="560"/>
      <c r="W91" s="576"/>
    </row>
    <row r="92" spans="1:23" ht="18.95" customHeight="1">
      <c r="A92" s="632"/>
      <c r="B92" s="603"/>
      <c r="C92" s="316" t="s">
        <v>1952</v>
      </c>
      <c r="D92" s="328" t="s">
        <v>1905</v>
      </c>
      <c r="E92" s="267">
        <v>1</v>
      </c>
      <c r="F92" s="356" t="s">
        <v>402</v>
      </c>
      <c r="G92" s="267"/>
      <c r="H92" s="267"/>
      <c r="I92" s="269">
        <f t="shared" si="8"/>
        <v>0</v>
      </c>
      <c r="J92" s="270">
        <v>1000</v>
      </c>
      <c r="K92" s="270">
        <f t="shared" si="4"/>
        <v>934.90804700000001</v>
      </c>
      <c r="L92" s="270">
        <f t="shared" si="5"/>
        <v>934.90804700000001</v>
      </c>
      <c r="M92" s="270">
        <f t="shared" si="9"/>
        <v>934.90804700000001</v>
      </c>
      <c r="N92" s="268"/>
      <c r="O92" s="250">
        <v>0.93490804699999996</v>
      </c>
      <c r="Q92" s="560"/>
      <c r="W92" s="576"/>
    </row>
    <row r="93" spans="1:23" ht="18.95" customHeight="1">
      <c r="A93" s="632"/>
      <c r="B93" s="603"/>
      <c r="C93" s="316" t="s">
        <v>1953</v>
      </c>
      <c r="D93" s="328" t="s">
        <v>1905</v>
      </c>
      <c r="E93" s="267">
        <v>1</v>
      </c>
      <c r="F93" s="356" t="s">
        <v>402</v>
      </c>
      <c r="G93" s="267"/>
      <c r="H93" s="267"/>
      <c r="I93" s="269">
        <f t="shared" si="8"/>
        <v>0</v>
      </c>
      <c r="J93" s="270">
        <v>1000</v>
      </c>
      <c r="K93" s="270">
        <f t="shared" si="4"/>
        <v>934.90804700000001</v>
      </c>
      <c r="L93" s="270">
        <f t="shared" si="5"/>
        <v>934.90804700000001</v>
      </c>
      <c r="M93" s="270">
        <f t="shared" si="9"/>
        <v>934.90804700000001</v>
      </c>
      <c r="N93" s="268"/>
      <c r="O93" s="250">
        <v>0.93490804699999996</v>
      </c>
      <c r="Q93" s="560"/>
      <c r="W93" s="576"/>
    </row>
    <row r="94" spans="1:23" ht="18.95" customHeight="1">
      <c r="A94" s="632"/>
      <c r="B94" s="603"/>
      <c r="C94" s="316" t="s">
        <v>1954</v>
      </c>
      <c r="D94" s="328" t="s">
        <v>1905</v>
      </c>
      <c r="E94" s="267">
        <v>1</v>
      </c>
      <c r="F94" s="356" t="s">
        <v>402</v>
      </c>
      <c r="G94" s="267"/>
      <c r="H94" s="267"/>
      <c r="I94" s="269">
        <f t="shared" si="8"/>
        <v>0</v>
      </c>
      <c r="J94" s="270">
        <v>1000</v>
      </c>
      <c r="K94" s="270">
        <f t="shared" si="4"/>
        <v>934.90804700000001</v>
      </c>
      <c r="L94" s="270">
        <f t="shared" si="5"/>
        <v>934.90804700000001</v>
      </c>
      <c r="M94" s="270">
        <f t="shared" si="9"/>
        <v>934.90804700000001</v>
      </c>
      <c r="N94" s="268"/>
      <c r="O94" s="250">
        <v>0.93490804699999996</v>
      </c>
      <c r="Q94" s="560"/>
      <c r="W94" s="576"/>
    </row>
    <row r="95" spans="1:23" ht="18.95" customHeight="1">
      <c r="A95" s="632"/>
      <c r="B95" s="603" t="s">
        <v>1955</v>
      </c>
      <c r="C95" s="633"/>
      <c r="D95" s="633"/>
      <c r="E95" s="267"/>
      <c r="F95" s="356"/>
      <c r="G95" s="267"/>
      <c r="H95" s="267"/>
      <c r="I95" s="269"/>
      <c r="J95" s="270"/>
      <c r="K95" s="270"/>
      <c r="L95" s="270"/>
      <c r="M95" s="270"/>
      <c r="N95" s="268"/>
      <c r="O95" s="250">
        <v>0.93490804699999996</v>
      </c>
      <c r="Q95" s="560"/>
      <c r="W95" s="576"/>
    </row>
    <row r="96" spans="1:23" ht="18.95" customHeight="1">
      <c r="A96" s="632"/>
      <c r="B96" s="603"/>
      <c r="C96" s="316" t="s">
        <v>1956</v>
      </c>
      <c r="D96" s="328" t="s">
        <v>1957</v>
      </c>
      <c r="E96" s="267">
        <v>1</v>
      </c>
      <c r="F96" s="356" t="s">
        <v>402</v>
      </c>
      <c r="G96" s="267"/>
      <c r="H96" s="267"/>
      <c r="I96" s="269">
        <f t="shared" ref="I96:I133" si="10">ROUNDDOWN(E96*G96,2)</f>
        <v>0</v>
      </c>
      <c r="J96" s="270">
        <v>1000</v>
      </c>
      <c r="K96" s="270">
        <f t="shared" si="4"/>
        <v>934.90804700000001</v>
      </c>
      <c r="L96" s="270">
        <f t="shared" si="5"/>
        <v>934.90804700000001</v>
      </c>
      <c r="M96" s="270">
        <f t="shared" ref="M96:M133" si="11">I96+L96</f>
        <v>934.90804700000001</v>
      </c>
      <c r="N96" s="268"/>
      <c r="O96" s="250">
        <v>0.93490804699999996</v>
      </c>
      <c r="Q96" s="560"/>
      <c r="W96" s="576"/>
    </row>
    <row r="97" spans="1:23" ht="18.95" customHeight="1">
      <c r="A97" s="632"/>
      <c r="B97" s="603"/>
      <c r="C97" s="316" t="s">
        <v>1958</v>
      </c>
      <c r="D97" s="167" t="s">
        <v>1905</v>
      </c>
      <c r="E97" s="267">
        <v>1</v>
      </c>
      <c r="F97" s="356" t="s">
        <v>402</v>
      </c>
      <c r="G97" s="267"/>
      <c r="H97" s="267"/>
      <c r="I97" s="269">
        <f t="shared" si="10"/>
        <v>0</v>
      </c>
      <c r="J97" s="270">
        <v>1000</v>
      </c>
      <c r="K97" s="270">
        <f t="shared" si="4"/>
        <v>934.90804700000001</v>
      </c>
      <c r="L97" s="270">
        <f t="shared" si="5"/>
        <v>934.90804700000001</v>
      </c>
      <c r="M97" s="270">
        <f t="shared" si="11"/>
        <v>934.90804700000001</v>
      </c>
      <c r="N97" s="268"/>
      <c r="O97" s="250">
        <v>0.93490804699999996</v>
      </c>
      <c r="Q97" s="560"/>
      <c r="W97" s="576"/>
    </row>
    <row r="98" spans="1:23" ht="18.95" customHeight="1">
      <c r="A98" s="632"/>
      <c r="B98" s="603"/>
      <c r="C98" s="316" t="s">
        <v>1959</v>
      </c>
      <c r="D98" s="167" t="s">
        <v>1905</v>
      </c>
      <c r="E98" s="267">
        <v>1</v>
      </c>
      <c r="F98" s="356" t="s">
        <v>402</v>
      </c>
      <c r="G98" s="267"/>
      <c r="H98" s="267"/>
      <c r="I98" s="269">
        <f t="shared" si="10"/>
        <v>0</v>
      </c>
      <c r="J98" s="270">
        <v>1000</v>
      </c>
      <c r="K98" s="270">
        <f t="shared" si="4"/>
        <v>934.90804700000001</v>
      </c>
      <c r="L98" s="270">
        <f t="shared" si="5"/>
        <v>934.90804700000001</v>
      </c>
      <c r="M98" s="270">
        <f t="shared" si="11"/>
        <v>934.90804700000001</v>
      </c>
      <c r="N98" s="268"/>
      <c r="O98" s="250">
        <v>0.93490804699999996</v>
      </c>
      <c r="Q98" s="560"/>
      <c r="W98" s="576"/>
    </row>
    <row r="99" spans="1:23" ht="18.95" customHeight="1">
      <c r="A99" s="632"/>
      <c r="B99" s="603"/>
      <c r="C99" s="316" t="s">
        <v>1960</v>
      </c>
      <c r="D99" s="167" t="s">
        <v>1905</v>
      </c>
      <c r="E99" s="267">
        <v>1</v>
      </c>
      <c r="F99" s="356" t="s">
        <v>402</v>
      </c>
      <c r="G99" s="267"/>
      <c r="H99" s="267"/>
      <c r="I99" s="269">
        <f t="shared" si="10"/>
        <v>0</v>
      </c>
      <c r="J99" s="270">
        <v>1000</v>
      </c>
      <c r="K99" s="270">
        <f t="shared" ref="K99:K159" si="12">J99*O99</f>
        <v>934.90804700000001</v>
      </c>
      <c r="L99" s="270">
        <f t="shared" ref="L99:L159" si="13">E99*K99</f>
        <v>934.90804700000001</v>
      </c>
      <c r="M99" s="270">
        <f t="shared" si="11"/>
        <v>934.90804700000001</v>
      </c>
      <c r="N99" s="268"/>
      <c r="O99" s="250">
        <v>0.93490804699999996</v>
      </c>
      <c r="Q99" s="560"/>
      <c r="W99" s="576"/>
    </row>
    <row r="100" spans="1:23" ht="18.95" customHeight="1">
      <c r="A100" s="632"/>
      <c r="B100" s="603"/>
      <c r="C100" s="316" t="s">
        <v>1961</v>
      </c>
      <c r="D100" s="167" t="s">
        <v>1905</v>
      </c>
      <c r="E100" s="267">
        <v>1</v>
      </c>
      <c r="F100" s="356" t="s">
        <v>402</v>
      </c>
      <c r="G100" s="267"/>
      <c r="H100" s="267"/>
      <c r="I100" s="269">
        <f t="shared" si="10"/>
        <v>0</v>
      </c>
      <c r="J100" s="270">
        <v>1000</v>
      </c>
      <c r="K100" s="270">
        <f t="shared" si="12"/>
        <v>934.90804700000001</v>
      </c>
      <c r="L100" s="270">
        <f t="shared" si="13"/>
        <v>934.90804700000001</v>
      </c>
      <c r="M100" s="270">
        <f t="shared" si="11"/>
        <v>934.90804700000001</v>
      </c>
      <c r="N100" s="268"/>
      <c r="O100" s="250">
        <v>0.93490804699999996</v>
      </c>
      <c r="Q100" s="560"/>
      <c r="W100" s="576"/>
    </row>
    <row r="101" spans="1:23" ht="18.95" customHeight="1">
      <c r="A101" s="632"/>
      <c r="B101" s="603"/>
      <c r="C101" s="316" t="s">
        <v>1962</v>
      </c>
      <c r="D101" s="167" t="s">
        <v>1900</v>
      </c>
      <c r="E101" s="267">
        <v>1</v>
      </c>
      <c r="F101" s="356" t="s">
        <v>402</v>
      </c>
      <c r="G101" s="267"/>
      <c r="H101" s="267"/>
      <c r="I101" s="269">
        <f t="shared" si="10"/>
        <v>0</v>
      </c>
      <c r="J101" s="270">
        <v>1000</v>
      </c>
      <c r="K101" s="270">
        <f t="shared" si="12"/>
        <v>934.90804700000001</v>
      </c>
      <c r="L101" s="270">
        <f t="shared" si="13"/>
        <v>934.90804700000001</v>
      </c>
      <c r="M101" s="270">
        <f t="shared" si="11"/>
        <v>934.90804700000001</v>
      </c>
      <c r="N101" s="268"/>
      <c r="O101" s="250">
        <v>0.93490804699999996</v>
      </c>
      <c r="Q101" s="560"/>
      <c r="W101" s="576"/>
    </row>
    <row r="102" spans="1:23" ht="18.95" customHeight="1">
      <c r="A102" s="632"/>
      <c r="B102" s="603"/>
      <c r="C102" s="316" t="s">
        <v>1963</v>
      </c>
      <c r="D102" s="167" t="s">
        <v>1900</v>
      </c>
      <c r="E102" s="267">
        <v>1</v>
      </c>
      <c r="F102" s="356" t="s">
        <v>402</v>
      </c>
      <c r="G102" s="267"/>
      <c r="H102" s="267"/>
      <c r="I102" s="269">
        <f t="shared" si="10"/>
        <v>0</v>
      </c>
      <c r="J102" s="270">
        <v>1000</v>
      </c>
      <c r="K102" s="270">
        <f t="shared" si="12"/>
        <v>934.90804700000001</v>
      </c>
      <c r="L102" s="270">
        <f t="shared" si="13"/>
        <v>934.90804700000001</v>
      </c>
      <c r="M102" s="270">
        <f t="shared" si="11"/>
        <v>934.90804700000001</v>
      </c>
      <c r="N102" s="268"/>
      <c r="O102" s="250">
        <v>0.93490804699999996</v>
      </c>
      <c r="Q102" s="560"/>
      <c r="W102" s="576"/>
    </row>
    <row r="103" spans="1:23" ht="18.95" customHeight="1">
      <c r="A103" s="632"/>
      <c r="B103" s="603"/>
      <c r="C103" s="316" t="s">
        <v>1964</v>
      </c>
      <c r="D103" s="167" t="s">
        <v>1900</v>
      </c>
      <c r="E103" s="267">
        <v>1</v>
      </c>
      <c r="F103" s="356" t="s">
        <v>402</v>
      </c>
      <c r="G103" s="267"/>
      <c r="H103" s="267"/>
      <c r="I103" s="269">
        <f t="shared" si="10"/>
        <v>0</v>
      </c>
      <c r="J103" s="270">
        <v>1000</v>
      </c>
      <c r="K103" s="270">
        <f t="shared" si="12"/>
        <v>934.90804700000001</v>
      </c>
      <c r="L103" s="270">
        <f t="shared" si="13"/>
        <v>934.90804700000001</v>
      </c>
      <c r="M103" s="270">
        <f t="shared" si="11"/>
        <v>934.90804700000001</v>
      </c>
      <c r="N103" s="268"/>
      <c r="O103" s="250">
        <v>0.93490804699999996</v>
      </c>
      <c r="Q103" s="560"/>
      <c r="W103" s="576"/>
    </row>
    <row r="104" spans="1:23" ht="18.95" customHeight="1">
      <c r="A104" s="632"/>
      <c r="B104" s="603"/>
      <c r="C104" s="316" t="s">
        <v>1965</v>
      </c>
      <c r="D104" s="167" t="s">
        <v>1900</v>
      </c>
      <c r="E104" s="267">
        <v>1</v>
      </c>
      <c r="F104" s="356" t="s">
        <v>402</v>
      </c>
      <c r="G104" s="267"/>
      <c r="H104" s="267"/>
      <c r="I104" s="269">
        <f t="shared" si="10"/>
        <v>0</v>
      </c>
      <c r="J104" s="270">
        <v>1000</v>
      </c>
      <c r="K104" s="270">
        <f t="shared" si="12"/>
        <v>934.90804700000001</v>
      </c>
      <c r="L104" s="270">
        <f t="shared" si="13"/>
        <v>934.90804700000001</v>
      </c>
      <c r="M104" s="270">
        <f t="shared" si="11"/>
        <v>934.90804700000001</v>
      </c>
      <c r="N104" s="268"/>
      <c r="O104" s="250">
        <v>0.93490804699999996</v>
      </c>
      <c r="Q104" s="560"/>
      <c r="W104" s="576"/>
    </row>
    <row r="105" spans="1:23" ht="18.95" customHeight="1">
      <c r="A105" s="632"/>
      <c r="B105" s="603"/>
      <c r="C105" s="316" t="s">
        <v>1966</v>
      </c>
      <c r="D105" s="167" t="s">
        <v>1900</v>
      </c>
      <c r="E105" s="267">
        <v>1</v>
      </c>
      <c r="F105" s="356" t="s">
        <v>402</v>
      </c>
      <c r="G105" s="267"/>
      <c r="H105" s="267"/>
      <c r="I105" s="269">
        <f t="shared" si="10"/>
        <v>0</v>
      </c>
      <c r="J105" s="270">
        <v>1000</v>
      </c>
      <c r="K105" s="270">
        <f t="shared" si="12"/>
        <v>934.90804700000001</v>
      </c>
      <c r="L105" s="270">
        <f t="shared" si="13"/>
        <v>934.90804700000001</v>
      </c>
      <c r="M105" s="270">
        <f t="shared" si="11"/>
        <v>934.90804700000001</v>
      </c>
      <c r="N105" s="268"/>
      <c r="O105" s="250">
        <v>0.93490804699999996</v>
      </c>
      <c r="Q105" s="560"/>
      <c r="W105" s="576"/>
    </row>
    <row r="106" spans="1:23" ht="18.95" customHeight="1">
      <c r="A106" s="632"/>
      <c r="B106" s="603"/>
      <c r="C106" s="316" t="s">
        <v>1967</v>
      </c>
      <c r="D106" s="328" t="s">
        <v>1968</v>
      </c>
      <c r="E106" s="267">
        <v>1</v>
      </c>
      <c r="F106" s="356" t="s">
        <v>402</v>
      </c>
      <c r="G106" s="267"/>
      <c r="H106" s="267"/>
      <c r="I106" s="269">
        <f t="shared" si="10"/>
        <v>0</v>
      </c>
      <c r="J106" s="270">
        <v>1000</v>
      </c>
      <c r="K106" s="270">
        <f t="shared" si="12"/>
        <v>934.90804700000001</v>
      </c>
      <c r="L106" s="270">
        <f t="shared" si="13"/>
        <v>934.90804700000001</v>
      </c>
      <c r="M106" s="270">
        <f t="shared" si="11"/>
        <v>934.90804700000001</v>
      </c>
      <c r="N106" s="268"/>
      <c r="O106" s="250">
        <v>0.93490804699999996</v>
      </c>
      <c r="Q106" s="560"/>
      <c r="W106" s="576"/>
    </row>
    <row r="107" spans="1:23" ht="18.95" customHeight="1">
      <c r="A107" s="632"/>
      <c r="B107" s="603"/>
      <c r="C107" s="316" t="s">
        <v>1969</v>
      </c>
      <c r="D107" s="328" t="s">
        <v>1968</v>
      </c>
      <c r="E107" s="267">
        <v>1</v>
      </c>
      <c r="F107" s="356" t="s">
        <v>402</v>
      </c>
      <c r="G107" s="267"/>
      <c r="H107" s="267"/>
      <c r="I107" s="269">
        <f t="shared" si="10"/>
        <v>0</v>
      </c>
      <c r="J107" s="270">
        <v>1000</v>
      </c>
      <c r="K107" s="270">
        <f t="shared" si="12"/>
        <v>934.90804700000001</v>
      </c>
      <c r="L107" s="270">
        <f t="shared" si="13"/>
        <v>934.90804700000001</v>
      </c>
      <c r="M107" s="270">
        <f t="shared" si="11"/>
        <v>934.90804700000001</v>
      </c>
      <c r="N107" s="268"/>
      <c r="O107" s="250">
        <v>0.93490804699999996</v>
      </c>
      <c r="Q107" s="560"/>
      <c r="W107" s="576"/>
    </row>
    <row r="108" spans="1:23" ht="18.95" customHeight="1">
      <c r="A108" s="632"/>
      <c r="B108" s="603"/>
      <c r="C108" s="316" t="s">
        <v>1970</v>
      </c>
      <c r="D108" s="328" t="s">
        <v>1968</v>
      </c>
      <c r="E108" s="267">
        <v>1</v>
      </c>
      <c r="F108" s="356" t="s">
        <v>402</v>
      </c>
      <c r="G108" s="267"/>
      <c r="H108" s="267"/>
      <c r="I108" s="269">
        <f t="shared" si="10"/>
        <v>0</v>
      </c>
      <c r="J108" s="270">
        <v>1000</v>
      </c>
      <c r="K108" s="270">
        <f t="shared" si="12"/>
        <v>934.90804700000001</v>
      </c>
      <c r="L108" s="270">
        <f t="shared" si="13"/>
        <v>934.90804700000001</v>
      </c>
      <c r="M108" s="270">
        <f t="shared" si="11"/>
        <v>934.90804700000001</v>
      </c>
      <c r="N108" s="268"/>
      <c r="O108" s="250">
        <v>0.93490804699999996</v>
      </c>
      <c r="Q108" s="560"/>
      <c r="W108" s="576"/>
    </row>
    <row r="109" spans="1:23" ht="18.95" customHeight="1">
      <c r="A109" s="632"/>
      <c r="B109" s="603"/>
      <c r="C109" s="316" t="s">
        <v>1971</v>
      </c>
      <c r="D109" s="328" t="s">
        <v>1968</v>
      </c>
      <c r="E109" s="267">
        <v>1</v>
      </c>
      <c r="F109" s="356" t="s">
        <v>402</v>
      </c>
      <c r="G109" s="267"/>
      <c r="H109" s="267"/>
      <c r="I109" s="269">
        <f t="shared" si="10"/>
        <v>0</v>
      </c>
      <c r="J109" s="270">
        <v>1000</v>
      </c>
      <c r="K109" s="270">
        <f t="shared" si="12"/>
        <v>934.90804700000001</v>
      </c>
      <c r="L109" s="270">
        <f t="shared" si="13"/>
        <v>934.90804700000001</v>
      </c>
      <c r="M109" s="270">
        <f t="shared" si="11"/>
        <v>934.90804700000001</v>
      </c>
      <c r="N109" s="268"/>
      <c r="O109" s="250">
        <v>0.93490804699999996</v>
      </c>
      <c r="Q109" s="560"/>
      <c r="W109" s="576"/>
    </row>
    <row r="110" spans="1:23" ht="18.95" customHeight="1">
      <c r="A110" s="632"/>
      <c r="B110" s="603"/>
      <c r="C110" s="316" t="s">
        <v>1972</v>
      </c>
      <c r="D110" s="374" t="s">
        <v>1884</v>
      </c>
      <c r="E110" s="267">
        <v>1</v>
      </c>
      <c r="F110" s="356" t="s">
        <v>402</v>
      </c>
      <c r="G110" s="267"/>
      <c r="H110" s="267"/>
      <c r="I110" s="269">
        <f t="shared" si="10"/>
        <v>0</v>
      </c>
      <c r="J110" s="270">
        <v>1000</v>
      </c>
      <c r="K110" s="270">
        <f t="shared" si="12"/>
        <v>934.90804700000001</v>
      </c>
      <c r="L110" s="270">
        <f t="shared" si="13"/>
        <v>934.90804700000001</v>
      </c>
      <c r="M110" s="270">
        <f t="shared" si="11"/>
        <v>934.90804700000001</v>
      </c>
      <c r="N110" s="268"/>
      <c r="O110" s="250">
        <v>0.93490804699999996</v>
      </c>
      <c r="Q110" s="560"/>
      <c r="W110" s="576"/>
    </row>
    <row r="111" spans="1:23" ht="18.95" customHeight="1">
      <c r="A111" s="632"/>
      <c r="B111" s="603"/>
      <c r="C111" s="316" t="s">
        <v>1973</v>
      </c>
      <c r="D111" s="374" t="s">
        <v>1884</v>
      </c>
      <c r="E111" s="267">
        <v>1</v>
      </c>
      <c r="F111" s="356" t="s">
        <v>402</v>
      </c>
      <c r="G111" s="267"/>
      <c r="H111" s="267"/>
      <c r="I111" s="269">
        <f t="shared" si="10"/>
        <v>0</v>
      </c>
      <c r="J111" s="270">
        <v>1000</v>
      </c>
      <c r="K111" s="270">
        <f t="shared" si="12"/>
        <v>934.90804700000001</v>
      </c>
      <c r="L111" s="270">
        <f t="shared" si="13"/>
        <v>934.90804700000001</v>
      </c>
      <c r="M111" s="270">
        <f t="shared" si="11"/>
        <v>934.90804700000001</v>
      </c>
      <c r="N111" s="268"/>
      <c r="O111" s="250">
        <v>0.93490804699999996</v>
      </c>
      <c r="Q111" s="560"/>
      <c r="W111" s="576"/>
    </row>
    <row r="112" spans="1:23" ht="18.95" customHeight="1">
      <c r="A112" s="632"/>
      <c r="B112" s="603"/>
      <c r="C112" s="316" t="s">
        <v>1974</v>
      </c>
      <c r="D112" s="374" t="s">
        <v>1898</v>
      </c>
      <c r="E112" s="267">
        <v>1</v>
      </c>
      <c r="F112" s="356" t="s">
        <v>402</v>
      </c>
      <c r="G112" s="267"/>
      <c r="H112" s="267"/>
      <c r="I112" s="269">
        <f t="shared" si="10"/>
        <v>0</v>
      </c>
      <c r="J112" s="270">
        <v>1000</v>
      </c>
      <c r="K112" s="270">
        <f t="shared" si="12"/>
        <v>934.90804700000001</v>
      </c>
      <c r="L112" s="270">
        <f t="shared" si="13"/>
        <v>934.90804700000001</v>
      </c>
      <c r="M112" s="270">
        <f t="shared" si="11"/>
        <v>934.90804700000001</v>
      </c>
      <c r="N112" s="268"/>
      <c r="O112" s="250">
        <v>0.93490804699999996</v>
      </c>
      <c r="Q112" s="560"/>
      <c r="W112" s="576"/>
    </row>
    <row r="113" spans="1:23" ht="18.95" customHeight="1">
      <c r="A113" s="632"/>
      <c r="B113" s="603"/>
      <c r="C113" s="316" t="s">
        <v>1975</v>
      </c>
      <c r="D113" s="374" t="s">
        <v>1898</v>
      </c>
      <c r="E113" s="267">
        <v>1</v>
      </c>
      <c r="F113" s="356" t="s">
        <v>402</v>
      </c>
      <c r="G113" s="267"/>
      <c r="H113" s="267"/>
      <c r="I113" s="269">
        <f t="shared" si="10"/>
        <v>0</v>
      </c>
      <c r="J113" s="270">
        <v>1000</v>
      </c>
      <c r="K113" s="270">
        <f t="shared" si="12"/>
        <v>934.90804700000001</v>
      </c>
      <c r="L113" s="270">
        <f t="shared" si="13"/>
        <v>934.90804700000001</v>
      </c>
      <c r="M113" s="270">
        <f t="shared" si="11"/>
        <v>934.90804700000001</v>
      </c>
      <c r="N113" s="268"/>
      <c r="O113" s="250">
        <v>0.93490804699999996</v>
      </c>
      <c r="Q113" s="560"/>
      <c r="W113" s="576"/>
    </row>
    <row r="114" spans="1:23" ht="18.95" customHeight="1">
      <c r="A114" s="635"/>
      <c r="B114" s="603"/>
      <c r="C114" s="316" t="s">
        <v>1976</v>
      </c>
      <c r="D114" s="636" t="s">
        <v>1891</v>
      </c>
      <c r="E114" s="267">
        <v>1</v>
      </c>
      <c r="F114" s="356" t="s">
        <v>402</v>
      </c>
      <c r="G114" s="267"/>
      <c r="H114" s="267"/>
      <c r="I114" s="269">
        <f t="shared" si="10"/>
        <v>0</v>
      </c>
      <c r="J114" s="270">
        <v>1000</v>
      </c>
      <c r="K114" s="270">
        <f t="shared" si="12"/>
        <v>934.90804700000001</v>
      </c>
      <c r="L114" s="270">
        <f t="shared" si="13"/>
        <v>934.90804700000001</v>
      </c>
      <c r="M114" s="270">
        <f t="shared" si="11"/>
        <v>934.90804700000001</v>
      </c>
      <c r="N114" s="268"/>
      <c r="O114" s="250">
        <v>0.93490804699999996</v>
      </c>
      <c r="Q114" s="560"/>
      <c r="W114" s="576"/>
    </row>
    <row r="115" spans="1:23" ht="18.95" customHeight="1">
      <c r="A115" s="632"/>
      <c r="B115" s="603"/>
      <c r="C115" s="316" t="s">
        <v>1977</v>
      </c>
      <c r="D115" s="374" t="s">
        <v>1891</v>
      </c>
      <c r="E115" s="267">
        <v>1</v>
      </c>
      <c r="F115" s="356" t="s">
        <v>402</v>
      </c>
      <c r="G115" s="267"/>
      <c r="H115" s="267"/>
      <c r="I115" s="269">
        <f t="shared" si="10"/>
        <v>0</v>
      </c>
      <c r="J115" s="270">
        <v>1000</v>
      </c>
      <c r="K115" s="270">
        <f t="shared" si="12"/>
        <v>934.90804700000001</v>
      </c>
      <c r="L115" s="270">
        <f t="shared" si="13"/>
        <v>934.90804700000001</v>
      </c>
      <c r="M115" s="270">
        <f t="shared" si="11"/>
        <v>934.90804700000001</v>
      </c>
      <c r="N115" s="268"/>
      <c r="O115" s="250">
        <v>0.93490804699999996</v>
      </c>
      <c r="Q115" s="560"/>
      <c r="W115" s="576"/>
    </row>
    <row r="116" spans="1:23" ht="18.95" customHeight="1">
      <c r="A116" s="632"/>
      <c r="B116" s="603"/>
      <c r="C116" s="316" t="s">
        <v>1978</v>
      </c>
      <c r="D116" s="636" t="s">
        <v>1891</v>
      </c>
      <c r="E116" s="267">
        <v>1</v>
      </c>
      <c r="F116" s="356" t="s">
        <v>402</v>
      </c>
      <c r="G116" s="267"/>
      <c r="H116" s="267"/>
      <c r="I116" s="269">
        <f t="shared" si="10"/>
        <v>0</v>
      </c>
      <c r="J116" s="270">
        <v>1000</v>
      </c>
      <c r="K116" s="270">
        <f t="shared" si="12"/>
        <v>934.90804700000001</v>
      </c>
      <c r="L116" s="270">
        <f t="shared" si="13"/>
        <v>934.90804700000001</v>
      </c>
      <c r="M116" s="270">
        <f t="shared" si="11"/>
        <v>934.90804700000001</v>
      </c>
      <c r="N116" s="268"/>
      <c r="O116" s="250">
        <v>0.93490804699999996</v>
      </c>
      <c r="Q116" s="560"/>
      <c r="W116" s="576"/>
    </row>
    <row r="117" spans="1:23" ht="18.95" customHeight="1">
      <c r="A117" s="632"/>
      <c r="B117" s="603"/>
      <c r="C117" s="316" t="s">
        <v>1979</v>
      </c>
      <c r="D117" s="636" t="s">
        <v>1980</v>
      </c>
      <c r="E117" s="267">
        <v>1</v>
      </c>
      <c r="F117" s="356" t="s">
        <v>402</v>
      </c>
      <c r="G117" s="267"/>
      <c r="H117" s="267"/>
      <c r="I117" s="269">
        <f t="shared" si="10"/>
        <v>0</v>
      </c>
      <c r="J117" s="270">
        <v>1000</v>
      </c>
      <c r="K117" s="270">
        <f t="shared" si="12"/>
        <v>934.90804700000001</v>
      </c>
      <c r="L117" s="270">
        <f t="shared" si="13"/>
        <v>934.90804700000001</v>
      </c>
      <c r="M117" s="270">
        <f t="shared" si="11"/>
        <v>934.90804700000001</v>
      </c>
      <c r="N117" s="268"/>
      <c r="O117" s="250">
        <v>0.93490804699999996</v>
      </c>
      <c r="Q117" s="560"/>
      <c r="W117" s="576"/>
    </row>
    <row r="118" spans="1:23" ht="18.95" customHeight="1">
      <c r="A118" s="632"/>
      <c r="B118" s="603"/>
      <c r="C118" s="316" t="s">
        <v>1981</v>
      </c>
      <c r="D118" s="374" t="s">
        <v>1980</v>
      </c>
      <c r="E118" s="267">
        <v>1</v>
      </c>
      <c r="F118" s="356" t="s">
        <v>402</v>
      </c>
      <c r="G118" s="267"/>
      <c r="H118" s="267"/>
      <c r="I118" s="269">
        <f t="shared" si="10"/>
        <v>0</v>
      </c>
      <c r="J118" s="270">
        <v>1000</v>
      </c>
      <c r="K118" s="270">
        <f t="shared" si="12"/>
        <v>934.90804700000001</v>
      </c>
      <c r="L118" s="270">
        <f t="shared" si="13"/>
        <v>934.90804700000001</v>
      </c>
      <c r="M118" s="270">
        <f t="shared" si="11"/>
        <v>934.90804700000001</v>
      </c>
      <c r="N118" s="268"/>
      <c r="O118" s="250">
        <v>0.93490804699999996</v>
      </c>
      <c r="Q118" s="560"/>
      <c r="W118" s="576"/>
    </row>
    <row r="119" spans="1:23" ht="18.95" customHeight="1">
      <c r="A119" s="632"/>
      <c r="B119" s="603"/>
      <c r="C119" s="316" t="s">
        <v>1982</v>
      </c>
      <c r="D119" s="636" t="s">
        <v>1980</v>
      </c>
      <c r="E119" s="267">
        <v>1</v>
      </c>
      <c r="F119" s="356" t="s">
        <v>402</v>
      </c>
      <c r="G119" s="267"/>
      <c r="H119" s="267"/>
      <c r="I119" s="269">
        <f t="shared" si="10"/>
        <v>0</v>
      </c>
      <c r="J119" s="270">
        <v>1000</v>
      </c>
      <c r="K119" s="270">
        <f t="shared" si="12"/>
        <v>934.90804700000001</v>
      </c>
      <c r="L119" s="270">
        <f t="shared" si="13"/>
        <v>934.90804700000001</v>
      </c>
      <c r="M119" s="270">
        <f t="shared" si="11"/>
        <v>934.90804700000001</v>
      </c>
      <c r="N119" s="268"/>
      <c r="O119" s="250">
        <v>0.93490804699999996</v>
      </c>
      <c r="Q119" s="560"/>
      <c r="W119" s="576"/>
    </row>
    <row r="120" spans="1:23" ht="18.95" customHeight="1">
      <c r="A120" s="632"/>
      <c r="B120" s="603"/>
      <c r="C120" s="316" t="s">
        <v>1983</v>
      </c>
      <c r="D120" s="636" t="s">
        <v>1980</v>
      </c>
      <c r="E120" s="267">
        <v>1</v>
      </c>
      <c r="F120" s="356" t="s">
        <v>402</v>
      </c>
      <c r="G120" s="267"/>
      <c r="H120" s="267"/>
      <c r="I120" s="269">
        <f t="shared" si="10"/>
        <v>0</v>
      </c>
      <c r="J120" s="270">
        <v>1000</v>
      </c>
      <c r="K120" s="270">
        <f t="shared" si="12"/>
        <v>934.90804700000001</v>
      </c>
      <c r="L120" s="270">
        <f t="shared" si="13"/>
        <v>934.90804700000001</v>
      </c>
      <c r="M120" s="270">
        <f t="shared" si="11"/>
        <v>934.90804700000001</v>
      </c>
      <c r="N120" s="268"/>
      <c r="O120" s="250">
        <v>0.93490804699999996</v>
      </c>
      <c r="Q120" s="560"/>
      <c r="W120" s="576"/>
    </row>
    <row r="121" spans="1:23" ht="18.95" customHeight="1">
      <c r="A121" s="632"/>
      <c r="B121" s="603"/>
      <c r="C121" s="316" t="s">
        <v>1984</v>
      </c>
      <c r="D121" s="636" t="s">
        <v>1905</v>
      </c>
      <c r="E121" s="267">
        <v>1</v>
      </c>
      <c r="F121" s="356" t="s">
        <v>402</v>
      </c>
      <c r="G121" s="267"/>
      <c r="H121" s="267"/>
      <c r="I121" s="269">
        <f t="shared" si="10"/>
        <v>0</v>
      </c>
      <c r="J121" s="270">
        <v>1000</v>
      </c>
      <c r="K121" s="270">
        <f t="shared" si="12"/>
        <v>934.90804700000001</v>
      </c>
      <c r="L121" s="270">
        <f t="shared" si="13"/>
        <v>934.90804700000001</v>
      </c>
      <c r="M121" s="270">
        <f t="shared" si="11"/>
        <v>934.90804700000001</v>
      </c>
      <c r="N121" s="268"/>
      <c r="O121" s="250">
        <v>0.93490804699999996</v>
      </c>
      <c r="Q121" s="560"/>
      <c r="W121" s="576"/>
    </row>
    <row r="122" spans="1:23" ht="18.95" customHeight="1">
      <c r="A122" s="632"/>
      <c r="B122" s="603"/>
      <c r="C122" s="316" t="s">
        <v>1985</v>
      </c>
      <c r="D122" s="374" t="s">
        <v>1905</v>
      </c>
      <c r="E122" s="267">
        <v>1</v>
      </c>
      <c r="F122" s="356" t="s">
        <v>402</v>
      </c>
      <c r="G122" s="267"/>
      <c r="H122" s="267"/>
      <c r="I122" s="269">
        <f t="shared" si="10"/>
        <v>0</v>
      </c>
      <c r="J122" s="270">
        <v>1000</v>
      </c>
      <c r="K122" s="270">
        <f t="shared" si="12"/>
        <v>934.90804700000001</v>
      </c>
      <c r="L122" s="270">
        <f t="shared" si="13"/>
        <v>934.90804700000001</v>
      </c>
      <c r="M122" s="270">
        <f t="shared" si="11"/>
        <v>934.90804700000001</v>
      </c>
      <c r="N122" s="268"/>
      <c r="O122" s="250">
        <v>0.93490804699999996</v>
      </c>
      <c r="Q122" s="560"/>
      <c r="W122" s="576"/>
    </row>
    <row r="123" spans="1:23" ht="18.95" customHeight="1">
      <c r="A123" s="632"/>
      <c r="B123" s="603"/>
      <c r="C123" s="316" t="s">
        <v>1986</v>
      </c>
      <c r="D123" s="374" t="s">
        <v>1905</v>
      </c>
      <c r="E123" s="267">
        <v>1</v>
      </c>
      <c r="F123" s="356" t="s">
        <v>402</v>
      </c>
      <c r="G123" s="267"/>
      <c r="H123" s="267"/>
      <c r="I123" s="269">
        <f t="shared" si="10"/>
        <v>0</v>
      </c>
      <c r="J123" s="270">
        <v>1000</v>
      </c>
      <c r="K123" s="270">
        <f t="shared" si="12"/>
        <v>934.90804700000001</v>
      </c>
      <c r="L123" s="270">
        <f t="shared" si="13"/>
        <v>934.90804700000001</v>
      </c>
      <c r="M123" s="270">
        <f t="shared" si="11"/>
        <v>934.90804700000001</v>
      </c>
      <c r="N123" s="268"/>
      <c r="O123" s="250">
        <v>0.93490804699999996</v>
      </c>
      <c r="Q123" s="560"/>
      <c r="W123" s="576"/>
    </row>
    <row r="124" spans="1:23" ht="18.95" customHeight="1">
      <c r="A124" s="632"/>
      <c r="B124" s="603"/>
      <c r="C124" s="316" t="s">
        <v>1987</v>
      </c>
      <c r="D124" s="374" t="s">
        <v>1905</v>
      </c>
      <c r="E124" s="267">
        <v>1</v>
      </c>
      <c r="F124" s="356" t="s">
        <v>402</v>
      </c>
      <c r="G124" s="267"/>
      <c r="H124" s="267"/>
      <c r="I124" s="269">
        <f t="shared" si="10"/>
        <v>0</v>
      </c>
      <c r="J124" s="270">
        <v>1000</v>
      </c>
      <c r="K124" s="270">
        <f t="shared" si="12"/>
        <v>934.90804700000001</v>
      </c>
      <c r="L124" s="270">
        <f t="shared" si="13"/>
        <v>934.90804700000001</v>
      </c>
      <c r="M124" s="270">
        <f t="shared" si="11"/>
        <v>934.90804700000001</v>
      </c>
      <c r="N124" s="268"/>
      <c r="O124" s="250">
        <v>0.93490804699999996</v>
      </c>
      <c r="Q124" s="560"/>
      <c r="W124" s="576"/>
    </row>
    <row r="125" spans="1:23" ht="18.95" customHeight="1">
      <c r="A125" s="632"/>
      <c r="B125" s="603"/>
      <c r="C125" s="316" t="s">
        <v>1988</v>
      </c>
      <c r="D125" s="374" t="s">
        <v>1905</v>
      </c>
      <c r="E125" s="267">
        <v>1</v>
      </c>
      <c r="F125" s="356" t="s">
        <v>402</v>
      </c>
      <c r="G125" s="267"/>
      <c r="H125" s="267"/>
      <c r="I125" s="269">
        <f t="shared" si="10"/>
        <v>0</v>
      </c>
      <c r="J125" s="270">
        <v>1000</v>
      </c>
      <c r="K125" s="270">
        <f t="shared" si="12"/>
        <v>934.90804700000001</v>
      </c>
      <c r="L125" s="270">
        <f t="shared" si="13"/>
        <v>934.90804700000001</v>
      </c>
      <c r="M125" s="270">
        <f t="shared" si="11"/>
        <v>934.90804700000001</v>
      </c>
      <c r="N125" s="268"/>
      <c r="O125" s="250">
        <v>0.93490804699999996</v>
      </c>
      <c r="Q125" s="560"/>
      <c r="W125" s="576"/>
    </row>
    <row r="126" spans="1:23" ht="18.95" customHeight="1">
      <c r="A126" s="632"/>
      <c r="B126" s="603"/>
      <c r="C126" s="316" t="s">
        <v>1989</v>
      </c>
      <c r="D126" s="374" t="s">
        <v>1905</v>
      </c>
      <c r="E126" s="267">
        <v>1</v>
      </c>
      <c r="F126" s="356" t="s">
        <v>402</v>
      </c>
      <c r="G126" s="267"/>
      <c r="H126" s="267"/>
      <c r="I126" s="269">
        <f t="shared" si="10"/>
        <v>0</v>
      </c>
      <c r="J126" s="270">
        <v>1000</v>
      </c>
      <c r="K126" s="270">
        <f t="shared" si="12"/>
        <v>934.90804700000001</v>
      </c>
      <c r="L126" s="270">
        <f t="shared" si="13"/>
        <v>934.90804700000001</v>
      </c>
      <c r="M126" s="270">
        <f t="shared" si="11"/>
        <v>934.90804700000001</v>
      </c>
      <c r="N126" s="268"/>
      <c r="O126" s="250">
        <v>0.93490804699999996</v>
      </c>
      <c r="Q126" s="560"/>
      <c r="W126" s="576"/>
    </row>
    <row r="127" spans="1:23" ht="18.95" customHeight="1">
      <c r="A127" s="632"/>
      <c r="B127" s="603"/>
      <c r="C127" s="316" t="s">
        <v>1990</v>
      </c>
      <c r="D127" s="374" t="s">
        <v>1905</v>
      </c>
      <c r="E127" s="267">
        <v>1</v>
      </c>
      <c r="F127" s="356" t="s">
        <v>402</v>
      </c>
      <c r="G127" s="267"/>
      <c r="H127" s="267"/>
      <c r="I127" s="269">
        <f t="shared" si="10"/>
        <v>0</v>
      </c>
      <c r="J127" s="270">
        <v>1000</v>
      </c>
      <c r="K127" s="270">
        <f t="shared" si="12"/>
        <v>934.90804700000001</v>
      </c>
      <c r="L127" s="270">
        <f t="shared" si="13"/>
        <v>934.90804700000001</v>
      </c>
      <c r="M127" s="270">
        <f t="shared" si="11"/>
        <v>934.90804700000001</v>
      </c>
      <c r="N127" s="268"/>
      <c r="O127" s="250">
        <v>0.93490804699999996</v>
      </c>
      <c r="Q127" s="560"/>
      <c r="W127" s="576"/>
    </row>
    <row r="128" spans="1:23" ht="18.95" customHeight="1">
      <c r="A128" s="632"/>
      <c r="B128" s="603"/>
      <c r="C128" s="316" t="s">
        <v>1991</v>
      </c>
      <c r="D128" s="374" t="s">
        <v>1905</v>
      </c>
      <c r="E128" s="267">
        <v>1</v>
      </c>
      <c r="F128" s="356" t="s">
        <v>402</v>
      </c>
      <c r="G128" s="267"/>
      <c r="H128" s="267"/>
      <c r="I128" s="269">
        <f t="shared" si="10"/>
        <v>0</v>
      </c>
      <c r="J128" s="270">
        <v>1000</v>
      </c>
      <c r="K128" s="270">
        <f t="shared" si="12"/>
        <v>934.90804700000001</v>
      </c>
      <c r="L128" s="270">
        <f t="shared" si="13"/>
        <v>934.90804700000001</v>
      </c>
      <c r="M128" s="270">
        <f t="shared" si="11"/>
        <v>934.90804700000001</v>
      </c>
      <c r="N128" s="268"/>
      <c r="O128" s="250">
        <v>0.93490804699999996</v>
      </c>
      <c r="Q128" s="560"/>
      <c r="W128" s="576"/>
    </row>
    <row r="129" spans="1:23" ht="18.95" customHeight="1">
      <c r="A129" s="632"/>
      <c r="B129" s="603"/>
      <c r="C129" s="316" t="s">
        <v>1992</v>
      </c>
      <c r="D129" s="374" t="s">
        <v>1993</v>
      </c>
      <c r="E129" s="267">
        <v>1</v>
      </c>
      <c r="F129" s="356" t="s">
        <v>402</v>
      </c>
      <c r="G129" s="267"/>
      <c r="H129" s="267"/>
      <c r="I129" s="269">
        <f t="shared" si="10"/>
        <v>0</v>
      </c>
      <c r="J129" s="270">
        <v>1000</v>
      </c>
      <c r="K129" s="270">
        <f t="shared" si="12"/>
        <v>934.90804700000001</v>
      </c>
      <c r="L129" s="270">
        <f t="shared" si="13"/>
        <v>934.90804700000001</v>
      </c>
      <c r="M129" s="270">
        <f t="shared" si="11"/>
        <v>934.90804700000001</v>
      </c>
      <c r="N129" s="268"/>
      <c r="O129" s="250">
        <v>0.93490804699999996</v>
      </c>
      <c r="Q129" s="560"/>
      <c r="W129" s="576"/>
    </row>
    <row r="130" spans="1:23" ht="18.95" customHeight="1">
      <c r="A130" s="632"/>
      <c r="B130" s="603"/>
      <c r="C130" s="316" t="s">
        <v>1994</v>
      </c>
      <c r="D130" s="374" t="s">
        <v>1905</v>
      </c>
      <c r="E130" s="267">
        <v>1</v>
      </c>
      <c r="F130" s="356" t="s">
        <v>402</v>
      </c>
      <c r="G130" s="267"/>
      <c r="H130" s="267"/>
      <c r="I130" s="269">
        <f t="shared" si="10"/>
        <v>0</v>
      </c>
      <c r="J130" s="270">
        <v>1000</v>
      </c>
      <c r="K130" s="270">
        <f t="shared" si="12"/>
        <v>934.90804700000001</v>
      </c>
      <c r="L130" s="270">
        <f t="shared" si="13"/>
        <v>934.90804700000001</v>
      </c>
      <c r="M130" s="270">
        <f t="shared" si="11"/>
        <v>934.90804700000001</v>
      </c>
      <c r="N130" s="268"/>
      <c r="O130" s="250">
        <v>0.93490804699999996</v>
      </c>
      <c r="Q130" s="560"/>
      <c r="W130" s="576"/>
    </row>
    <row r="131" spans="1:23" ht="18.95" customHeight="1">
      <c r="A131" s="632"/>
      <c r="B131" s="603"/>
      <c r="C131" s="316" t="s">
        <v>1995</v>
      </c>
      <c r="D131" s="374" t="s">
        <v>1886</v>
      </c>
      <c r="E131" s="267">
        <v>1</v>
      </c>
      <c r="F131" s="356" t="s">
        <v>402</v>
      </c>
      <c r="G131" s="267"/>
      <c r="H131" s="267"/>
      <c r="I131" s="269">
        <f t="shared" si="10"/>
        <v>0</v>
      </c>
      <c r="J131" s="270">
        <v>1000</v>
      </c>
      <c r="K131" s="270">
        <f t="shared" si="12"/>
        <v>934.90804700000001</v>
      </c>
      <c r="L131" s="270">
        <f t="shared" si="13"/>
        <v>934.90804700000001</v>
      </c>
      <c r="M131" s="270">
        <f t="shared" si="11"/>
        <v>934.90804700000001</v>
      </c>
      <c r="N131" s="268"/>
      <c r="O131" s="250">
        <v>0.93490804699999996</v>
      </c>
      <c r="Q131" s="560"/>
      <c r="W131" s="576"/>
    </row>
    <row r="132" spans="1:23" ht="18.95" customHeight="1">
      <c r="A132" s="632"/>
      <c r="B132" s="603"/>
      <c r="C132" s="316" t="s">
        <v>1996</v>
      </c>
      <c r="D132" s="374" t="s">
        <v>1886</v>
      </c>
      <c r="E132" s="267">
        <v>1</v>
      </c>
      <c r="F132" s="356" t="s">
        <v>402</v>
      </c>
      <c r="G132" s="267"/>
      <c r="H132" s="267"/>
      <c r="I132" s="269">
        <f t="shared" si="10"/>
        <v>0</v>
      </c>
      <c r="J132" s="270">
        <v>1000</v>
      </c>
      <c r="K132" s="270">
        <f t="shared" si="12"/>
        <v>934.90804700000001</v>
      </c>
      <c r="L132" s="270">
        <f t="shared" si="13"/>
        <v>934.90804700000001</v>
      </c>
      <c r="M132" s="270">
        <f t="shared" si="11"/>
        <v>934.90804700000001</v>
      </c>
      <c r="N132" s="268"/>
      <c r="O132" s="250">
        <v>0.93490804699999996</v>
      </c>
      <c r="Q132" s="560"/>
      <c r="W132" s="576"/>
    </row>
    <row r="133" spans="1:23" ht="18.95" customHeight="1">
      <c r="A133" s="632"/>
      <c r="B133" s="603"/>
      <c r="C133" s="316" t="s">
        <v>1997</v>
      </c>
      <c r="D133" s="374" t="s">
        <v>1998</v>
      </c>
      <c r="E133" s="267">
        <v>1</v>
      </c>
      <c r="F133" s="356" t="s">
        <v>402</v>
      </c>
      <c r="G133" s="267"/>
      <c r="H133" s="267"/>
      <c r="I133" s="269">
        <f t="shared" si="10"/>
        <v>0</v>
      </c>
      <c r="J133" s="270">
        <v>1000</v>
      </c>
      <c r="K133" s="270">
        <f t="shared" si="12"/>
        <v>934.90804700000001</v>
      </c>
      <c r="L133" s="270">
        <f t="shared" si="13"/>
        <v>934.90804700000001</v>
      </c>
      <c r="M133" s="270">
        <f t="shared" si="11"/>
        <v>934.90804700000001</v>
      </c>
      <c r="N133" s="268"/>
      <c r="O133" s="250">
        <v>0.93490804699999996</v>
      </c>
      <c r="Q133" s="560"/>
      <c r="W133" s="576"/>
    </row>
    <row r="134" spans="1:23" ht="18.95" customHeight="1">
      <c r="A134" s="632"/>
      <c r="B134" s="603" t="s">
        <v>1999</v>
      </c>
      <c r="C134" s="633"/>
      <c r="D134" s="633"/>
      <c r="E134" s="267"/>
      <c r="F134" s="356"/>
      <c r="G134" s="267"/>
      <c r="H134" s="267"/>
      <c r="I134" s="269"/>
      <c r="J134" s="270"/>
      <c r="K134" s="270"/>
      <c r="L134" s="270"/>
      <c r="M134" s="270"/>
      <c r="N134" s="268"/>
      <c r="O134" s="250">
        <v>0.93490804699999996</v>
      </c>
      <c r="Q134" s="560"/>
      <c r="W134" s="576"/>
    </row>
    <row r="135" spans="1:23" ht="18.95" customHeight="1">
      <c r="A135" s="632"/>
      <c r="B135" s="603"/>
      <c r="C135" s="633" t="s">
        <v>2000</v>
      </c>
      <c r="D135" s="633" t="s">
        <v>2001</v>
      </c>
      <c r="E135" s="267">
        <v>1</v>
      </c>
      <c r="F135" s="356" t="s">
        <v>402</v>
      </c>
      <c r="G135" s="267"/>
      <c r="H135" s="267"/>
      <c r="I135" s="269">
        <f t="shared" ref="I135:I146" si="14">ROUNDDOWN(E135*G135,2)</f>
        <v>0</v>
      </c>
      <c r="J135" s="270">
        <v>1000</v>
      </c>
      <c r="K135" s="270">
        <f t="shared" si="12"/>
        <v>934.90804700000001</v>
      </c>
      <c r="L135" s="270">
        <f t="shared" si="13"/>
        <v>934.90804700000001</v>
      </c>
      <c r="M135" s="270">
        <f t="shared" ref="M135:M142" si="15">I135+L135</f>
        <v>934.90804700000001</v>
      </c>
      <c r="N135" s="268"/>
      <c r="O135" s="250">
        <v>0.93490804699999996</v>
      </c>
      <c r="Q135" s="560"/>
      <c r="W135" s="576"/>
    </row>
    <row r="136" spans="1:23" ht="18.95" customHeight="1">
      <c r="A136" s="632"/>
      <c r="B136" s="603"/>
      <c r="C136" s="633" t="s">
        <v>2002</v>
      </c>
      <c r="D136" s="633" t="s">
        <v>1900</v>
      </c>
      <c r="E136" s="267">
        <v>1</v>
      </c>
      <c r="F136" s="356" t="s">
        <v>402</v>
      </c>
      <c r="G136" s="267"/>
      <c r="H136" s="267"/>
      <c r="I136" s="269">
        <f t="shared" si="14"/>
        <v>0</v>
      </c>
      <c r="J136" s="270">
        <v>1000</v>
      </c>
      <c r="K136" s="270">
        <f t="shared" si="12"/>
        <v>934.90804700000001</v>
      </c>
      <c r="L136" s="270">
        <f t="shared" si="13"/>
        <v>934.90804700000001</v>
      </c>
      <c r="M136" s="270">
        <f t="shared" si="15"/>
        <v>934.90804700000001</v>
      </c>
      <c r="N136" s="268"/>
      <c r="O136" s="250">
        <v>0.93490804699999996</v>
      </c>
      <c r="Q136" s="560"/>
      <c r="W136" s="576"/>
    </row>
    <row r="137" spans="1:23" ht="18.95" customHeight="1">
      <c r="A137" s="632"/>
      <c r="B137" s="603"/>
      <c r="C137" s="633" t="s">
        <v>2003</v>
      </c>
      <c r="D137" s="633" t="s">
        <v>1900</v>
      </c>
      <c r="E137" s="267">
        <v>1</v>
      </c>
      <c r="F137" s="356" t="s">
        <v>402</v>
      </c>
      <c r="G137" s="267"/>
      <c r="H137" s="267"/>
      <c r="I137" s="269">
        <f t="shared" si="14"/>
        <v>0</v>
      </c>
      <c r="J137" s="270">
        <v>1000</v>
      </c>
      <c r="K137" s="270">
        <f t="shared" si="12"/>
        <v>934.90804700000001</v>
      </c>
      <c r="L137" s="270">
        <f t="shared" si="13"/>
        <v>934.90804700000001</v>
      </c>
      <c r="M137" s="270">
        <f t="shared" si="15"/>
        <v>934.90804700000001</v>
      </c>
      <c r="N137" s="268"/>
      <c r="O137" s="250">
        <v>0.93490804699999996</v>
      </c>
      <c r="Q137" s="560"/>
      <c r="W137" s="576"/>
    </row>
    <row r="138" spans="1:23" ht="18.600000000000001" customHeight="1">
      <c r="A138" s="632"/>
      <c r="B138" s="603"/>
      <c r="C138" s="633" t="s">
        <v>2004</v>
      </c>
      <c r="D138" s="633" t="s">
        <v>1900</v>
      </c>
      <c r="E138" s="267">
        <v>1</v>
      </c>
      <c r="F138" s="356" t="s">
        <v>402</v>
      </c>
      <c r="G138" s="267"/>
      <c r="H138" s="267"/>
      <c r="I138" s="269">
        <f t="shared" si="14"/>
        <v>0</v>
      </c>
      <c r="J138" s="270">
        <v>1000</v>
      </c>
      <c r="K138" s="270">
        <f t="shared" si="12"/>
        <v>934.90804700000001</v>
      </c>
      <c r="L138" s="270">
        <f t="shared" si="13"/>
        <v>934.90804700000001</v>
      </c>
      <c r="M138" s="270">
        <f t="shared" si="15"/>
        <v>934.90804700000001</v>
      </c>
      <c r="N138" s="268"/>
      <c r="O138" s="250">
        <v>0.93490804699999996</v>
      </c>
      <c r="Q138" s="560"/>
      <c r="W138" s="576"/>
    </row>
    <row r="139" spans="1:23" ht="18.95" customHeight="1">
      <c r="A139" s="632"/>
      <c r="B139" s="603"/>
      <c r="C139" s="633" t="s">
        <v>2005</v>
      </c>
      <c r="D139" s="633" t="s">
        <v>1910</v>
      </c>
      <c r="E139" s="267">
        <v>1</v>
      </c>
      <c r="F139" s="356" t="s">
        <v>402</v>
      </c>
      <c r="G139" s="267"/>
      <c r="H139" s="267"/>
      <c r="I139" s="269">
        <f t="shared" si="14"/>
        <v>0</v>
      </c>
      <c r="J139" s="270">
        <v>1000</v>
      </c>
      <c r="K139" s="270">
        <f t="shared" si="12"/>
        <v>934.90804700000001</v>
      </c>
      <c r="L139" s="270">
        <f t="shared" si="13"/>
        <v>934.90804700000001</v>
      </c>
      <c r="M139" s="270">
        <f t="shared" si="15"/>
        <v>934.90804700000001</v>
      </c>
      <c r="N139" s="268"/>
      <c r="O139" s="250">
        <v>0.93490804699999996</v>
      </c>
      <c r="Q139" s="560"/>
      <c r="W139" s="576"/>
    </row>
    <row r="140" spans="1:23" ht="18.95" customHeight="1">
      <c r="A140" s="632"/>
      <c r="B140" s="603"/>
      <c r="C140" s="633" t="s">
        <v>2006</v>
      </c>
      <c r="D140" s="633" t="s">
        <v>1993</v>
      </c>
      <c r="E140" s="267">
        <v>1</v>
      </c>
      <c r="F140" s="356" t="s">
        <v>402</v>
      </c>
      <c r="G140" s="267"/>
      <c r="H140" s="267"/>
      <c r="I140" s="269">
        <f t="shared" si="14"/>
        <v>0</v>
      </c>
      <c r="J140" s="270">
        <v>1000</v>
      </c>
      <c r="K140" s="270">
        <f t="shared" si="12"/>
        <v>934.90804700000001</v>
      </c>
      <c r="L140" s="270">
        <f t="shared" si="13"/>
        <v>934.90804700000001</v>
      </c>
      <c r="M140" s="270">
        <f t="shared" si="15"/>
        <v>934.90804700000001</v>
      </c>
      <c r="N140" s="268"/>
      <c r="O140" s="250">
        <v>0.93490804699999996</v>
      </c>
      <c r="Q140" s="560"/>
      <c r="W140" s="576"/>
    </row>
    <row r="141" spans="1:23" ht="18.95" customHeight="1">
      <c r="A141" s="632"/>
      <c r="B141" s="603"/>
      <c r="C141" s="633" t="s">
        <v>2007</v>
      </c>
      <c r="D141" s="633" t="s">
        <v>2008</v>
      </c>
      <c r="E141" s="267">
        <v>1</v>
      </c>
      <c r="F141" s="356" t="s">
        <v>402</v>
      </c>
      <c r="G141" s="267"/>
      <c r="H141" s="267"/>
      <c r="I141" s="269">
        <f t="shared" si="14"/>
        <v>0</v>
      </c>
      <c r="J141" s="270">
        <v>1000</v>
      </c>
      <c r="K141" s="270">
        <f t="shared" si="12"/>
        <v>934.90804700000001</v>
      </c>
      <c r="L141" s="270">
        <f t="shared" si="13"/>
        <v>934.90804700000001</v>
      </c>
      <c r="M141" s="270">
        <f t="shared" si="15"/>
        <v>934.90804700000001</v>
      </c>
      <c r="N141" s="268"/>
      <c r="O141" s="250">
        <v>0.93490804699999996</v>
      </c>
      <c r="Q141" s="560"/>
      <c r="W141" s="576"/>
    </row>
    <row r="142" spans="1:23" ht="18.95" customHeight="1">
      <c r="A142" s="632"/>
      <c r="B142" s="603"/>
      <c r="C142" s="633" t="s">
        <v>2009</v>
      </c>
      <c r="D142" s="633" t="s">
        <v>1905</v>
      </c>
      <c r="E142" s="267">
        <v>1</v>
      </c>
      <c r="F142" s="356" t="s">
        <v>402</v>
      </c>
      <c r="G142" s="267"/>
      <c r="H142" s="267"/>
      <c r="I142" s="269">
        <f t="shared" si="14"/>
        <v>0</v>
      </c>
      <c r="J142" s="270">
        <v>1000</v>
      </c>
      <c r="K142" s="270">
        <f t="shared" si="12"/>
        <v>934.90804700000001</v>
      </c>
      <c r="L142" s="270">
        <f t="shared" si="13"/>
        <v>934.90804700000001</v>
      </c>
      <c r="M142" s="270">
        <f t="shared" si="15"/>
        <v>934.90804700000001</v>
      </c>
      <c r="N142" s="268"/>
      <c r="O142" s="250">
        <v>0.93490804699999996</v>
      </c>
      <c r="Q142" s="560"/>
      <c r="W142" s="576"/>
    </row>
    <row r="143" spans="1:23" ht="18.95" customHeight="1">
      <c r="A143" s="635"/>
      <c r="B143" s="603"/>
      <c r="C143" s="633" t="s">
        <v>2010</v>
      </c>
      <c r="D143" s="637" t="s">
        <v>2011</v>
      </c>
      <c r="E143" s="267">
        <v>1</v>
      </c>
      <c r="F143" s="356" t="s">
        <v>402</v>
      </c>
      <c r="G143" s="267"/>
      <c r="H143" s="267"/>
      <c r="I143" s="269">
        <f t="shared" si="14"/>
        <v>0</v>
      </c>
      <c r="J143" s="270">
        <v>2000</v>
      </c>
      <c r="K143" s="270">
        <f t="shared" si="12"/>
        <v>1869.816094</v>
      </c>
      <c r="L143" s="270">
        <f t="shared" si="13"/>
        <v>1869.816094</v>
      </c>
      <c r="M143" s="270">
        <v>2000</v>
      </c>
      <c r="N143" s="268"/>
      <c r="O143" s="250">
        <v>0.93490804699999996</v>
      </c>
      <c r="Q143" s="560"/>
      <c r="W143" s="576"/>
    </row>
    <row r="144" spans="1:23" ht="18.95" customHeight="1">
      <c r="A144" s="632"/>
      <c r="B144" s="603"/>
      <c r="C144" s="633" t="s">
        <v>2012</v>
      </c>
      <c r="D144" s="633" t="s">
        <v>2013</v>
      </c>
      <c r="E144" s="267">
        <v>1</v>
      </c>
      <c r="F144" s="356" t="s">
        <v>402</v>
      </c>
      <c r="G144" s="267"/>
      <c r="H144" s="267"/>
      <c r="I144" s="269">
        <f t="shared" si="14"/>
        <v>0</v>
      </c>
      <c r="J144" s="270">
        <v>2000</v>
      </c>
      <c r="K144" s="270">
        <f t="shared" si="12"/>
        <v>1869.816094</v>
      </c>
      <c r="L144" s="270">
        <f t="shared" si="13"/>
        <v>1869.816094</v>
      </c>
      <c r="M144" s="270">
        <f>I144+L144</f>
        <v>1869.816094</v>
      </c>
      <c r="N144" s="268"/>
      <c r="O144" s="250">
        <v>0.93490804699999996</v>
      </c>
      <c r="Q144" s="560"/>
      <c r="W144" s="576"/>
    </row>
    <row r="145" spans="1:23" ht="18.95" customHeight="1">
      <c r="A145" s="632"/>
      <c r="B145" s="603"/>
      <c r="C145" s="633" t="s">
        <v>2014</v>
      </c>
      <c r="D145" s="633" t="s">
        <v>2015</v>
      </c>
      <c r="E145" s="267">
        <v>1</v>
      </c>
      <c r="F145" s="356" t="s">
        <v>402</v>
      </c>
      <c r="G145" s="267"/>
      <c r="H145" s="267"/>
      <c r="I145" s="269">
        <f t="shared" si="14"/>
        <v>0</v>
      </c>
      <c r="J145" s="270">
        <v>2000</v>
      </c>
      <c r="K145" s="270">
        <f t="shared" si="12"/>
        <v>1869.816094</v>
      </c>
      <c r="L145" s="270">
        <f t="shared" si="13"/>
        <v>1869.816094</v>
      </c>
      <c r="M145" s="270">
        <f>I145+L145</f>
        <v>1869.816094</v>
      </c>
      <c r="N145" s="268"/>
      <c r="O145" s="250">
        <v>0.93490804699999996</v>
      </c>
      <c r="Q145" s="560"/>
      <c r="W145" s="576"/>
    </row>
    <row r="146" spans="1:23" ht="18.95" customHeight="1">
      <c r="A146" s="632"/>
      <c r="B146" s="603"/>
      <c r="C146" s="633" t="s">
        <v>2016</v>
      </c>
      <c r="D146" s="633" t="s">
        <v>2017</v>
      </c>
      <c r="E146" s="267">
        <v>1</v>
      </c>
      <c r="F146" s="356" t="s">
        <v>402</v>
      </c>
      <c r="G146" s="267"/>
      <c r="H146" s="267"/>
      <c r="I146" s="269">
        <f t="shared" si="14"/>
        <v>0</v>
      </c>
      <c r="J146" s="270">
        <v>2000</v>
      </c>
      <c r="K146" s="270">
        <f t="shared" si="12"/>
        <v>1869.816094</v>
      </c>
      <c r="L146" s="270">
        <f t="shared" si="13"/>
        <v>1869.816094</v>
      </c>
      <c r="M146" s="270">
        <f>I146+L146</f>
        <v>1869.816094</v>
      </c>
      <c r="N146" s="268"/>
      <c r="O146" s="250">
        <v>0.93490804699999996</v>
      </c>
      <c r="Q146" s="560"/>
      <c r="W146" s="576"/>
    </row>
    <row r="147" spans="1:23" ht="18.95" customHeight="1">
      <c r="A147" s="632"/>
      <c r="B147" s="638" t="s">
        <v>2018</v>
      </c>
      <c r="C147" s="633"/>
      <c r="D147" s="165"/>
      <c r="E147" s="267"/>
      <c r="F147" s="356"/>
      <c r="G147" s="270"/>
      <c r="H147" s="270"/>
      <c r="I147" s="270"/>
      <c r="J147" s="267"/>
      <c r="K147" s="270"/>
      <c r="L147" s="270"/>
      <c r="M147" s="268"/>
      <c r="N147" s="268"/>
      <c r="O147" s="250">
        <v>0.93490804699999996</v>
      </c>
      <c r="Q147" s="560"/>
      <c r="W147" s="576"/>
    </row>
    <row r="148" spans="1:23" ht="18.95" customHeight="1">
      <c r="A148" s="632"/>
      <c r="B148" s="603"/>
      <c r="C148" s="633" t="s">
        <v>2019</v>
      </c>
      <c r="D148" s="633" t="s">
        <v>2020</v>
      </c>
      <c r="E148" s="267">
        <v>1</v>
      </c>
      <c r="F148" s="356" t="s">
        <v>402</v>
      </c>
      <c r="G148" s="267"/>
      <c r="H148" s="267"/>
      <c r="I148" s="269">
        <f t="shared" ref="I148:I159" si="16">ROUNDDOWN(E148*G148,2)</f>
        <v>0</v>
      </c>
      <c r="J148" s="270">
        <v>5000</v>
      </c>
      <c r="K148" s="270">
        <f t="shared" si="12"/>
        <v>4674.5402349999995</v>
      </c>
      <c r="L148" s="270">
        <f t="shared" si="13"/>
        <v>4674.5402349999995</v>
      </c>
      <c r="M148" s="270">
        <f t="shared" ref="M148:M159" si="17">I148+L148</f>
        <v>4674.5402349999995</v>
      </c>
      <c r="N148" s="268"/>
      <c r="O148" s="250">
        <v>0.93490804699999996</v>
      </c>
      <c r="Q148" s="560"/>
      <c r="W148" s="576"/>
    </row>
    <row r="149" spans="1:23" ht="18.95" customHeight="1">
      <c r="A149" s="632"/>
      <c r="B149" s="603"/>
      <c r="C149" s="633" t="s">
        <v>2021</v>
      </c>
      <c r="D149" s="633" t="s">
        <v>2022</v>
      </c>
      <c r="E149" s="267">
        <v>1</v>
      </c>
      <c r="F149" s="356" t="s">
        <v>402</v>
      </c>
      <c r="G149" s="267"/>
      <c r="H149" s="267"/>
      <c r="I149" s="269">
        <f t="shared" si="16"/>
        <v>0</v>
      </c>
      <c r="J149" s="270">
        <v>5000</v>
      </c>
      <c r="K149" s="270">
        <f t="shared" si="12"/>
        <v>4674.5402349999995</v>
      </c>
      <c r="L149" s="270">
        <f t="shared" si="13"/>
        <v>4674.5402349999995</v>
      </c>
      <c r="M149" s="270">
        <f t="shared" si="17"/>
        <v>4674.5402349999995</v>
      </c>
      <c r="N149" s="268"/>
      <c r="O149" s="250">
        <v>0.93490804699999996</v>
      </c>
      <c r="Q149" s="560"/>
      <c r="W149" s="576"/>
    </row>
    <row r="150" spans="1:23" ht="18.95" customHeight="1">
      <c r="A150" s="632"/>
      <c r="B150" s="603"/>
      <c r="C150" s="633" t="s">
        <v>2023</v>
      </c>
      <c r="D150" s="633" t="s">
        <v>2024</v>
      </c>
      <c r="E150" s="267">
        <v>1</v>
      </c>
      <c r="F150" s="356" t="s">
        <v>402</v>
      </c>
      <c r="G150" s="267"/>
      <c r="H150" s="267"/>
      <c r="I150" s="269">
        <f t="shared" si="16"/>
        <v>0</v>
      </c>
      <c r="J150" s="270">
        <v>5000</v>
      </c>
      <c r="K150" s="270">
        <f t="shared" si="12"/>
        <v>4674.5402349999995</v>
      </c>
      <c r="L150" s="270">
        <f t="shared" si="13"/>
        <v>4674.5402349999995</v>
      </c>
      <c r="M150" s="270">
        <f t="shared" si="17"/>
        <v>4674.5402349999995</v>
      </c>
      <c r="N150" s="268"/>
      <c r="O150" s="250">
        <v>0.93490804699999996</v>
      </c>
      <c r="Q150" s="560"/>
      <c r="W150" s="576"/>
    </row>
    <row r="151" spans="1:23" ht="18.95" customHeight="1">
      <c r="A151" s="632"/>
      <c r="B151" s="603"/>
      <c r="C151" s="633" t="s">
        <v>2025</v>
      </c>
      <c r="D151" s="633" t="s">
        <v>2026</v>
      </c>
      <c r="E151" s="267">
        <v>1</v>
      </c>
      <c r="F151" s="356" t="s">
        <v>402</v>
      </c>
      <c r="G151" s="267"/>
      <c r="H151" s="267"/>
      <c r="I151" s="269">
        <f t="shared" si="16"/>
        <v>0</v>
      </c>
      <c r="J151" s="270">
        <v>5000</v>
      </c>
      <c r="K151" s="270">
        <f t="shared" si="12"/>
        <v>4674.5402349999995</v>
      </c>
      <c r="L151" s="270">
        <f t="shared" si="13"/>
        <v>4674.5402349999995</v>
      </c>
      <c r="M151" s="270">
        <f t="shared" si="17"/>
        <v>4674.5402349999995</v>
      </c>
      <c r="N151" s="268"/>
      <c r="O151" s="250">
        <v>0.93490804699999996</v>
      </c>
      <c r="Q151" s="560"/>
      <c r="W151" s="576"/>
    </row>
    <row r="152" spans="1:23" ht="18.95" customHeight="1">
      <c r="A152" s="632"/>
      <c r="B152" s="603"/>
      <c r="C152" s="633" t="s">
        <v>2027</v>
      </c>
      <c r="D152" s="633" t="s">
        <v>2028</v>
      </c>
      <c r="E152" s="267">
        <v>1</v>
      </c>
      <c r="F152" s="356" t="s">
        <v>402</v>
      </c>
      <c r="G152" s="267"/>
      <c r="H152" s="267"/>
      <c r="I152" s="269">
        <f t="shared" si="16"/>
        <v>0</v>
      </c>
      <c r="J152" s="270">
        <v>5000</v>
      </c>
      <c r="K152" s="270">
        <f t="shared" si="12"/>
        <v>4674.5402349999995</v>
      </c>
      <c r="L152" s="270">
        <f t="shared" si="13"/>
        <v>4674.5402349999995</v>
      </c>
      <c r="M152" s="270">
        <f t="shared" si="17"/>
        <v>4674.5402349999995</v>
      </c>
      <c r="N152" s="268"/>
      <c r="O152" s="250">
        <v>0.93490804699999996</v>
      </c>
      <c r="Q152" s="560"/>
      <c r="W152" s="576"/>
    </row>
    <row r="153" spans="1:23" ht="18.95" customHeight="1">
      <c r="A153" s="632"/>
      <c r="B153" s="603"/>
      <c r="C153" s="633" t="s">
        <v>2029</v>
      </c>
      <c r="D153" s="633" t="s">
        <v>2030</v>
      </c>
      <c r="E153" s="267">
        <v>1</v>
      </c>
      <c r="F153" s="356" t="s">
        <v>402</v>
      </c>
      <c r="G153" s="267"/>
      <c r="H153" s="267"/>
      <c r="I153" s="269">
        <f t="shared" si="16"/>
        <v>0</v>
      </c>
      <c r="J153" s="270">
        <v>5000</v>
      </c>
      <c r="K153" s="270">
        <f t="shared" si="12"/>
        <v>4674.5402349999995</v>
      </c>
      <c r="L153" s="270">
        <f t="shared" si="13"/>
        <v>4674.5402349999995</v>
      </c>
      <c r="M153" s="270">
        <f t="shared" si="17"/>
        <v>4674.5402349999995</v>
      </c>
      <c r="N153" s="268"/>
      <c r="O153" s="250">
        <v>0.93490804699999996</v>
      </c>
      <c r="Q153" s="560"/>
      <c r="W153" s="576"/>
    </row>
    <row r="154" spans="1:23" ht="18.95" customHeight="1">
      <c r="A154" s="632"/>
      <c r="B154" s="603"/>
      <c r="C154" s="633" t="s">
        <v>2031</v>
      </c>
      <c r="D154" s="633" t="s">
        <v>2032</v>
      </c>
      <c r="E154" s="267">
        <v>1</v>
      </c>
      <c r="F154" s="356" t="s">
        <v>402</v>
      </c>
      <c r="G154" s="267"/>
      <c r="H154" s="267"/>
      <c r="I154" s="269">
        <f t="shared" si="16"/>
        <v>0</v>
      </c>
      <c r="J154" s="270">
        <v>5000</v>
      </c>
      <c r="K154" s="270">
        <f t="shared" si="12"/>
        <v>4674.5402349999995</v>
      </c>
      <c r="L154" s="270">
        <f t="shared" si="13"/>
        <v>4674.5402349999995</v>
      </c>
      <c r="M154" s="270">
        <f t="shared" si="17"/>
        <v>4674.5402349999995</v>
      </c>
      <c r="N154" s="268"/>
      <c r="O154" s="250">
        <v>0.93490804699999996</v>
      </c>
      <c r="Q154" s="560"/>
      <c r="W154" s="576"/>
    </row>
    <row r="155" spans="1:23" ht="18.95" customHeight="1">
      <c r="A155" s="632"/>
      <c r="B155" s="603"/>
      <c r="C155" s="633" t="s">
        <v>2033</v>
      </c>
      <c r="D155" s="633" t="s">
        <v>2034</v>
      </c>
      <c r="E155" s="267">
        <v>1</v>
      </c>
      <c r="F155" s="356" t="s">
        <v>402</v>
      </c>
      <c r="G155" s="267"/>
      <c r="H155" s="267"/>
      <c r="I155" s="269">
        <f t="shared" si="16"/>
        <v>0</v>
      </c>
      <c r="J155" s="270">
        <v>5000</v>
      </c>
      <c r="K155" s="270">
        <f t="shared" si="12"/>
        <v>4674.5402349999995</v>
      </c>
      <c r="L155" s="270">
        <f t="shared" si="13"/>
        <v>4674.5402349999995</v>
      </c>
      <c r="M155" s="270">
        <f t="shared" si="17"/>
        <v>4674.5402349999995</v>
      </c>
      <c r="N155" s="268"/>
      <c r="O155" s="250">
        <v>0.93490804699999996</v>
      </c>
      <c r="Q155" s="560"/>
      <c r="W155" s="576"/>
    </row>
    <row r="156" spans="1:23" ht="18.95" customHeight="1">
      <c r="A156" s="632"/>
      <c r="B156" s="603"/>
      <c r="C156" s="633" t="s">
        <v>2035</v>
      </c>
      <c r="D156" s="633" t="s">
        <v>2036</v>
      </c>
      <c r="E156" s="267">
        <v>1</v>
      </c>
      <c r="F156" s="356" t="s">
        <v>402</v>
      </c>
      <c r="G156" s="267"/>
      <c r="H156" s="267"/>
      <c r="I156" s="269">
        <f t="shared" si="16"/>
        <v>0</v>
      </c>
      <c r="J156" s="270">
        <v>5000</v>
      </c>
      <c r="K156" s="270">
        <f t="shared" si="12"/>
        <v>4674.5402349999995</v>
      </c>
      <c r="L156" s="270">
        <f t="shared" si="13"/>
        <v>4674.5402349999995</v>
      </c>
      <c r="M156" s="270">
        <f t="shared" si="17"/>
        <v>4674.5402349999995</v>
      </c>
      <c r="N156" s="268"/>
      <c r="O156" s="250">
        <v>0.93490804699999996</v>
      </c>
      <c r="Q156" s="560"/>
      <c r="W156" s="576"/>
    </row>
    <row r="157" spans="1:23" ht="18.95" customHeight="1">
      <c r="A157" s="632"/>
      <c r="B157" s="603"/>
      <c r="C157" s="633" t="s">
        <v>2037</v>
      </c>
      <c r="D157" s="633" t="s">
        <v>2038</v>
      </c>
      <c r="E157" s="267">
        <v>1</v>
      </c>
      <c r="F157" s="356" t="s">
        <v>402</v>
      </c>
      <c r="G157" s="267"/>
      <c r="H157" s="267"/>
      <c r="I157" s="269">
        <f t="shared" si="16"/>
        <v>0</v>
      </c>
      <c r="J157" s="270">
        <v>5000</v>
      </c>
      <c r="K157" s="270">
        <f t="shared" si="12"/>
        <v>4674.5402349999995</v>
      </c>
      <c r="L157" s="270">
        <f t="shared" si="13"/>
        <v>4674.5402349999995</v>
      </c>
      <c r="M157" s="270">
        <f t="shared" si="17"/>
        <v>4674.5402349999995</v>
      </c>
      <c r="N157" s="268"/>
      <c r="O157" s="250">
        <v>0.93490804699999996</v>
      </c>
      <c r="Q157" s="560"/>
      <c r="W157" s="576"/>
    </row>
    <row r="158" spans="1:23" ht="18.95" customHeight="1">
      <c r="A158" s="632"/>
      <c r="B158" s="603"/>
      <c r="C158" s="633" t="s">
        <v>2039</v>
      </c>
      <c r="D158" s="633" t="s">
        <v>2040</v>
      </c>
      <c r="E158" s="267">
        <v>1</v>
      </c>
      <c r="F158" s="356" t="s">
        <v>402</v>
      </c>
      <c r="G158" s="267"/>
      <c r="H158" s="267"/>
      <c r="I158" s="269">
        <f t="shared" si="16"/>
        <v>0</v>
      </c>
      <c r="J158" s="270">
        <v>5000</v>
      </c>
      <c r="K158" s="270">
        <f t="shared" si="12"/>
        <v>4674.5402349999995</v>
      </c>
      <c r="L158" s="270">
        <f t="shared" si="13"/>
        <v>4674.5402349999995</v>
      </c>
      <c r="M158" s="270">
        <f t="shared" si="17"/>
        <v>4674.5402349999995</v>
      </c>
      <c r="N158" s="268"/>
      <c r="O158" s="250">
        <v>0.93490804699999996</v>
      </c>
      <c r="Q158" s="560"/>
      <c r="W158" s="576"/>
    </row>
    <row r="159" spans="1:23" ht="18.95" customHeight="1">
      <c r="A159" s="632"/>
      <c r="B159" s="603"/>
      <c r="C159" s="633" t="s">
        <v>2041</v>
      </c>
      <c r="D159" s="633"/>
      <c r="E159" s="267">
        <v>1</v>
      </c>
      <c r="F159" s="356" t="s">
        <v>402</v>
      </c>
      <c r="G159" s="267"/>
      <c r="H159" s="267"/>
      <c r="I159" s="269">
        <f t="shared" si="16"/>
        <v>0</v>
      </c>
      <c r="J159" s="270">
        <v>1500</v>
      </c>
      <c r="K159" s="270">
        <f t="shared" si="12"/>
        <v>1402.3620704999998</v>
      </c>
      <c r="L159" s="270">
        <f t="shared" si="13"/>
        <v>1402.3620704999998</v>
      </c>
      <c r="M159" s="270">
        <f t="shared" si="17"/>
        <v>1402.3620704999998</v>
      </c>
      <c r="N159" s="268"/>
      <c r="O159" s="250">
        <v>0.93490804699999996</v>
      </c>
      <c r="Q159" s="560"/>
      <c r="W159" s="576"/>
    </row>
    <row r="160" spans="1:23" ht="18.95" customHeight="1">
      <c r="A160" s="201"/>
      <c r="B160" s="122">
        <v>1.2</v>
      </c>
      <c r="C160" s="244" t="s">
        <v>1774</v>
      </c>
      <c r="D160" s="633"/>
      <c r="E160" s="1414" t="s">
        <v>2042</v>
      </c>
      <c r="F160" s="1415"/>
      <c r="G160" s="270"/>
      <c r="H160" s="270"/>
      <c r="I160" s="270"/>
      <c r="J160" s="267"/>
      <c r="K160" s="267"/>
      <c r="L160" s="270"/>
      <c r="M160" s="270"/>
      <c r="N160" s="268"/>
      <c r="O160" s="250">
        <v>0.93490804699999996</v>
      </c>
      <c r="Q160" s="560"/>
      <c r="W160" s="576"/>
    </row>
    <row r="161" spans="1:27" ht="18.95" customHeight="1">
      <c r="A161" s="204"/>
      <c r="B161" s="122">
        <v>1.3</v>
      </c>
      <c r="C161" s="244" t="s">
        <v>1775</v>
      </c>
      <c r="D161" s="633"/>
      <c r="E161" s="1414" t="s">
        <v>2043</v>
      </c>
      <c r="F161" s="1415"/>
      <c r="G161" s="270"/>
      <c r="H161" s="270"/>
      <c r="I161" s="270"/>
      <c r="J161" s="267"/>
      <c r="K161" s="267"/>
      <c r="L161" s="270"/>
      <c r="M161" s="270"/>
      <c r="N161" s="268"/>
      <c r="O161" s="250">
        <v>0.93490804699999996</v>
      </c>
      <c r="Q161" s="560"/>
      <c r="W161" s="576"/>
    </row>
    <row r="162" spans="1:27" ht="18.95" customHeight="1">
      <c r="A162" s="632"/>
      <c r="B162" s="122">
        <v>1.4</v>
      </c>
      <c r="C162" s="244" t="s">
        <v>1776</v>
      </c>
      <c r="D162" s="165"/>
      <c r="E162" s="1414" t="s">
        <v>2044</v>
      </c>
      <c r="F162" s="1415"/>
      <c r="G162" s="270"/>
      <c r="H162" s="270"/>
      <c r="I162" s="270"/>
      <c r="J162" s="267"/>
      <c r="K162" s="267"/>
      <c r="L162" s="270"/>
      <c r="M162" s="270"/>
      <c r="N162" s="268"/>
      <c r="O162" s="250">
        <v>0.93490804699999996</v>
      </c>
      <c r="Q162" s="560"/>
      <c r="W162" s="576"/>
    </row>
    <row r="163" spans="1:27" ht="18.95" customHeight="1">
      <c r="A163" s="632"/>
      <c r="B163" s="122"/>
      <c r="C163" s="244"/>
      <c r="D163" s="165"/>
      <c r="E163" s="267"/>
      <c r="F163" s="356"/>
      <c r="G163" s="270"/>
      <c r="H163" s="270"/>
      <c r="I163" s="270"/>
      <c r="J163" s="267"/>
      <c r="K163" s="267"/>
      <c r="L163" s="270"/>
      <c r="M163" s="270"/>
      <c r="N163" s="268"/>
      <c r="O163" s="250">
        <v>0.93490804699999996</v>
      </c>
      <c r="Q163" s="560"/>
      <c r="W163" s="576"/>
    </row>
    <row r="164" spans="1:27" ht="18.95" customHeight="1">
      <c r="A164" s="141"/>
      <c r="B164" s="1345" t="s">
        <v>1206</v>
      </c>
      <c r="C164" s="1346"/>
      <c r="D164" s="1356"/>
      <c r="E164" s="271"/>
      <c r="F164" s="281"/>
      <c r="G164" s="271"/>
      <c r="H164" s="271"/>
      <c r="I164" s="271"/>
      <c r="J164" s="271"/>
      <c r="K164" s="271"/>
      <c r="L164" s="271">
        <f>SUM(L34:L162)</f>
        <v>161271.63810750001</v>
      </c>
      <c r="M164" s="271">
        <f>I164+L164</f>
        <v>161271.63810750001</v>
      </c>
      <c r="N164" s="281"/>
      <c r="O164" s="250">
        <v>0.93490804699999996</v>
      </c>
      <c r="P164" s="1394"/>
      <c r="Q164" s="1395"/>
      <c r="R164" s="1395"/>
      <c r="S164" s="1395"/>
      <c r="T164" s="1395"/>
      <c r="U164" s="1395"/>
      <c r="W164" s="1395"/>
      <c r="X164" s="1395"/>
      <c r="Y164" s="1395"/>
      <c r="Z164" s="1395"/>
      <c r="AA164" s="1395"/>
    </row>
    <row r="165" spans="1:27" ht="18.95" customHeight="1">
      <c r="A165" s="201"/>
      <c r="B165" s="422"/>
      <c r="C165" s="451"/>
      <c r="D165" s="452"/>
      <c r="E165" s="271"/>
      <c r="F165" s="281"/>
      <c r="G165" s="271"/>
      <c r="H165" s="271"/>
      <c r="I165" s="271"/>
      <c r="J165" s="271"/>
      <c r="K165" s="271"/>
      <c r="L165" s="271"/>
      <c r="M165" s="271"/>
      <c r="N165" s="281"/>
      <c r="O165" s="250">
        <v>0.93490804699999996</v>
      </c>
      <c r="P165" s="1394"/>
      <c r="Q165" s="1396"/>
      <c r="R165" s="1396"/>
      <c r="S165" s="1395"/>
      <c r="T165" s="1395"/>
      <c r="U165" s="1397"/>
      <c r="W165" s="1399"/>
      <c r="X165" s="1400"/>
      <c r="Y165" s="1395"/>
      <c r="Z165" s="1395"/>
      <c r="AA165" s="1397"/>
    </row>
    <row r="166" spans="1:27" ht="18.95" customHeight="1">
      <c r="A166" s="639">
        <v>2</v>
      </c>
      <c r="B166" s="640" t="s">
        <v>1874</v>
      </c>
      <c r="C166" s="338"/>
      <c r="D166" s="165"/>
      <c r="E166" s="267"/>
      <c r="F166" s="356"/>
      <c r="G166" s="270"/>
      <c r="H166" s="270"/>
      <c r="I166" s="270"/>
      <c r="J166" s="267"/>
      <c r="K166" s="267"/>
      <c r="L166" s="270"/>
      <c r="M166" s="268"/>
      <c r="N166" s="268"/>
      <c r="O166" s="250">
        <v>0.93490804699999996</v>
      </c>
      <c r="P166" s="1394"/>
      <c r="Q166" s="1401"/>
      <c r="R166" s="1396"/>
      <c r="S166" s="1395"/>
      <c r="T166" s="1395"/>
      <c r="U166" s="1398"/>
      <c r="W166" s="1402"/>
      <c r="X166" s="1404"/>
      <c r="Y166" s="1395"/>
      <c r="Z166" s="1395"/>
      <c r="AA166" s="1398"/>
    </row>
    <row r="167" spans="1:27" ht="18.95" customHeight="1">
      <c r="A167" s="314"/>
      <c r="B167" s="122">
        <v>2.1</v>
      </c>
      <c r="C167" s="623" t="s">
        <v>1874</v>
      </c>
      <c r="D167" s="167"/>
      <c r="E167" s="267"/>
      <c r="F167" s="356"/>
      <c r="G167" s="270"/>
      <c r="H167" s="270"/>
      <c r="I167" s="270"/>
      <c r="J167" s="267"/>
      <c r="K167" s="267"/>
      <c r="L167" s="270"/>
      <c r="M167" s="268"/>
      <c r="N167" s="268"/>
      <c r="O167" s="250">
        <v>0.93490804699999996</v>
      </c>
      <c r="P167" s="1394"/>
      <c r="Q167" s="1401"/>
      <c r="R167" s="1396"/>
      <c r="S167" s="1395"/>
      <c r="T167" s="1395"/>
      <c r="U167" s="1398"/>
      <c r="W167" s="1403"/>
      <c r="X167" s="1405"/>
      <c r="Y167" s="1395"/>
      <c r="Z167" s="1395"/>
      <c r="AA167" s="1398"/>
    </row>
    <row r="168" spans="1:27" ht="18.95" customHeight="1">
      <c r="A168" s="632"/>
      <c r="B168" s="638" t="s">
        <v>1882</v>
      </c>
      <c r="C168" s="633"/>
      <c r="D168" s="165"/>
      <c r="E168" s="267"/>
      <c r="F168" s="356"/>
      <c r="G168" s="267"/>
      <c r="H168" s="267"/>
      <c r="I168" s="269"/>
      <c r="J168" s="270"/>
      <c r="K168" s="270"/>
      <c r="L168" s="270"/>
      <c r="M168" s="270"/>
      <c r="N168" s="268"/>
      <c r="O168" s="250">
        <v>0.93490804699999996</v>
      </c>
      <c r="Q168" s="641"/>
      <c r="R168" s="583"/>
      <c r="S168" s="583"/>
      <c r="T168" s="583"/>
      <c r="U168" s="583"/>
      <c r="W168" s="586"/>
      <c r="X168" s="583"/>
      <c r="Y168" s="583"/>
      <c r="Z168" s="583"/>
      <c r="AA168" s="583"/>
    </row>
    <row r="169" spans="1:27" ht="18.95" customHeight="1">
      <c r="A169" s="632"/>
      <c r="B169" s="638"/>
      <c r="C169" s="374" t="s">
        <v>2045</v>
      </c>
      <c r="D169" s="167" t="s">
        <v>2046</v>
      </c>
      <c r="E169" s="267">
        <v>1</v>
      </c>
      <c r="F169" s="356" t="s">
        <v>402</v>
      </c>
      <c r="G169" s="267">
        <v>14671</v>
      </c>
      <c r="H169" s="267">
        <f>G169*O169</f>
        <v>13716.035957537</v>
      </c>
      <c r="I169" s="284">
        <f>E169*H169</f>
        <v>13716.035957537</v>
      </c>
      <c r="J169" s="270">
        <v>500</v>
      </c>
      <c r="K169" s="270">
        <f t="shared" ref="K169:K219" si="18">J169*O169</f>
        <v>467.45402350000001</v>
      </c>
      <c r="L169" s="270">
        <f t="shared" ref="L169:L219" si="19">E169*K169</f>
        <v>467.45402350000001</v>
      </c>
      <c r="M169" s="270">
        <f t="shared" ref="M169:M181" si="20">I169+L169</f>
        <v>14183.489981037001</v>
      </c>
      <c r="N169" s="269"/>
      <c r="O169" s="250">
        <v>0.93490804699999996</v>
      </c>
      <c r="P169" s="577"/>
      <c r="Q169" s="641"/>
      <c r="R169" s="583"/>
      <c r="S169" s="577"/>
      <c r="T169" s="577"/>
      <c r="U169" s="642"/>
      <c r="W169" s="586"/>
      <c r="X169" s="583"/>
      <c r="Y169" s="577"/>
      <c r="Z169" s="577"/>
      <c r="AA169" s="642"/>
    </row>
    <row r="170" spans="1:27" ht="18.95" customHeight="1">
      <c r="A170" s="632"/>
      <c r="B170" s="638"/>
      <c r="C170" s="374" t="s">
        <v>2047</v>
      </c>
      <c r="D170" s="167" t="s">
        <v>2046</v>
      </c>
      <c r="E170" s="267">
        <v>1</v>
      </c>
      <c r="F170" s="356" t="s">
        <v>402</v>
      </c>
      <c r="G170" s="267">
        <v>16237</v>
      </c>
      <c r="H170" s="267">
        <f t="shared" ref="H170:H181" si="21">G170*O170</f>
        <v>15180.101959139</v>
      </c>
      <c r="I170" s="284">
        <f t="shared" ref="I170:I219" si="22">E170*H170</f>
        <v>15180.101959139</v>
      </c>
      <c r="J170" s="270">
        <v>500</v>
      </c>
      <c r="K170" s="270">
        <f t="shared" si="18"/>
        <v>467.45402350000001</v>
      </c>
      <c r="L170" s="270">
        <f t="shared" si="19"/>
        <v>467.45402350000001</v>
      </c>
      <c r="M170" s="270">
        <f t="shared" si="20"/>
        <v>15647.555982639</v>
      </c>
      <c r="N170" s="269"/>
      <c r="O170" s="250">
        <v>0.93490804699999996</v>
      </c>
      <c r="P170" s="577"/>
      <c r="Q170" s="643"/>
      <c r="R170" s="583"/>
      <c r="S170" s="577"/>
      <c r="T170" s="577"/>
      <c r="U170" s="642"/>
      <c r="W170" s="644"/>
      <c r="X170" s="583"/>
      <c r="Y170" s="577"/>
      <c r="Z170" s="577"/>
      <c r="AA170" s="642"/>
    </row>
    <row r="171" spans="1:27" ht="18.95" customHeight="1">
      <c r="A171" s="632"/>
      <c r="B171" s="638"/>
      <c r="C171" s="374" t="s">
        <v>2048</v>
      </c>
      <c r="D171" s="167" t="s">
        <v>2049</v>
      </c>
      <c r="E171" s="267">
        <v>1</v>
      </c>
      <c r="F171" s="356" t="s">
        <v>402</v>
      </c>
      <c r="G171" s="267">
        <v>7482</v>
      </c>
      <c r="H171" s="267">
        <f t="shared" si="21"/>
        <v>6994.982007654</v>
      </c>
      <c r="I171" s="284">
        <f t="shared" si="22"/>
        <v>6994.982007654</v>
      </c>
      <c r="J171" s="270">
        <v>500</v>
      </c>
      <c r="K171" s="270">
        <f t="shared" si="18"/>
        <v>467.45402350000001</v>
      </c>
      <c r="L171" s="270">
        <f t="shared" si="19"/>
        <v>467.45402350000001</v>
      </c>
      <c r="M171" s="270">
        <f t="shared" si="20"/>
        <v>7462.4360311540004</v>
      </c>
      <c r="N171" s="269"/>
      <c r="O171" s="250">
        <v>0.93490804699999996</v>
      </c>
      <c r="P171" s="577"/>
      <c r="Q171" s="641"/>
      <c r="R171" s="583"/>
      <c r="S171" s="577"/>
      <c r="T171" s="577"/>
      <c r="U171" s="642"/>
      <c r="W171" s="586"/>
      <c r="X171" s="583"/>
      <c r="Y171" s="577"/>
      <c r="Z171" s="577"/>
      <c r="AA171" s="642"/>
    </row>
    <row r="172" spans="1:27" ht="18.95" customHeight="1">
      <c r="A172" s="632"/>
      <c r="B172" s="638"/>
      <c r="C172" s="374" t="s">
        <v>2050</v>
      </c>
      <c r="D172" s="167" t="s">
        <v>2051</v>
      </c>
      <c r="E172" s="267">
        <v>1</v>
      </c>
      <c r="F172" s="356" t="s">
        <v>402</v>
      </c>
      <c r="G172" s="267">
        <v>7020</v>
      </c>
      <c r="H172" s="267">
        <f t="shared" si="21"/>
        <v>6563.0544899400002</v>
      </c>
      <c r="I172" s="284">
        <f t="shared" si="22"/>
        <v>6563.0544899400002</v>
      </c>
      <c r="J172" s="270">
        <v>500</v>
      </c>
      <c r="K172" s="270">
        <f t="shared" si="18"/>
        <v>467.45402350000001</v>
      </c>
      <c r="L172" s="270">
        <f t="shared" si="19"/>
        <v>467.45402350000001</v>
      </c>
      <c r="M172" s="270">
        <f t="shared" si="20"/>
        <v>7030.5085134400006</v>
      </c>
      <c r="N172" s="269"/>
      <c r="O172" s="250">
        <v>0.93490804699999996</v>
      </c>
      <c r="P172" s="577"/>
      <c r="Q172" s="641"/>
      <c r="R172" s="583"/>
      <c r="S172" s="577"/>
      <c r="T172" s="577"/>
      <c r="U172" s="642"/>
      <c r="W172" s="586"/>
      <c r="X172" s="583"/>
      <c r="Y172" s="577"/>
      <c r="Z172" s="577"/>
      <c r="AA172" s="642"/>
    </row>
    <row r="173" spans="1:27" ht="18.95" customHeight="1">
      <c r="A173" s="632"/>
      <c r="B173" s="638"/>
      <c r="C173" s="374" t="s">
        <v>2052</v>
      </c>
      <c r="D173" s="167" t="s">
        <v>2046</v>
      </c>
      <c r="E173" s="267">
        <v>1</v>
      </c>
      <c r="F173" s="356" t="s">
        <v>402</v>
      </c>
      <c r="G173" s="267">
        <v>25955</v>
      </c>
      <c r="H173" s="267">
        <f t="shared" si="21"/>
        <v>24265.538359884998</v>
      </c>
      <c r="I173" s="284">
        <f t="shared" si="22"/>
        <v>24265.538359884998</v>
      </c>
      <c r="J173" s="270">
        <v>500</v>
      </c>
      <c r="K173" s="270">
        <f t="shared" si="18"/>
        <v>467.45402350000001</v>
      </c>
      <c r="L173" s="270">
        <f t="shared" si="19"/>
        <v>467.45402350000001</v>
      </c>
      <c r="M173" s="270">
        <f t="shared" si="20"/>
        <v>24732.992383384997</v>
      </c>
      <c r="N173" s="269"/>
      <c r="O173" s="250">
        <v>0.93490804699999996</v>
      </c>
      <c r="P173" s="577"/>
      <c r="Q173" s="641"/>
      <c r="R173" s="583"/>
      <c r="S173" s="577"/>
      <c r="T173" s="577"/>
      <c r="U173" s="642"/>
      <c r="W173" s="586"/>
      <c r="X173" s="583"/>
      <c r="Y173" s="577"/>
      <c r="Z173" s="577"/>
      <c r="AA173" s="642"/>
    </row>
    <row r="174" spans="1:27" ht="18.95" customHeight="1">
      <c r="A174" s="632"/>
      <c r="B174" s="638"/>
      <c r="C174" s="374" t="s">
        <v>2053</v>
      </c>
      <c r="D174" s="167" t="s">
        <v>2051</v>
      </c>
      <c r="E174" s="267">
        <v>1</v>
      </c>
      <c r="F174" s="356" t="s">
        <v>402</v>
      </c>
      <c r="G174" s="267">
        <v>6266</v>
      </c>
      <c r="H174" s="267">
        <f t="shared" si="21"/>
        <v>5858.1338225019999</v>
      </c>
      <c r="I174" s="284">
        <f t="shared" si="22"/>
        <v>5858.1338225019999</v>
      </c>
      <c r="J174" s="270">
        <v>500</v>
      </c>
      <c r="K174" s="270">
        <f t="shared" si="18"/>
        <v>467.45402350000001</v>
      </c>
      <c r="L174" s="270">
        <f t="shared" si="19"/>
        <v>467.45402350000001</v>
      </c>
      <c r="M174" s="270">
        <f t="shared" si="20"/>
        <v>6325.5878460020003</v>
      </c>
      <c r="N174" s="269"/>
      <c r="O174" s="250">
        <v>0.93490804699999996</v>
      </c>
      <c r="P174" s="577"/>
      <c r="Q174" s="641"/>
      <c r="R174" s="583"/>
      <c r="S174" s="577"/>
      <c r="T174" s="577"/>
      <c r="U174" s="642"/>
      <c r="W174" s="586"/>
      <c r="X174" s="583"/>
      <c r="Y174" s="577"/>
      <c r="Z174" s="577"/>
      <c r="AA174" s="642"/>
    </row>
    <row r="175" spans="1:27" ht="18.95" customHeight="1">
      <c r="A175" s="632"/>
      <c r="B175" s="638"/>
      <c r="C175" s="374" t="s">
        <v>2054</v>
      </c>
      <c r="D175" s="167" t="s">
        <v>2051</v>
      </c>
      <c r="E175" s="267">
        <v>1</v>
      </c>
      <c r="F175" s="356" t="s">
        <v>402</v>
      </c>
      <c r="G175" s="267">
        <v>7020</v>
      </c>
      <c r="H175" s="267">
        <f t="shared" si="21"/>
        <v>6563.0544899400002</v>
      </c>
      <c r="I175" s="284">
        <f t="shared" si="22"/>
        <v>6563.0544899400002</v>
      </c>
      <c r="J175" s="270">
        <v>500</v>
      </c>
      <c r="K175" s="270">
        <f t="shared" si="18"/>
        <v>467.45402350000001</v>
      </c>
      <c r="L175" s="270">
        <f t="shared" si="19"/>
        <v>467.45402350000001</v>
      </c>
      <c r="M175" s="270">
        <f t="shared" si="20"/>
        <v>7030.5085134400006</v>
      </c>
      <c r="N175" s="269"/>
      <c r="O175" s="250">
        <v>0.93490804699999996</v>
      </c>
      <c r="P175" s="577"/>
      <c r="Q175" s="641"/>
      <c r="R175" s="583"/>
      <c r="S175" s="577"/>
      <c r="T175" s="577"/>
      <c r="U175" s="642"/>
      <c r="W175" s="586"/>
      <c r="X175" s="583"/>
      <c r="Y175" s="577"/>
      <c r="Z175" s="577"/>
      <c r="AA175" s="642"/>
    </row>
    <row r="176" spans="1:27" ht="18.95" customHeight="1">
      <c r="A176" s="632"/>
      <c r="B176" s="638"/>
      <c r="C176" s="374" t="s">
        <v>2055</v>
      </c>
      <c r="D176" s="167" t="s">
        <v>2051</v>
      </c>
      <c r="E176" s="267">
        <v>1</v>
      </c>
      <c r="F176" s="356" t="s">
        <v>402</v>
      </c>
      <c r="G176" s="267">
        <v>7020</v>
      </c>
      <c r="H176" s="267">
        <f t="shared" si="21"/>
        <v>6563.0544899400002</v>
      </c>
      <c r="I176" s="284">
        <f t="shared" si="22"/>
        <v>6563.0544899400002</v>
      </c>
      <c r="J176" s="270">
        <v>500</v>
      </c>
      <c r="K176" s="270">
        <f t="shared" si="18"/>
        <v>467.45402350000001</v>
      </c>
      <c r="L176" s="270">
        <f t="shared" si="19"/>
        <v>467.45402350000001</v>
      </c>
      <c r="M176" s="270">
        <f t="shared" si="20"/>
        <v>7030.5085134400006</v>
      </c>
      <c r="N176" s="269"/>
      <c r="O176" s="250">
        <v>0.93490804699999996</v>
      </c>
      <c r="P176" s="577"/>
      <c r="Q176" s="641"/>
      <c r="R176" s="583"/>
      <c r="S176" s="577"/>
      <c r="T176" s="577"/>
      <c r="U176" s="642"/>
      <c r="W176" s="586"/>
      <c r="X176" s="583"/>
      <c r="Y176" s="577"/>
      <c r="Z176" s="577"/>
      <c r="AA176" s="642"/>
    </row>
    <row r="177" spans="1:27" ht="18.95" customHeight="1">
      <c r="A177" s="632"/>
      <c r="B177" s="638"/>
      <c r="C177" s="374" t="s">
        <v>2056</v>
      </c>
      <c r="D177" s="167" t="s">
        <v>2051</v>
      </c>
      <c r="E177" s="267">
        <v>1</v>
      </c>
      <c r="F177" s="356" t="s">
        <v>402</v>
      </c>
      <c r="G177" s="267">
        <v>3549</v>
      </c>
      <c r="H177" s="267">
        <f t="shared" si="21"/>
        <v>3317.9886588029999</v>
      </c>
      <c r="I177" s="284">
        <f t="shared" si="22"/>
        <v>3317.9886588029999</v>
      </c>
      <c r="J177" s="270">
        <v>500</v>
      </c>
      <c r="K177" s="270">
        <f t="shared" si="18"/>
        <v>467.45402350000001</v>
      </c>
      <c r="L177" s="270">
        <f t="shared" si="19"/>
        <v>467.45402350000001</v>
      </c>
      <c r="M177" s="270">
        <f t="shared" si="20"/>
        <v>3785.4426823029999</v>
      </c>
      <c r="N177" s="269"/>
      <c r="O177" s="250">
        <v>0.93490804699999996</v>
      </c>
      <c r="P177" s="577"/>
      <c r="Q177" s="641"/>
      <c r="R177" s="583"/>
      <c r="S177" s="577"/>
      <c r="T177" s="577"/>
      <c r="U177" s="642"/>
      <c r="W177" s="586"/>
      <c r="X177" s="583"/>
      <c r="Y177" s="577"/>
      <c r="Z177" s="577"/>
      <c r="AA177" s="642"/>
    </row>
    <row r="178" spans="1:27" ht="18.95" customHeight="1">
      <c r="A178" s="632"/>
      <c r="B178" s="638"/>
      <c r="C178" s="374" t="s">
        <v>2057</v>
      </c>
      <c r="D178" s="167" t="s">
        <v>2051</v>
      </c>
      <c r="E178" s="267">
        <v>1</v>
      </c>
      <c r="F178" s="356" t="s">
        <v>402</v>
      </c>
      <c r="G178" s="267">
        <v>3549</v>
      </c>
      <c r="H178" s="267">
        <f t="shared" si="21"/>
        <v>3317.9886588029999</v>
      </c>
      <c r="I178" s="284">
        <f t="shared" si="22"/>
        <v>3317.9886588029999</v>
      </c>
      <c r="J178" s="270">
        <v>500</v>
      </c>
      <c r="K178" s="270">
        <f t="shared" si="18"/>
        <v>467.45402350000001</v>
      </c>
      <c r="L178" s="270">
        <f t="shared" si="19"/>
        <v>467.45402350000001</v>
      </c>
      <c r="M178" s="270">
        <f t="shared" si="20"/>
        <v>3785.4426823029999</v>
      </c>
      <c r="N178" s="269"/>
      <c r="O178" s="250">
        <v>0.93490804699999996</v>
      </c>
      <c r="P178" s="577"/>
      <c r="Q178" s="641"/>
      <c r="R178" s="583"/>
      <c r="S178" s="577"/>
      <c r="T178" s="577"/>
      <c r="U178" s="642"/>
      <c r="W178" s="586"/>
      <c r="X178" s="583"/>
      <c r="Y178" s="577"/>
      <c r="Z178" s="577"/>
      <c r="AA178" s="642"/>
    </row>
    <row r="179" spans="1:27" ht="18.95" customHeight="1">
      <c r="A179" s="632"/>
      <c r="B179" s="638"/>
      <c r="C179" s="374" t="s">
        <v>2058</v>
      </c>
      <c r="D179" s="167" t="s">
        <v>2051</v>
      </c>
      <c r="E179" s="267">
        <v>1</v>
      </c>
      <c r="F179" s="356" t="s">
        <v>402</v>
      </c>
      <c r="G179" s="267">
        <v>3549</v>
      </c>
      <c r="H179" s="267">
        <f t="shared" si="21"/>
        <v>3317.9886588029999</v>
      </c>
      <c r="I179" s="284">
        <f t="shared" si="22"/>
        <v>3317.9886588029999</v>
      </c>
      <c r="J179" s="270">
        <v>500</v>
      </c>
      <c r="K179" s="270">
        <f t="shared" si="18"/>
        <v>467.45402350000001</v>
      </c>
      <c r="L179" s="270">
        <f t="shared" si="19"/>
        <v>467.45402350000001</v>
      </c>
      <c r="M179" s="270">
        <f t="shared" si="20"/>
        <v>3785.4426823029999</v>
      </c>
      <c r="N179" s="269"/>
      <c r="O179" s="250">
        <v>0.93490804699999996</v>
      </c>
      <c r="P179" s="577"/>
      <c r="Q179" s="641"/>
      <c r="R179" s="583"/>
      <c r="S179" s="577"/>
      <c r="T179" s="577"/>
      <c r="U179" s="642"/>
      <c r="W179" s="586"/>
      <c r="X179" s="583"/>
      <c r="Y179" s="577"/>
      <c r="Z179" s="577"/>
      <c r="AA179" s="642"/>
    </row>
    <row r="180" spans="1:27" ht="18.95" customHeight="1">
      <c r="A180" s="632"/>
      <c r="B180" s="638"/>
      <c r="C180" s="374" t="s">
        <v>2059</v>
      </c>
      <c r="D180" s="167" t="s">
        <v>2060</v>
      </c>
      <c r="E180" s="267">
        <v>1</v>
      </c>
      <c r="F180" s="356" t="s">
        <v>402</v>
      </c>
      <c r="G180" s="267">
        <v>871</v>
      </c>
      <c r="H180" s="267">
        <f t="shared" si="21"/>
        <v>814.30490893699994</v>
      </c>
      <c r="I180" s="284">
        <f t="shared" si="22"/>
        <v>814.30490893699994</v>
      </c>
      <c r="J180" s="270">
        <v>500</v>
      </c>
      <c r="K180" s="270">
        <f t="shared" si="18"/>
        <v>467.45402350000001</v>
      </c>
      <c r="L180" s="270">
        <f t="shared" si="19"/>
        <v>467.45402350000001</v>
      </c>
      <c r="M180" s="270">
        <f t="shared" si="20"/>
        <v>1281.7589324369999</v>
      </c>
      <c r="N180" s="269"/>
      <c r="O180" s="250">
        <v>0.93490804699999996</v>
      </c>
      <c r="P180" s="577"/>
      <c r="Q180" s="641"/>
      <c r="R180" s="583"/>
      <c r="S180" s="577"/>
      <c r="T180" s="577"/>
      <c r="U180" s="642"/>
      <c r="W180" s="586"/>
      <c r="X180" s="583"/>
      <c r="Y180" s="577"/>
      <c r="Z180" s="577"/>
      <c r="AA180" s="642"/>
    </row>
    <row r="181" spans="1:27" ht="18.95" customHeight="1">
      <c r="A181" s="632"/>
      <c r="B181" s="638"/>
      <c r="C181" s="374" t="s">
        <v>2061</v>
      </c>
      <c r="D181" s="167" t="s">
        <v>2060</v>
      </c>
      <c r="E181" s="267">
        <v>1</v>
      </c>
      <c r="F181" s="356" t="s">
        <v>402</v>
      </c>
      <c r="G181" s="267">
        <v>871</v>
      </c>
      <c r="H181" s="267">
        <f t="shared" si="21"/>
        <v>814.30490893699994</v>
      </c>
      <c r="I181" s="284">
        <f t="shared" si="22"/>
        <v>814.30490893699994</v>
      </c>
      <c r="J181" s="270">
        <v>500</v>
      </c>
      <c r="K181" s="270">
        <f t="shared" si="18"/>
        <v>467.45402350000001</v>
      </c>
      <c r="L181" s="270">
        <f t="shared" si="19"/>
        <v>467.45402350000001</v>
      </c>
      <c r="M181" s="270">
        <f t="shared" si="20"/>
        <v>1281.7589324369999</v>
      </c>
      <c r="N181" s="269"/>
      <c r="O181" s="250">
        <v>0.93490804699999996</v>
      </c>
      <c r="P181" s="577"/>
      <c r="Q181" s="641"/>
      <c r="R181" s="583"/>
      <c r="S181" s="577"/>
      <c r="T181" s="577"/>
      <c r="U181" s="642"/>
      <c r="W181" s="586"/>
      <c r="X181" s="583"/>
      <c r="Y181" s="577"/>
      <c r="Z181" s="577"/>
      <c r="AA181" s="642"/>
    </row>
    <row r="182" spans="1:27" ht="18.95" customHeight="1">
      <c r="A182" s="632"/>
      <c r="B182" s="622" t="s">
        <v>2062</v>
      </c>
      <c r="C182" s="374"/>
      <c r="D182" s="165"/>
      <c r="E182" s="267"/>
      <c r="F182" s="356"/>
      <c r="G182" s="270"/>
      <c r="H182" s="270"/>
      <c r="I182" s="284"/>
      <c r="J182" s="267"/>
      <c r="K182" s="270"/>
      <c r="L182" s="270"/>
      <c r="M182" s="268"/>
      <c r="N182" s="268"/>
      <c r="O182" s="250">
        <v>0.93490804699999996</v>
      </c>
      <c r="P182" s="577"/>
      <c r="Q182" s="641"/>
      <c r="R182" s="583"/>
      <c r="S182" s="577"/>
      <c r="T182" s="577"/>
      <c r="U182" s="642"/>
      <c r="W182" s="586"/>
      <c r="X182" s="583"/>
      <c r="Y182" s="577"/>
      <c r="Z182" s="577"/>
      <c r="AA182" s="642"/>
    </row>
    <row r="183" spans="1:27" ht="18.95" customHeight="1">
      <c r="A183" s="632"/>
      <c r="B183" s="638"/>
      <c r="C183" s="374" t="s">
        <v>2063</v>
      </c>
      <c r="D183" s="167" t="s">
        <v>2046</v>
      </c>
      <c r="E183" s="267">
        <v>1</v>
      </c>
      <c r="F183" s="356" t="s">
        <v>402</v>
      </c>
      <c r="G183" s="267">
        <v>14671</v>
      </c>
      <c r="H183" s="267">
        <f>G183*O183</f>
        <v>13716.035957537</v>
      </c>
      <c r="I183" s="284">
        <f t="shared" si="22"/>
        <v>13716.035957537</v>
      </c>
      <c r="J183" s="270">
        <v>500</v>
      </c>
      <c r="K183" s="270">
        <f t="shared" si="18"/>
        <v>467.45402350000001</v>
      </c>
      <c r="L183" s="270">
        <f t="shared" si="19"/>
        <v>467.45402350000001</v>
      </c>
      <c r="M183" s="270">
        <f t="shared" ref="M183:M188" si="23">I183+L183</f>
        <v>14183.489981037001</v>
      </c>
      <c r="N183" s="269"/>
      <c r="O183" s="250">
        <v>0.93490804699999996</v>
      </c>
      <c r="P183" s="577"/>
      <c r="Q183" s="641"/>
      <c r="R183" s="583"/>
      <c r="S183" s="577"/>
      <c r="T183" s="577"/>
      <c r="U183" s="642"/>
      <c r="W183" s="586"/>
      <c r="X183" s="583"/>
      <c r="Y183" s="577"/>
      <c r="Z183" s="577"/>
      <c r="AA183" s="642"/>
    </row>
    <row r="184" spans="1:27" ht="18.95" customHeight="1">
      <c r="A184" s="632"/>
      <c r="B184" s="638"/>
      <c r="C184" s="374" t="s">
        <v>2064</v>
      </c>
      <c r="D184" s="167" t="s">
        <v>2046</v>
      </c>
      <c r="E184" s="267">
        <v>1</v>
      </c>
      <c r="F184" s="356" t="s">
        <v>402</v>
      </c>
      <c r="G184" s="267">
        <v>16237</v>
      </c>
      <c r="H184" s="267">
        <f t="shared" ref="H184:H195" si="24">G184*O184</f>
        <v>15180.101959139</v>
      </c>
      <c r="I184" s="284">
        <f t="shared" si="22"/>
        <v>15180.101959139</v>
      </c>
      <c r="J184" s="270">
        <v>500</v>
      </c>
      <c r="K184" s="270">
        <f t="shared" si="18"/>
        <v>467.45402350000001</v>
      </c>
      <c r="L184" s="270">
        <f t="shared" si="19"/>
        <v>467.45402350000001</v>
      </c>
      <c r="M184" s="270">
        <f t="shared" si="23"/>
        <v>15647.555982639</v>
      </c>
      <c r="N184" s="269"/>
      <c r="O184" s="250">
        <v>0.93490804699999996</v>
      </c>
      <c r="P184" s="577"/>
      <c r="Q184" s="641"/>
      <c r="R184" s="583"/>
      <c r="S184" s="577"/>
      <c r="T184" s="577"/>
      <c r="U184" s="642"/>
      <c r="W184" s="586"/>
      <c r="X184" s="583"/>
      <c r="Y184" s="577"/>
      <c r="Z184" s="577"/>
      <c r="AA184" s="642"/>
    </row>
    <row r="185" spans="1:27" ht="18.95" customHeight="1">
      <c r="A185" s="632"/>
      <c r="B185" s="638"/>
      <c r="C185" s="374" t="s">
        <v>2065</v>
      </c>
      <c r="D185" s="167" t="s">
        <v>2049</v>
      </c>
      <c r="E185" s="267">
        <v>1</v>
      </c>
      <c r="F185" s="356" t="s">
        <v>402</v>
      </c>
      <c r="G185" s="267">
        <v>7482</v>
      </c>
      <c r="H185" s="267">
        <f t="shared" si="24"/>
        <v>6994.982007654</v>
      </c>
      <c r="I185" s="284">
        <f t="shared" si="22"/>
        <v>6994.982007654</v>
      </c>
      <c r="J185" s="270">
        <v>500</v>
      </c>
      <c r="K185" s="270">
        <f t="shared" si="18"/>
        <v>467.45402350000001</v>
      </c>
      <c r="L185" s="270">
        <f t="shared" si="19"/>
        <v>467.45402350000001</v>
      </c>
      <c r="M185" s="270">
        <f t="shared" si="23"/>
        <v>7462.4360311540004</v>
      </c>
      <c r="N185" s="269"/>
      <c r="O185" s="250">
        <v>0.93490804699999996</v>
      </c>
      <c r="P185" s="577"/>
      <c r="Q185" s="641"/>
      <c r="R185" s="583"/>
      <c r="S185" s="577"/>
      <c r="T185" s="577"/>
      <c r="U185" s="642"/>
      <c r="W185" s="586"/>
      <c r="X185" s="583"/>
      <c r="Y185" s="577"/>
      <c r="Z185" s="577"/>
      <c r="AA185" s="642"/>
    </row>
    <row r="186" spans="1:27" ht="18.95" customHeight="1">
      <c r="A186" s="632"/>
      <c r="B186" s="638"/>
      <c r="C186" s="374" t="s">
        <v>2066</v>
      </c>
      <c r="D186" s="167" t="s">
        <v>2051</v>
      </c>
      <c r="E186" s="267">
        <v>1</v>
      </c>
      <c r="F186" s="356" t="s">
        <v>402</v>
      </c>
      <c r="G186" s="267">
        <v>8509</v>
      </c>
      <c r="H186" s="267">
        <f t="shared" si="24"/>
        <v>7955.1325719229999</v>
      </c>
      <c r="I186" s="284">
        <f t="shared" si="22"/>
        <v>7955.1325719229999</v>
      </c>
      <c r="J186" s="270">
        <v>500</v>
      </c>
      <c r="K186" s="270">
        <f t="shared" si="18"/>
        <v>467.45402350000001</v>
      </c>
      <c r="L186" s="270">
        <f t="shared" si="19"/>
        <v>467.45402350000001</v>
      </c>
      <c r="M186" s="270">
        <f t="shared" si="23"/>
        <v>8422.5865954229994</v>
      </c>
      <c r="N186" s="269"/>
      <c r="O186" s="250">
        <v>0.93490804699999996</v>
      </c>
      <c r="P186" s="577"/>
      <c r="Q186" s="641"/>
      <c r="R186" s="583"/>
      <c r="S186" s="577"/>
      <c r="T186" s="577"/>
      <c r="U186" s="642"/>
      <c r="W186" s="586"/>
      <c r="X186" s="583"/>
      <c r="Y186" s="577"/>
      <c r="Z186" s="577"/>
      <c r="AA186" s="642"/>
    </row>
    <row r="187" spans="1:27" ht="18.95" customHeight="1">
      <c r="A187" s="632"/>
      <c r="B187" s="638"/>
      <c r="C187" s="374" t="s">
        <v>2067</v>
      </c>
      <c r="D187" s="167" t="s">
        <v>2051</v>
      </c>
      <c r="E187" s="267">
        <v>1</v>
      </c>
      <c r="F187" s="356" t="s">
        <v>402</v>
      </c>
      <c r="G187" s="267">
        <v>8509</v>
      </c>
      <c r="H187" s="267">
        <f t="shared" si="24"/>
        <v>7955.1325719229999</v>
      </c>
      <c r="I187" s="284">
        <f t="shared" si="22"/>
        <v>7955.1325719229999</v>
      </c>
      <c r="J187" s="270">
        <v>500</v>
      </c>
      <c r="K187" s="270">
        <f t="shared" si="18"/>
        <v>467.45402350000001</v>
      </c>
      <c r="L187" s="270">
        <f t="shared" si="19"/>
        <v>467.45402350000001</v>
      </c>
      <c r="M187" s="270">
        <f t="shared" si="23"/>
        <v>8422.5865954229994</v>
      </c>
      <c r="N187" s="269"/>
      <c r="O187" s="250">
        <v>0.93490804699999996</v>
      </c>
      <c r="P187" s="577"/>
      <c r="Q187" s="641"/>
      <c r="R187" s="583"/>
      <c r="S187" s="577"/>
      <c r="T187" s="577"/>
      <c r="U187" s="642"/>
      <c r="W187" s="586"/>
      <c r="X187" s="583"/>
      <c r="Y187" s="577"/>
      <c r="Z187" s="577"/>
      <c r="AA187" s="642"/>
    </row>
    <row r="188" spans="1:27" ht="18.95" customHeight="1">
      <c r="A188" s="632"/>
      <c r="B188" s="638"/>
      <c r="C188" s="374" t="s">
        <v>2068</v>
      </c>
      <c r="D188" s="167" t="s">
        <v>2060</v>
      </c>
      <c r="E188" s="267">
        <v>1</v>
      </c>
      <c r="F188" s="356" t="s">
        <v>402</v>
      </c>
      <c r="G188" s="267">
        <v>1684</v>
      </c>
      <c r="H188" s="267">
        <f t="shared" si="24"/>
        <v>1574.385151148</v>
      </c>
      <c r="I188" s="284">
        <f t="shared" si="22"/>
        <v>1574.385151148</v>
      </c>
      <c r="J188" s="270">
        <v>500</v>
      </c>
      <c r="K188" s="270">
        <f t="shared" si="18"/>
        <v>467.45402350000001</v>
      </c>
      <c r="L188" s="270">
        <f t="shared" si="19"/>
        <v>467.45402350000001</v>
      </c>
      <c r="M188" s="270">
        <f t="shared" si="23"/>
        <v>2041.8391746479999</v>
      </c>
      <c r="N188" s="269"/>
      <c r="O188" s="250">
        <v>0.93490804699999996</v>
      </c>
      <c r="P188" s="577"/>
      <c r="Q188" s="641"/>
      <c r="R188" s="583"/>
      <c r="S188" s="577"/>
      <c r="T188" s="577"/>
      <c r="U188" s="642"/>
      <c r="W188" s="586"/>
      <c r="X188" s="583"/>
      <c r="Y188" s="577"/>
      <c r="Z188" s="577"/>
      <c r="AA188" s="642"/>
    </row>
    <row r="189" spans="1:27" ht="18.95" customHeight="1">
      <c r="A189" s="632"/>
      <c r="B189" s="622" t="s">
        <v>1913</v>
      </c>
      <c r="C189" s="374"/>
      <c r="D189" s="165"/>
      <c r="E189" s="267"/>
      <c r="F189" s="356"/>
      <c r="G189" s="270"/>
      <c r="H189" s="267"/>
      <c r="I189" s="284"/>
      <c r="J189" s="267"/>
      <c r="K189" s="270"/>
      <c r="L189" s="270"/>
      <c r="M189" s="268"/>
      <c r="N189" s="268"/>
      <c r="O189" s="250">
        <v>0.93490804699999996</v>
      </c>
      <c r="P189" s="577"/>
      <c r="Q189" s="641"/>
      <c r="R189" s="583"/>
      <c r="S189" s="577"/>
      <c r="T189" s="577"/>
      <c r="U189" s="642"/>
      <c r="W189" s="586"/>
      <c r="X189" s="583"/>
      <c r="Y189" s="577"/>
      <c r="Z189" s="577"/>
      <c r="AA189" s="642"/>
    </row>
    <row r="190" spans="1:27" ht="18.95" customHeight="1">
      <c r="A190" s="632"/>
      <c r="B190" s="638"/>
      <c r="C190" s="374" t="s">
        <v>2069</v>
      </c>
      <c r="D190" s="167" t="s">
        <v>2046</v>
      </c>
      <c r="E190" s="267">
        <v>1</v>
      </c>
      <c r="F190" s="356" t="s">
        <v>402</v>
      </c>
      <c r="G190" s="267">
        <v>14671</v>
      </c>
      <c r="H190" s="267">
        <f t="shared" si="24"/>
        <v>13716.035957537</v>
      </c>
      <c r="I190" s="284">
        <f t="shared" si="22"/>
        <v>13716.035957537</v>
      </c>
      <c r="J190" s="270">
        <v>500</v>
      </c>
      <c r="K190" s="270">
        <f t="shared" si="18"/>
        <v>467.45402350000001</v>
      </c>
      <c r="L190" s="270">
        <f t="shared" si="19"/>
        <v>467.45402350000001</v>
      </c>
      <c r="M190" s="270">
        <f t="shared" ref="M190:M201" si="25">I190+L190</f>
        <v>14183.489981037001</v>
      </c>
      <c r="N190" s="269"/>
      <c r="O190" s="250">
        <v>0.93490804699999996</v>
      </c>
      <c r="P190" s="577"/>
      <c r="Q190" s="641"/>
      <c r="R190" s="583"/>
      <c r="S190" s="577"/>
      <c r="T190" s="577"/>
      <c r="U190" s="642"/>
      <c r="W190" s="586"/>
      <c r="X190" s="583"/>
      <c r="Y190" s="577"/>
      <c r="Z190" s="577"/>
      <c r="AA190" s="642"/>
    </row>
    <row r="191" spans="1:27" ht="18.95" customHeight="1">
      <c r="A191" s="632"/>
      <c r="B191" s="638"/>
      <c r="C191" s="374" t="s">
        <v>2070</v>
      </c>
      <c r="D191" s="167" t="s">
        <v>2046</v>
      </c>
      <c r="E191" s="267">
        <v>1</v>
      </c>
      <c r="F191" s="356" t="s">
        <v>402</v>
      </c>
      <c r="G191" s="267">
        <v>16237</v>
      </c>
      <c r="H191" s="267">
        <f t="shared" si="24"/>
        <v>15180.101959139</v>
      </c>
      <c r="I191" s="284">
        <f t="shared" si="22"/>
        <v>15180.101959139</v>
      </c>
      <c r="J191" s="270">
        <v>500</v>
      </c>
      <c r="K191" s="270">
        <f t="shared" si="18"/>
        <v>467.45402350000001</v>
      </c>
      <c r="L191" s="270">
        <f t="shared" si="19"/>
        <v>467.45402350000001</v>
      </c>
      <c r="M191" s="270">
        <f t="shared" si="25"/>
        <v>15647.555982639</v>
      </c>
      <c r="N191" s="269"/>
      <c r="O191" s="250">
        <v>0.93490804699999996</v>
      </c>
      <c r="P191" s="577"/>
      <c r="Q191" s="641"/>
      <c r="R191" s="583"/>
      <c r="S191" s="577"/>
      <c r="T191" s="577"/>
      <c r="U191" s="642"/>
      <c r="W191" s="586"/>
      <c r="X191" s="583"/>
      <c r="Y191" s="577"/>
      <c r="Z191" s="577"/>
      <c r="AA191" s="642"/>
    </row>
    <row r="192" spans="1:27" ht="18.95" customHeight="1">
      <c r="A192" s="632"/>
      <c r="B192" s="638"/>
      <c r="C192" s="374" t="s">
        <v>2071</v>
      </c>
      <c r="D192" s="167" t="s">
        <v>2049</v>
      </c>
      <c r="E192" s="267">
        <v>1</v>
      </c>
      <c r="F192" s="356" t="s">
        <v>402</v>
      </c>
      <c r="G192" s="267">
        <v>7482</v>
      </c>
      <c r="H192" s="267">
        <f t="shared" si="24"/>
        <v>6994.982007654</v>
      </c>
      <c r="I192" s="284">
        <f t="shared" si="22"/>
        <v>6994.982007654</v>
      </c>
      <c r="J192" s="270">
        <v>500</v>
      </c>
      <c r="K192" s="270">
        <f t="shared" si="18"/>
        <v>467.45402350000001</v>
      </c>
      <c r="L192" s="270">
        <f t="shared" si="19"/>
        <v>467.45402350000001</v>
      </c>
      <c r="M192" s="270">
        <f t="shared" si="25"/>
        <v>7462.4360311540004</v>
      </c>
      <c r="N192" s="269"/>
      <c r="O192" s="250">
        <v>0.93490804699999996</v>
      </c>
      <c r="P192" s="577"/>
      <c r="Q192" s="641"/>
      <c r="R192" s="583"/>
      <c r="S192" s="577"/>
      <c r="T192" s="577"/>
      <c r="U192" s="642"/>
      <c r="W192" s="586"/>
      <c r="X192" s="583"/>
      <c r="Y192" s="577"/>
      <c r="Z192" s="577"/>
      <c r="AA192" s="642"/>
    </row>
    <row r="193" spans="1:27" ht="18.95" customHeight="1">
      <c r="A193" s="632"/>
      <c r="B193" s="638"/>
      <c r="C193" s="374" t="s">
        <v>2072</v>
      </c>
      <c r="D193" s="167" t="s">
        <v>2051</v>
      </c>
      <c r="E193" s="267">
        <v>1</v>
      </c>
      <c r="F193" s="356" t="s">
        <v>402</v>
      </c>
      <c r="G193" s="267">
        <v>7020</v>
      </c>
      <c r="H193" s="267">
        <f t="shared" si="24"/>
        <v>6563.0544899400002</v>
      </c>
      <c r="I193" s="284">
        <f t="shared" si="22"/>
        <v>6563.0544899400002</v>
      </c>
      <c r="J193" s="270">
        <v>500</v>
      </c>
      <c r="K193" s="270">
        <f t="shared" si="18"/>
        <v>467.45402350000001</v>
      </c>
      <c r="L193" s="270">
        <f t="shared" si="19"/>
        <v>467.45402350000001</v>
      </c>
      <c r="M193" s="270">
        <f t="shared" si="25"/>
        <v>7030.5085134400006</v>
      </c>
      <c r="N193" s="269"/>
      <c r="O193" s="250">
        <v>0.93490804699999996</v>
      </c>
      <c r="P193" s="577"/>
      <c r="Q193" s="641"/>
      <c r="R193" s="583"/>
      <c r="S193" s="577"/>
      <c r="T193" s="577"/>
      <c r="U193" s="642"/>
      <c r="W193" s="586"/>
      <c r="X193" s="583"/>
      <c r="Y193" s="577"/>
      <c r="Z193" s="577"/>
      <c r="AA193" s="642"/>
    </row>
    <row r="194" spans="1:27" ht="18.95" customHeight="1">
      <c r="A194" s="632"/>
      <c r="B194" s="638"/>
      <c r="C194" s="374" t="s">
        <v>2073</v>
      </c>
      <c r="D194" s="167" t="s">
        <v>2049</v>
      </c>
      <c r="E194" s="267">
        <v>1</v>
      </c>
      <c r="F194" s="356" t="s">
        <v>402</v>
      </c>
      <c r="G194" s="267">
        <v>7482</v>
      </c>
      <c r="H194" s="267">
        <f t="shared" si="24"/>
        <v>6994.982007654</v>
      </c>
      <c r="I194" s="284">
        <f t="shared" si="22"/>
        <v>6994.982007654</v>
      </c>
      <c r="J194" s="270">
        <v>500</v>
      </c>
      <c r="K194" s="270">
        <f t="shared" si="18"/>
        <v>467.45402350000001</v>
      </c>
      <c r="L194" s="270">
        <f t="shared" si="19"/>
        <v>467.45402350000001</v>
      </c>
      <c r="M194" s="270">
        <f t="shared" si="25"/>
        <v>7462.4360311540004</v>
      </c>
      <c r="N194" s="269"/>
      <c r="O194" s="250">
        <v>0.93490804699999996</v>
      </c>
      <c r="P194" s="577"/>
      <c r="Q194" s="641"/>
      <c r="R194" s="583"/>
      <c r="S194" s="577"/>
      <c r="T194" s="577"/>
      <c r="U194" s="642"/>
      <c r="W194" s="586"/>
      <c r="X194" s="583"/>
      <c r="Y194" s="577"/>
      <c r="Z194" s="577"/>
      <c r="AA194" s="642"/>
    </row>
    <row r="195" spans="1:27" ht="18.95" customHeight="1">
      <c r="A195" s="632"/>
      <c r="B195" s="638"/>
      <c r="C195" s="374" t="s">
        <v>2074</v>
      </c>
      <c r="D195" s="167" t="s">
        <v>2051</v>
      </c>
      <c r="E195" s="267">
        <v>1</v>
      </c>
      <c r="F195" s="356" t="s">
        <v>402</v>
      </c>
      <c r="G195" s="267">
        <v>7020</v>
      </c>
      <c r="H195" s="267">
        <f t="shared" si="24"/>
        <v>6563.0544899400002</v>
      </c>
      <c r="I195" s="284">
        <f t="shared" si="22"/>
        <v>6563.0544899400002</v>
      </c>
      <c r="J195" s="270">
        <v>500</v>
      </c>
      <c r="K195" s="270">
        <f t="shared" si="18"/>
        <v>467.45402350000001</v>
      </c>
      <c r="L195" s="270">
        <f t="shared" si="19"/>
        <v>467.45402350000001</v>
      </c>
      <c r="M195" s="270">
        <f t="shared" si="25"/>
        <v>7030.5085134400006</v>
      </c>
      <c r="N195" s="269"/>
      <c r="O195" s="250">
        <v>0.93490804699999996</v>
      </c>
      <c r="P195" s="577"/>
      <c r="Q195" s="641"/>
      <c r="R195" s="583"/>
      <c r="S195" s="577"/>
      <c r="T195" s="577"/>
      <c r="U195" s="642"/>
      <c r="W195" s="586"/>
      <c r="X195" s="583"/>
      <c r="Y195" s="577"/>
      <c r="Z195" s="577"/>
      <c r="AA195" s="642"/>
    </row>
    <row r="196" spans="1:27" ht="18.95" customHeight="1">
      <c r="A196" s="632"/>
      <c r="B196" s="638"/>
      <c r="C196" s="374" t="s">
        <v>2075</v>
      </c>
      <c r="D196" s="167" t="s">
        <v>2051</v>
      </c>
      <c r="E196" s="267">
        <v>1</v>
      </c>
      <c r="F196" s="356" t="s">
        <v>402</v>
      </c>
      <c r="G196" s="267">
        <v>6266</v>
      </c>
      <c r="H196" s="267">
        <f>G196*O196</f>
        <v>5858.1338225019999</v>
      </c>
      <c r="I196" s="284">
        <f t="shared" si="22"/>
        <v>5858.1338225019999</v>
      </c>
      <c r="J196" s="270">
        <v>500</v>
      </c>
      <c r="K196" s="270">
        <f t="shared" si="18"/>
        <v>467.45402350000001</v>
      </c>
      <c r="L196" s="270">
        <f t="shared" si="19"/>
        <v>467.45402350000001</v>
      </c>
      <c r="M196" s="270">
        <f t="shared" si="25"/>
        <v>6325.5878460020003</v>
      </c>
      <c r="N196" s="269"/>
      <c r="O196" s="250">
        <v>0.93490804699999996</v>
      </c>
      <c r="P196" s="577"/>
      <c r="Q196" s="641"/>
      <c r="R196" s="583"/>
      <c r="S196" s="577"/>
      <c r="T196" s="577"/>
      <c r="U196" s="642"/>
      <c r="W196" s="586"/>
      <c r="X196" s="583"/>
      <c r="Y196" s="577"/>
      <c r="Z196" s="577"/>
      <c r="AA196" s="642"/>
    </row>
    <row r="197" spans="1:27" ht="18.95" customHeight="1">
      <c r="A197" s="632"/>
      <c r="B197" s="638"/>
      <c r="C197" s="374" t="s">
        <v>2076</v>
      </c>
      <c r="D197" s="167" t="s">
        <v>2051</v>
      </c>
      <c r="E197" s="267">
        <v>1</v>
      </c>
      <c r="F197" s="356" t="s">
        <v>402</v>
      </c>
      <c r="G197" s="267">
        <v>6266</v>
      </c>
      <c r="H197" s="267">
        <f t="shared" ref="H197:H219" si="26">G197*O197</f>
        <v>5858.1338225019999</v>
      </c>
      <c r="I197" s="284">
        <f t="shared" si="22"/>
        <v>5858.1338225019999</v>
      </c>
      <c r="J197" s="270">
        <v>500</v>
      </c>
      <c r="K197" s="270">
        <f t="shared" si="18"/>
        <v>467.45402350000001</v>
      </c>
      <c r="L197" s="270">
        <f t="shared" si="19"/>
        <v>467.45402350000001</v>
      </c>
      <c r="M197" s="270">
        <f t="shared" si="25"/>
        <v>6325.5878460020003</v>
      </c>
      <c r="N197" s="269"/>
      <c r="O197" s="250">
        <v>0.93490804699999996</v>
      </c>
      <c r="P197" s="577"/>
      <c r="Q197" s="641"/>
      <c r="R197" s="583"/>
      <c r="S197" s="577"/>
      <c r="T197" s="577"/>
      <c r="U197" s="642"/>
      <c r="W197" s="586"/>
      <c r="X197" s="583"/>
      <c r="Y197" s="577"/>
      <c r="Z197" s="577"/>
      <c r="AA197" s="642"/>
    </row>
    <row r="198" spans="1:27" ht="18.95" customHeight="1">
      <c r="A198" s="632"/>
      <c r="B198" s="638"/>
      <c r="C198" s="374" t="s">
        <v>2077</v>
      </c>
      <c r="D198" s="167" t="s">
        <v>2051</v>
      </c>
      <c r="E198" s="267">
        <v>1</v>
      </c>
      <c r="F198" s="356" t="s">
        <v>402</v>
      </c>
      <c r="G198" s="267">
        <v>6266</v>
      </c>
      <c r="H198" s="267">
        <f t="shared" si="26"/>
        <v>5858.1338225019999</v>
      </c>
      <c r="I198" s="284">
        <f>E198*H198</f>
        <v>5858.1338225019999</v>
      </c>
      <c r="J198" s="270">
        <v>500</v>
      </c>
      <c r="K198" s="270">
        <f t="shared" si="18"/>
        <v>467.45402350000001</v>
      </c>
      <c r="L198" s="270">
        <f t="shared" si="19"/>
        <v>467.45402350000001</v>
      </c>
      <c r="M198" s="270">
        <f t="shared" si="25"/>
        <v>6325.5878460020003</v>
      </c>
      <c r="N198" s="269"/>
      <c r="O198" s="250">
        <v>0.93490804699999996</v>
      </c>
      <c r="P198" s="577"/>
      <c r="Q198" s="641"/>
      <c r="R198" s="583"/>
      <c r="S198" s="577"/>
      <c r="T198" s="577"/>
      <c r="U198" s="642"/>
      <c r="W198" s="586"/>
      <c r="X198" s="583"/>
      <c r="Y198" s="577"/>
      <c r="Z198" s="577"/>
      <c r="AA198" s="642"/>
    </row>
    <row r="199" spans="1:27" ht="18.95" customHeight="1">
      <c r="A199" s="632"/>
      <c r="B199" s="638"/>
      <c r="C199" s="374" t="s">
        <v>2078</v>
      </c>
      <c r="D199" s="167" t="s">
        <v>2051</v>
      </c>
      <c r="E199" s="267">
        <v>1</v>
      </c>
      <c r="F199" s="356" t="s">
        <v>402</v>
      </c>
      <c r="G199" s="267">
        <v>7020</v>
      </c>
      <c r="H199" s="267">
        <f t="shared" si="26"/>
        <v>6563.0544899400002</v>
      </c>
      <c r="I199" s="284">
        <f t="shared" si="22"/>
        <v>6563.0544899400002</v>
      </c>
      <c r="J199" s="270">
        <v>500</v>
      </c>
      <c r="K199" s="270">
        <f t="shared" si="18"/>
        <v>467.45402350000001</v>
      </c>
      <c r="L199" s="270">
        <f t="shared" si="19"/>
        <v>467.45402350000001</v>
      </c>
      <c r="M199" s="270">
        <f t="shared" si="25"/>
        <v>7030.5085134400006</v>
      </c>
      <c r="N199" s="269"/>
      <c r="O199" s="250">
        <v>0.93490804699999996</v>
      </c>
      <c r="P199" s="577"/>
      <c r="Q199" s="641"/>
      <c r="R199" s="583"/>
      <c r="S199" s="577"/>
      <c r="T199" s="577"/>
      <c r="U199" s="642"/>
      <c r="W199" s="586"/>
      <c r="X199" s="583"/>
      <c r="Y199" s="577"/>
      <c r="Z199" s="577"/>
      <c r="AA199" s="642"/>
    </row>
    <row r="200" spans="1:27" ht="18.95" customHeight="1">
      <c r="A200" s="632"/>
      <c r="B200" s="638"/>
      <c r="C200" s="374" t="s">
        <v>2079</v>
      </c>
      <c r="D200" s="167" t="s">
        <v>2051</v>
      </c>
      <c r="E200" s="267">
        <v>1</v>
      </c>
      <c r="F200" s="356" t="s">
        <v>402</v>
      </c>
      <c r="G200" s="267">
        <v>4654</v>
      </c>
      <c r="H200" s="267">
        <f t="shared" si="26"/>
        <v>4351.0620507379999</v>
      </c>
      <c r="I200" s="284">
        <f t="shared" si="22"/>
        <v>4351.0620507379999</v>
      </c>
      <c r="J200" s="270">
        <v>500</v>
      </c>
      <c r="K200" s="270">
        <f t="shared" si="18"/>
        <v>467.45402350000001</v>
      </c>
      <c r="L200" s="270">
        <f t="shared" si="19"/>
        <v>467.45402350000001</v>
      </c>
      <c r="M200" s="270">
        <f t="shared" si="25"/>
        <v>4818.5160742380003</v>
      </c>
      <c r="N200" s="269"/>
      <c r="O200" s="250">
        <v>0.93490804699999996</v>
      </c>
      <c r="P200" s="577"/>
      <c r="Q200" s="641"/>
      <c r="R200" s="583"/>
      <c r="S200" s="577"/>
      <c r="T200" s="577"/>
      <c r="U200" s="642"/>
      <c r="W200" s="586"/>
      <c r="X200" s="583"/>
      <c r="Y200" s="577"/>
      <c r="Z200" s="577"/>
      <c r="AA200" s="642"/>
    </row>
    <row r="201" spans="1:27" ht="18.95" customHeight="1">
      <c r="A201" s="632"/>
      <c r="B201" s="638"/>
      <c r="C201" s="374" t="s">
        <v>2080</v>
      </c>
      <c r="D201" s="167" t="s">
        <v>2049</v>
      </c>
      <c r="E201" s="267">
        <v>1</v>
      </c>
      <c r="F201" s="356" t="s">
        <v>402</v>
      </c>
      <c r="G201" s="267">
        <v>7482</v>
      </c>
      <c r="H201" s="267">
        <f t="shared" si="26"/>
        <v>6994.982007654</v>
      </c>
      <c r="I201" s="284">
        <f t="shared" si="22"/>
        <v>6994.982007654</v>
      </c>
      <c r="J201" s="270">
        <v>500</v>
      </c>
      <c r="K201" s="270">
        <f t="shared" si="18"/>
        <v>467.45402350000001</v>
      </c>
      <c r="L201" s="270">
        <f t="shared" si="19"/>
        <v>467.45402350000001</v>
      </c>
      <c r="M201" s="270">
        <f t="shared" si="25"/>
        <v>7462.4360311540004</v>
      </c>
      <c r="N201" s="269"/>
      <c r="O201" s="250">
        <v>0.93490804699999996</v>
      </c>
      <c r="P201" s="577"/>
      <c r="Q201" s="641"/>
      <c r="R201" s="583"/>
      <c r="S201" s="577"/>
      <c r="T201" s="577"/>
      <c r="U201" s="642"/>
      <c r="W201" s="586"/>
      <c r="X201" s="583"/>
      <c r="Y201" s="577"/>
      <c r="Z201" s="577"/>
      <c r="AA201" s="642"/>
    </row>
    <row r="202" spans="1:27" ht="18.95" customHeight="1">
      <c r="A202" s="632"/>
      <c r="B202" s="622" t="s">
        <v>1955</v>
      </c>
      <c r="C202" s="374"/>
      <c r="D202" s="165"/>
      <c r="E202" s="267"/>
      <c r="F202" s="356"/>
      <c r="G202" s="270"/>
      <c r="H202" s="267"/>
      <c r="I202" s="284"/>
      <c r="J202" s="267"/>
      <c r="K202" s="270"/>
      <c r="L202" s="270"/>
      <c r="M202" s="268"/>
      <c r="N202" s="268"/>
      <c r="O202" s="250">
        <v>0.93490804699999996</v>
      </c>
      <c r="P202" s="577"/>
      <c r="Q202" s="641"/>
      <c r="R202" s="583"/>
      <c r="S202" s="577"/>
      <c r="T202" s="577"/>
      <c r="U202" s="642"/>
      <c r="W202" s="586"/>
      <c r="X202" s="583"/>
      <c r="Y202" s="577"/>
      <c r="Z202" s="577"/>
      <c r="AA202" s="642"/>
    </row>
    <row r="203" spans="1:27" ht="18.95" customHeight="1">
      <c r="A203" s="632"/>
      <c r="B203" s="638"/>
      <c r="C203" s="374" t="s">
        <v>2081</v>
      </c>
      <c r="D203" s="167" t="s">
        <v>2046</v>
      </c>
      <c r="E203" s="267">
        <v>1</v>
      </c>
      <c r="F203" s="356" t="s">
        <v>402</v>
      </c>
      <c r="G203" s="267">
        <v>14671</v>
      </c>
      <c r="H203" s="267">
        <f t="shared" si="26"/>
        <v>13716.035957537</v>
      </c>
      <c r="I203" s="284">
        <f t="shared" si="22"/>
        <v>13716.035957537</v>
      </c>
      <c r="J203" s="270">
        <v>500</v>
      </c>
      <c r="K203" s="270">
        <f t="shared" si="18"/>
        <v>467.45402350000001</v>
      </c>
      <c r="L203" s="270">
        <f t="shared" si="19"/>
        <v>467.45402350000001</v>
      </c>
      <c r="M203" s="270">
        <f t="shared" ref="M203:M215" si="27">I203+L203</f>
        <v>14183.489981037001</v>
      </c>
      <c r="N203" s="269"/>
      <c r="O203" s="250">
        <v>0.93490804699999996</v>
      </c>
      <c r="P203" s="577"/>
      <c r="Q203" s="641"/>
      <c r="R203" s="583"/>
      <c r="S203" s="577"/>
      <c r="T203" s="577"/>
      <c r="U203" s="642"/>
      <c r="W203" s="586"/>
      <c r="X203" s="583"/>
      <c r="Y203" s="577"/>
      <c r="Z203" s="577"/>
      <c r="AA203" s="642"/>
    </row>
    <row r="204" spans="1:27" ht="18.95" customHeight="1">
      <c r="A204" s="632"/>
      <c r="B204" s="638"/>
      <c r="C204" s="374" t="s">
        <v>2082</v>
      </c>
      <c r="D204" s="167" t="s">
        <v>2046</v>
      </c>
      <c r="E204" s="267">
        <v>1</v>
      </c>
      <c r="F204" s="356" t="s">
        <v>402</v>
      </c>
      <c r="G204" s="267">
        <v>16237</v>
      </c>
      <c r="H204" s="267">
        <f t="shared" si="26"/>
        <v>15180.101959139</v>
      </c>
      <c r="I204" s="284">
        <f t="shared" si="22"/>
        <v>15180.101959139</v>
      </c>
      <c r="J204" s="270">
        <v>500</v>
      </c>
      <c r="K204" s="270">
        <f t="shared" si="18"/>
        <v>467.45402350000001</v>
      </c>
      <c r="L204" s="270">
        <f t="shared" si="19"/>
        <v>467.45402350000001</v>
      </c>
      <c r="M204" s="270">
        <f t="shared" si="27"/>
        <v>15647.555982639</v>
      </c>
      <c r="N204" s="269"/>
      <c r="O204" s="250">
        <v>0.93490804699999996</v>
      </c>
      <c r="P204" s="577"/>
      <c r="Q204" s="641"/>
      <c r="R204" s="583"/>
      <c r="S204" s="577"/>
      <c r="T204" s="577"/>
      <c r="U204" s="642"/>
      <c r="W204" s="586"/>
      <c r="X204" s="583"/>
      <c r="Y204" s="577"/>
      <c r="Z204" s="577"/>
      <c r="AA204" s="642"/>
    </row>
    <row r="205" spans="1:27" ht="18.95" customHeight="1">
      <c r="A205" s="632"/>
      <c r="B205" s="638"/>
      <c r="C205" s="374" t="s">
        <v>2083</v>
      </c>
      <c r="D205" s="167" t="s">
        <v>2049</v>
      </c>
      <c r="E205" s="267">
        <v>1</v>
      </c>
      <c r="F205" s="356" t="s">
        <v>402</v>
      </c>
      <c r="G205" s="267">
        <v>7482</v>
      </c>
      <c r="H205" s="267">
        <f t="shared" si="26"/>
        <v>6994.982007654</v>
      </c>
      <c r="I205" s="284">
        <f t="shared" si="22"/>
        <v>6994.982007654</v>
      </c>
      <c r="J205" s="270">
        <v>500</v>
      </c>
      <c r="K205" s="270">
        <f t="shared" si="18"/>
        <v>467.45402350000001</v>
      </c>
      <c r="L205" s="270">
        <f t="shared" si="19"/>
        <v>467.45402350000001</v>
      </c>
      <c r="M205" s="270">
        <f t="shared" si="27"/>
        <v>7462.4360311540004</v>
      </c>
      <c r="N205" s="269"/>
      <c r="O205" s="250">
        <v>0.93490804699999996</v>
      </c>
      <c r="P205" s="577"/>
      <c r="Q205" s="641"/>
      <c r="R205" s="583"/>
      <c r="S205" s="577"/>
      <c r="T205" s="577"/>
      <c r="U205" s="642"/>
      <c r="W205" s="586"/>
      <c r="X205" s="583"/>
      <c r="Y205" s="577"/>
      <c r="Z205" s="577"/>
      <c r="AA205" s="642"/>
    </row>
    <row r="206" spans="1:27" ht="18.95" customHeight="1">
      <c r="A206" s="632"/>
      <c r="B206" s="638"/>
      <c r="C206" s="374" t="s">
        <v>2084</v>
      </c>
      <c r="D206" s="235" t="s">
        <v>2051</v>
      </c>
      <c r="E206" s="267">
        <v>1</v>
      </c>
      <c r="F206" s="356" t="s">
        <v>402</v>
      </c>
      <c r="G206" s="267">
        <v>7020</v>
      </c>
      <c r="H206" s="267">
        <f t="shared" si="26"/>
        <v>6563.0544899400002</v>
      </c>
      <c r="I206" s="284">
        <f t="shared" si="22"/>
        <v>6563.0544899400002</v>
      </c>
      <c r="J206" s="270">
        <v>500</v>
      </c>
      <c r="K206" s="270">
        <f t="shared" si="18"/>
        <v>467.45402350000001</v>
      </c>
      <c r="L206" s="270">
        <f t="shared" si="19"/>
        <v>467.45402350000001</v>
      </c>
      <c r="M206" s="270">
        <f t="shared" si="27"/>
        <v>7030.5085134400006</v>
      </c>
      <c r="N206" s="269"/>
      <c r="O206" s="250">
        <v>0.93490804699999996</v>
      </c>
      <c r="P206" s="577"/>
      <c r="Q206" s="641"/>
      <c r="R206" s="583"/>
      <c r="S206" s="577"/>
      <c r="T206" s="577"/>
      <c r="U206" s="642"/>
      <c r="W206" s="586"/>
      <c r="X206" s="583"/>
      <c r="Y206" s="577"/>
      <c r="Z206" s="577"/>
      <c r="AA206" s="642"/>
    </row>
    <row r="207" spans="1:27" ht="18.95" customHeight="1">
      <c r="A207" s="632"/>
      <c r="B207" s="638"/>
      <c r="C207" s="374" t="s">
        <v>2085</v>
      </c>
      <c r="D207" s="235" t="s">
        <v>2049</v>
      </c>
      <c r="E207" s="267">
        <v>1</v>
      </c>
      <c r="F207" s="356" t="s">
        <v>402</v>
      </c>
      <c r="G207" s="267">
        <v>7482</v>
      </c>
      <c r="H207" s="267">
        <f t="shared" si="26"/>
        <v>6994.982007654</v>
      </c>
      <c r="I207" s="284">
        <f t="shared" si="22"/>
        <v>6994.982007654</v>
      </c>
      <c r="J207" s="270">
        <v>500</v>
      </c>
      <c r="K207" s="270">
        <f t="shared" si="18"/>
        <v>467.45402350000001</v>
      </c>
      <c r="L207" s="270">
        <f t="shared" si="19"/>
        <v>467.45402350000001</v>
      </c>
      <c r="M207" s="270">
        <f t="shared" si="27"/>
        <v>7462.4360311540004</v>
      </c>
      <c r="N207" s="269"/>
      <c r="O207" s="250">
        <v>0.93490804699999996</v>
      </c>
      <c r="P207" s="577"/>
      <c r="Q207" s="641"/>
      <c r="R207" s="583"/>
      <c r="S207" s="577"/>
      <c r="T207" s="577"/>
      <c r="U207" s="642"/>
      <c r="W207" s="586"/>
      <c r="X207" s="583"/>
      <c r="Y207" s="577"/>
      <c r="Z207" s="577"/>
      <c r="AA207" s="642"/>
    </row>
    <row r="208" spans="1:27" ht="18.95" customHeight="1">
      <c r="A208" s="632"/>
      <c r="B208" s="638"/>
      <c r="C208" s="374" t="s">
        <v>2086</v>
      </c>
      <c r="D208" s="235" t="s">
        <v>2049</v>
      </c>
      <c r="E208" s="267">
        <v>1</v>
      </c>
      <c r="F208" s="356" t="s">
        <v>402</v>
      </c>
      <c r="G208" s="267">
        <v>7482</v>
      </c>
      <c r="H208" s="267">
        <f t="shared" si="26"/>
        <v>6994.982007654</v>
      </c>
      <c r="I208" s="284">
        <f t="shared" si="22"/>
        <v>6994.982007654</v>
      </c>
      <c r="J208" s="270">
        <v>500</v>
      </c>
      <c r="K208" s="270">
        <f t="shared" si="18"/>
        <v>467.45402350000001</v>
      </c>
      <c r="L208" s="270">
        <f t="shared" si="19"/>
        <v>467.45402350000001</v>
      </c>
      <c r="M208" s="270">
        <f t="shared" si="27"/>
        <v>7462.4360311540004</v>
      </c>
      <c r="N208" s="269"/>
      <c r="O208" s="250">
        <v>0.93490804699999996</v>
      </c>
      <c r="P208" s="577"/>
      <c r="Q208" s="641"/>
      <c r="R208" s="583"/>
      <c r="S208" s="577"/>
      <c r="T208" s="577"/>
      <c r="U208" s="642"/>
      <c r="W208" s="586"/>
      <c r="X208" s="583"/>
      <c r="Y208" s="577"/>
      <c r="Z208" s="577"/>
      <c r="AA208" s="642"/>
    </row>
    <row r="209" spans="1:27" ht="18.95" customHeight="1">
      <c r="A209" s="632"/>
      <c r="B209" s="638"/>
      <c r="C209" s="374" t="s">
        <v>2087</v>
      </c>
      <c r="D209" s="235" t="s">
        <v>2049</v>
      </c>
      <c r="E209" s="267">
        <v>1</v>
      </c>
      <c r="F209" s="356" t="s">
        <v>402</v>
      </c>
      <c r="G209" s="267">
        <v>7482</v>
      </c>
      <c r="H209" s="267">
        <f>G209*O209</f>
        <v>6994.982007654</v>
      </c>
      <c r="I209" s="284">
        <f t="shared" si="22"/>
        <v>6994.982007654</v>
      </c>
      <c r="J209" s="270">
        <v>500</v>
      </c>
      <c r="K209" s="270">
        <f t="shared" si="18"/>
        <v>467.45402350000001</v>
      </c>
      <c r="L209" s="270">
        <f t="shared" si="19"/>
        <v>467.45402350000001</v>
      </c>
      <c r="M209" s="270">
        <f t="shared" si="27"/>
        <v>7462.4360311540004</v>
      </c>
      <c r="N209" s="269"/>
      <c r="O209" s="250">
        <v>0.93490804699999996</v>
      </c>
      <c r="P209" s="577"/>
      <c r="Q209" s="641"/>
      <c r="R209" s="583"/>
      <c r="S209" s="577"/>
      <c r="T209" s="577"/>
      <c r="U209" s="642"/>
      <c r="W209" s="586"/>
      <c r="X209" s="583"/>
      <c r="Y209" s="577"/>
      <c r="Z209" s="577"/>
      <c r="AA209" s="642"/>
    </row>
    <row r="210" spans="1:27" ht="18.95" customHeight="1">
      <c r="A210" s="632"/>
      <c r="B210" s="638"/>
      <c r="C210" s="374" t="s">
        <v>2088</v>
      </c>
      <c r="D210" s="235" t="s">
        <v>2049</v>
      </c>
      <c r="E210" s="267">
        <v>1</v>
      </c>
      <c r="F210" s="356" t="s">
        <v>402</v>
      </c>
      <c r="G210" s="267">
        <v>7482</v>
      </c>
      <c r="H210" s="267">
        <f t="shared" si="26"/>
        <v>6994.982007654</v>
      </c>
      <c r="I210" s="284">
        <f t="shared" si="22"/>
        <v>6994.982007654</v>
      </c>
      <c r="J210" s="270">
        <v>500</v>
      </c>
      <c r="K210" s="270">
        <f t="shared" si="18"/>
        <v>467.45402350000001</v>
      </c>
      <c r="L210" s="270">
        <f t="shared" si="19"/>
        <v>467.45402350000001</v>
      </c>
      <c r="M210" s="270">
        <f t="shared" si="27"/>
        <v>7462.4360311540004</v>
      </c>
      <c r="N210" s="269"/>
      <c r="O210" s="250">
        <v>0.93490804699999996</v>
      </c>
      <c r="P210" s="577"/>
      <c r="Q210" s="641"/>
      <c r="R210" s="583"/>
      <c r="S210" s="577"/>
      <c r="T210" s="577"/>
      <c r="U210" s="642"/>
      <c r="W210" s="586"/>
      <c r="X210" s="583"/>
      <c r="Y210" s="577"/>
      <c r="Z210" s="577"/>
      <c r="AA210" s="642"/>
    </row>
    <row r="211" spans="1:27" ht="18.95" customHeight="1">
      <c r="A211" s="632"/>
      <c r="B211" s="638"/>
      <c r="C211" s="374" t="s">
        <v>2089</v>
      </c>
      <c r="D211" s="235" t="s">
        <v>2049</v>
      </c>
      <c r="E211" s="267">
        <v>1</v>
      </c>
      <c r="F211" s="356" t="s">
        <v>402</v>
      </c>
      <c r="G211" s="267">
        <v>7482</v>
      </c>
      <c r="H211" s="267">
        <f t="shared" si="26"/>
        <v>6994.982007654</v>
      </c>
      <c r="I211" s="284">
        <f t="shared" si="22"/>
        <v>6994.982007654</v>
      </c>
      <c r="J211" s="270">
        <v>500</v>
      </c>
      <c r="K211" s="270">
        <f t="shared" si="18"/>
        <v>467.45402350000001</v>
      </c>
      <c r="L211" s="270">
        <f t="shared" si="19"/>
        <v>467.45402350000001</v>
      </c>
      <c r="M211" s="270">
        <f t="shared" si="27"/>
        <v>7462.4360311540004</v>
      </c>
      <c r="N211" s="269"/>
      <c r="O211" s="250">
        <v>0.93490804699999996</v>
      </c>
      <c r="P211" s="577"/>
      <c r="Q211" s="641"/>
      <c r="R211" s="583"/>
      <c r="S211" s="577"/>
      <c r="T211" s="577"/>
      <c r="U211" s="642"/>
      <c r="W211" s="586"/>
      <c r="X211" s="583"/>
      <c r="Y211" s="577"/>
      <c r="Z211" s="577"/>
      <c r="AA211" s="642"/>
    </row>
    <row r="212" spans="1:27" ht="18.95" customHeight="1">
      <c r="A212" s="632"/>
      <c r="B212" s="638"/>
      <c r="C212" s="374" t="s">
        <v>2090</v>
      </c>
      <c r="D212" s="235" t="s">
        <v>2049</v>
      </c>
      <c r="E212" s="267">
        <v>1</v>
      </c>
      <c r="F212" s="356" t="s">
        <v>402</v>
      </c>
      <c r="G212" s="267">
        <v>7482</v>
      </c>
      <c r="H212" s="267">
        <f t="shared" si="26"/>
        <v>6994.982007654</v>
      </c>
      <c r="I212" s="284">
        <f t="shared" si="22"/>
        <v>6994.982007654</v>
      </c>
      <c r="J212" s="270">
        <v>500</v>
      </c>
      <c r="K212" s="270">
        <f t="shared" si="18"/>
        <v>467.45402350000001</v>
      </c>
      <c r="L212" s="270">
        <f t="shared" si="19"/>
        <v>467.45402350000001</v>
      </c>
      <c r="M212" s="270">
        <f t="shared" si="27"/>
        <v>7462.4360311540004</v>
      </c>
      <c r="N212" s="269"/>
      <c r="O212" s="250">
        <v>0.93490804699999996</v>
      </c>
      <c r="P212" s="577"/>
      <c r="Q212" s="641"/>
      <c r="R212" s="583"/>
      <c r="S212" s="577"/>
      <c r="T212" s="577"/>
      <c r="U212" s="642"/>
      <c r="W212" s="586"/>
      <c r="X212" s="583"/>
      <c r="Y212" s="577"/>
      <c r="Z212" s="577"/>
      <c r="AA212" s="642"/>
    </row>
    <row r="213" spans="1:27" ht="18.95" customHeight="1">
      <c r="A213" s="632"/>
      <c r="B213" s="638"/>
      <c r="C213" s="374" t="s">
        <v>2091</v>
      </c>
      <c r="D213" s="235" t="s">
        <v>2051</v>
      </c>
      <c r="E213" s="267">
        <v>1</v>
      </c>
      <c r="F213" s="356" t="s">
        <v>402</v>
      </c>
      <c r="G213" s="267">
        <v>7020</v>
      </c>
      <c r="H213" s="267">
        <f t="shared" si="26"/>
        <v>6563.0544899400002</v>
      </c>
      <c r="I213" s="284">
        <f>E213*H213</f>
        <v>6563.0544899400002</v>
      </c>
      <c r="J213" s="270">
        <v>500</v>
      </c>
      <c r="K213" s="270">
        <f t="shared" si="18"/>
        <v>467.45402350000001</v>
      </c>
      <c r="L213" s="270">
        <f t="shared" si="19"/>
        <v>467.45402350000001</v>
      </c>
      <c r="M213" s="270">
        <f t="shared" si="27"/>
        <v>7030.5085134400006</v>
      </c>
      <c r="N213" s="269"/>
      <c r="O213" s="250">
        <v>0.93490804699999996</v>
      </c>
      <c r="P213" s="577"/>
      <c r="Q213" s="641"/>
      <c r="R213" s="583"/>
      <c r="S213" s="577"/>
      <c r="T213" s="577"/>
      <c r="U213" s="642"/>
      <c r="W213" s="586"/>
      <c r="X213" s="583"/>
      <c r="Y213" s="577"/>
      <c r="Z213" s="577"/>
      <c r="AA213" s="642"/>
    </row>
    <row r="214" spans="1:27" ht="18.95" customHeight="1">
      <c r="A214" s="632"/>
      <c r="B214" s="638"/>
      <c r="C214" s="374" t="s">
        <v>2092</v>
      </c>
      <c r="D214" s="235" t="s">
        <v>2051</v>
      </c>
      <c r="E214" s="267">
        <v>1</v>
      </c>
      <c r="F214" s="356" t="s">
        <v>402</v>
      </c>
      <c r="G214" s="267">
        <v>7020</v>
      </c>
      <c r="H214" s="267">
        <f t="shared" si="26"/>
        <v>6563.0544899400002</v>
      </c>
      <c r="I214" s="284">
        <f t="shared" si="22"/>
        <v>6563.0544899400002</v>
      </c>
      <c r="J214" s="270">
        <v>500</v>
      </c>
      <c r="K214" s="270">
        <f t="shared" si="18"/>
        <v>467.45402350000001</v>
      </c>
      <c r="L214" s="270">
        <f t="shared" si="19"/>
        <v>467.45402350000001</v>
      </c>
      <c r="M214" s="270">
        <f t="shared" si="27"/>
        <v>7030.5085134400006</v>
      </c>
      <c r="N214" s="269"/>
      <c r="O214" s="250">
        <v>0.93490804699999996</v>
      </c>
      <c r="P214" s="577"/>
      <c r="Q214" s="641"/>
      <c r="R214" s="583"/>
      <c r="S214" s="577"/>
      <c r="T214" s="577"/>
      <c r="U214" s="642"/>
      <c r="W214" s="586"/>
      <c r="X214" s="583"/>
      <c r="Y214" s="577"/>
      <c r="Z214" s="577"/>
      <c r="AA214" s="642"/>
    </row>
    <row r="215" spans="1:27" ht="18.95" customHeight="1">
      <c r="A215" s="632"/>
      <c r="B215" s="638"/>
      <c r="C215" s="374" t="s">
        <v>2093</v>
      </c>
      <c r="D215" s="235" t="s">
        <v>2051</v>
      </c>
      <c r="E215" s="267">
        <v>1</v>
      </c>
      <c r="F215" s="356" t="s">
        <v>402</v>
      </c>
      <c r="G215" s="267">
        <v>7020</v>
      </c>
      <c r="H215" s="267">
        <f t="shared" si="26"/>
        <v>6563.0544899400002</v>
      </c>
      <c r="I215" s="284">
        <f t="shared" si="22"/>
        <v>6563.0544899400002</v>
      </c>
      <c r="J215" s="270">
        <v>500</v>
      </c>
      <c r="K215" s="270">
        <f t="shared" si="18"/>
        <v>467.45402350000001</v>
      </c>
      <c r="L215" s="270">
        <f t="shared" si="19"/>
        <v>467.45402350000001</v>
      </c>
      <c r="M215" s="270">
        <f t="shared" si="27"/>
        <v>7030.5085134400006</v>
      </c>
      <c r="N215" s="269"/>
      <c r="O215" s="250">
        <v>0.93490804699999996</v>
      </c>
      <c r="P215" s="577"/>
      <c r="Q215" s="641"/>
      <c r="R215" s="583"/>
      <c r="S215" s="577"/>
      <c r="T215" s="577"/>
      <c r="U215" s="642"/>
      <c r="W215" s="586"/>
      <c r="X215" s="583"/>
      <c r="Y215" s="577"/>
      <c r="Z215" s="577"/>
      <c r="AA215" s="642"/>
    </row>
    <row r="216" spans="1:27" ht="18.95" customHeight="1">
      <c r="A216" s="632"/>
      <c r="B216" s="638" t="s">
        <v>2094</v>
      </c>
      <c r="C216" s="633"/>
      <c r="D216" s="167"/>
      <c r="E216" s="267"/>
      <c r="F216" s="356"/>
      <c r="G216" s="267"/>
      <c r="H216" s="267"/>
      <c r="I216" s="284"/>
      <c r="J216" s="270"/>
      <c r="K216" s="270"/>
      <c r="L216" s="270"/>
      <c r="M216" s="270"/>
      <c r="N216" s="268"/>
      <c r="O216" s="250">
        <v>0.93490804699999996</v>
      </c>
      <c r="P216" s="577"/>
      <c r="Q216" s="641"/>
      <c r="R216" s="583"/>
      <c r="S216" s="577"/>
      <c r="T216" s="577"/>
      <c r="U216" s="642"/>
      <c r="W216" s="586"/>
      <c r="X216" s="583"/>
      <c r="Y216" s="577"/>
      <c r="Z216" s="577"/>
      <c r="AA216" s="642"/>
    </row>
    <row r="217" spans="1:27" ht="18.95" customHeight="1">
      <c r="A217" s="632"/>
      <c r="B217" s="638"/>
      <c r="C217" s="633" t="s">
        <v>2095</v>
      </c>
      <c r="D217" s="167" t="s">
        <v>2051</v>
      </c>
      <c r="E217" s="267">
        <v>1</v>
      </c>
      <c r="F217" s="356" t="s">
        <v>402</v>
      </c>
      <c r="G217" s="267">
        <v>7020</v>
      </c>
      <c r="H217" s="267">
        <f t="shared" si="26"/>
        <v>6563.0544899400002</v>
      </c>
      <c r="I217" s="284">
        <f t="shared" si="22"/>
        <v>6563.0544899400002</v>
      </c>
      <c r="J217" s="270">
        <v>500</v>
      </c>
      <c r="K217" s="270">
        <f t="shared" si="18"/>
        <v>467.45402350000001</v>
      </c>
      <c r="L217" s="270">
        <f t="shared" si="19"/>
        <v>467.45402350000001</v>
      </c>
      <c r="M217" s="270">
        <f>I217+L217</f>
        <v>7030.5085134400006</v>
      </c>
      <c r="N217" s="269"/>
      <c r="O217" s="250">
        <v>0.93490804699999996</v>
      </c>
      <c r="P217" s="577"/>
      <c r="Q217" s="641"/>
      <c r="R217" s="583"/>
      <c r="S217" s="577"/>
      <c r="T217" s="577"/>
      <c r="U217" s="642"/>
      <c r="W217" s="586"/>
      <c r="X217" s="583"/>
      <c r="Y217" s="577"/>
      <c r="Z217" s="577"/>
      <c r="AA217" s="642"/>
    </row>
    <row r="218" spans="1:27" ht="18.95" customHeight="1">
      <c r="A218" s="632"/>
      <c r="B218" s="638"/>
      <c r="C218" s="633" t="s">
        <v>2096</v>
      </c>
      <c r="D218" s="167" t="s">
        <v>2051</v>
      </c>
      <c r="E218" s="267">
        <v>1</v>
      </c>
      <c r="F218" s="356" t="s">
        <v>402</v>
      </c>
      <c r="G218" s="267">
        <v>4654</v>
      </c>
      <c r="H218" s="267">
        <f t="shared" si="26"/>
        <v>4351.0620507379999</v>
      </c>
      <c r="I218" s="284">
        <f t="shared" si="22"/>
        <v>4351.0620507379999</v>
      </c>
      <c r="J218" s="270">
        <v>500</v>
      </c>
      <c r="K218" s="270">
        <f t="shared" si="18"/>
        <v>467.45402350000001</v>
      </c>
      <c r="L218" s="270">
        <f t="shared" si="19"/>
        <v>467.45402350000001</v>
      </c>
      <c r="M218" s="270">
        <f>I218+L218</f>
        <v>4818.5160742380003</v>
      </c>
      <c r="N218" s="269"/>
      <c r="O218" s="250">
        <v>0.93490804699999996</v>
      </c>
      <c r="P218" s="577"/>
      <c r="Q218" s="641"/>
      <c r="R218" s="583"/>
      <c r="S218" s="577"/>
      <c r="T218" s="577"/>
      <c r="U218" s="642"/>
      <c r="W218" s="586"/>
      <c r="X218" s="583"/>
      <c r="Y218" s="577"/>
      <c r="Z218" s="577"/>
      <c r="AA218" s="642"/>
    </row>
    <row r="219" spans="1:27" ht="18.95" customHeight="1">
      <c r="A219" s="635"/>
      <c r="B219" s="235"/>
      <c r="C219" s="633" t="s">
        <v>2097</v>
      </c>
      <c r="D219" s="167" t="s">
        <v>2051</v>
      </c>
      <c r="E219" s="267">
        <v>1</v>
      </c>
      <c r="F219" s="356" t="s">
        <v>402</v>
      </c>
      <c r="G219" s="267">
        <v>8509</v>
      </c>
      <c r="H219" s="267">
        <f t="shared" si="26"/>
        <v>7955.1325719229999</v>
      </c>
      <c r="I219" s="284">
        <f t="shared" si="22"/>
        <v>7955.1325719229999</v>
      </c>
      <c r="J219" s="270">
        <v>500</v>
      </c>
      <c r="K219" s="270">
        <f t="shared" si="18"/>
        <v>467.45402350000001</v>
      </c>
      <c r="L219" s="270">
        <f t="shared" si="19"/>
        <v>467.45402350000001</v>
      </c>
      <c r="M219" s="270">
        <f>I219+L219</f>
        <v>8422.5865954229994</v>
      </c>
      <c r="N219" s="269"/>
      <c r="O219" s="250">
        <v>0.93490804699999996</v>
      </c>
      <c r="P219" s="577"/>
      <c r="Q219" s="641"/>
      <c r="R219" s="583"/>
      <c r="S219" s="577"/>
      <c r="T219" s="577"/>
      <c r="U219" s="642"/>
      <c r="W219" s="586"/>
      <c r="X219" s="583"/>
      <c r="Y219" s="577"/>
      <c r="Z219" s="577"/>
      <c r="AA219" s="642"/>
    </row>
    <row r="220" spans="1:27" ht="18.95" customHeight="1">
      <c r="A220" s="635"/>
      <c r="B220" s="329">
        <v>2.2000000000000002</v>
      </c>
      <c r="C220" s="244" t="s">
        <v>1774</v>
      </c>
      <c r="D220" s="633"/>
      <c r="E220" s="1414" t="s">
        <v>2042</v>
      </c>
      <c r="F220" s="1415"/>
      <c r="G220" s="270"/>
      <c r="H220" s="270"/>
      <c r="I220" s="270"/>
      <c r="J220" s="267"/>
      <c r="K220" s="267"/>
      <c r="L220" s="270"/>
      <c r="M220" s="270"/>
      <c r="N220" s="268"/>
      <c r="O220" s="250">
        <v>0.93490804699999996</v>
      </c>
      <c r="P220" s="577"/>
      <c r="Q220" s="641"/>
      <c r="R220" s="583"/>
      <c r="S220" s="583"/>
      <c r="T220" s="583"/>
      <c r="U220" s="583"/>
      <c r="W220" s="641"/>
      <c r="X220" s="583"/>
      <c r="Y220" s="583"/>
      <c r="Z220" s="583"/>
      <c r="AA220" s="583"/>
    </row>
    <row r="221" spans="1:27" ht="18.95" customHeight="1">
      <c r="A221" s="635"/>
      <c r="B221" s="329">
        <v>2.2999999999999998</v>
      </c>
      <c r="C221" s="244" t="s">
        <v>1775</v>
      </c>
      <c r="D221" s="633"/>
      <c r="E221" s="1414" t="s">
        <v>2043</v>
      </c>
      <c r="F221" s="1415"/>
      <c r="G221" s="270"/>
      <c r="H221" s="270"/>
      <c r="I221" s="270"/>
      <c r="J221" s="267"/>
      <c r="K221" s="267"/>
      <c r="L221" s="270"/>
      <c r="M221" s="270"/>
      <c r="N221" s="268"/>
      <c r="O221" s="250">
        <v>0.93490804699999996</v>
      </c>
      <c r="P221" s="577"/>
      <c r="Q221" s="641"/>
      <c r="R221" s="583"/>
      <c r="S221" s="583"/>
      <c r="T221" s="583"/>
      <c r="U221" s="583"/>
      <c r="W221" s="641"/>
      <c r="X221" s="583"/>
      <c r="Y221" s="583"/>
      <c r="Z221" s="583"/>
      <c r="AA221" s="583"/>
    </row>
    <row r="222" spans="1:27" ht="18.95" customHeight="1">
      <c r="A222" s="635"/>
      <c r="B222" s="329">
        <v>2.4</v>
      </c>
      <c r="C222" s="244" t="s">
        <v>1776</v>
      </c>
      <c r="D222" s="165"/>
      <c r="E222" s="1414" t="s">
        <v>2044</v>
      </c>
      <c r="F222" s="1415"/>
      <c r="G222" s="270"/>
      <c r="H222" s="270"/>
      <c r="I222" s="270"/>
      <c r="J222" s="267"/>
      <c r="K222" s="267"/>
      <c r="L222" s="270"/>
      <c r="M222" s="270"/>
      <c r="N222" s="268"/>
      <c r="O222" s="250">
        <v>0.93490804699999996</v>
      </c>
      <c r="P222" s="577"/>
      <c r="Q222" s="641"/>
      <c r="R222" s="583"/>
      <c r="S222" s="583"/>
      <c r="T222" s="583"/>
      <c r="U222" s="583"/>
      <c r="W222" s="641"/>
      <c r="X222" s="583"/>
      <c r="Y222" s="583"/>
      <c r="Z222" s="583"/>
      <c r="AA222" s="583"/>
    </row>
    <row r="223" spans="1:27" ht="18.95" customHeight="1">
      <c r="A223" s="635"/>
      <c r="B223" s="1346" t="s">
        <v>1211</v>
      </c>
      <c r="C223" s="1346"/>
      <c r="D223" s="1356"/>
      <c r="E223" s="271"/>
      <c r="F223" s="281"/>
      <c r="G223" s="271"/>
      <c r="H223" s="271"/>
      <c r="I223" s="271">
        <f>SUM(I168:I222)</f>
        <v>365140.49156046082</v>
      </c>
      <c r="J223" s="271"/>
      <c r="K223" s="271"/>
      <c r="L223" s="271">
        <f>SUM(L168:L222)</f>
        <v>21970.339104499995</v>
      </c>
      <c r="M223" s="271">
        <f>I223+L223</f>
        <v>387110.83066496084</v>
      </c>
      <c r="N223" s="281"/>
      <c r="O223" s="250">
        <v>0.93490804699999996</v>
      </c>
      <c r="P223" s="583"/>
      <c r="Q223" s="641"/>
      <c r="R223" s="583"/>
      <c r="S223" s="583"/>
      <c r="T223" s="583"/>
      <c r="U223" s="583"/>
      <c r="W223" s="641"/>
      <c r="X223" s="583"/>
      <c r="Y223" s="583"/>
      <c r="Z223" s="583"/>
      <c r="AA223" s="583"/>
    </row>
    <row r="224" spans="1:27" ht="18.95" customHeight="1">
      <c r="A224" s="635"/>
      <c r="B224" s="451"/>
      <c r="C224" s="451"/>
      <c r="D224" s="452"/>
      <c r="E224" s="271"/>
      <c r="F224" s="281"/>
      <c r="G224" s="271"/>
      <c r="H224" s="271"/>
      <c r="I224" s="271"/>
      <c r="J224" s="271"/>
      <c r="K224" s="271"/>
      <c r="L224" s="271"/>
      <c r="M224" s="271"/>
      <c r="N224" s="281"/>
      <c r="O224" s="250">
        <v>0.93490804699999996</v>
      </c>
      <c r="P224" s="583"/>
      <c r="Q224" s="641"/>
      <c r="R224" s="583"/>
      <c r="S224" s="583"/>
      <c r="T224" s="583"/>
      <c r="U224" s="583"/>
      <c r="W224" s="641"/>
      <c r="X224" s="583"/>
      <c r="Y224" s="583"/>
      <c r="Z224" s="583"/>
      <c r="AA224" s="583"/>
    </row>
    <row r="225" spans="1:27" ht="18.95" customHeight="1">
      <c r="A225" s="639">
        <v>3</v>
      </c>
      <c r="B225" s="645" t="s">
        <v>1875</v>
      </c>
      <c r="C225" s="338"/>
      <c r="D225" s="165"/>
      <c r="E225" s="267"/>
      <c r="F225" s="356"/>
      <c r="G225" s="270"/>
      <c r="H225" s="270"/>
      <c r="I225" s="270"/>
      <c r="J225" s="267"/>
      <c r="K225" s="267"/>
      <c r="L225" s="270"/>
      <c r="M225" s="268"/>
      <c r="N225" s="268"/>
      <c r="O225" s="250">
        <v>0.93490804699999996</v>
      </c>
      <c r="P225" s="583"/>
      <c r="Q225" s="641"/>
      <c r="R225" s="583"/>
      <c r="S225" s="583"/>
      <c r="T225" s="583"/>
      <c r="U225" s="583"/>
      <c r="W225" s="641"/>
      <c r="X225" s="583"/>
      <c r="Y225" s="583"/>
      <c r="Z225" s="583"/>
      <c r="AA225" s="583"/>
    </row>
    <row r="226" spans="1:27" ht="18.95" customHeight="1">
      <c r="A226" s="635"/>
      <c r="B226" s="329">
        <v>3.1</v>
      </c>
      <c r="C226" s="623" t="s">
        <v>1875</v>
      </c>
      <c r="D226" s="165"/>
      <c r="E226" s="267"/>
      <c r="F226" s="356"/>
      <c r="G226" s="270"/>
      <c r="H226" s="270"/>
      <c r="I226" s="270"/>
      <c r="J226" s="267"/>
      <c r="K226" s="267"/>
      <c r="L226" s="270"/>
      <c r="M226" s="268"/>
      <c r="N226" s="268"/>
      <c r="O226" s="250">
        <v>0.93490804699999996</v>
      </c>
      <c r="P226" s="583"/>
      <c r="Q226" s="641"/>
      <c r="R226" s="583"/>
      <c r="S226" s="583"/>
      <c r="T226" s="583"/>
      <c r="U226" s="583"/>
      <c r="W226" s="641"/>
      <c r="X226" s="583"/>
      <c r="Y226" s="583"/>
      <c r="Z226" s="583"/>
      <c r="AA226" s="583"/>
    </row>
    <row r="227" spans="1:27" ht="18.95" customHeight="1">
      <c r="A227" s="635"/>
      <c r="B227" s="235"/>
      <c r="C227" s="623" t="s">
        <v>2098</v>
      </c>
      <c r="D227" s="165"/>
      <c r="E227" s="267"/>
      <c r="F227" s="267"/>
      <c r="G227" s="267"/>
      <c r="H227" s="267"/>
      <c r="I227" s="267"/>
      <c r="J227" s="267"/>
      <c r="K227" s="267"/>
      <c r="L227" s="267"/>
      <c r="M227" s="267"/>
      <c r="N227" s="269"/>
      <c r="O227" s="250">
        <v>0.93490804699999996</v>
      </c>
      <c r="P227" s="583"/>
      <c r="Q227" s="641"/>
      <c r="R227" s="583"/>
      <c r="S227" s="583"/>
      <c r="T227" s="583"/>
      <c r="U227" s="583"/>
      <c r="W227" s="641"/>
      <c r="X227" s="583"/>
      <c r="Y227" s="583"/>
      <c r="Z227" s="583"/>
      <c r="AA227" s="583"/>
    </row>
    <row r="228" spans="1:27" ht="18.95" customHeight="1">
      <c r="A228" s="635"/>
      <c r="B228" s="235"/>
      <c r="C228" s="623" t="s">
        <v>2099</v>
      </c>
      <c r="D228" s="165"/>
      <c r="E228" s="267">
        <v>200</v>
      </c>
      <c r="F228" s="269" t="s">
        <v>2100</v>
      </c>
      <c r="G228" s="267">
        <v>85</v>
      </c>
      <c r="H228" s="267">
        <f>G228*O228</f>
        <v>79.467183994999999</v>
      </c>
      <c r="I228" s="284">
        <f t="shared" ref="I228:I259" si="28">E228*H228</f>
        <v>15893.436798999999</v>
      </c>
      <c r="J228" s="267">
        <v>30</v>
      </c>
      <c r="K228" s="270">
        <f t="shared" ref="K228:K259" si="29">J228*O228</f>
        <v>28.047241409999998</v>
      </c>
      <c r="L228" s="270">
        <f t="shared" ref="L228:L239" si="30">E228*K228</f>
        <v>5609.4482819999994</v>
      </c>
      <c r="M228" s="267">
        <f t="shared" ref="M228:M236" si="31">+I228+L228</f>
        <v>21502.885081</v>
      </c>
      <c r="N228" s="269"/>
      <c r="O228" s="250">
        <v>0.93490804699999996</v>
      </c>
      <c r="P228" s="583"/>
      <c r="Q228" s="641"/>
      <c r="R228" s="583"/>
      <c r="S228" s="583"/>
      <c r="T228" s="583"/>
      <c r="U228" s="583"/>
      <c r="W228" s="641"/>
      <c r="X228" s="583"/>
      <c r="Y228" s="583"/>
      <c r="Z228" s="583"/>
      <c r="AA228" s="583"/>
    </row>
    <row r="229" spans="1:27" ht="18.95" customHeight="1">
      <c r="A229" s="632"/>
      <c r="B229" s="638"/>
      <c r="C229" s="623" t="s">
        <v>2101</v>
      </c>
      <c r="D229" s="165"/>
      <c r="E229" s="267">
        <v>200</v>
      </c>
      <c r="F229" s="269" t="s">
        <v>2100</v>
      </c>
      <c r="G229" s="267">
        <v>90</v>
      </c>
      <c r="H229" s="267">
        <f t="shared" ref="H229:H259" si="32">G229*O229</f>
        <v>84.141724229999994</v>
      </c>
      <c r="I229" s="284">
        <f t="shared" si="28"/>
        <v>16828.344846</v>
      </c>
      <c r="J229" s="267">
        <v>65</v>
      </c>
      <c r="K229" s="270">
        <f t="shared" si="29"/>
        <v>60.769023054999998</v>
      </c>
      <c r="L229" s="270">
        <f t="shared" si="30"/>
        <v>12153.804611</v>
      </c>
      <c r="M229" s="267">
        <f t="shared" si="31"/>
        <v>28982.149457</v>
      </c>
      <c r="N229" s="269"/>
      <c r="O229" s="250">
        <v>0.93490804699999996</v>
      </c>
      <c r="P229" s="583"/>
      <c r="Q229" s="641"/>
      <c r="R229" s="583"/>
      <c r="S229" s="583"/>
      <c r="T229" s="583"/>
      <c r="U229" s="583"/>
      <c r="W229" s="641"/>
      <c r="X229" s="583"/>
      <c r="Y229" s="583"/>
      <c r="Z229" s="583"/>
      <c r="AA229" s="583"/>
    </row>
    <row r="230" spans="1:27" ht="18.95" customHeight="1">
      <c r="A230" s="632"/>
      <c r="B230" s="638"/>
      <c r="C230" s="623" t="s">
        <v>2102</v>
      </c>
      <c r="D230" s="165"/>
      <c r="E230" s="267">
        <v>500</v>
      </c>
      <c r="F230" s="269" t="s">
        <v>2100</v>
      </c>
      <c r="G230" s="267">
        <v>108.62</v>
      </c>
      <c r="H230" s="267">
        <f t="shared" si="32"/>
        <v>101.54971206514</v>
      </c>
      <c r="I230" s="284">
        <f t="shared" si="28"/>
        <v>50774.856032570002</v>
      </c>
      <c r="J230" s="267">
        <v>30</v>
      </c>
      <c r="K230" s="270">
        <f t="shared" si="29"/>
        <v>28.047241409999998</v>
      </c>
      <c r="L230" s="270">
        <f t="shared" si="30"/>
        <v>14023.620704999999</v>
      </c>
      <c r="M230" s="267">
        <f t="shared" si="31"/>
        <v>64798.476737570003</v>
      </c>
      <c r="N230" s="269"/>
      <c r="O230" s="250">
        <v>0.93490804699999996</v>
      </c>
      <c r="P230" s="583"/>
      <c r="Q230" s="641"/>
      <c r="R230" s="583"/>
      <c r="S230" s="583"/>
      <c r="T230" s="583"/>
      <c r="U230" s="583"/>
      <c r="W230" s="641"/>
      <c r="X230" s="583"/>
      <c r="Y230" s="583"/>
      <c r="Z230" s="583"/>
      <c r="AA230" s="583"/>
    </row>
    <row r="231" spans="1:27" ht="18.95" customHeight="1">
      <c r="A231" s="632"/>
      <c r="B231" s="638"/>
      <c r="C231" s="623" t="s">
        <v>2103</v>
      </c>
      <c r="D231" s="165"/>
      <c r="E231" s="267">
        <v>400</v>
      </c>
      <c r="F231" s="269" t="s">
        <v>2100</v>
      </c>
      <c r="G231" s="267">
        <v>240</v>
      </c>
      <c r="H231" s="267">
        <f t="shared" si="32"/>
        <v>224.37793127999998</v>
      </c>
      <c r="I231" s="284">
        <f t="shared" si="28"/>
        <v>89751.17251199999</v>
      </c>
      <c r="J231" s="267">
        <v>65</v>
      </c>
      <c r="K231" s="270">
        <f t="shared" si="29"/>
        <v>60.769023054999998</v>
      </c>
      <c r="L231" s="270">
        <f t="shared" si="30"/>
        <v>24307.609221999999</v>
      </c>
      <c r="M231" s="267">
        <f t="shared" si="31"/>
        <v>114058.78173399999</v>
      </c>
      <c r="N231" s="269"/>
      <c r="O231" s="250">
        <v>0.93490804699999996</v>
      </c>
      <c r="P231" s="583"/>
      <c r="Q231" s="641"/>
      <c r="R231" s="583"/>
      <c r="S231" s="583"/>
      <c r="T231" s="583"/>
      <c r="U231" s="583"/>
      <c r="W231" s="641"/>
      <c r="X231" s="583"/>
      <c r="Y231" s="583"/>
      <c r="Z231" s="583"/>
      <c r="AA231" s="583"/>
    </row>
    <row r="232" spans="1:27" ht="18.95" customHeight="1">
      <c r="A232" s="632"/>
      <c r="B232" s="638"/>
      <c r="C232" s="623" t="s">
        <v>2104</v>
      </c>
      <c r="D232" s="165"/>
      <c r="E232" s="267">
        <v>300</v>
      </c>
      <c r="F232" s="269" t="s">
        <v>2100</v>
      </c>
      <c r="G232" s="267">
        <v>295</v>
      </c>
      <c r="H232" s="267">
        <f t="shared" si="32"/>
        <v>275.79787386499999</v>
      </c>
      <c r="I232" s="284">
        <f t="shared" si="28"/>
        <v>82739.3621595</v>
      </c>
      <c r="J232" s="267">
        <v>80</v>
      </c>
      <c r="K232" s="270">
        <f t="shared" si="29"/>
        <v>74.792643760000004</v>
      </c>
      <c r="L232" s="270">
        <f t="shared" si="30"/>
        <v>22437.793128000001</v>
      </c>
      <c r="M232" s="267">
        <f t="shared" si="31"/>
        <v>105177.15528750001</v>
      </c>
      <c r="N232" s="269"/>
      <c r="O232" s="250">
        <v>0.93490804699999996</v>
      </c>
      <c r="P232" s="577"/>
      <c r="Q232" s="641"/>
      <c r="R232" s="583"/>
      <c r="S232" s="583"/>
      <c r="T232" s="577"/>
      <c r="U232" s="583"/>
      <c r="W232" s="641"/>
      <c r="X232" s="583"/>
      <c r="Y232" s="583"/>
      <c r="Z232" s="583"/>
      <c r="AA232" s="583"/>
    </row>
    <row r="233" spans="1:27" ht="18.95" customHeight="1">
      <c r="A233" s="632"/>
      <c r="B233" s="638"/>
      <c r="C233" s="623" t="s">
        <v>2105</v>
      </c>
      <c r="D233" s="165"/>
      <c r="E233" s="267">
        <v>400</v>
      </c>
      <c r="F233" s="269" t="s">
        <v>2100</v>
      </c>
      <c r="G233" s="267">
        <v>386</v>
      </c>
      <c r="H233" s="267">
        <f t="shared" si="32"/>
        <v>360.87450614199997</v>
      </c>
      <c r="I233" s="284">
        <f t="shared" si="28"/>
        <v>144349.80245679998</v>
      </c>
      <c r="J233" s="267">
        <v>110</v>
      </c>
      <c r="K233" s="270">
        <f t="shared" si="29"/>
        <v>102.83988517</v>
      </c>
      <c r="L233" s="270">
        <f t="shared" si="30"/>
        <v>41135.954067999999</v>
      </c>
      <c r="M233" s="267">
        <f t="shared" si="31"/>
        <v>185485.75652479997</v>
      </c>
      <c r="N233" s="269"/>
      <c r="O233" s="250">
        <v>0.93490804699999996</v>
      </c>
      <c r="P233" s="577"/>
      <c r="Q233" s="641"/>
      <c r="R233" s="583"/>
      <c r="S233" s="583"/>
      <c r="T233" s="577"/>
      <c r="U233" s="583"/>
      <c r="W233" s="641"/>
      <c r="X233" s="583"/>
      <c r="Y233" s="583"/>
      <c r="Z233" s="583"/>
      <c r="AA233" s="583"/>
    </row>
    <row r="234" spans="1:27" ht="18.95" customHeight="1">
      <c r="A234" s="632"/>
      <c r="B234" s="638"/>
      <c r="C234" s="623" t="s">
        <v>2106</v>
      </c>
      <c r="D234" s="165"/>
      <c r="E234" s="267">
        <v>150</v>
      </c>
      <c r="F234" s="269" t="s">
        <v>2100</v>
      </c>
      <c r="G234" s="267">
        <v>534</v>
      </c>
      <c r="H234" s="267">
        <f t="shared" si="32"/>
        <v>499.240897098</v>
      </c>
      <c r="I234" s="284">
        <f t="shared" si="28"/>
        <v>74886.134564699998</v>
      </c>
      <c r="J234" s="267">
        <v>150</v>
      </c>
      <c r="K234" s="270">
        <f t="shared" si="29"/>
        <v>140.23620704999999</v>
      </c>
      <c r="L234" s="270">
        <f t="shared" si="30"/>
        <v>21035.431057499998</v>
      </c>
      <c r="M234" s="267">
        <f t="shared" si="31"/>
        <v>95921.565622199996</v>
      </c>
      <c r="N234" s="269"/>
      <c r="O234" s="250">
        <v>0.93490804699999996</v>
      </c>
      <c r="P234" s="577"/>
      <c r="Q234" s="641"/>
      <c r="R234" s="583"/>
      <c r="S234" s="583"/>
      <c r="T234" s="577"/>
      <c r="U234" s="583"/>
      <c r="W234" s="641"/>
      <c r="X234" s="583"/>
      <c r="Y234" s="583"/>
      <c r="Z234" s="583"/>
      <c r="AA234" s="583"/>
    </row>
    <row r="235" spans="1:27" ht="18.95" customHeight="1">
      <c r="A235" s="632"/>
      <c r="B235" s="638"/>
      <c r="C235" s="623" t="s">
        <v>2107</v>
      </c>
      <c r="D235" s="165"/>
      <c r="E235" s="267">
        <v>150</v>
      </c>
      <c r="F235" s="269" t="s">
        <v>2100</v>
      </c>
      <c r="G235" s="267">
        <v>753</v>
      </c>
      <c r="H235" s="267">
        <f t="shared" si="32"/>
        <v>703.98575939099999</v>
      </c>
      <c r="I235" s="284">
        <f t="shared" si="28"/>
        <v>105597.86390865</v>
      </c>
      <c r="J235" s="267">
        <v>200</v>
      </c>
      <c r="K235" s="270">
        <f t="shared" si="29"/>
        <v>186.9816094</v>
      </c>
      <c r="L235" s="270">
        <f t="shared" si="30"/>
        <v>28047.241409999999</v>
      </c>
      <c r="M235" s="267">
        <f t="shared" si="31"/>
        <v>133645.10531864999</v>
      </c>
      <c r="N235" s="269"/>
      <c r="O235" s="250">
        <v>0.93490804699999996</v>
      </c>
      <c r="P235" s="577"/>
      <c r="Q235" s="641"/>
      <c r="R235" s="583"/>
      <c r="S235" s="583"/>
      <c r="T235" s="577"/>
      <c r="U235" s="583"/>
      <c r="W235" s="641"/>
      <c r="X235" s="583"/>
      <c r="Y235" s="583"/>
      <c r="Z235" s="583"/>
      <c r="AA235" s="583"/>
    </row>
    <row r="236" spans="1:27" ht="18.95" customHeight="1">
      <c r="A236" s="632"/>
      <c r="B236" s="638"/>
      <c r="C236" s="623" t="s">
        <v>2108</v>
      </c>
      <c r="D236" s="165"/>
      <c r="E236" s="267">
        <v>400</v>
      </c>
      <c r="F236" s="269" t="s">
        <v>2100</v>
      </c>
      <c r="G236" s="267">
        <v>962</v>
      </c>
      <c r="H236" s="267">
        <f t="shared" si="32"/>
        <v>899.38154121399998</v>
      </c>
      <c r="I236" s="284">
        <f t="shared" si="28"/>
        <v>359752.61648560001</v>
      </c>
      <c r="J236" s="267">
        <v>200</v>
      </c>
      <c r="K236" s="270">
        <f t="shared" si="29"/>
        <v>186.9816094</v>
      </c>
      <c r="L236" s="270">
        <f t="shared" si="30"/>
        <v>74792.643759999992</v>
      </c>
      <c r="M236" s="267">
        <f t="shared" si="31"/>
        <v>434545.26024560002</v>
      </c>
      <c r="N236" s="269"/>
      <c r="O236" s="250">
        <v>0.93490804699999996</v>
      </c>
      <c r="P236" s="577"/>
      <c r="Q236" s="641"/>
      <c r="R236" s="583"/>
      <c r="S236" s="583"/>
      <c r="T236" s="577"/>
      <c r="U236" s="583"/>
      <c r="W236" s="641"/>
      <c r="X236" s="583"/>
      <c r="Y236" s="583"/>
      <c r="Z236" s="583"/>
      <c r="AA236" s="583"/>
    </row>
    <row r="237" spans="1:27" ht="18.95" customHeight="1">
      <c r="A237" s="632"/>
      <c r="B237" s="122">
        <v>3.2</v>
      </c>
      <c r="C237" s="623" t="s">
        <v>2109</v>
      </c>
      <c r="D237" s="165"/>
      <c r="E237" s="267"/>
      <c r="F237" s="356"/>
      <c r="G237" s="270"/>
      <c r="H237" s="267"/>
      <c r="I237" s="284"/>
      <c r="J237" s="267"/>
      <c r="K237" s="270"/>
      <c r="L237" s="270"/>
      <c r="M237" s="268"/>
      <c r="N237" s="268"/>
      <c r="O237" s="250">
        <v>0.93490804699999996</v>
      </c>
      <c r="P237" s="583"/>
      <c r="Q237" s="641"/>
      <c r="R237" s="583"/>
      <c r="S237" s="583"/>
      <c r="T237" s="583"/>
      <c r="U237" s="583"/>
      <c r="W237" s="641"/>
      <c r="X237" s="583"/>
      <c r="Y237" s="583"/>
      <c r="Z237" s="583"/>
      <c r="AA237" s="583"/>
    </row>
    <row r="238" spans="1:27" ht="18.95" customHeight="1">
      <c r="A238" s="632"/>
      <c r="B238" s="638"/>
      <c r="C238" s="646" t="s">
        <v>2104</v>
      </c>
      <c r="D238" s="165"/>
      <c r="E238" s="267">
        <v>300</v>
      </c>
      <c r="F238" s="269" t="s">
        <v>2100</v>
      </c>
      <c r="G238" s="267">
        <v>11.11</v>
      </c>
      <c r="H238" s="267">
        <f t="shared" si="32"/>
        <v>10.38682840217</v>
      </c>
      <c r="I238" s="284">
        <f t="shared" si="28"/>
        <v>3116.0485206509998</v>
      </c>
      <c r="J238" s="267">
        <v>25</v>
      </c>
      <c r="K238" s="270">
        <f t="shared" si="29"/>
        <v>23.372701175</v>
      </c>
      <c r="L238" s="270">
        <f t="shared" si="30"/>
        <v>7011.8103524999997</v>
      </c>
      <c r="M238" s="267">
        <f>I238+L238</f>
        <v>10127.858873150999</v>
      </c>
      <c r="N238" s="269"/>
      <c r="O238" s="250">
        <v>0.93490804699999996</v>
      </c>
      <c r="P238" s="583" t="s">
        <v>1764</v>
      </c>
      <c r="Q238" s="967">
        <v>11.11</v>
      </c>
      <c r="R238" s="583"/>
      <c r="S238" s="583"/>
      <c r="T238" s="583"/>
      <c r="U238" s="583"/>
      <c r="W238" s="641"/>
      <c r="X238" s="583"/>
      <c r="Y238" s="583"/>
      <c r="Z238" s="583"/>
      <c r="AA238" s="583"/>
    </row>
    <row r="239" spans="1:27" ht="18.95" customHeight="1">
      <c r="A239" s="632"/>
      <c r="B239" s="638"/>
      <c r="C239" s="623" t="s">
        <v>2110</v>
      </c>
      <c r="D239" s="165"/>
      <c r="E239" s="267">
        <v>250</v>
      </c>
      <c r="F239" s="269" t="s">
        <v>2100</v>
      </c>
      <c r="G239" s="267">
        <v>14.72</v>
      </c>
      <c r="H239" s="267">
        <f t="shared" si="32"/>
        <v>13.76184645184</v>
      </c>
      <c r="I239" s="284">
        <f t="shared" si="28"/>
        <v>3440.4616129599999</v>
      </c>
      <c r="J239" s="267">
        <v>25</v>
      </c>
      <c r="K239" s="270">
        <f t="shared" si="29"/>
        <v>23.372701175</v>
      </c>
      <c r="L239" s="270">
        <f t="shared" si="30"/>
        <v>5843.1752937499996</v>
      </c>
      <c r="M239" s="267">
        <f>I239+L239</f>
        <v>9283.6369067099986</v>
      </c>
      <c r="N239" s="269"/>
      <c r="O239" s="250">
        <v>0.93490804699999996</v>
      </c>
      <c r="P239" s="583" t="s">
        <v>1764</v>
      </c>
      <c r="Q239" s="967">
        <v>14.72</v>
      </c>
      <c r="R239" s="583"/>
      <c r="S239" s="583"/>
      <c r="T239" s="583"/>
      <c r="U239" s="583"/>
      <c r="W239" s="641"/>
      <c r="X239" s="583"/>
      <c r="Y239" s="583"/>
      <c r="Z239" s="583"/>
      <c r="AA239" s="583"/>
    </row>
    <row r="240" spans="1:27" ht="18.95" customHeight="1">
      <c r="A240" s="632"/>
      <c r="B240" s="122">
        <v>3.3</v>
      </c>
      <c r="C240" s="623" t="s">
        <v>2111</v>
      </c>
      <c r="D240" s="230"/>
      <c r="E240" s="267"/>
      <c r="F240" s="269"/>
      <c r="G240" s="267"/>
      <c r="H240" s="267"/>
      <c r="I240" s="284"/>
      <c r="J240" s="267"/>
      <c r="K240" s="270"/>
      <c r="L240" s="267"/>
      <c r="M240" s="267"/>
      <c r="N240" s="269"/>
      <c r="O240" s="250">
        <v>0.93490804699999996</v>
      </c>
      <c r="P240" s="583"/>
      <c r="Q240" s="641"/>
      <c r="R240" s="583"/>
      <c r="S240" s="583"/>
      <c r="T240" s="583"/>
      <c r="U240" s="583"/>
      <c r="W240" s="641"/>
      <c r="X240" s="583"/>
      <c r="Y240" s="583"/>
      <c r="Z240" s="583"/>
      <c r="AA240" s="583"/>
    </row>
    <row r="241" spans="1:27" ht="18.95" customHeight="1">
      <c r="A241" s="632"/>
      <c r="B241" s="638"/>
      <c r="C241" s="623" t="s">
        <v>2112</v>
      </c>
      <c r="D241" s="230"/>
      <c r="E241" s="267"/>
      <c r="F241" s="269"/>
      <c r="G241" s="267"/>
      <c r="H241" s="267"/>
      <c r="I241" s="284"/>
      <c r="J241" s="267"/>
      <c r="K241" s="270"/>
      <c r="L241" s="267"/>
      <c r="M241" s="267"/>
      <c r="N241" s="269"/>
      <c r="O241" s="250">
        <v>0.93490804699999996</v>
      </c>
      <c r="P241" s="583"/>
      <c r="Q241" s="641"/>
      <c r="R241" s="583"/>
      <c r="S241" s="583"/>
      <c r="T241" s="583"/>
      <c r="U241" s="583"/>
      <c r="W241" s="641"/>
      <c r="X241" s="583"/>
      <c r="Y241" s="583"/>
      <c r="Z241" s="583"/>
      <c r="AA241" s="583"/>
    </row>
    <row r="242" spans="1:27" ht="18.95" customHeight="1">
      <c r="A242" s="632"/>
      <c r="B242" s="638"/>
      <c r="C242" s="623" t="s">
        <v>2099</v>
      </c>
      <c r="D242" s="165"/>
      <c r="E242" s="267">
        <v>200</v>
      </c>
      <c r="F242" s="269" t="s">
        <v>2100</v>
      </c>
      <c r="G242" s="267">
        <v>46</v>
      </c>
      <c r="H242" s="267">
        <f t="shared" si="32"/>
        <v>43.005770161999997</v>
      </c>
      <c r="I242" s="284">
        <f t="shared" si="28"/>
        <v>8601.1540323999998</v>
      </c>
      <c r="J242" s="267">
        <v>18</v>
      </c>
      <c r="K242" s="270">
        <f t="shared" si="29"/>
        <v>16.828344846</v>
      </c>
      <c r="L242" s="270">
        <f t="shared" ref="L242:L259" si="33">E242*K242</f>
        <v>3365.6689692</v>
      </c>
      <c r="M242" s="267">
        <f t="shared" ref="M242:M250" si="34">+I242+L242</f>
        <v>11966.8230016</v>
      </c>
      <c r="N242" s="269"/>
      <c r="O242" s="250">
        <v>0.93490804699999996</v>
      </c>
      <c r="P242" s="577"/>
      <c r="Q242" s="641"/>
      <c r="R242" s="583"/>
      <c r="S242" s="583"/>
      <c r="T242" s="577"/>
      <c r="U242" s="583"/>
      <c r="W242" s="641"/>
      <c r="X242" s="583"/>
      <c r="Y242" s="583"/>
      <c r="Z242" s="583"/>
      <c r="AA242" s="583"/>
    </row>
    <row r="243" spans="1:27" ht="18.95" customHeight="1">
      <c r="A243" s="632"/>
      <c r="B243" s="638"/>
      <c r="C243" s="623" t="s">
        <v>2101</v>
      </c>
      <c r="D243" s="165"/>
      <c r="E243" s="267">
        <v>200</v>
      </c>
      <c r="F243" s="269" t="s">
        <v>2100</v>
      </c>
      <c r="G243" s="267">
        <v>54</v>
      </c>
      <c r="H243" s="267">
        <f t="shared" si="32"/>
        <v>50.485034538000001</v>
      </c>
      <c r="I243" s="284">
        <f t="shared" si="28"/>
        <v>10097.0069076</v>
      </c>
      <c r="J243" s="267">
        <v>18</v>
      </c>
      <c r="K243" s="270">
        <f t="shared" si="29"/>
        <v>16.828344846</v>
      </c>
      <c r="L243" s="270">
        <f t="shared" si="33"/>
        <v>3365.6689692</v>
      </c>
      <c r="M243" s="267">
        <f t="shared" si="34"/>
        <v>13462.6758768</v>
      </c>
      <c r="N243" s="269"/>
      <c r="O243" s="250">
        <v>0.93490804699999996</v>
      </c>
      <c r="P243" s="577"/>
      <c r="Q243" s="641"/>
      <c r="R243" s="583"/>
      <c r="S243" s="583"/>
      <c r="T243" s="577"/>
      <c r="U243" s="583"/>
      <c r="W243" s="641"/>
      <c r="X243" s="583"/>
      <c r="Y243" s="583"/>
      <c r="Z243" s="583"/>
      <c r="AA243" s="583"/>
    </row>
    <row r="244" spans="1:27" ht="18.95" customHeight="1">
      <c r="A244" s="632"/>
      <c r="B244" s="638"/>
      <c r="C244" s="623" t="s">
        <v>2102</v>
      </c>
      <c r="D244" s="230"/>
      <c r="E244" s="267">
        <v>500</v>
      </c>
      <c r="F244" s="269" t="s">
        <v>2100</v>
      </c>
      <c r="G244" s="267">
        <v>50</v>
      </c>
      <c r="H244" s="267">
        <f t="shared" si="32"/>
        <v>46.745402349999999</v>
      </c>
      <c r="I244" s="284">
        <f t="shared" si="28"/>
        <v>23372.701174999998</v>
      </c>
      <c r="J244" s="267">
        <v>18</v>
      </c>
      <c r="K244" s="270">
        <f t="shared" si="29"/>
        <v>16.828344846</v>
      </c>
      <c r="L244" s="270">
        <f t="shared" si="33"/>
        <v>8414.172423</v>
      </c>
      <c r="M244" s="267">
        <f t="shared" si="34"/>
        <v>31786.873597999998</v>
      </c>
      <c r="N244" s="269"/>
      <c r="O244" s="250">
        <v>0.93490804699999996</v>
      </c>
      <c r="P244" s="577"/>
      <c r="Q244" s="641"/>
      <c r="R244" s="583"/>
      <c r="S244" s="583"/>
      <c r="T244" s="577"/>
      <c r="U244" s="583"/>
      <c r="W244" s="641"/>
      <c r="X244" s="583"/>
      <c r="Y244" s="583"/>
      <c r="Z244" s="583"/>
      <c r="AA244" s="583"/>
    </row>
    <row r="245" spans="1:27" ht="18.95" customHeight="1">
      <c r="A245" s="632"/>
      <c r="B245" s="638"/>
      <c r="C245" s="623" t="s">
        <v>2103</v>
      </c>
      <c r="D245" s="230"/>
      <c r="E245" s="267">
        <v>250</v>
      </c>
      <c r="F245" s="269" t="s">
        <v>2100</v>
      </c>
      <c r="G245" s="267">
        <v>58</v>
      </c>
      <c r="H245" s="267">
        <f t="shared" si="32"/>
        <v>54.224666725999995</v>
      </c>
      <c r="I245" s="284">
        <f t="shared" si="28"/>
        <v>13556.166681499999</v>
      </c>
      <c r="J245" s="267">
        <v>18</v>
      </c>
      <c r="K245" s="270">
        <f t="shared" si="29"/>
        <v>16.828344846</v>
      </c>
      <c r="L245" s="270">
        <f t="shared" si="33"/>
        <v>4207.0862115</v>
      </c>
      <c r="M245" s="267">
        <f t="shared" si="34"/>
        <v>17763.252892999997</v>
      </c>
      <c r="N245" s="269"/>
      <c r="O245" s="250">
        <v>0.93490804699999996</v>
      </c>
      <c r="P245" s="577"/>
      <c r="Q245" s="641"/>
      <c r="R245" s="583"/>
      <c r="S245" s="583"/>
      <c r="T245" s="577"/>
      <c r="U245" s="583"/>
      <c r="W245" s="641"/>
      <c r="X245" s="583"/>
      <c r="Y245" s="583"/>
      <c r="Z245" s="583"/>
      <c r="AA245" s="583"/>
    </row>
    <row r="246" spans="1:27" ht="18.95" customHeight="1">
      <c r="A246" s="632"/>
      <c r="B246" s="638"/>
      <c r="C246" s="623" t="s">
        <v>2104</v>
      </c>
      <c r="D246" s="230"/>
      <c r="E246" s="267">
        <v>100</v>
      </c>
      <c r="F246" s="269" t="s">
        <v>2100</v>
      </c>
      <c r="G246" s="267">
        <v>62</v>
      </c>
      <c r="H246" s="267">
        <f t="shared" si="32"/>
        <v>57.964298913999997</v>
      </c>
      <c r="I246" s="284">
        <f t="shared" si="28"/>
        <v>5796.4298914000001</v>
      </c>
      <c r="J246" s="267">
        <v>18</v>
      </c>
      <c r="K246" s="270">
        <f t="shared" si="29"/>
        <v>16.828344846</v>
      </c>
      <c r="L246" s="270">
        <f t="shared" si="33"/>
        <v>1682.8344846</v>
      </c>
      <c r="M246" s="267">
        <f t="shared" si="34"/>
        <v>7479.2643760000001</v>
      </c>
      <c r="N246" s="269"/>
      <c r="O246" s="250">
        <v>0.93490804699999996</v>
      </c>
      <c r="P246" s="577"/>
      <c r="Q246" s="641"/>
      <c r="R246" s="583"/>
      <c r="S246" s="583"/>
      <c r="T246" s="577"/>
      <c r="U246" s="583"/>
      <c r="W246" s="641"/>
      <c r="X246" s="583"/>
      <c r="Y246" s="583"/>
      <c r="Z246" s="583"/>
      <c r="AA246" s="583"/>
    </row>
    <row r="247" spans="1:27" ht="18.95" customHeight="1">
      <c r="A247" s="632"/>
      <c r="B247" s="638"/>
      <c r="C247" s="623" t="s">
        <v>2105</v>
      </c>
      <c r="D247" s="230"/>
      <c r="E247" s="267">
        <v>400</v>
      </c>
      <c r="F247" s="269" t="s">
        <v>2100</v>
      </c>
      <c r="G247" s="267">
        <v>66</v>
      </c>
      <c r="H247" s="267">
        <f t="shared" si="32"/>
        <v>61.703931101999999</v>
      </c>
      <c r="I247" s="284">
        <f t="shared" si="28"/>
        <v>24681.572440799999</v>
      </c>
      <c r="J247" s="267">
        <v>20</v>
      </c>
      <c r="K247" s="270">
        <f t="shared" si="29"/>
        <v>18.698160940000001</v>
      </c>
      <c r="L247" s="270">
        <f t="shared" si="33"/>
        <v>7479.2643760000001</v>
      </c>
      <c r="M247" s="267">
        <f t="shared" si="34"/>
        <v>32160.836816799998</v>
      </c>
      <c r="N247" s="269"/>
      <c r="O247" s="250">
        <v>0.93490804699999996</v>
      </c>
      <c r="P247" s="577"/>
      <c r="Q247" s="641"/>
      <c r="R247" s="583"/>
      <c r="S247" s="583"/>
      <c r="T247" s="577"/>
      <c r="U247" s="583"/>
      <c r="W247" s="641"/>
      <c r="X247" s="583"/>
      <c r="Y247" s="583"/>
      <c r="Z247" s="583"/>
      <c r="AA247" s="583"/>
    </row>
    <row r="248" spans="1:27" ht="18.95" customHeight="1">
      <c r="A248" s="632"/>
      <c r="B248" s="638"/>
      <c r="C248" s="623" t="s">
        <v>2106</v>
      </c>
      <c r="D248" s="230"/>
      <c r="E248" s="267">
        <v>100</v>
      </c>
      <c r="F248" s="269" t="s">
        <v>2100</v>
      </c>
      <c r="G248" s="267">
        <v>79</v>
      </c>
      <c r="H248" s="267">
        <f t="shared" si="32"/>
        <v>73.857735712999997</v>
      </c>
      <c r="I248" s="284">
        <f t="shared" si="28"/>
        <v>7385.7735712999993</v>
      </c>
      <c r="J248" s="267">
        <v>20</v>
      </c>
      <c r="K248" s="270">
        <f t="shared" si="29"/>
        <v>18.698160940000001</v>
      </c>
      <c r="L248" s="270">
        <f t="shared" si="33"/>
        <v>1869.816094</v>
      </c>
      <c r="M248" s="267">
        <f t="shared" si="34"/>
        <v>9255.5896653</v>
      </c>
      <c r="N248" s="269"/>
      <c r="O248" s="250">
        <v>0.93490804699999996</v>
      </c>
      <c r="P248" s="577"/>
      <c r="Q248" s="641"/>
      <c r="R248" s="583"/>
      <c r="S248" s="583"/>
      <c r="T248" s="577"/>
      <c r="U248" s="583"/>
      <c r="W248" s="641"/>
      <c r="X248" s="583"/>
      <c r="Y248" s="583"/>
      <c r="Z248" s="583"/>
      <c r="AA248" s="583"/>
    </row>
    <row r="249" spans="1:27" ht="18.95" customHeight="1">
      <c r="A249" s="632"/>
      <c r="B249" s="638"/>
      <c r="C249" s="623" t="s">
        <v>2107</v>
      </c>
      <c r="D249" s="230"/>
      <c r="E249" s="267">
        <v>100</v>
      </c>
      <c r="F249" s="269" t="s">
        <v>2100</v>
      </c>
      <c r="G249" s="267">
        <v>124</v>
      </c>
      <c r="H249" s="267">
        <f t="shared" si="32"/>
        <v>115.92859782799999</v>
      </c>
      <c r="I249" s="284">
        <f t="shared" si="28"/>
        <v>11592.8597828</v>
      </c>
      <c r="J249" s="267">
        <v>20</v>
      </c>
      <c r="K249" s="270">
        <f t="shared" si="29"/>
        <v>18.698160940000001</v>
      </c>
      <c r="L249" s="270">
        <f t="shared" si="33"/>
        <v>1869.816094</v>
      </c>
      <c r="M249" s="267">
        <f t="shared" si="34"/>
        <v>13462.6758768</v>
      </c>
      <c r="N249" s="269"/>
      <c r="O249" s="250">
        <v>0.93490804699999996</v>
      </c>
      <c r="P249" s="577"/>
      <c r="Q249" s="641"/>
      <c r="R249" s="583"/>
      <c r="S249" s="583"/>
      <c r="T249" s="577"/>
      <c r="U249" s="583"/>
      <c r="W249" s="641"/>
      <c r="X249" s="583"/>
      <c r="Y249" s="583"/>
      <c r="Z249" s="583"/>
      <c r="AA249" s="583"/>
    </row>
    <row r="250" spans="1:27" ht="18.95" customHeight="1">
      <c r="A250" s="632"/>
      <c r="B250" s="638"/>
      <c r="C250" s="623" t="s">
        <v>2108</v>
      </c>
      <c r="D250" s="230"/>
      <c r="E250" s="267">
        <v>400</v>
      </c>
      <c r="F250" s="269" t="s">
        <v>2100</v>
      </c>
      <c r="G250" s="267">
        <v>116</v>
      </c>
      <c r="H250" s="267">
        <f t="shared" si="32"/>
        <v>108.44933345199999</v>
      </c>
      <c r="I250" s="284">
        <f t="shared" si="28"/>
        <v>43379.733380799997</v>
      </c>
      <c r="J250" s="267">
        <v>20</v>
      </c>
      <c r="K250" s="270">
        <f t="shared" si="29"/>
        <v>18.698160940000001</v>
      </c>
      <c r="L250" s="270">
        <f t="shared" si="33"/>
        <v>7479.2643760000001</v>
      </c>
      <c r="M250" s="267">
        <f t="shared" si="34"/>
        <v>50858.997756799996</v>
      </c>
      <c r="N250" s="269"/>
      <c r="O250" s="250">
        <v>0.93490804699999996</v>
      </c>
      <c r="P250" s="577"/>
      <c r="Q250" s="641"/>
      <c r="R250" s="583"/>
      <c r="S250" s="583"/>
      <c r="T250" s="577"/>
      <c r="U250" s="583"/>
      <c r="W250" s="641"/>
      <c r="X250" s="583"/>
      <c r="Y250" s="583"/>
      <c r="Z250" s="583"/>
      <c r="AA250" s="583"/>
    </row>
    <row r="251" spans="1:27" ht="18.95" customHeight="1">
      <c r="A251" s="632"/>
      <c r="B251" s="638"/>
      <c r="C251" s="623" t="s">
        <v>2113</v>
      </c>
      <c r="D251" s="230"/>
      <c r="E251" s="267"/>
      <c r="F251" s="269"/>
      <c r="G251" s="267"/>
      <c r="H251" s="267"/>
      <c r="I251" s="284"/>
      <c r="J251" s="267"/>
      <c r="K251" s="270"/>
      <c r="L251" s="270"/>
      <c r="M251" s="267"/>
      <c r="N251" s="269"/>
      <c r="O251" s="250">
        <v>0.93490804699999996</v>
      </c>
      <c r="P251" s="583"/>
      <c r="Q251" s="641"/>
      <c r="R251" s="583"/>
      <c r="S251" s="583"/>
      <c r="T251" s="583"/>
      <c r="U251" s="583"/>
      <c r="W251" s="641"/>
      <c r="X251" s="583"/>
      <c r="Y251" s="583"/>
      <c r="Z251" s="583"/>
      <c r="AA251" s="583"/>
    </row>
    <row r="252" spans="1:27" ht="18.95" customHeight="1">
      <c r="A252" s="632"/>
      <c r="B252" s="638"/>
      <c r="C252" s="646" t="s">
        <v>2104</v>
      </c>
      <c r="D252" s="165"/>
      <c r="E252" s="267">
        <v>300</v>
      </c>
      <c r="F252" s="269" t="s">
        <v>2100</v>
      </c>
      <c r="G252" s="606">
        <v>38</v>
      </c>
      <c r="H252" s="267">
        <f>G252*O252</f>
        <v>35.526505786000001</v>
      </c>
      <c r="I252" s="284">
        <f t="shared" si="28"/>
        <v>10657.951735800001</v>
      </c>
      <c r="J252" s="267">
        <v>25</v>
      </c>
      <c r="K252" s="270">
        <f t="shared" si="29"/>
        <v>23.372701175</v>
      </c>
      <c r="L252" s="270">
        <f t="shared" si="33"/>
        <v>7011.8103524999997</v>
      </c>
      <c r="M252" s="267">
        <f t="shared" ref="M252:M261" si="35">I252+L252</f>
        <v>17669.762088300002</v>
      </c>
      <c r="N252" s="269"/>
      <c r="O252" s="250">
        <v>0.93490804699999996</v>
      </c>
      <c r="P252" s="577"/>
      <c r="Q252" s="641"/>
      <c r="R252" s="583"/>
      <c r="S252" s="583"/>
      <c r="T252" s="577"/>
      <c r="U252" s="583"/>
      <c r="W252" s="641"/>
      <c r="X252" s="583"/>
      <c r="Y252" s="583"/>
      <c r="Z252" s="583"/>
      <c r="AA252" s="583"/>
    </row>
    <row r="253" spans="1:27" ht="18.95" customHeight="1">
      <c r="A253" s="632"/>
      <c r="B253" s="638"/>
      <c r="C253" s="623" t="s">
        <v>2110</v>
      </c>
      <c r="D253" s="165"/>
      <c r="E253" s="267">
        <v>250</v>
      </c>
      <c r="F253" s="269" t="s">
        <v>2100</v>
      </c>
      <c r="G253" s="606">
        <v>44</v>
      </c>
      <c r="H253" s="267">
        <f t="shared" si="32"/>
        <v>41.135954067999997</v>
      </c>
      <c r="I253" s="284">
        <f t="shared" si="28"/>
        <v>10283.988517</v>
      </c>
      <c r="J253" s="267">
        <v>25</v>
      </c>
      <c r="K253" s="270">
        <f t="shared" si="29"/>
        <v>23.372701175</v>
      </c>
      <c r="L253" s="270">
        <f t="shared" si="33"/>
        <v>5843.1752937499996</v>
      </c>
      <c r="M253" s="267">
        <f t="shared" si="35"/>
        <v>16127.16381075</v>
      </c>
      <c r="N253" s="269"/>
      <c r="O253" s="250">
        <v>0.93490804699999996</v>
      </c>
      <c r="P253" s="577"/>
      <c r="Q253" s="641"/>
      <c r="R253" s="583"/>
      <c r="S253" s="583"/>
      <c r="T253" s="577"/>
      <c r="U253" s="583"/>
      <c r="W253" s="641"/>
      <c r="X253" s="583"/>
      <c r="Y253" s="583"/>
      <c r="Z253" s="583"/>
      <c r="AA253" s="583"/>
    </row>
    <row r="254" spans="1:27" ht="18.95" customHeight="1">
      <c r="A254" s="632"/>
      <c r="B254" s="638"/>
      <c r="C254" s="623"/>
      <c r="D254" s="230"/>
      <c r="E254" s="267"/>
      <c r="F254" s="269"/>
      <c r="G254" s="291"/>
      <c r="H254" s="267"/>
      <c r="I254" s="284"/>
      <c r="J254" s="267"/>
      <c r="K254" s="270"/>
      <c r="L254" s="270"/>
      <c r="M254" s="267"/>
      <c r="N254" s="269"/>
      <c r="O254" s="250">
        <v>0.93490804699999996</v>
      </c>
      <c r="P254" s="577"/>
      <c r="Q254" s="641"/>
      <c r="R254" s="583"/>
      <c r="S254" s="583"/>
      <c r="T254" s="577"/>
      <c r="U254" s="583"/>
      <c r="W254" s="641"/>
      <c r="X254" s="583"/>
      <c r="Y254" s="583"/>
      <c r="Z254" s="583"/>
      <c r="AA254" s="583"/>
    </row>
    <row r="255" spans="1:27" ht="18.95" customHeight="1">
      <c r="A255" s="632"/>
      <c r="B255" s="638"/>
      <c r="C255" s="623"/>
      <c r="D255" s="230"/>
      <c r="E255" s="267"/>
      <c r="F255" s="269"/>
      <c r="G255" s="291"/>
      <c r="H255" s="267"/>
      <c r="I255" s="284"/>
      <c r="J255" s="267"/>
      <c r="K255" s="270"/>
      <c r="L255" s="270"/>
      <c r="M255" s="267"/>
      <c r="N255" s="269"/>
      <c r="O255" s="250">
        <v>0.93490804699999996</v>
      </c>
      <c r="P255" s="577"/>
      <c r="Q255" s="641"/>
      <c r="R255" s="583"/>
      <c r="S255" s="583"/>
      <c r="T255" s="577"/>
      <c r="U255" s="583"/>
      <c r="W255" s="641"/>
      <c r="X255" s="583"/>
      <c r="Y255" s="583"/>
      <c r="Z255" s="583"/>
      <c r="AA255" s="583"/>
    </row>
    <row r="256" spans="1:27" ht="18.95" customHeight="1">
      <c r="A256" s="632"/>
      <c r="B256" s="638"/>
      <c r="C256" s="623"/>
      <c r="D256" s="230"/>
      <c r="E256" s="267"/>
      <c r="F256" s="269"/>
      <c r="G256" s="291"/>
      <c r="H256" s="267"/>
      <c r="I256" s="284"/>
      <c r="J256" s="267"/>
      <c r="K256" s="270"/>
      <c r="L256" s="270"/>
      <c r="M256" s="267"/>
      <c r="N256" s="269"/>
      <c r="O256" s="250">
        <v>0.93490804699999996</v>
      </c>
      <c r="P256" s="577"/>
      <c r="Q256" s="641"/>
      <c r="R256" s="583"/>
      <c r="S256" s="583"/>
      <c r="T256" s="577"/>
      <c r="U256" s="583"/>
      <c r="W256" s="641"/>
      <c r="X256" s="583"/>
      <c r="Y256" s="583"/>
      <c r="Z256" s="583"/>
      <c r="AA256" s="583"/>
    </row>
    <row r="257" spans="1:27" ht="18.95" customHeight="1">
      <c r="A257" s="632"/>
      <c r="B257" s="122">
        <v>3.4</v>
      </c>
      <c r="C257" s="244" t="s">
        <v>1774</v>
      </c>
      <c r="D257" s="633"/>
      <c r="E257" s="267">
        <v>1</v>
      </c>
      <c r="F257" s="356" t="s">
        <v>1321</v>
      </c>
      <c r="G257" s="270">
        <v>477944</v>
      </c>
      <c r="H257" s="267">
        <f t="shared" si="32"/>
        <v>446833.69161536801</v>
      </c>
      <c r="I257" s="284">
        <f t="shared" si="28"/>
        <v>446833.69161536801</v>
      </c>
      <c r="J257" s="267">
        <v>143383.19999999998</v>
      </c>
      <c r="K257" s="270">
        <f t="shared" si="29"/>
        <v>134050.10748461037</v>
      </c>
      <c r="L257" s="270">
        <f t="shared" si="33"/>
        <v>134050.10748461037</v>
      </c>
      <c r="M257" s="544">
        <f t="shared" si="35"/>
        <v>580883.79909997841</v>
      </c>
      <c r="N257" s="1416"/>
      <c r="O257" s="250">
        <v>0.93490804699999996</v>
      </c>
      <c r="P257" s="583"/>
      <c r="Q257" s="641"/>
      <c r="R257" s="583"/>
      <c r="S257" s="583"/>
      <c r="T257" s="583"/>
      <c r="U257" s="583"/>
      <c r="W257" s="641"/>
      <c r="X257" s="583"/>
      <c r="Y257" s="583"/>
      <c r="Z257" s="583"/>
      <c r="AA257" s="583"/>
    </row>
    <row r="258" spans="1:27" ht="18.95" customHeight="1">
      <c r="A258" s="632"/>
      <c r="B258" s="122">
        <v>3.5</v>
      </c>
      <c r="C258" s="244" t="s">
        <v>1775</v>
      </c>
      <c r="D258" s="633"/>
      <c r="E258" s="267">
        <v>1</v>
      </c>
      <c r="F258" s="356" t="s">
        <v>1321</v>
      </c>
      <c r="G258" s="270">
        <v>238972</v>
      </c>
      <c r="H258" s="267">
        <f t="shared" si="32"/>
        <v>223416.845807684</v>
      </c>
      <c r="I258" s="284">
        <f t="shared" si="28"/>
        <v>223416.845807684</v>
      </c>
      <c r="J258" s="267">
        <v>71691.599999999991</v>
      </c>
      <c r="K258" s="270">
        <f t="shared" si="29"/>
        <v>67025.053742305186</v>
      </c>
      <c r="L258" s="270">
        <f t="shared" si="33"/>
        <v>67025.053742305186</v>
      </c>
      <c r="M258" s="270">
        <f t="shared" si="35"/>
        <v>290441.8995499892</v>
      </c>
      <c r="N258" s="1416"/>
      <c r="O258" s="250">
        <v>0.93490804699999996</v>
      </c>
      <c r="P258" s="583"/>
      <c r="Q258" s="641"/>
      <c r="R258" s="583"/>
      <c r="S258" s="583"/>
      <c r="T258" s="583"/>
      <c r="U258" s="583"/>
      <c r="W258" s="641"/>
      <c r="X258" s="583"/>
      <c r="Y258" s="583"/>
      <c r="Z258" s="583"/>
      <c r="AA258" s="583"/>
    </row>
    <row r="259" spans="1:27" ht="18.95" customHeight="1">
      <c r="A259" s="632"/>
      <c r="B259" s="122">
        <v>3.6</v>
      </c>
      <c r="C259" s="244" t="s">
        <v>1776</v>
      </c>
      <c r="D259" s="165"/>
      <c r="E259" s="267">
        <v>1</v>
      </c>
      <c r="F259" s="356" t="s">
        <v>1321</v>
      </c>
      <c r="G259" s="270">
        <v>119486</v>
      </c>
      <c r="H259" s="267">
        <f t="shared" si="32"/>
        <v>111708.422903842</v>
      </c>
      <c r="I259" s="284">
        <f t="shared" si="28"/>
        <v>111708.422903842</v>
      </c>
      <c r="J259" s="267">
        <v>35845.799999999996</v>
      </c>
      <c r="K259" s="270">
        <f t="shared" si="29"/>
        <v>33512.526871152593</v>
      </c>
      <c r="L259" s="270">
        <f t="shared" si="33"/>
        <v>33512.526871152593</v>
      </c>
      <c r="M259" s="270">
        <f t="shared" si="35"/>
        <v>145220.9497749946</v>
      </c>
      <c r="N259" s="1416"/>
      <c r="O259" s="250">
        <v>0.93490804699999996</v>
      </c>
      <c r="P259" s="583"/>
      <c r="Q259" s="641"/>
      <c r="R259" s="583"/>
      <c r="S259" s="583"/>
      <c r="T259" s="583"/>
      <c r="U259" s="583"/>
      <c r="W259" s="641"/>
      <c r="X259" s="583"/>
      <c r="Y259" s="583"/>
      <c r="Z259" s="583"/>
      <c r="AA259" s="583"/>
    </row>
    <row r="260" spans="1:27" ht="18.95" customHeight="1">
      <c r="A260" s="632"/>
      <c r="B260" s="122"/>
      <c r="C260" s="244"/>
      <c r="D260" s="165"/>
      <c r="E260" s="267"/>
      <c r="F260" s="356"/>
      <c r="G260" s="270"/>
      <c r="H260" s="267"/>
      <c r="I260" s="284"/>
      <c r="J260" s="267"/>
      <c r="K260" s="270"/>
      <c r="L260" s="270"/>
      <c r="M260" s="270"/>
      <c r="N260" s="1416"/>
      <c r="O260" s="250">
        <v>0.93490804699999996</v>
      </c>
      <c r="P260" s="583"/>
      <c r="Q260" s="641"/>
      <c r="R260" s="583"/>
      <c r="S260" s="583"/>
      <c r="T260" s="583"/>
      <c r="U260" s="583"/>
      <c r="W260" s="641"/>
      <c r="X260" s="583"/>
      <c r="Y260" s="583"/>
      <c r="Z260" s="583"/>
      <c r="AA260" s="583"/>
    </row>
    <row r="261" spans="1:27" ht="18.95" customHeight="1">
      <c r="A261" s="632"/>
      <c r="B261" s="1345" t="s">
        <v>1216</v>
      </c>
      <c r="C261" s="1346"/>
      <c r="D261" s="1356"/>
      <c r="E261" s="271"/>
      <c r="F261" s="281"/>
      <c r="G261" s="271"/>
      <c r="H261" s="271"/>
      <c r="I261" s="271">
        <f>SUM(I228:I259)</f>
        <v>1898494.3983417249</v>
      </c>
      <c r="J261" s="271"/>
      <c r="K261" s="271"/>
      <c r="L261" s="271">
        <f>SUM(L228:L259)</f>
        <v>543574.79763156816</v>
      </c>
      <c r="M261" s="271">
        <f t="shared" si="35"/>
        <v>2442069.1959732929</v>
      </c>
      <c r="N261" s="1416"/>
      <c r="O261" s="250">
        <v>0.93490804699999996</v>
      </c>
      <c r="P261" s="583"/>
      <c r="Q261" s="641"/>
      <c r="R261" s="583"/>
      <c r="S261" s="583"/>
      <c r="T261" s="583"/>
      <c r="U261" s="583"/>
      <c r="W261" s="641"/>
      <c r="X261" s="583"/>
      <c r="Y261" s="583"/>
      <c r="Z261" s="583"/>
      <c r="AA261" s="583"/>
    </row>
    <row r="262" spans="1:27" ht="18.95" customHeight="1">
      <c r="A262" s="635"/>
      <c r="B262" s="422"/>
      <c r="C262" s="451"/>
      <c r="D262" s="452"/>
      <c r="E262" s="271"/>
      <c r="F262" s="281"/>
      <c r="G262" s="271"/>
      <c r="H262" s="271"/>
      <c r="I262" s="271"/>
      <c r="J262" s="271"/>
      <c r="K262" s="271"/>
      <c r="L262" s="271"/>
      <c r="M262" s="271"/>
      <c r="N262" s="1416"/>
      <c r="O262" s="250">
        <v>0.93490804699999996</v>
      </c>
      <c r="P262" s="583"/>
      <c r="Q262" s="641"/>
      <c r="R262" s="583"/>
      <c r="S262" s="583"/>
      <c r="T262" s="583"/>
      <c r="U262" s="583"/>
      <c r="W262" s="641"/>
      <c r="X262" s="583"/>
      <c r="Y262" s="583"/>
      <c r="Z262" s="583"/>
      <c r="AA262" s="583"/>
    </row>
    <row r="263" spans="1:27" ht="18.95" customHeight="1">
      <c r="A263" s="647">
        <v>4</v>
      </c>
      <c r="B263" s="645" t="s">
        <v>1876</v>
      </c>
      <c r="C263" s="338"/>
      <c r="D263" s="230"/>
      <c r="E263" s="267"/>
      <c r="F263" s="356"/>
      <c r="G263" s="270"/>
      <c r="H263" s="270"/>
      <c r="I263" s="270"/>
      <c r="J263" s="267"/>
      <c r="K263" s="267"/>
      <c r="L263" s="270"/>
      <c r="M263" s="268"/>
      <c r="N263" s="268"/>
      <c r="O263" s="250">
        <v>0.93490804699999996</v>
      </c>
      <c r="P263" s="577"/>
      <c r="Q263" s="641"/>
      <c r="R263" s="583"/>
      <c r="S263" s="583"/>
      <c r="T263" s="583"/>
      <c r="U263" s="583"/>
      <c r="W263" s="641"/>
      <c r="X263" s="583"/>
      <c r="Y263" s="583"/>
      <c r="Z263" s="583"/>
      <c r="AA263" s="583"/>
    </row>
    <row r="264" spans="1:27" ht="18.95" customHeight="1">
      <c r="A264" s="632"/>
      <c r="B264" s="122">
        <v>4.0999999999999996</v>
      </c>
      <c r="C264" s="244" t="s">
        <v>2114</v>
      </c>
      <c r="D264" s="165"/>
      <c r="E264" s="267"/>
      <c r="F264" s="356"/>
      <c r="G264" s="270"/>
      <c r="H264" s="270"/>
      <c r="I264" s="270"/>
      <c r="J264" s="267"/>
      <c r="K264" s="267"/>
      <c r="L264" s="270"/>
      <c r="M264" s="268"/>
      <c r="N264" s="268"/>
      <c r="O264" s="250">
        <v>0.93490804699999996</v>
      </c>
      <c r="P264" s="577"/>
      <c r="Q264" s="641"/>
      <c r="R264" s="583"/>
      <c r="S264" s="583"/>
      <c r="T264" s="583"/>
      <c r="U264" s="583"/>
      <c r="W264" s="641"/>
      <c r="X264" s="583"/>
      <c r="Y264" s="583"/>
      <c r="Z264" s="583"/>
      <c r="AA264" s="583"/>
    </row>
    <row r="265" spans="1:27" ht="18.95" customHeight="1">
      <c r="A265" s="632"/>
      <c r="B265" s="122"/>
      <c r="C265" s="244" t="s">
        <v>2115</v>
      </c>
      <c r="D265" s="165"/>
      <c r="E265" s="269">
        <v>7800</v>
      </c>
      <c r="F265" s="269" t="s">
        <v>2116</v>
      </c>
      <c r="G265" s="269">
        <v>26</v>
      </c>
      <c r="H265" s="267">
        <f>G265*O265</f>
        <v>24.307609222</v>
      </c>
      <c r="I265" s="284">
        <f t="shared" ref="I265:I274" si="36">E265*H265</f>
        <v>189599.35193159999</v>
      </c>
      <c r="J265" s="269">
        <v>7.8</v>
      </c>
      <c r="K265" s="270">
        <f t="shared" ref="K265:K274" si="37">J265*O265</f>
        <v>7.2922827665999996</v>
      </c>
      <c r="L265" s="270">
        <f t="shared" ref="L265:L274" si="38">E265*K265</f>
        <v>56879.805579479995</v>
      </c>
      <c r="M265" s="269">
        <f>I265+L265</f>
        <v>246479.15751107997</v>
      </c>
      <c r="N265" s="269"/>
      <c r="O265" s="250">
        <v>0.93490804699999996</v>
      </c>
      <c r="P265" s="577"/>
      <c r="Q265" s="586"/>
      <c r="R265" s="583"/>
      <c r="S265" s="583"/>
      <c r="T265" s="577"/>
      <c r="U265" s="583"/>
      <c r="W265" s="641"/>
      <c r="X265" s="583"/>
      <c r="Y265" s="583"/>
      <c r="Z265" s="583"/>
      <c r="AA265" s="583"/>
    </row>
    <row r="266" spans="1:27" ht="18.95" customHeight="1">
      <c r="A266" s="632"/>
      <c r="B266" s="638"/>
      <c r="C266" s="244" t="s">
        <v>2117</v>
      </c>
      <c r="D266" s="165"/>
      <c r="E266" s="269">
        <v>5800</v>
      </c>
      <c r="F266" s="269" t="s">
        <v>2116</v>
      </c>
      <c r="G266" s="269">
        <v>20</v>
      </c>
      <c r="H266" s="267">
        <f t="shared" ref="H266:H274" si="39">G266*O266</f>
        <v>18.698160940000001</v>
      </c>
      <c r="I266" s="284">
        <f t="shared" si="36"/>
        <v>108449.33345200001</v>
      </c>
      <c r="J266" s="269">
        <v>6</v>
      </c>
      <c r="K266" s="270">
        <f t="shared" si="37"/>
        <v>5.6094482819999998</v>
      </c>
      <c r="L266" s="270">
        <f t="shared" si="38"/>
        <v>32534.800035599997</v>
      </c>
      <c r="M266" s="269">
        <f>I266+L266</f>
        <v>140984.13348760002</v>
      </c>
      <c r="N266" s="269"/>
      <c r="O266" s="250">
        <v>0.93490804699999996</v>
      </c>
      <c r="P266" s="577"/>
      <c r="Q266" s="586"/>
      <c r="R266" s="583"/>
      <c r="S266" s="583"/>
      <c r="T266" s="577"/>
      <c r="U266" s="583"/>
      <c r="W266" s="641"/>
      <c r="X266" s="583"/>
      <c r="Y266" s="583"/>
      <c r="Z266" s="583"/>
      <c r="AA266" s="583"/>
    </row>
    <row r="267" spans="1:27" ht="18.95" customHeight="1">
      <c r="A267" s="632"/>
      <c r="B267" s="638"/>
      <c r="C267" s="244" t="s">
        <v>2118</v>
      </c>
      <c r="D267" s="165"/>
      <c r="E267" s="269">
        <v>7000</v>
      </c>
      <c r="F267" s="269" t="s">
        <v>2116</v>
      </c>
      <c r="G267" s="269">
        <v>15</v>
      </c>
      <c r="H267" s="267">
        <f t="shared" si="39"/>
        <v>14.023620704999999</v>
      </c>
      <c r="I267" s="284">
        <f t="shared" si="36"/>
        <v>98165.344934999986</v>
      </c>
      <c r="J267" s="269">
        <v>4.5</v>
      </c>
      <c r="K267" s="270">
        <f t="shared" si="37"/>
        <v>4.2070862115000001</v>
      </c>
      <c r="L267" s="270">
        <f t="shared" si="38"/>
        <v>29449.603480500002</v>
      </c>
      <c r="M267" s="269">
        <f>I267+L267</f>
        <v>127614.9484155</v>
      </c>
      <c r="N267" s="269"/>
      <c r="O267" s="250">
        <v>0.93490804699999996</v>
      </c>
      <c r="P267" s="577"/>
      <c r="Q267" s="586"/>
      <c r="R267" s="583"/>
      <c r="S267" s="583"/>
      <c r="T267" s="577"/>
      <c r="U267" s="583"/>
      <c r="W267" s="641"/>
      <c r="X267" s="583"/>
      <c r="Y267" s="583"/>
      <c r="Z267" s="583"/>
      <c r="AA267" s="583"/>
    </row>
    <row r="268" spans="1:27" ht="18.95" customHeight="1">
      <c r="A268" s="632"/>
      <c r="B268" s="122">
        <v>4.2</v>
      </c>
      <c r="C268" s="244" t="s">
        <v>2119</v>
      </c>
      <c r="D268" s="165"/>
      <c r="E268" s="269">
        <v>600</v>
      </c>
      <c r="F268" s="269" t="s">
        <v>2116</v>
      </c>
      <c r="G268" s="269">
        <v>53</v>
      </c>
      <c r="H268" s="267">
        <f t="shared" si="39"/>
        <v>49.550126491</v>
      </c>
      <c r="I268" s="284">
        <f t="shared" si="36"/>
        <v>29730.075894599999</v>
      </c>
      <c r="J268" s="269">
        <v>15.899999999999999</v>
      </c>
      <c r="K268" s="270">
        <f t="shared" si="37"/>
        <v>14.865037947299998</v>
      </c>
      <c r="L268" s="270">
        <f t="shared" si="38"/>
        <v>8919.0227683799985</v>
      </c>
      <c r="M268" s="269">
        <f>I268+L268</f>
        <v>38649.098662979995</v>
      </c>
      <c r="N268" s="269"/>
      <c r="O268" s="250">
        <v>0.93490804699999996</v>
      </c>
      <c r="P268" s="583"/>
      <c r="Q268" s="641"/>
      <c r="R268" s="583"/>
      <c r="S268" s="583"/>
      <c r="T268" s="583"/>
      <c r="U268" s="583"/>
      <c r="W268" s="641"/>
      <c r="X268" s="583"/>
      <c r="Y268" s="583"/>
      <c r="Z268" s="583"/>
      <c r="AA268" s="583"/>
    </row>
    <row r="269" spans="1:27" ht="18.95" customHeight="1">
      <c r="A269" s="632"/>
      <c r="B269" s="122">
        <v>4.3</v>
      </c>
      <c r="C269" s="244" t="s">
        <v>2120</v>
      </c>
      <c r="D269" s="165"/>
      <c r="E269" s="267"/>
      <c r="F269" s="356"/>
      <c r="G269" s="270"/>
      <c r="H269" s="267"/>
      <c r="I269" s="284"/>
      <c r="J269" s="267"/>
      <c r="K269" s="270"/>
      <c r="L269" s="270"/>
      <c r="M269" s="268"/>
      <c r="N269" s="268"/>
      <c r="O269" s="250">
        <v>0.93490804699999996</v>
      </c>
      <c r="P269" s="583"/>
      <c r="Q269" s="641"/>
      <c r="R269" s="583"/>
      <c r="S269" s="583"/>
      <c r="T269" s="583"/>
      <c r="U269" s="583"/>
      <c r="W269" s="641"/>
      <c r="X269" s="583"/>
      <c r="Y269" s="583"/>
      <c r="Z269" s="583"/>
      <c r="AA269" s="583"/>
    </row>
    <row r="270" spans="1:27" ht="18.95" customHeight="1">
      <c r="A270" s="632"/>
      <c r="B270" s="638"/>
      <c r="C270" s="244" t="s">
        <v>2121</v>
      </c>
      <c r="D270" s="165"/>
      <c r="E270" s="269">
        <v>5500</v>
      </c>
      <c r="F270" s="269" t="s">
        <v>2116</v>
      </c>
      <c r="G270" s="269">
        <v>30</v>
      </c>
      <c r="H270" s="267">
        <f>G270*O270</f>
        <v>28.047241409999998</v>
      </c>
      <c r="I270" s="284">
        <f t="shared" si="36"/>
        <v>154259.82775499998</v>
      </c>
      <c r="J270" s="269">
        <v>20</v>
      </c>
      <c r="K270" s="270">
        <f t="shared" si="37"/>
        <v>18.698160940000001</v>
      </c>
      <c r="L270" s="270">
        <f t="shared" si="38"/>
        <v>102839.88517000001</v>
      </c>
      <c r="M270" s="269">
        <f t="shared" ref="M270:M275" si="40">I270+L270</f>
        <v>257099.712925</v>
      </c>
      <c r="N270" s="269"/>
      <c r="O270" s="250">
        <v>0.93490804699999996</v>
      </c>
      <c r="P270" s="583"/>
      <c r="Q270" s="641"/>
      <c r="R270" s="583"/>
      <c r="S270" s="583"/>
      <c r="T270" s="583"/>
      <c r="U270" s="583"/>
      <c r="W270" s="641"/>
      <c r="X270" s="583"/>
      <c r="Y270" s="583"/>
      <c r="Z270" s="583"/>
      <c r="AA270" s="583"/>
    </row>
    <row r="271" spans="1:27" ht="18.95" customHeight="1">
      <c r="A271" s="632"/>
      <c r="B271" s="122">
        <v>4.4000000000000004</v>
      </c>
      <c r="C271" s="244" t="s">
        <v>2122</v>
      </c>
      <c r="D271" s="633"/>
      <c r="E271" s="267">
        <v>1</v>
      </c>
      <c r="F271" s="356" t="s">
        <v>1321</v>
      </c>
      <c r="G271" s="270">
        <v>80000</v>
      </c>
      <c r="H271" s="267">
        <f t="shared" si="39"/>
        <v>74792.643759999992</v>
      </c>
      <c r="I271" s="284">
        <f t="shared" si="36"/>
        <v>74792.643759999992</v>
      </c>
      <c r="J271" s="267">
        <v>24000</v>
      </c>
      <c r="K271" s="270">
        <f t="shared" si="37"/>
        <v>22437.793127999998</v>
      </c>
      <c r="L271" s="270">
        <f t="shared" si="38"/>
        <v>22437.793127999998</v>
      </c>
      <c r="M271" s="270">
        <f t="shared" si="40"/>
        <v>97230.436887999997</v>
      </c>
      <c r="N271" s="269"/>
      <c r="O271" s="250">
        <v>0.93490804699999996</v>
      </c>
      <c r="P271" s="583"/>
      <c r="Q271" s="641"/>
      <c r="R271" s="583"/>
      <c r="S271" s="583"/>
      <c r="T271" s="583"/>
      <c r="U271" s="583"/>
      <c r="W271" s="641"/>
      <c r="X271" s="583"/>
      <c r="Y271" s="583"/>
      <c r="Z271" s="583"/>
      <c r="AA271" s="583"/>
    </row>
    <row r="272" spans="1:27" ht="18.95" customHeight="1">
      <c r="A272" s="632"/>
      <c r="B272" s="122">
        <v>4.5</v>
      </c>
      <c r="C272" s="244" t="s">
        <v>1774</v>
      </c>
      <c r="D272" s="633"/>
      <c r="E272" s="267">
        <v>1</v>
      </c>
      <c r="F272" s="356" t="s">
        <v>1321</v>
      </c>
      <c r="G272" s="270">
        <v>124120</v>
      </c>
      <c r="H272" s="267">
        <f t="shared" si="39"/>
        <v>116040.78679364</v>
      </c>
      <c r="I272" s="284">
        <f t="shared" si="36"/>
        <v>116040.78679364</v>
      </c>
      <c r="J272" s="267">
        <v>37236</v>
      </c>
      <c r="K272" s="270">
        <f t="shared" si="37"/>
        <v>34812.236038092</v>
      </c>
      <c r="L272" s="270">
        <f t="shared" si="38"/>
        <v>34812.236038092</v>
      </c>
      <c r="M272" s="270">
        <f t="shared" si="40"/>
        <v>150853.022831732</v>
      </c>
      <c r="N272" s="269"/>
      <c r="O272" s="250">
        <v>0.93490804699999996</v>
      </c>
      <c r="P272" s="583"/>
      <c r="Q272" s="641"/>
      <c r="R272" s="583"/>
      <c r="S272" s="583"/>
      <c r="T272" s="583"/>
      <c r="U272" s="583"/>
      <c r="W272" s="641"/>
      <c r="X272" s="583"/>
      <c r="Y272" s="583"/>
      <c r="Z272" s="583"/>
      <c r="AA272" s="583"/>
    </row>
    <row r="273" spans="1:27" ht="18.95" customHeight="1">
      <c r="A273" s="632"/>
      <c r="B273" s="122">
        <v>4.5999999999999996</v>
      </c>
      <c r="C273" s="244" t="s">
        <v>1775</v>
      </c>
      <c r="D273" s="633"/>
      <c r="E273" s="267">
        <v>1</v>
      </c>
      <c r="F273" s="356" t="s">
        <v>1321</v>
      </c>
      <c r="G273" s="270">
        <v>183120</v>
      </c>
      <c r="H273" s="267">
        <f t="shared" si="39"/>
        <v>171200.36156664</v>
      </c>
      <c r="I273" s="284">
        <f t="shared" si="36"/>
        <v>171200.36156664</v>
      </c>
      <c r="J273" s="267">
        <v>54936</v>
      </c>
      <c r="K273" s="270">
        <f t="shared" si="37"/>
        <v>51360.108469991996</v>
      </c>
      <c r="L273" s="270">
        <f t="shared" si="38"/>
        <v>51360.108469991996</v>
      </c>
      <c r="M273" s="270">
        <f t="shared" si="40"/>
        <v>222560.470036632</v>
      </c>
      <c r="N273" s="269"/>
      <c r="O273" s="250">
        <v>0.93490804699999996</v>
      </c>
      <c r="P273" s="583"/>
      <c r="Q273" s="641"/>
      <c r="R273" s="583"/>
      <c r="S273" s="583"/>
      <c r="T273" s="583"/>
      <c r="U273" s="583"/>
      <c r="W273" s="641"/>
      <c r="X273" s="583"/>
      <c r="Y273" s="583"/>
      <c r="Z273" s="583"/>
      <c r="AA273" s="583"/>
    </row>
    <row r="274" spans="1:27" ht="18.95" customHeight="1">
      <c r="A274" s="632"/>
      <c r="B274" s="122">
        <v>4.7</v>
      </c>
      <c r="C274" s="244" t="s">
        <v>1776</v>
      </c>
      <c r="D274" s="165"/>
      <c r="E274" s="267">
        <v>1</v>
      </c>
      <c r="F274" s="356" t="s">
        <v>1321</v>
      </c>
      <c r="G274" s="270">
        <v>91560</v>
      </c>
      <c r="H274" s="267">
        <f t="shared" si="39"/>
        <v>85600.18078332</v>
      </c>
      <c r="I274" s="284">
        <f t="shared" si="36"/>
        <v>85600.18078332</v>
      </c>
      <c r="J274" s="267">
        <v>27468</v>
      </c>
      <c r="K274" s="270">
        <f t="shared" si="37"/>
        <v>25680.054234995998</v>
      </c>
      <c r="L274" s="270">
        <f t="shared" si="38"/>
        <v>25680.054234995998</v>
      </c>
      <c r="M274" s="270">
        <f t="shared" si="40"/>
        <v>111280.235018316</v>
      </c>
      <c r="N274" s="268"/>
      <c r="O274" s="250">
        <v>0.93490804699999996</v>
      </c>
      <c r="P274" s="583"/>
      <c r="Q274" s="641"/>
      <c r="R274" s="583"/>
      <c r="S274" s="583"/>
      <c r="T274" s="583"/>
      <c r="U274" s="583"/>
      <c r="W274" s="641"/>
      <c r="X274" s="583"/>
      <c r="Y274" s="583"/>
      <c r="Z274" s="583"/>
      <c r="AA274" s="583"/>
    </row>
    <row r="275" spans="1:27" ht="18.95" customHeight="1">
      <c r="A275" s="635"/>
      <c r="B275" s="1345" t="s">
        <v>1220</v>
      </c>
      <c r="C275" s="1346"/>
      <c r="D275" s="1356"/>
      <c r="E275" s="271"/>
      <c r="F275" s="281"/>
      <c r="G275" s="271"/>
      <c r="H275" s="271"/>
      <c r="I275" s="271">
        <f>SUM(I265:I274)</f>
        <v>1027837.9068718</v>
      </c>
      <c r="J275" s="271"/>
      <c r="K275" s="271"/>
      <c r="L275" s="271">
        <f>SUM(L265:L274)</f>
        <v>364913.30890503997</v>
      </c>
      <c r="M275" s="271">
        <f t="shared" si="40"/>
        <v>1392751.21577684</v>
      </c>
      <c r="N275" s="269"/>
      <c r="O275" s="250">
        <v>0.93490804699999996</v>
      </c>
      <c r="P275" s="583"/>
      <c r="Q275" s="641"/>
      <c r="R275" s="583"/>
      <c r="S275" s="583"/>
      <c r="T275" s="583"/>
      <c r="U275" s="583"/>
      <c r="W275" s="641"/>
      <c r="X275" s="583"/>
      <c r="Y275" s="583"/>
      <c r="Z275" s="583"/>
      <c r="AA275" s="583"/>
    </row>
    <row r="276" spans="1:27" ht="18.95" customHeight="1">
      <c r="A276" s="635"/>
      <c r="B276" s="422"/>
      <c r="C276" s="451"/>
      <c r="D276" s="452"/>
      <c r="E276" s="271"/>
      <c r="F276" s="281"/>
      <c r="G276" s="271"/>
      <c r="H276" s="271"/>
      <c r="I276" s="271"/>
      <c r="J276" s="271"/>
      <c r="K276" s="271"/>
      <c r="L276" s="271"/>
      <c r="M276" s="271"/>
      <c r="N276" s="268"/>
      <c r="O276" s="250">
        <v>0.93490804699999996</v>
      </c>
      <c r="P276" s="583"/>
      <c r="Q276" s="641"/>
      <c r="R276" s="583"/>
      <c r="S276" s="583"/>
      <c r="T276" s="583"/>
      <c r="U276" s="583"/>
      <c r="W276" s="641"/>
      <c r="X276" s="583"/>
      <c r="Y276" s="583"/>
      <c r="Z276" s="583"/>
      <c r="AA276" s="583"/>
    </row>
    <row r="277" spans="1:27" ht="18.95" customHeight="1">
      <c r="A277" s="639">
        <v>5</v>
      </c>
      <c r="B277" s="645" t="s">
        <v>1877</v>
      </c>
      <c r="C277" s="338"/>
      <c r="D277" s="167"/>
      <c r="E277" s="267"/>
      <c r="F277" s="356"/>
      <c r="G277" s="270"/>
      <c r="H277" s="270"/>
      <c r="I277" s="270"/>
      <c r="J277" s="267"/>
      <c r="K277" s="267"/>
      <c r="L277" s="270"/>
      <c r="M277" s="268"/>
      <c r="N277" s="268"/>
      <c r="O277" s="250">
        <v>0.93490804699999996</v>
      </c>
      <c r="P277" s="583"/>
      <c r="Q277" s="641"/>
      <c r="R277" s="583"/>
      <c r="S277" s="583"/>
      <c r="T277" s="583"/>
      <c r="U277" s="583"/>
      <c r="W277" s="641"/>
      <c r="X277" s="583"/>
      <c r="Y277" s="583"/>
      <c r="Z277" s="583"/>
      <c r="AA277" s="583"/>
    </row>
    <row r="278" spans="1:27" ht="18.95" customHeight="1">
      <c r="A278" s="632"/>
      <c r="B278" s="122">
        <v>5.0999999999999996</v>
      </c>
      <c r="C278" s="244" t="s">
        <v>2123</v>
      </c>
      <c r="D278" s="165"/>
      <c r="E278" s="267"/>
      <c r="F278" s="356"/>
      <c r="G278" s="270"/>
      <c r="H278" s="270"/>
      <c r="I278" s="270"/>
      <c r="J278" s="267"/>
      <c r="K278" s="267"/>
      <c r="L278" s="270"/>
      <c r="M278" s="268"/>
      <c r="N278" s="268"/>
      <c r="O278" s="250">
        <v>0.93490804699999996</v>
      </c>
      <c r="P278" s="577"/>
      <c r="Q278" s="641"/>
      <c r="R278" s="577"/>
      <c r="S278" s="583"/>
      <c r="T278" s="583"/>
      <c r="U278" s="583"/>
      <c r="W278" s="641"/>
      <c r="X278" s="583"/>
      <c r="Y278" s="583"/>
      <c r="Z278" s="583"/>
      <c r="AA278" s="583"/>
    </row>
    <row r="279" spans="1:27" ht="18.95" customHeight="1">
      <c r="A279" s="632"/>
      <c r="B279" s="638"/>
      <c r="C279" s="244" t="s">
        <v>2124</v>
      </c>
      <c r="D279" s="244"/>
      <c r="E279" s="269">
        <v>50</v>
      </c>
      <c r="F279" s="356" t="s">
        <v>402</v>
      </c>
      <c r="G279" s="269">
        <v>210</v>
      </c>
      <c r="H279" s="267">
        <f t="shared" ref="H279:H281" si="41">G279*O279</f>
        <v>196.33068986999999</v>
      </c>
      <c r="I279" s="284">
        <f t="shared" ref="I279:I331" si="42">E279*H279</f>
        <v>9816.5344934999994</v>
      </c>
      <c r="J279" s="269">
        <v>150</v>
      </c>
      <c r="K279" s="270">
        <f t="shared" ref="K279:K331" si="43">J279*O279</f>
        <v>140.23620704999999</v>
      </c>
      <c r="L279" s="270">
        <f t="shared" ref="L279:L331" si="44">E279*K279</f>
        <v>7011.8103524999997</v>
      </c>
      <c r="M279" s="269">
        <f>I279+L279</f>
        <v>16828.344846</v>
      </c>
      <c r="N279" s="269"/>
      <c r="O279" s="250">
        <v>0.93490804699999996</v>
      </c>
      <c r="P279" s="577"/>
      <c r="Q279" s="641"/>
      <c r="R279" s="583"/>
      <c r="S279" s="583"/>
      <c r="T279" s="577"/>
      <c r="U279" s="583"/>
      <c r="W279" s="641"/>
      <c r="X279" s="583"/>
      <c r="Y279" s="583"/>
      <c r="Z279" s="583"/>
      <c r="AA279" s="583"/>
    </row>
    <row r="280" spans="1:27" ht="18.95" customHeight="1">
      <c r="A280" s="632"/>
      <c r="B280" s="638"/>
      <c r="C280" s="244" t="s">
        <v>2125</v>
      </c>
      <c r="D280" s="244"/>
      <c r="E280" s="269">
        <v>4</v>
      </c>
      <c r="F280" s="356" t="s">
        <v>402</v>
      </c>
      <c r="G280" s="269">
        <v>336</v>
      </c>
      <c r="H280" s="267">
        <f t="shared" si="41"/>
        <v>314.12910379199997</v>
      </c>
      <c r="I280" s="284">
        <f t="shared" si="42"/>
        <v>1256.5164151679999</v>
      </c>
      <c r="J280" s="269">
        <v>150</v>
      </c>
      <c r="K280" s="270">
        <f t="shared" si="43"/>
        <v>140.23620704999999</v>
      </c>
      <c r="L280" s="270">
        <f t="shared" si="44"/>
        <v>560.94482819999996</v>
      </c>
      <c r="M280" s="269">
        <f>I280+L280</f>
        <v>1817.4612433679999</v>
      </c>
      <c r="N280" s="269"/>
      <c r="O280" s="250">
        <v>0.93490804699999996</v>
      </c>
      <c r="P280" s="577"/>
      <c r="Q280" s="641"/>
      <c r="R280" s="583"/>
      <c r="S280" s="583"/>
      <c r="T280" s="577"/>
      <c r="U280" s="583"/>
      <c r="W280" s="641"/>
      <c r="X280" s="583"/>
      <c r="Y280" s="583"/>
      <c r="Z280" s="583"/>
      <c r="AA280" s="583"/>
    </row>
    <row r="281" spans="1:27" ht="18.95" customHeight="1">
      <c r="A281" s="632"/>
      <c r="B281" s="638"/>
      <c r="C281" s="244" t="s">
        <v>2126</v>
      </c>
      <c r="D281" s="244"/>
      <c r="E281" s="269">
        <v>2</v>
      </c>
      <c r="F281" s="356" t="s">
        <v>402</v>
      </c>
      <c r="G281" s="269">
        <v>600</v>
      </c>
      <c r="H281" s="267">
        <f t="shared" si="41"/>
        <v>560.94482819999996</v>
      </c>
      <c r="I281" s="284">
        <f t="shared" si="42"/>
        <v>1121.8896563999999</v>
      </c>
      <c r="J281" s="269">
        <v>150</v>
      </c>
      <c r="K281" s="270">
        <f t="shared" si="43"/>
        <v>140.23620704999999</v>
      </c>
      <c r="L281" s="270">
        <f t="shared" si="44"/>
        <v>280.47241409999998</v>
      </c>
      <c r="M281" s="269">
        <f>I281+L281</f>
        <v>1402.3620704999998</v>
      </c>
      <c r="N281" s="269"/>
      <c r="O281" s="250">
        <v>0.93490804699999996</v>
      </c>
      <c r="P281" s="577"/>
      <c r="Q281" s="641"/>
      <c r="R281" s="583"/>
      <c r="S281" s="583"/>
      <c r="T281" s="577"/>
      <c r="U281" s="583"/>
      <c r="W281" s="641"/>
      <c r="X281" s="583"/>
      <c r="Y281" s="583"/>
      <c r="Z281" s="583"/>
      <c r="AA281" s="583"/>
    </row>
    <row r="282" spans="1:27" ht="18.95" customHeight="1">
      <c r="A282" s="632"/>
      <c r="B282" s="122">
        <v>5.2</v>
      </c>
      <c r="C282" s="244" t="s">
        <v>2127</v>
      </c>
      <c r="D282" s="165"/>
      <c r="E282" s="267"/>
      <c r="F282" s="356"/>
      <c r="G282" s="269"/>
      <c r="H282" s="269"/>
      <c r="I282" s="284"/>
      <c r="J282" s="267"/>
      <c r="K282" s="270"/>
      <c r="L282" s="270"/>
      <c r="M282" s="268"/>
      <c r="N282" s="268"/>
      <c r="O282" s="250">
        <v>0.93490804699999996</v>
      </c>
      <c r="P282" s="577"/>
      <c r="Q282" s="641"/>
      <c r="R282" s="583"/>
      <c r="S282" s="583"/>
      <c r="T282" s="577"/>
      <c r="U282" s="583"/>
      <c r="W282" s="641"/>
      <c r="X282" s="583"/>
      <c r="Y282" s="583"/>
      <c r="Z282" s="583"/>
      <c r="AA282" s="583"/>
    </row>
    <row r="283" spans="1:27" ht="18.95" customHeight="1">
      <c r="A283" s="632"/>
      <c r="B283" s="638"/>
      <c r="C283" s="244" t="s">
        <v>2128</v>
      </c>
      <c r="D283" s="165"/>
      <c r="E283" s="269">
        <v>1</v>
      </c>
      <c r="F283" s="648" t="s">
        <v>402</v>
      </c>
      <c r="G283" s="269">
        <v>832</v>
      </c>
      <c r="H283" s="267">
        <f t="shared" ref="H283:H331" si="45">G283*O283</f>
        <v>777.843495104</v>
      </c>
      <c r="I283" s="284">
        <f t="shared" si="42"/>
        <v>777.843495104</v>
      </c>
      <c r="J283" s="269">
        <v>150</v>
      </c>
      <c r="K283" s="270">
        <f t="shared" si="43"/>
        <v>140.23620704999999</v>
      </c>
      <c r="L283" s="270">
        <f t="shared" si="44"/>
        <v>140.23620704999999</v>
      </c>
      <c r="M283" s="269">
        <f>I283+L283</f>
        <v>918.07970215399996</v>
      </c>
      <c r="N283" s="269"/>
      <c r="O283" s="250">
        <v>0.93490804699999996</v>
      </c>
      <c r="P283" s="577"/>
      <c r="Q283" s="641"/>
      <c r="R283" s="583"/>
      <c r="S283" s="583"/>
      <c r="T283" s="577"/>
      <c r="U283" s="583"/>
      <c r="W283" s="641"/>
      <c r="X283" s="583"/>
      <c r="Y283" s="583"/>
      <c r="Z283" s="583"/>
      <c r="AA283" s="583"/>
    </row>
    <row r="284" spans="1:27" ht="18.95" customHeight="1">
      <c r="A284" s="632"/>
      <c r="B284" s="638"/>
      <c r="C284" s="244" t="s">
        <v>2126</v>
      </c>
      <c r="D284" s="165"/>
      <c r="E284" s="269">
        <v>13</v>
      </c>
      <c r="F284" s="356" t="s">
        <v>402</v>
      </c>
      <c r="G284" s="269">
        <v>650</v>
      </c>
      <c r="H284" s="267">
        <f t="shared" si="45"/>
        <v>607.69023055000002</v>
      </c>
      <c r="I284" s="284">
        <f t="shared" si="42"/>
        <v>7899.9729971500001</v>
      </c>
      <c r="J284" s="269">
        <v>150</v>
      </c>
      <c r="K284" s="270">
        <f t="shared" si="43"/>
        <v>140.23620704999999</v>
      </c>
      <c r="L284" s="270">
        <f t="shared" si="44"/>
        <v>1823.0706916499998</v>
      </c>
      <c r="M284" s="269">
        <f>I284+L284</f>
        <v>9723.0436888000004</v>
      </c>
      <c r="N284" s="269"/>
      <c r="O284" s="250">
        <v>0.93490804699999996</v>
      </c>
      <c r="P284" s="577"/>
      <c r="Q284" s="641"/>
      <c r="R284" s="583"/>
      <c r="S284" s="583"/>
      <c r="T284" s="577"/>
      <c r="U284" s="583"/>
      <c r="W284" s="641"/>
      <c r="X284" s="583"/>
      <c r="Y284" s="583"/>
      <c r="Z284" s="583"/>
      <c r="AA284" s="583"/>
    </row>
    <row r="285" spans="1:27" ht="18.95" customHeight="1">
      <c r="A285" s="632"/>
      <c r="B285" s="638"/>
      <c r="C285" s="244" t="s">
        <v>2129</v>
      </c>
      <c r="D285" s="165"/>
      <c r="E285" s="269">
        <v>20</v>
      </c>
      <c r="F285" s="356" t="s">
        <v>402</v>
      </c>
      <c r="G285" s="269">
        <v>539.5</v>
      </c>
      <c r="H285" s="267">
        <f t="shared" si="45"/>
        <v>504.38289135649995</v>
      </c>
      <c r="I285" s="284">
        <f t="shared" si="42"/>
        <v>10087.657827129999</v>
      </c>
      <c r="J285" s="269">
        <v>150</v>
      </c>
      <c r="K285" s="270">
        <f t="shared" si="43"/>
        <v>140.23620704999999</v>
      </c>
      <c r="L285" s="270">
        <f t="shared" si="44"/>
        <v>2804.7241409999997</v>
      </c>
      <c r="M285" s="269">
        <f>I285+L285</f>
        <v>12892.381968129997</v>
      </c>
      <c r="N285" s="269"/>
      <c r="O285" s="250">
        <v>0.93490804699999996</v>
      </c>
      <c r="P285" s="577"/>
      <c r="Q285" s="641"/>
      <c r="R285" s="583"/>
      <c r="S285" s="583"/>
      <c r="T285" s="577"/>
      <c r="U285" s="583"/>
      <c r="W285" s="641"/>
      <c r="X285" s="583"/>
      <c r="Y285" s="583"/>
      <c r="Z285" s="583"/>
      <c r="AA285" s="583"/>
    </row>
    <row r="286" spans="1:27" ht="18.95" customHeight="1">
      <c r="A286" s="632"/>
      <c r="B286" s="638"/>
      <c r="C286" s="244" t="s">
        <v>2130</v>
      </c>
      <c r="D286" s="165"/>
      <c r="E286" s="269">
        <v>13</v>
      </c>
      <c r="F286" s="356" t="s">
        <v>402</v>
      </c>
      <c r="G286" s="269">
        <v>500.5</v>
      </c>
      <c r="H286" s="267">
        <f t="shared" si="45"/>
        <v>467.92147752349996</v>
      </c>
      <c r="I286" s="284">
        <f t="shared" si="42"/>
        <v>6082.9792078054998</v>
      </c>
      <c r="J286" s="269">
        <v>150</v>
      </c>
      <c r="K286" s="270">
        <f t="shared" si="43"/>
        <v>140.23620704999999</v>
      </c>
      <c r="L286" s="270">
        <f t="shared" si="44"/>
        <v>1823.0706916499998</v>
      </c>
      <c r="M286" s="269">
        <f>I286+L286</f>
        <v>7906.0498994555001</v>
      </c>
      <c r="N286" s="269"/>
      <c r="O286" s="250">
        <v>0.93490804699999996</v>
      </c>
      <c r="P286" s="577"/>
      <c r="Q286" s="641"/>
      <c r="R286" s="583"/>
      <c r="S286" s="583"/>
      <c r="T286" s="577"/>
      <c r="U286" s="583"/>
      <c r="W286" s="641"/>
      <c r="X286" s="583"/>
      <c r="Y286" s="583"/>
      <c r="Z286" s="583"/>
      <c r="AA286" s="583"/>
    </row>
    <row r="287" spans="1:27" ht="18.95" customHeight="1">
      <c r="A287" s="632"/>
      <c r="B287" s="638"/>
      <c r="C287" s="244" t="s">
        <v>2125</v>
      </c>
      <c r="D287" s="165"/>
      <c r="E287" s="269">
        <v>13</v>
      </c>
      <c r="F287" s="356" t="s">
        <v>402</v>
      </c>
      <c r="G287" s="269">
        <v>364</v>
      </c>
      <c r="H287" s="267">
        <f t="shared" si="45"/>
        <v>340.30652910800001</v>
      </c>
      <c r="I287" s="284">
        <f t="shared" si="42"/>
        <v>4423.9848784040005</v>
      </c>
      <c r="J287" s="269">
        <v>150</v>
      </c>
      <c r="K287" s="270">
        <f t="shared" si="43"/>
        <v>140.23620704999999</v>
      </c>
      <c r="L287" s="270">
        <f t="shared" si="44"/>
        <v>1823.0706916499998</v>
      </c>
      <c r="M287" s="269">
        <f>I287+L287</f>
        <v>6247.0555700540008</v>
      </c>
      <c r="N287" s="269"/>
      <c r="O287" s="250">
        <v>0.93490804699999996</v>
      </c>
      <c r="P287" s="577"/>
      <c r="Q287" s="641"/>
      <c r="R287" s="583"/>
      <c r="S287" s="583"/>
      <c r="T287" s="577"/>
      <c r="U287" s="583"/>
      <c r="W287" s="641"/>
      <c r="X287" s="583"/>
      <c r="Y287" s="583"/>
      <c r="Z287" s="583"/>
      <c r="AA287" s="583"/>
    </row>
    <row r="288" spans="1:27" ht="18.95" customHeight="1">
      <c r="A288" s="632"/>
      <c r="B288" s="122">
        <v>5.3</v>
      </c>
      <c r="C288" s="244" t="s">
        <v>2131</v>
      </c>
      <c r="D288" s="165"/>
      <c r="E288" s="267"/>
      <c r="F288" s="356"/>
      <c r="G288" s="269"/>
      <c r="H288" s="267"/>
      <c r="I288" s="284"/>
      <c r="J288" s="269"/>
      <c r="K288" s="270"/>
      <c r="L288" s="270"/>
      <c r="M288" s="269"/>
      <c r="N288" s="268"/>
      <c r="O288" s="250">
        <v>0.93490804699999996</v>
      </c>
      <c r="P288" s="577"/>
      <c r="Q288" s="641"/>
      <c r="R288" s="583"/>
      <c r="S288" s="583"/>
      <c r="T288" s="577"/>
      <c r="U288" s="583"/>
      <c r="W288" s="641"/>
      <c r="X288" s="583"/>
      <c r="Y288" s="583"/>
      <c r="Z288" s="583"/>
      <c r="AA288" s="583"/>
    </row>
    <row r="289" spans="1:27" ht="18.95" customHeight="1">
      <c r="A289" s="632"/>
      <c r="B289" s="122"/>
      <c r="C289" s="244" t="s">
        <v>2132</v>
      </c>
      <c r="D289" s="165"/>
      <c r="E289" s="269">
        <v>1</v>
      </c>
      <c r="F289" s="648" t="s">
        <v>402</v>
      </c>
      <c r="G289" s="269">
        <v>1836</v>
      </c>
      <c r="H289" s="267">
        <f t="shared" si="45"/>
        <v>1716.4911742919999</v>
      </c>
      <c r="I289" s="284">
        <f t="shared" si="42"/>
        <v>1716.4911742919999</v>
      </c>
      <c r="J289" s="269">
        <v>150</v>
      </c>
      <c r="K289" s="270">
        <f t="shared" si="43"/>
        <v>140.23620704999999</v>
      </c>
      <c r="L289" s="270">
        <f t="shared" si="44"/>
        <v>140.23620704999999</v>
      </c>
      <c r="M289" s="269">
        <f>I289+L289</f>
        <v>1856.7273813419999</v>
      </c>
      <c r="N289" s="269"/>
      <c r="O289" s="250">
        <v>0.93490804699999996</v>
      </c>
      <c r="P289" s="577"/>
      <c r="Q289" s="641"/>
      <c r="R289" s="583"/>
      <c r="S289" s="583"/>
      <c r="T289" s="577"/>
      <c r="U289" s="583"/>
      <c r="W289" s="641"/>
      <c r="X289" s="583"/>
      <c r="Y289" s="583"/>
      <c r="Z289" s="583"/>
      <c r="AA289" s="583"/>
    </row>
    <row r="290" spans="1:27" ht="18.95" customHeight="1">
      <c r="A290" s="632"/>
      <c r="B290" s="122"/>
      <c r="C290" s="244" t="s">
        <v>2133</v>
      </c>
      <c r="D290" s="165"/>
      <c r="E290" s="269">
        <v>1</v>
      </c>
      <c r="F290" s="648" t="s">
        <v>402</v>
      </c>
      <c r="G290" s="269">
        <v>1116</v>
      </c>
      <c r="H290" s="267">
        <f t="shared" si="45"/>
        <v>1043.3573804519999</v>
      </c>
      <c r="I290" s="284">
        <f t="shared" si="42"/>
        <v>1043.3573804519999</v>
      </c>
      <c r="J290" s="269">
        <v>150</v>
      </c>
      <c r="K290" s="270">
        <f t="shared" si="43"/>
        <v>140.23620704999999</v>
      </c>
      <c r="L290" s="270">
        <f t="shared" si="44"/>
        <v>140.23620704999999</v>
      </c>
      <c r="M290" s="269">
        <f>I290+L290</f>
        <v>1183.593587502</v>
      </c>
      <c r="N290" s="269"/>
      <c r="O290" s="250">
        <v>0.93490804699999996</v>
      </c>
      <c r="P290" s="577"/>
      <c r="Q290" s="641"/>
      <c r="R290" s="583"/>
      <c r="S290" s="583"/>
      <c r="T290" s="577"/>
      <c r="U290" s="583"/>
      <c r="W290" s="641"/>
      <c r="X290" s="583"/>
      <c r="Y290" s="583"/>
      <c r="Z290" s="583"/>
      <c r="AA290" s="583"/>
    </row>
    <row r="291" spans="1:27" ht="18.95" customHeight="1">
      <c r="A291" s="632"/>
      <c r="B291" s="122"/>
      <c r="C291" s="244" t="s">
        <v>2134</v>
      </c>
      <c r="D291" s="165"/>
      <c r="E291" s="269">
        <v>1</v>
      </c>
      <c r="F291" s="648" t="s">
        <v>402</v>
      </c>
      <c r="G291" s="269">
        <v>876</v>
      </c>
      <c r="H291" s="267">
        <f t="shared" si="45"/>
        <v>818.97944917199993</v>
      </c>
      <c r="I291" s="284">
        <f t="shared" si="42"/>
        <v>818.97944917199993</v>
      </c>
      <c r="J291" s="269">
        <v>150</v>
      </c>
      <c r="K291" s="270">
        <f t="shared" si="43"/>
        <v>140.23620704999999</v>
      </c>
      <c r="L291" s="270">
        <f t="shared" si="44"/>
        <v>140.23620704999999</v>
      </c>
      <c r="M291" s="269">
        <f>I291+L291</f>
        <v>959.21565622199989</v>
      </c>
      <c r="N291" s="269"/>
      <c r="O291" s="250">
        <v>0.93490804699999996</v>
      </c>
      <c r="P291" s="577"/>
      <c r="Q291" s="641"/>
      <c r="R291" s="583"/>
      <c r="S291" s="583"/>
      <c r="T291" s="577"/>
      <c r="U291" s="583"/>
      <c r="W291" s="641"/>
      <c r="X291" s="583"/>
      <c r="Y291" s="583"/>
      <c r="Z291" s="583"/>
      <c r="AA291" s="583"/>
    </row>
    <row r="292" spans="1:27" ht="18.95" customHeight="1">
      <c r="A292" s="632"/>
      <c r="B292" s="638"/>
      <c r="C292" s="244" t="s">
        <v>2135</v>
      </c>
      <c r="D292" s="165"/>
      <c r="E292" s="269">
        <v>1</v>
      </c>
      <c r="F292" s="648" t="s">
        <v>402</v>
      </c>
      <c r="G292" s="269">
        <v>1794</v>
      </c>
      <c r="H292" s="267">
        <f t="shared" si="45"/>
        <v>1677.2250363179999</v>
      </c>
      <c r="I292" s="284">
        <f t="shared" si="42"/>
        <v>1677.2250363179999</v>
      </c>
      <c r="J292" s="269">
        <v>150</v>
      </c>
      <c r="K292" s="270">
        <f t="shared" si="43"/>
        <v>140.23620704999999</v>
      </c>
      <c r="L292" s="270">
        <f t="shared" si="44"/>
        <v>140.23620704999999</v>
      </c>
      <c r="M292" s="269">
        <f>I292+L292</f>
        <v>1817.4612433679999</v>
      </c>
      <c r="N292" s="269"/>
      <c r="O292" s="250">
        <v>0.93490804699999996</v>
      </c>
      <c r="P292" s="577"/>
      <c r="Q292" s="641"/>
      <c r="R292" s="583"/>
      <c r="S292" s="583"/>
      <c r="T292" s="577"/>
      <c r="U292" s="583"/>
      <c r="W292" s="641"/>
      <c r="X292" s="583"/>
      <c r="Y292" s="583"/>
      <c r="Z292" s="583"/>
      <c r="AA292" s="583"/>
    </row>
    <row r="293" spans="1:27" ht="18.95" customHeight="1">
      <c r="A293" s="632"/>
      <c r="B293" s="122">
        <v>5.4</v>
      </c>
      <c r="C293" s="244" t="s">
        <v>2136</v>
      </c>
      <c r="D293" s="165"/>
      <c r="E293" s="267"/>
      <c r="F293" s="356"/>
      <c r="G293" s="269"/>
      <c r="H293" s="267"/>
      <c r="I293" s="284"/>
      <c r="J293" s="269"/>
      <c r="K293" s="270"/>
      <c r="L293" s="270"/>
      <c r="M293" s="269"/>
      <c r="N293" s="268"/>
      <c r="O293" s="250">
        <v>0.93490804699999996</v>
      </c>
      <c r="P293" s="577"/>
      <c r="Q293" s="641"/>
      <c r="R293" s="583"/>
      <c r="S293" s="583"/>
      <c r="T293" s="577"/>
      <c r="U293" s="583"/>
      <c r="W293" s="641"/>
      <c r="X293" s="583"/>
      <c r="Y293" s="583"/>
      <c r="Z293" s="583"/>
      <c r="AA293" s="583"/>
    </row>
    <row r="294" spans="1:27" ht="18.95" customHeight="1">
      <c r="A294" s="632"/>
      <c r="B294" s="122"/>
      <c r="C294" s="244" t="s">
        <v>2137</v>
      </c>
      <c r="D294" s="165"/>
      <c r="E294" s="269">
        <v>2</v>
      </c>
      <c r="F294" s="648" t="s">
        <v>402</v>
      </c>
      <c r="G294" s="269">
        <v>2334</v>
      </c>
      <c r="H294" s="267">
        <f t="shared" si="45"/>
        <v>2182.075381698</v>
      </c>
      <c r="I294" s="284">
        <f t="shared" si="42"/>
        <v>4364.150763396</v>
      </c>
      <c r="J294" s="269">
        <v>150</v>
      </c>
      <c r="K294" s="270">
        <f t="shared" si="43"/>
        <v>140.23620704999999</v>
      </c>
      <c r="L294" s="270">
        <f t="shared" si="44"/>
        <v>280.47241409999998</v>
      </c>
      <c r="M294" s="269">
        <f>I294+L294</f>
        <v>4644.6231774959997</v>
      </c>
      <c r="N294" s="269"/>
      <c r="O294" s="250">
        <v>0.93490804699999996</v>
      </c>
      <c r="P294" s="577"/>
      <c r="Q294" s="641"/>
      <c r="R294" s="583"/>
      <c r="S294" s="583"/>
      <c r="T294" s="577"/>
      <c r="U294" s="583"/>
      <c r="W294" s="641"/>
      <c r="X294" s="583"/>
      <c r="Y294" s="583"/>
      <c r="Z294" s="583"/>
      <c r="AA294" s="583"/>
    </row>
    <row r="295" spans="1:27" ht="18.95" customHeight="1">
      <c r="A295" s="632"/>
      <c r="B295" s="122"/>
      <c r="C295" s="244" t="s">
        <v>2138</v>
      </c>
      <c r="D295" s="165"/>
      <c r="E295" s="269">
        <v>2</v>
      </c>
      <c r="F295" s="648" t="s">
        <v>402</v>
      </c>
      <c r="G295" s="269">
        <v>1458</v>
      </c>
      <c r="H295" s="267">
        <f t="shared" si="45"/>
        <v>1363.0959325259998</v>
      </c>
      <c r="I295" s="284">
        <f t="shared" si="42"/>
        <v>2726.1918650519997</v>
      </c>
      <c r="J295" s="269">
        <v>150</v>
      </c>
      <c r="K295" s="270">
        <f t="shared" si="43"/>
        <v>140.23620704999999</v>
      </c>
      <c r="L295" s="270">
        <f t="shared" si="44"/>
        <v>280.47241409999998</v>
      </c>
      <c r="M295" s="269">
        <f>I295+L295</f>
        <v>3006.6642791519998</v>
      </c>
      <c r="N295" s="269"/>
      <c r="O295" s="250">
        <v>0.93490804699999996</v>
      </c>
      <c r="P295" s="577"/>
      <c r="Q295" s="641"/>
      <c r="R295" s="583"/>
      <c r="S295" s="583"/>
      <c r="T295" s="577"/>
      <c r="U295" s="583"/>
      <c r="W295" s="641"/>
      <c r="X295" s="583"/>
      <c r="Y295" s="583"/>
      <c r="Z295" s="583"/>
      <c r="AA295" s="583"/>
    </row>
    <row r="296" spans="1:27" ht="18.95" customHeight="1">
      <c r="A296" s="632"/>
      <c r="B296" s="122"/>
      <c r="C296" s="244" t="s">
        <v>2139</v>
      </c>
      <c r="D296" s="165"/>
      <c r="E296" s="269">
        <v>14</v>
      </c>
      <c r="F296" s="648" t="s">
        <v>402</v>
      </c>
      <c r="G296" s="269">
        <v>648</v>
      </c>
      <c r="H296" s="267">
        <f t="shared" si="45"/>
        <v>605.82041445599998</v>
      </c>
      <c r="I296" s="284">
        <f t="shared" si="42"/>
        <v>8481.4858023839988</v>
      </c>
      <c r="J296" s="269">
        <v>150</v>
      </c>
      <c r="K296" s="270">
        <f t="shared" si="43"/>
        <v>140.23620704999999</v>
      </c>
      <c r="L296" s="270">
        <f t="shared" si="44"/>
        <v>1963.3068986999999</v>
      </c>
      <c r="M296" s="269">
        <f>I296+L296</f>
        <v>10444.792701083999</v>
      </c>
      <c r="N296" s="269"/>
      <c r="O296" s="250">
        <v>0.93490804699999996</v>
      </c>
      <c r="P296" s="577"/>
      <c r="Q296" s="641"/>
      <c r="R296" s="583"/>
      <c r="S296" s="583"/>
      <c r="T296" s="577"/>
      <c r="U296" s="583"/>
      <c r="W296" s="641"/>
      <c r="X296" s="583"/>
      <c r="Y296" s="583"/>
      <c r="Z296" s="583"/>
      <c r="AA296" s="583"/>
    </row>
    <row r="297" spans="1:27" ht="18.95" customHeight="1">
      <c r="A297" s="632"/>
      <c r="B297" s="122">
        <v>5.5</v>
      </c>
      <c r="C297" s="244" t="s">
        <v>2140</v>
      </c>
      <c r="D297" s="165"/>
      <c r="E297" s="267"/>
      <c r="F297" s="356"/>
      <c r="G297" s="269"/>
      <c r="H297" s="267"/>
      <c r="I297" s="284"/>
      <c r="J297" s="269"/>
      <c r="K297" s="270"/>
      <c r="L297" s="270"/>
      <c r="M297" s="269"/>
      <c r="N297" s="268"/>
      <c r="O297" s="250">
        <v>0.93490804699999996</v>
      </c>
      <c r="P297" s="577"/>
      <c r="Q297" s="641"/>
      <c r="R297" s="583"/>
      <c r="S297" s="583"/>
      <c r="T297" s="577"/>
      <c r="U297" s="583"/>
      <c r="W297" s="641"/>
      <c r="X297" s="583"/>
      <c r="Y297" s="583"/>
      <c r="Z297" s="583"/>
      <c r="AA297" s="583"/>
    </row>
    <row r="298" spans="1:27" ht="18.95" customHeight="1">
      <c r="A298" s="632"/>
      <c r="B298" s="122"/>
      <c r="C298" s="244" t="s">
        <v>2141</v>
      </c>
      <c r="D298" s="165"/>
      <c r="E298" s="269">
        <v>2</v>
      </c>
      <c r="F298" s="648" t="s">
        <v>402</v>
      </c>
      <c r="G298" s="269">
        <v>1236</v>
      </c>
      <c r="H298" s="267">
        <f t="shared" si="45"/>
        <v>1155.546346092</v>
      </c>
      <c r="I298" s="284">
        <f t="shared" si="42"/>
        <v>2311.092692184</v>
      </c>
      <c r="J298" s="269">
        <v>150</v>
      </c>
      <c r="K298" s="270">
        <f t="shared" si="43"/>
        <v>140.23620704999999</v>
      </c>
      <c r="L298" s="270">
        <f t="shared" si="44"/>
        <v>280.47241409999998</v>
      </c>
      <c r="M298" s="269">
        <f t="shared" ref="M298:M313" si="46">I298+L298</f>
        <v>2591.5651062840002</v>
      </c>
      <c r="N298" s="269"/>
      <c r="O298" s="250">
        <v>0.93490804699999996</v>
      </c>
      <c r="P298" s="577"/>
      <c r="Q298" s="641"/>
      <c r="R298" s="583"/>
      <c r="S298" s="583"/>
      <c r="T298" s="577"/>
      <c r="U298" s="583"/>
      <c r="W298" s="641"/>
      <c r="X298" s="583"/>
      <c r="Y298" s="583"/>
      <c r="Z298" s="583"/>
      <c r="AA298" s="583"/>
    </row>
    <row r="299" spans="1:27" ht="18.95" customHeight="1">
      <c r="A299" s="632"/>
      <c r="B299" s="122"/>
      <c r="C299" s="244" t="s">
        <v>2142</v>
      </c>
      <c r="D299" s="165"/>
      <c r="E299" s="269">
        <v>2</v>
      </c>
      <c r="F299" s="648" t="s">
        <v>402</v>
      </c>
      <c r="G299" s="269">
        <v>1032</v>
      </c>
      <c r="H299" s="267">
        <f t="shared" si="45"/>
        <v>964.82510450399991</v>
      </c>
      <c r="I299" s="284">
        <f t="shared" si="42"/>
        <v>1929.6502090079998</v>
      </c>
      <c r="J299" s="269">
        <v>150</v>
      </c>
      <c r="K299" s="270">
        <f t="shared" si="43"/>
        <v>140.23620704999999</v>
      </c>
      <c r="L299" s="270">
        <f t="shared" si="44"/>
        <v>280.47241409999998</v>
      </c>
      <c r="M299" s="269">
        <f t="shared" si="46"/>
        <v>2210.122623108</v>
      </c>
      <c r="N299" s="269"/>
      <c r="O299" s="250">
        <v>0.93490804699999996</v>
      </c>
      <c r="P299" s="577"/>
      <c r="Q299" s="641"/>
      <c r="R299" s="583"/>
      <c r="S299" s="583"/>
      <c r="T299" s="577"/>
      <c r="U299" s="583"/>
      <c r="W299" s="641"/>
      <c r="X299" s="583"/>
      <c r="Y299" s="583"/>
      <c r="Z299" s="583"/>
      <c r="AA299" s="583"/>
    </row>
    <row r="300" spans="1:27" ht="18.95" customHeight="1">
      <c r="A300" s="632"/>
      <c r="B300" s="122"/>
      <c r="C300" s="244" t="s">
        <v>2143</v>
      </c>
      <c r="D300" s="165"/>
      <c r="E300" s="269">
        <v>1</v>
      </c>
      <c r="F300" s="648" t="s">
        <v>402</v>
      </c>
      <c r="G300" s="269">
        <v>1422</v>
      </c>
      <c r="H300" s="267">
        <f t="shared" si="45"/>
        <v>1329.439242834</v>
      </c>
      <c r="I300" s="284">
        <f t="shared" si="42"/>
        <v>1329.439242834</v>
      </c>
      <c r="J300" s="269">
        <v>150</v>
      </c>
      <c r="K300" s="270">
        <f t="shared" si="43"/>
        <v>140.23620704999999</v>
      </c>
      <c r="L300" s="270">
        <f t="shared" si="44"/>
        <v>140.23620704999999</v>
      </c>
      <c r="M300" s="269">
        <f t="shared" si="46"/>
        <v>1469.675449884</v>
      </c>
      <c r="N300" s="269"/>
      <c r="O300" s="250">
        <v>0.93490804699999996</v>
      </c>
      <c r="P300" s="577"/>
      <c r="Q300" s="641"/>
      <c r="R300" s="583"/>
      <c r="S300" s="583"/>
      <c r="T300" s="577"/>
      <c r="U300" s="583"/>
      <c r="W300" s="641"/>
      <c r="X300" s="583"/>
      <c r="Y300" s="583"/>
      <c r="Z300" s="583"/>
      <c r="AA300" s="583"/>
    </row>
    <row r="301" spans="1:27" ht="18.95" customHeight="1">
      <c r="A301" s="632"/>
      <c r="B301" s="122"/>
      <c r="C301" s="244" t="s">
        <v>2144</v>
      </c>
      <c r="D301" s="165"/>
      <c r="E301" s="269">
        <v>4</v>
      </c>
      <c r="F301" s="648" t="s">
        <v>402</v>
      </c>
      <c r="G301" s="269">
        <v>684</v>
      </c>
      <c r="H301" s="267">
        <f t="shared" si="45"/>
        <v>639.47710414799997</v>
      </c>
      <c r="I301" s="284">
        <f t="shared" si="42"/>
        <v>2557.9084165919999</v>
      </c>
      <c r="J301" s="269">
        <v>150</v>
      </c>
      <c r="K301" s="270">
        <f t="shared" si="43"/>
        <v>140.23620704999999</v>
      </c>
      <c r="L301" s="270">
        <f t="shared" si="44"/>
        <v>560.94482819999996</v>
      </c>
      <c r="M301" s="269">
        <f t="shared" si="46"/>
        <v>3118.8532447919997</v>
      </c>
      <c r="N301" s="269"/>
      <c r="O301" s="250">
        <v>0.93490804699999996</v>
      </c>
      <c r="P301" s="577"/>
      <c r="Q301" s="641"/>
      <c r="R301" s="583"/>
      <c r="S301" s="583"/>
      <c r="T301" s="577"/>
      <c r="U301" s="583"/>
      <c r="W301" s="641"/>
      <c r="X301" s="583"/>
      <c r="Y301" s="583"/>
      <c r="Z301" s="583"/>
      <c r="AA301" s="583"/>
    </row>
    <row r="302" spans="1:27" ht="18.95" customHeight="1">
      <c r="A302" s="632"/>
      <c r="B302" s="122"/>
      <c r="C302" s="244" t="s">
        <v>2145</v>
      </c>
      <c r="D302" s="165"/>
      <c r="E302" s="269">
        <v>1</v>
      </c>
      <c r="F302" s="648" t="s">
        <v>402</v>
      </c>
      <c r="G302" s="269">
        <v>834</v>
      </c>
      <c r="H302" s="267">
        <f t="shared" si="45"/>
        <v>779.71331119799993</v>
      </c>
      <c r="I302" s="284">
        <f t="shared" si="42"/>
        <v>779.71331119799993</v>
      </c>
      <c r="J302" s="269">
        <v>150</v>
      </c>
      <c r="K302" s="270">
        <f t="shared" si="43"/>
        <v>140.23620704999999</v>
      </c>
      <c r="L302" s="270">
        <f t="shared" si="44"/>
        <v>140.23620704999999</v>
      </c>
      <c r="M302" s="269">
        <f t="shared" si="46"/>
        <v>919.94951824799989</v>
      </c>
      <c r="N302" s="269"/>
      <c r="O302" s="250">
        <v>0.93490804699999996</v>
      </c>
      <c r="P302" s="577"/>
      <c r="Q302" s="641"/>
      <c r="R302" s="583"/>
      <c r="S302" s="583"/>
      <c r="T302" s="577"/>
      <c r="U302" s="583"/>
      <c r="W302" s="641"/>
      <c r="X302" s="583"/>
      <c r="Y302" s="583"/>
      <c r="Z302" s="583"/>
      <c r="AA302" s="583"/>
    </row>
    <row r="303" spans="1:27" ht="18.95" customHeight="1">
      <c r="A303" s="632"/>
      <c r="B303" s="122"/>
      <c r="C303" s="244"/>
      <c r="D303" s="165"/>
      <c r="E303" s="269"/>
      <c r="F303" s="648"/>
      <c r="G303" s="269"/>
      <c r="H303" s="267"/>
      <c r="I303" s="284"/>
      <c r="J303" s="269"/>
      <c r="K303" s="270"/>
      <c r="L303" s="270"/>
      <c r="M303" s="269"/>
      <c r="N303" s="269"/>
      <c r="P303" s="577"/>
      <c r="Q303" s="641"/>
      <c r="R303" s="583"/>
      <c r="S303" s="583"/>
      <c r="T303" s="577"/>
      <c r="U303" s="583"/>
      <c r="W303" s="641"/>
      <c r="X303" s="583"/>
      <c r="Y303" s="583"/>
      <c r="Z303" s="583"/>
      <c r="AA303" s="583"/>
    </row>
    <row r="304" spans="1:27" ht="18.95" customHeight="1">
      <c r="A304" s="632"/>
      <c r="B304" s="122"/>
      <c r="C304" s="244"/>
      <c r="D304" s="165"/>
      <c r="E304" s="269"/>
      <c r="F304" s="648"/>
      <c r="G304" s="269"/>
      <c r="H304" s="267"/>
      <c r="I304" s="284"/>
      <c r="J304" s="269"/>
      <c r="K304" s="270"/>
      <c r="L304" s="270"/>
      <c r="M304" s="269"/>
      <c r="N304" s="269"/>
      <c r="P304" s="577"/>
      <c r="Q304" s="641"/>
      <c r="R304" s="583"/>
      <c r="S304" s="583"/>
      <c r="T304" s="577"/>
      <c r="U304" s="583"/>
      <c r="W304" s="641"/>
      <c r="X304" s="583"/>
      <c r="Y304" s="583"/>
      <c r="Z304" s="583"/>
      <c r="AA304" s="583"/>
    </row>
    <row r="305" spans="1:27" ht="18.95" customHeight="1">
      <c r="A305" s="632"/>
      <c r="B305" s="122"/>
      <c r="C305" s="244"/>
      <c r="D305" s="165"/>
      <c r="E305" s="269"/>
      <c r="F305" s="648"/>
      <c r="G305" s="269"/>
      <c r="H305" s="267"/>
      <c r="I305" s="284"/>
      <c r="J305" s="269"/>
      <c r="K305" s="270"/>
      <c r="L305" s="270"/>
      <c r="M305" s="269"/>
      <c r="N305" s="269"/>
      <c r="P305" s="577"/>
      <c r="Q305" s="641"/>
      <c r="R305" s="583"/>
      <c r="S305" s="583"/>
      <c r="T305" s="577"/>
      <c r="U305" s="583"/>
      <c r="W305" s="641"/>
      <c r="X305" s="583"/>
      <c r="Y305" s="583"/>
      <c r="Z305" s="583"/>
      <c r="AA305" s="583"/>
    </row>
    <row r="306" spans="1:27" ht="18.95" customHeight="1">
      <c r="A306" s="632"/>
      <c r="B306" s="122"/>
      <c r="C306" s="244"/>
      <c r="D306" s="165"/>
      <c r="E306" s="269"/>
      <c r="F306" s="648"/>
      <c r="G306" s="269"/>
      <c r="H306" s="267"/>
      <c r="I306" s="284"/>
      <c r="J306" s="269"/>
      <c r="K306" s="270"/>
      <c r="L306" s="270"/>
      <c r="M306" s="269"/>
      <c r="N306" s="269"/>
      <c r="P306" s="577"/>
      <c r="Q306" s="641"/>
      <c r="R306" s="583"/>
      <c r="S306" s="583"/>
      <c r="T306" s="577"/>
      <c r="U306" s="583"/>
      <c r="W306" s="641"/>
      <c r="X306" s="583"/>
      <c r="Y306" s="583"/>
      <c r="Z306" s="583"/>
      <c r="AA306" s="583"/>
    </row>
    <row r="307" spans="1:27" ht="18.95" customHeight="1">
      <c r="A307" s="632"/>
      <c r="B307" s="122"/>
      <c r="C307" s="244"/>
      <c r="D307" s="165"/>
      <c r="E307" s="269"/>
      <c r="F307" s="648"/>
      <c r="G307" s="269"/>
      <c r="H307" s="267"/>
      <c r="I307" s="284"/>
      <c r="J307" s="269"/>
      <c r="K307" s="270"/>
      <c r="L307" s="270"/>
      <c r="M307" s="269"/>
      <c r="N307" s="269"/>
      <c r="P307" s="577"/>
      <c r="Q307" s="641"/>
      <c r="R307" s="583"/>
      <c r="S307" s="583"/>
      <c r="T307" s="577"/>
      <c r="U307" s="583"/>
      <c r="W307" s="641"/>
      <c r="X307" s="583"/>
      <c r="Y307" s="583"/>
      <c r="Z307" s="583"/>
      <c r="AA307" s="583"/>
    </row>
    <row r="308" spans="1:27" ht="18.95" customHeight="1">
      <c r="A308" s="632"/>
      <c r="B308" s="122"/>
      <c r="C308" s="244"/>
      <c r="D308" s="165"/>
      <c r="E308" s="269"/>
      <c r="F308" s="648"/>
      <c r="G308" s="269"/>
      <c r="H308" s="267"/>
      <c r="I308" s="284"/>
      <c r="J308" s="269"/>
      <c r="K308" s="270"/>
      <c r="L308" s="270"/>
      <c r="M308" s="269"/>
      <c r="N308" s="269"/>
      <c r="P308" s="577"/>
      <c r="Q308" s="641"/>
      <c r="R308" s="583"/>
      <c r="S308" s="583"/>
      <c r="T308" s="577"/>
      <c r="U308" s="583"/>
      <c r="W308" s="641"/>
      <c r="X308" s="583"/>
      <c r="Y308" s="583"/>
      <c r="Z308" s="583"/>
      <c r="AA308" s="583"/>
    </row>
    <row r="309" spans="1:27" ht="18.95" customHeight="1">
      <c r="A309" s="632"/>
      <c r="B309" s="122"/>
      <c r="C309" s="244" t="s">
        <v>2146</v>
      </c>
      <c r="D309" s="165"/>
      <c r="E309" s="269">
        <v>3</v>
      </c>
      <c r="F309" s="648" t="s">
        <v>402</v>
      </c>
      <c r="G309" s="269">
        <v>600</v>
      </c>
      <c r="H309" s="267">
        <f t="shared" si="45"/>
        <v>560.94482819999996</v>
      </c>
      <c r="I309" s="284">
        <f t="shared" si="42"/>
        <v>1682.8344846</v>
      </c>
      <c r="J309" s="269">
        <v>150</v>
      </c>
      <c r="K309" s="270">
        <f t="shared" si="43"/>
        <v>140.23620704999999</v>
      </c>
      <c r="L309" s="270">
        <f t="shared" si="44"/>
        <v>420.70862115</v>
      </c>
      <c r="M309" s="269">
        <f t="shared" si="46"/>
        <v>2103.54310575</v>
      </c>
      <c r="N309" s="269"/>
      <c r="O309" s="250">
        <v>0.93490804699999996</v>
      </c>
      <c r="P309" s="577"/>
      <c r="Q309" s="641"/>
      <c r="R309" s="583"/>
      <c r="S309" s="583"/>
      <c r="T309" s="577"/>
      <c r="U309" s="583"/>
      <c r="W309" s="641"/>
      <c r="X309" s="583"/>
      <c r="Y309" s="583"/>
      <c r="Z309" s="583"/>
      <c r="AA309" s="583"/>
    </row>
    <row r="310" spans="1:27" ht="18.95" customHeight="1">
      <c r="A310" s="632"/>
      <c r="B310" s="122"/>
      <c r="C310" s="244" t="s">
        <v>2147</v>
      </c>
      <c r="D310" s="165"/>
      <c r="E310" s="269">
        <v>1</v>
      </c>
      <c r="F310" s="648" t="s">
        <v>402</v>
      </c>
      <c r="G310" s="269">
        <v>324</v>
      </c>
      <c r="H310" s="267">
        <f t="shared" si="45"/>
        <v>302.91020722799999</v>
      </c>
      <c r="I310" s="284">
        <f t="shared" si="42"/>
        <v>302.91020722799999</v>
      </c>
      <c r="J310" s="269">
        <v>150</v>
      </c>
      <c r="K310" s="270">
        <f t="shared" si="43"/>
        <v>140.23620704999999</v>
      </c>
      <c r="L310" s="270">
        <f t="shared" si="44"/>
        <v>140.23620704999999</v>
      </c>
      <c r="M310" s="269">
        <f t="shared" si="46"/>
        <v>443.14641427799995</v>
      </c>
      <c r="N310" s="269"/>
      <c r="O310" s="250">
        <v>0.93490804699999996</v>
      </c>
      <c r="P310" s="577"/>
      <c r="Q310" s="641"/>
      <c r="R310" s="583"/>
      <c r="S310" s="583"/>
      <c r="T310" s="577"/>
      <c r="U310" s="583"/>
      <c r="W310" s="641"/>
      <c r="X310" s="583"/>
      <c r="Y310" s="583"/>
      <c r="Z310" s="583"/>
      <c r="AA310" s="583"/>
    </row>
    <row r="311" spans="1:27" ht="18.95" customHeight="1">
      <c r="A311" s="632"/>
      <c r="B311" s="122"/>
      <c r="C311" s="244" t="s">
        <v>2148</v>
      </c>
      <c r="D311" s="165"/>
      <c r="E311" s="269">
        <v>3</v>
      </c>
      <c r="F311" s="648" t="s">
        <v>402</v>
      </c>
      <c r="G311" s="269">
        <v>336</v>
      </c>
      <c r="H311" s="267">
        <f t="shared" si="45"/>
        <v>314.12910379199997</v>
      </c>
      <c r="I311" s="284">
        <f t="shared" si="42"/>
        <v>942.38731137599984</v>
      </c>
      <c r="J311" s="269">
        <v>150</v>
      </c>
      <c r="K311" s="270">
        <f t="shared" si="43"/>
        <v>140.23620704999999</v>
      </c>
      <c r="L311" s="270">
        <f t="shared" si="44"/>
        <v>420.70862115</v>
      </c>
      <c r="M311" s="269">
        <f t="shared" si="46"/>
        <v>1363.0959325259998</v>
      </c>
      <c r="N311" s="269"/>
      <c r="O311" s="250">
        <v>0.93490804699999996</v>
      </c>
      <c r="P311" s="577"/>
      <c r="Q311" s="641"/>
      <c r="R311" s="583"/>
      <c r="S311" s="583"/>
      <c r="T311" s="577"/>
      <c r="U311" s="583"/>
      <c r="W311" s="641"/>
      <c r="X311" s="583"/>
      <c r="Y311" s="583"/>
      <c r="Z311" s="583"/>
      <c r="AA311" s="583"/>
    </row>
    <row r="312" spans="1:27" ht="18.95" customHeight="1">
      <c r="A312" s="632"/>
      <c r="B312" s="122"/>
      <c r="C312" s="244" t="s">
        <v>2149</v>
      </c>
      <c r="D312" s="165"/>
      <c r="E312" s="269">
        <v>1</v>
      </c>
      <c r="F312" s="648" t="s">
        <v>402</v>
      </c>
      <c r="G312" s="269">
        <v>258</v>
      </c>
      <c r="H312" s="267">
        <f t="shared" si="45"/>
        <v>241.20627612599998</v>
      </c>
      <c r="I312" s="284">
        <f t="shared" si="42"/>
        <v>241.20627612599998</v>
      </c>
      <c r="J312" s="269">
        <v>150</v>
      </c>
      <c r="K312" s="270">
        <f t="shared" si="43"/>
        <v>140.23620704999999</v>
      </c>
      <c r="L312" s="270">
        <f t="shared" si="44"/>
        <v>140.23620704999999</v>
      </c>
      <c r="M312" s="269">
        <f t="shared" si="46"/>
        <v>381.442483176</v>
      </c>
      <c r="N312" s="269"/>
      <c r="O312" s="250">
        <v>0.93490804699999996</v>
      </c>
      <c r="P312" s="577"/>
      <c r="Q312" s="641"/>
      <c r="R312" s="583"/>
      <c r="S312" s="583"/>
      <c r="T312" s="577"/>
      <c r="U312" s="583"/>
      <c r="W312" s="641"/>
      <c r="X312" s="583"/>
      <c r="Y312" s="583"/>
      <c r="Z312" s="583"/>
      <c r="AA312" s="583"/>
    </row>
    <row r="313" spans="1:27" ht="18.95" customHeight="1">
      <c r="A313" s="632"/>
      <c r="B313" s="638"/>
      <c r="C313" s="244" t="s">
        <v>2150</v>
      </c>
      <c r="D313" s="165"/>
      <c r="E313" s="269">
        <v>22</v>
      </c>
      <c r="F313" s="648" t="s">
        <v>402</v>
      </c>
      <c r="G313" s="269">
        <v>210</v>
      </c>
      <c r="H313" s="267">
        <f t="shared" si="45"/>
        <v>196.33068986999999</v>
      </c>
      <c r="I313" s="284">
        <f t="shared" si="42"/>
        <v>4319.2751771399999</v>
      </c>
      <c r="J313" s="269">
        <v>150</v>
      </c>
      <c r="K313" s="270">
        <f t="shared" si="43"/>
        <v>140.23620704999999</v>
      </c>
      <c r="L313" s="270">
        <f t="shared" si="44"/>
        <v>3085.1965550999998</v>
      </c>
      <c r="M313" s="269">
        <f t="shared" si="46"/>
        <v>7404.4717322399993</v>
      </c>
      <c r="N313" s="269"/>
      <c r="O313" s="250">
        <v>0.93490804699999996</v>
      </c>
      <c r="P313" s="577"/>
      <c r="Q313" s="641"/>
      <c r="R313" s="583"/>
      <c r="S313" s="583"/>
      <c r="T313" s="577"/>
      <c r="U313" s="583"/>
      <c r="W313" s="641"/>
      <c r="X313" s="583"/>
      <c r="Y313" s="583"/>
      <c r="Z313" s="583"/>
      <c r="AA313" s="583"/>
    </row>
    <row r="314" spans="1:27" ht="18.95" customHeight="1">
      <c r="A314" s="632"/>
      <c r="B314" s="122">
        <v>5.6</v>
      </c>
      <c r="C314" s="244" t="s">
        <v>2151</v>
      </c>
      <c r="D314" s="165"/>
      <c r="E314" s="269"/>
      <c r="F314" s="427"/>
      <c r="G314" s="269"/>
      <c r="H314" s="267"/>
      <c r="I314" s="284"/>
      <c r="J314" s="269"/>
      <c r="K314" s="270"/>
      <c r="L314" s="270"/>
      <c r="M314" s="269"/>
      <c r="N314" s="268"/>
      <c r="O314" s="250">
        <v>0.93490804699999996</v>
      </c>
      <c r="P314" s="577"/>
      <c r="Q314" s="641"/>
      <c r="R314" s="583"/>
      <c r="S314" s="583"/>
      <c r="T314" s="577"/>
      <c r="U314" s="583"/>
      <c r="W314" s="641"/>
      <c r="X314" s="583"/>
      <c r="Y314" s="583"/>
      <c r="Z314" s="583"/>
      <c r="AA314" s="583"/>
    </row>
    <row r="315" spans="1:27" ht="18.95" customHeight="1">
      <c r="A315" s="632"/>
      <c r="B315" s="638"/>
      <c r="C315" s="244" t="s">
        <v>2152</v>
      </c>
      <c r="D315" s="165"/>
      <c r="E315" s="269">
        <v>43</v>
      </c>
      <c r="F315" s="648" t="s">
        <v>402</v>
      </c>
      <c r="G315" s="269">
        <v>2244</v>
      </c>
      <c r="H315" s="267">
        <f t="shared" si="45"/>
        <v>2097.9336574680001</v>
      </c>
      <c r="I315" s="284">
        <f t="shared" si="42"/>
        <v>90211.147271124006</v>
      </c>
      <c r="J315" s="269">
        <v>150</v>
      </c>
      <c r="K315" s="270">
        <f t="shared" si="43"/>
        <v>140.23620704999999</v>
      </c>
      <c r="L315" s="270">
        <f t="shared" si="44"/>
        <v>6030.1569031499994</v>
      </c>
      <c r="M315" s="269">
        <f>I315+L315</f>
        <v>96241.304174274002</v>
      </c>
      <c r="N315" s="269"/>
      <c r="O315" s="250">
        <v>0.93490804699999996</v>
      </c>
      <c r="P315" s="577"/>
      <c r="Q315" s="641"/>
      <c r="R315" s="583"/>
      <c r="S315" s="583"/>
      <c r="T315" s="577"/>
      <c r="U315" s="583"/>
      <c r="W315" s="641"/>
      <c r="X315" s="583"/>
      <c r="Y315" s="583"/>
      <c r="Z315" s="583"/>
      <c r="AA315" s="583"/>
    </row>
    <row r="316" spans="1:27" ht="18.95" customHeight="1">
      <c r="A316" s="632"/>
      <c r="B316" s="638"/>
      <c r="C316" s="244" t="s">
        <v>2153</v>
      </c>
      <c r="D316" s="165"/>
      <c r="E316" s="269">
        <v>8</v>
      </c>
      <c r="F316" s="648" t="s">
        <v>402</v>
      </c>
      <c r="G316" s="269">
        <v>1122</v>
      </c>
      <c r="H316" s="267">
        <f t="shared" si="45"/>
        <v>1048.966828734</v>
      </c>
      <c r="I316" s="284">
        <f t="shared" si="42"/>
        <v>8391.7346298720004</v>
      </c>
      <c r="J316" s="269">
        <v>150</v>
      </c>
      <c r="K316" s="270">
        <f t="shared" si="43"/>
        <v>140.23620704999999</v>
      </c>
      <c r="L316" s="270">
        <f t="shared" si="44"/>
        <v>1121.8896563999999</v>
      </c>
      <c r="M316" s="269">
        <f>I316+L316</f>
        <v>9513.624286272001</v>
      </c>
      <c r="N316" s="269"/>
      <c r="O316" s="250">
        <v>0.93490804699999996</v>
      </c>
      <c r="P316" s="577"/>
      <c r="Q316" s="641"/>
      <c r="R316" s="583"/>
      <c r="S316" s="583"/>
      <c r="T316" s="577"/>
      <c r="U316" s="583"/>
      <c r="W316" s="641"/>
      <c r="X316" s="583"/>
      <c r="Y316" s="583"/>
      <c r="Z316" s="583"/>
      <c r="AA316" s="583"/>
    </row>
    <row r="317" spans="1:27" ht="18.95" customHeight="1">
      <c r="A317" s="632"/>
      <c r="B317" s="638"/>
      <c r="C317" s="244" t="s">
        <v>2154</v>
      </c>
      <c r="D317" s="165"/>
      <c r="E317" s="269">
        <v>8</v>
      </c>
      <c r="F317" s="648" t="s">
        <v>402</v>
      </c>
      <c r="G317" s="269">
        <v>858</v>
      </c>
      <c r="H317" s="267">
        <f t="shared" si="45"/>
        <v>802.151104326</v>
      </c>
      <c r="I317" s="284">
        <f t="shared" si="42"/>
        <v>6417.208834608</v>
      </c>
      <c r="J317" s="269">
        <v>150</v>
      </c>
      <c r="K317" s="270">
        <f t="shared" si="43"/>
        <v>140.23620704999999</v>
      </c>
      <c r="L317" s="270">
        <f t="shared" si="44"/>
        <v>1121.8896563999999</v>
      </c>
      <c r="M317" s="269">
        <f>I317+L317</f>
        <v>7539.0984910079997</v>
      </c>
      <c r="N317" s="269"/>
      <c r="O317" s="250">
        <v>0.93490804699999996</v>
      </c>
      <c r="P317" s="577"/>
      <c r="Q317" s="641"/>
      <c r="R317" s="583"/>
      <c r="S317" s="583"/>
      <c r="T317" s="577"/>
      <c r="U317" s="583"/>
      <c r="W317" s="641"/>
      <c r="X317" s="583"/>
      <c r="Y317" s="583"/>
      <c r="Z317" s="583"/>
      <c r="AA317" s="583"/>
    </row>
    <row r="318" spans="1:27" ht="18.95" customHeight="1">
      <c r="A318" s="632"/>
      <c r="B318" s="122">
        <v>5.7</v>
      </c>
      <c r="C318" s="244" t="s">
        <v>2155</v>
      </c>
      <c r="D318" s="165"/>
      <c r="E318" s="269"/>
      <c r="F318" s="427"/>
      <c r="G318" s="269"/>
      <c r="H318" s="267"/>
      <c r="I318" s="284"/>
      <c r="J318" s="269"/>
      <c r="K318" s="270"/>
      <c r="L318" s="270"/>
      <c r="M318" s="269"/>
      <c r="N318" s="268"/>
      <c r="O318" s="250">
        <v>0.93490804699999996</v>
      </c>
      <c r="P318" s="577"/>
      <c r="Q318" s="641"/>
      <c r="R318" s="583"/>
      <c r="S318" s="583"/>
      <c r="T318" s="577"/>
      <c r="U318" s="583"/>
      <c r="W318" s="641"/>
      <c r="X318" s="583"/>
      <c r="Y318" s="583"/>
      <c r="Z318" s="583"/>
      <c r="AA318" s="583"/>
    </row>
    <row r="319" spans="1:27" ht="18.95" customHeight="1">
      <c r="A319" s="632"/>
      <c r="B319" s="638"/>
      <c r="C319" s="244" t="s">
        <v>2156</v>
      </c>
      <c r="D319" s="165"/>
      <c r="E319" s="269">
        <v>10</v>
      </c>
      <c r="F319" s="648" t="s">
        <v>402</v>
      </c>
      <c r="G319" s="269">
        <v>600</v>
      </c>
      <c r="H319" s="267">
        <f t="shared" si="45"/>
        <v>560.94482819999996</v>
      </c>
      <c r="I319" s="284">
        <f t="shared" si="42"/>
        <v>5609.4482819999994</v>
      </c>
      <c r="J319" s="269">
        <v>150</v>
      </c>
      <c r="K319" s="270">
        <f t="shared" si="43"/>
        <v>140.23620704999999</v>
      </c>
      <c r="L319" s="270">
        <f t="shared" si="44"/>
        <v>1402.3620704999998</v>
      </c>
      <c r="M319" s="269">
        <f>I319+L319</f>
        <v>7011.8103524999988</v>
      </c>
      <c r="N319" s="268"/>
      <c r="O319" s="250">
        <v>0.93490804699999996</v>
      </c>
      <c r="P319" s="577"/>
      <c r="Q319" s="641"/>
      <c r="R319" s="583"/>
      <c r="S319" s="583"/>
      <c r="T319" s="577"/>
      <c r="U319" s="583"/>
      <c r="W319" s="641"/>
      <c r="X319" s="583"/>
      <c r="Y319" s="583"/>
      <c r="Z319" s="583"/>
      <c r="AA319" s="583"/>
    </row>
    <row r="320" spans="1:27" ht="18.95" customHeight="1">
      <c r="A320" s="632"/>
      <c r="B320" s="638"/>
      <c r="C320" s="244" t="s">
        <v>2157</v>
      </c>
      <c r="D320" s="165"/>
      <c r="E320" s="269">
        <v>12</v>
      </c>
      <c r="F320" s="648" t="s">
        <v>402</v>
      </c>
      <c r="G320" s="269">
        <v>350</v>
      </c>
      <c r="H320" s="267">
        <f t="shared" si="45"/>
        <v>327.21781644999999</v>
      </c>
      <c r="I320" s="284">
        <f t="shared" si="42"/>
        <v>3926.6137973999998</v>
      </c>
      <c r="J320" s="269">
        <v>150</v>
      </c>
      <c r="K320" s="270">
        <f t="shared" si="43"/>
        <v>140.23620704999999</v>
      </c>
      <c r="L320" s="270">
        <f t="shared" si="44"/>
        <v>1682.8344846</v>
      </c>
      <c r="M320" s="269">
        <f>I320+L320</f>
        <v>5609.4482819999994</v>
      </c>
      <c r="N320" s="268"/>
      <c r="O320" s="250">
        <v>0.93490804699999996</v>
      </c>
      <c r="P320" s="577"/>
      <c r="Q320" s="641"/>
      <c r="R320" s="583"/>
      <c r="S320" s="583"/>
      <c r="T320" s="577"/>
      <c r="U320" s="583"/>
      <c r="W320" s="641"/>
      <c r="X320" s="583"/>
      <c r="Y320" s="583"/>
      <c r="Z320" s="583"/>
      <c r="AA320" s="583"/>
    </row>
    <row r="321" spans="1:27" ht="18.95" customHeight="1">
      <c r="A321" s="632"/>
      <c r="B321" s="122">
        <v>5.8</v>
      </c>
      <c r="C321" s="244" t="s">
        <v>2158</v>
      </c>
      <c r="D321" s="165"/>
      <c r="E321" s="269"/>
      <c r="F321" s="427"/>
      <c r="G321" s="269"/>
      <c r="H321" s="267"/>
      <c r="I321" s="284"/>
      <c r="J321" s="269"/>
      <c r="K321" s="270"/>
      <c r="L321" s="270"/>
      <c r="M321" s="269"/>
      <c r="N321" s="268"/>
      <c r="O321" s="250">
        <v>0.93490804699999996</v>
      </c>
      <c r="P321" s="577"/>
      <c r="Q321" s="641"/>
      <c r="R321" s="583"/>
      <c r="S321" s="583"/>
      <c r="T321" s="577"/>
      <c r="U321" s="583"/>
      <c r="W321" s="641"/>
      <c r="X321" s="583"/>
      <c r="Y321" s="583"/>
      <c r="Z321" s="583"/>
      <c r="AA321" s="583"/>
    </row>
    <row r="322" spans="1:27" ht="18.95" customHeight="1">
      <c r="A322" s="632"/>
      <c r="B322" s="638"/>
      <c r="C322" s="244" t="s">
        <v>2157</v>
      </c>
      <c r="D322" s="165"/>
      <c r="E322" s="269">
        <v>12</v>
      </c>
      <c r="F322" s="648" t="s">
        <v>402</v>
      </c>
      <c r="G322" s="269">
        <v>1200</v>
      </c>
      <c r="H322" s="267">
        <f t="shared" si="45"/>
        <v>1121.8896563999999</v>
      </c>
      <c r="I322" s="284">
        <f t="shared" si="42"/>
        <v>13462.6758768</v>
      </c>
      <c r="J322" s="269">
        <v>150</v>
      </c>
      <c r="K322" s="270">
        <f t="shared" si="43"/>
        <v>140.23620704999999</v>
      </c>
      <c r="L322" s="270">
        <f t="shared" si="44"/>
        <v>1682.8344846</v>
      </c>
      <c r="M322" s="269">
        <f>I322+L322</f>
        <v>15145.5103614</v>
      </c>
      <c r="N322" s="268"/>
      <c r="O322" s="250">
        <v>0.93490804699999996</v>
      </c>
      <c r="P322" s="577"/>
      <c r="Q322" s="641"/>
      <c r="R322" s="583"/>
      <c r="S322" s="583"/>
      <c r="T322" s="577"/>
      <c r="U322" s="583"/>
      <c r="W322" s="641"/>
      <c r="X322" s="583"/>
      <c r="Y322" s="583"/>
      <c r="Z322" s="583"/>
      <c r="AA322" s="583"/>
    </row>
    <row r="323" spans="1:27" ht="18.95" customHeight="1">
      <c r="A323" s="632"/>
      <c r="B323" s="122">
        <v>5.9</v>
      </c>
      <c r="C323" s="244" t="s">
        <v>2159</v>
      </c>
      <c r="D323" s="165"/>
      <c r="E323" s="269"/>
      <c r="F323" s="427"/>
      <c r="G323" s="269"/>
      <c r="H323" s="267"/>
      <c r="I323" s="284"/>
      <c r="J323" s="269"/>
      <c r="K323" s="270"/>
      <c r="L323" s="270"/>
      <c r="M323" s="269"/>
      <c r="N323" s="268"/>
      <c r="O323" s="250">
        <v>0.93490804699999996</v>
      </c>
      <c r="P323" s="577"/>
      <c r="Q323" s="641"/>
      <c r="R323" s="583"/>
      <c r="S323" s="583"/>
      <c r="T323" s="577"/>
      <c r="U323" s="583"/>
      <c r="W323" s="641"/>
      <c r="X323" s="583"/>
      <c r="Y323" s="583"/>
      <c r="Z323" s="583"/>
      <c r="AA323" s="583"/>
    </row>
    <row r="324" spans="1:27" ht="18.95" customHeight="1">
      <c r="A324" s="632"/>
      <c r="B324" s="638"/>
      <c r="C324" s="244" t="s">
        <v>2160</v>
      </c>
      <c r="D324" s="165"/>
      <c r="E324" s="269">
        <v>2</v>
      </c>
      <c r="F324" s="648" t="s">
        <v>402</v>
      </c>
      <c r="G324" s="269">
        <v>468</v>
      </c>
      <c r="H324" s="267">
        <f t="shared" si="45"/>
        <v>437.53696599599999</v>
      </c>
      <c r="I324" s="284">
        <f t="shared" si="42"/>
        <v>875.07393199199998</v>
      </c>
      <c r="J324" s="269">
        <v>150</v>
      </c>
      <c r="K324" s="270">
        <f t="shared" si="43"/>
        <v>140.23620704999999</v>
      </c>
      <c r="L324" s="270">
        <f t="shared" si="44"/>
        <v>280.47241409999998</v>
      </c>
      <c r="M324" s="269">
        <f>I324+L324</f>
        <v>1155.546346092</v>
      </c>
      <c r="N324" s="269"/>
      <c r="O324" s="250">
        <v>0.93490804699999996</v>
      </c>
      <c r="P324" s="577"/>
      <c r="Q324" s="641"/>
      <c r="R324" s="583"/>
      <c r="S324" s="583"/>
      <c r="T324" s="577"/>
      <c r="U324" s="583"/>
      <c r="W324" s="641"/>
      <c r="X324" s="583"/>
      <c r="Y324" s="583"/>
      <c r="Z324" s="583"/>
      <c r="AA324" s="583"/>
    </row>
    <row r="325" spans="1:27" ht="18.95" customHeight="1">
      <c r="A325" s="632"/>
      <c r="B325" s="638"/>
      <c r="C325" s="244" t="s">
        <v>2161</v>
      </c>
      <c r="D325" s="165"/>
      <c r="E325" s="269">
        <v>3</v>
      </c>
      <c r="F325" s="648" t="s">
        <v>402</v>
      </c>
      <c r="G325" s="269">
        <v>288</v>
      </c>
      <c r="H325" s="267">
        <f t="shared" si="45"/>
        <v>269.253517536</v>
      </c>
      <c r="I325" s="284">
        <f t="shared" si="42"/>
        <v>807.76055260800001</v>
      </c>
      <c r="J325" s="269">
        <v>150</v>
      </c>
      <c r="K325" s="270">
        <f t="shared" si="43"/>
        <v>140.23620704999999</v>
      </c>
      <c r="L325" s="270">
        <f t="shared" si="44"/>
        <v>420.70862115</v>
      </c>
      <c r="M325" s="269">
        <f>I325+L325</f>
        <v>1228.4691737580001</v>
      </c>
      <c r="N325" s="269"/>
      <c r="O325" s="250">
        <v>0.93490804699999996</v>
      </c>
      <c r="P325" s="577"/>
      <c r="Q325" s="641"/>
      <c r="R325" s="583"/>
      <c r="S325" s="583"/>
      <c r="T325" s="577"/>
      <c r="U325" s="583"/>
      <c r="W325" s="641"/>
      <c r="X325" s="583"/>
      <c r="Y325" s="583"/>
      <c r="Z325" s="583"/>
      <c r="AA325" s="583"/>
    </row>
    <row r="326" spans="1:27" ht="18.95" customHeight="1">
      <c r="A326" s="632"/>
      <c r="B326" s="638"/>
      <c r="C326" s="244" t="s">
        <v>2162</v>
      </c>
      <c r="D326" s="165"/>
      <c r="E326" s="269">
        <v>22</v>
      </c>
      <c r="F326" s="648" t="s">
        <v>402</v>
      </c>
      <c r="G326" s="269">
        <v>204</v>
      </c>
      <c r="H326" s="267">
        <f t="shared" si="45"/>
        <v>190.721241588</v>
      </c>
      <c r="I326" s="284">
        <f t="shared" si="42"/>
        <v>4195.8673149360002</v>
      </c>
      <c r="J326" s="269">
        <v>150</v>
      </c>
      <c r="K326" s="270">
        <f t="shared" si="43"/>
        <v>140.23620704999999</v>
      </c>
      <c r="L326" s="270">
        <f t="shared" si="44"/>
        <v>3085.1965550999998</v>
      </c>
      <c r="M326" s="269">
        <f>I326+L326</f>
        <v>7281.0638700359996</v>
      </c>
      <c r="N326" s="269"/>
      <c r="O326" s="250">
        <v>0.93490804699999996</v>
      </c>
      <c r="P326" s="577"/>
      <c r="Q326" s="641"/>
      <c r="R326" s="583"/>
      <c r="S326" s="583"/>
      <c r="T326" s="577"/>
      <c r="U326" s="583"/>
      <c r="W326" s="641"/>
      <c r="X326" s="583"/>
      <c r="Y326" s="583"/>
      <c r="Z326" s="583"/>
      <c r="AA326" s="583"/>
    </row>
    <row r="327" spans="1:27" ht="18.95" customHeight="1">
      <c r="A327" s="632"/>
      <c r="B327" s="139">
        <v>5.0999999999999996</v>
      </c>
      <c r="C327" s="244" t="s">
        <v>2163</v>
      </c>
      <c r="D327" s="165"/>
      <c r="E327" s="267"/>
      <c r="F327" s="356"/>
      <c r="G327" s="269"/>
      <c r="H327" s="267"/>
      <c r="I327" s="284"/>
      <c r="J327" s="269"/>
      <c r="K327" s="270"/>
      <c r="L327" s="270"/>
      <c r="M327" s="269"/>
      <c r="N327" s="268"/>
      <c r="O327" s="250">
        <v>0.93490804699999996</v>
      </c>
      <c r="P327" s="583"/>
      <c r="Q327" s="641"/>
      <c r="R327" s="583"/>
      <c r="S327" s="583"/>
      <c r="T327" s="577"/>
      <c r="U327" s="583"/>
      <c r="W327" s="641"/>
      <c r="X327" s="583"/>
      <c r="Y327" s="583"/>
      <c r="Z327" s="583"/>
      <c r="AA327" s="583"/>
    </row>
    <row r="328" spans="1:27" ht="18.95" customHeight="1">
      <c r="A328" s="632"/>
      <c r="B328" s="122"/>
      <c r="C328" s="244" t="s">
        <v>2164</v>
      </c>
      <c r="D328" s="165"/>
      <c r="E328" s="269">
        <v>2</v>
      </c>
      <c r="F328" s="648" t="s">
        <v>402</v>
      </c>
      <c r="G328" s="269">
        <v>700</v>
      </c>
      <c r="H328" s="267">
        <f t="shared" si="45"/>
        <v>654.43563289999997</v>
      </c>
      <c r="I328" s="284">
        <f t="shared" si="42"/>
        <v>1308.8712657999999</v>
      </c>
      <c r="J328" s="269">
        <v>150</v>
      </c>
      <c r="K328" s="270">
        <f t="shared" si="43"/>
        <v>140.23620704999999</v>
      </c>
      <c r="L328" s="270">
        <f t="shared" si="44"/>
        <v>280.47241409999998</v>
      </c>
      <c r="M328" s="269">
        <f>I328+L328</f>
        <v>1589.3436798999999</v>
      </c>
      <c r="N328" s="268"/>
      <c r="O328" s="250">
        <v>0.93490804699999996</v>
      </c>
      <c r="P328" s="583"/>
      <c r="Q328" s="641"/>
      <c r="R328" s="583"/>
      <c r="S328" s="583"/>
      <c r="T328" s="577"/>
      <c r="U328" s="583"/>
      <c r="W328" s="641"/>
      <c r="X328" s="583"/>
      <c r="Y328" s="583"/>
      <c r="Z328" s="583"/>
      <c r="AA328" s="583"/>
    </row>
    <row r="329" spans="1:27" ht="18.95" customHeight="1">
      <c r="A329" s="632"/>
      <c r="B329" s="139">
        <v>5.1100000000000003</v>
      </c>
      <c r="C329" s="244" t="s">
        <v>2165</v>
      </c>
      <c r="D329" s="165"/>
      <c r="E329" s="269"/>
      <c r="F329" s="648"/>
      <c r="G329" s="269"/>
      <c r="H329" s="267"/>
      <c r="I329" s="284"/>
      <c r="J329" s="269"/>
      <c r="K329" s="270"/>
      <c r="L329" s="270"/>
      <c r="M329" s="269"/>
      <c r="N329" s="268"/>
      <c r="O329" s="250">
        <v>0.93490804699999996</v>
      </c>
      <c r="P329" s="583"/>
      <c r="Q329" s="641"/>
      <c r="R329" s="583"/>
      <c r="S329" s="583"/>
      <c r="T329" s="577"/>
      <c r="U329" s="583"/>
      <c r="W329" s="641"/>
      <c r="X329" s="583"/>
      <c r="Y329" s="583"/>
      <c r="Z329" s="583"/>
      <c r="AA329" s="583"/>
    </row>
    <row r="330" spans="1:27" ht="18.95" customHeight="1">
      <c r="A330" s="632"/>
      <c r="B330" s="638"/>
      <c r="C330" s="244" t="s">
        <v>2166</v>
      </c>
      <c r="D330" s="165"/>
      <c r="E330" s="269">
        <v>7</v>
      </c>
      <c r="F330" s="648" t="s">
        <v>402</v>
      </c>
      <c r="G330" s="269">
        <v>3500</v>
      </c>
      <c r="H330" s="267">
        <f t="shared" si="45"/>
        <v>3272.1781645000001</v>
      </c>
      <c r="I330" s="284">
        <f t="shared" si="42"/>
        <v>22905.2471515</v>
      </c>
      <c r="J330" s="269">
        <v>150</v>
      </c>
      <c r="K330" s="270">
        <f t="shared" si="43"/>
        <v>140.23620704999999</v>
      </c>
      <c r="L330" s="270">
        <f t="shared" si="44"/>
        <v>981.65344934999996</v>
      </c>
      <c r="M330" s="269">
        <f>I330+L330</f>
        <v>23886.90060085</v>
      </c>
      <c r="N330" s="268"/>
      <c r="O330" s="250">
        <v>0.93490804699999996</v>
      </c>
      <c r="P330" s="583"/>
      <c r="Q330" s="641"/>
      <c r="R330" s="583"/>
      <c r="S330" s="583"/>
      <c r="T330" s="577"/>
      <c r="U330" s="583"/>
      <c r="W330" s="641"/>
      <c r="X330" s="583"/>
      <c r="Y330" s="583"/>
      <c r="Z330" s="583"/>
      <c r="AA330" s="583"/>
    </row>
    <row r="331" spans="1:27" ht="18.95" customHeight="1">
      <c r="A331" s="632"/>
      <c r="B331" s="122">
        <v>5.12</v>
      </c>
      <c r="C331" s="244" t="s">
        <v>1776</v>
      </c>
      <c r="D331" s="165"/>
      <c r="E331" s="267">
        <v>1</v>
      </c>
      <c r="F331" s="356" t="s">
        <v>1321</v>
      </c>
      <c r="G331" s="270">
        <v>12494.125</v>
      </c>
      <c r="H331" s="267">
        <f t="shared" si="45"/>
        <v>11680.858002723875</v>
      </c>
      <c r="I331" s="284">
        <f t="shared" si="42"/>
        <v>11680.858002723875</v>
      </c>
      <c r="J331" s="267">
        <v>3748.2374999999997</v>
      </c>
      <c r="K331" s="270">
        <f t="shared" si="43"/>
        <v>3504.2574008171623</v>
      </c>
      <c r="L331" s="270">
        <f t="shared" si="44"/>
        <v>3504.2574008171623</v>
      </c>
      <c r="M331" s="270">
        <f>I331+L331</f>
        <v>15185.115403541036</v>
      </c>
      <c r="N331" s="268"/>
      <c r="O331" s="250">
        <v>0.93490804699999996</v>
      </c>
      <c r="P331" s="583"/>
      <c r="Q331" s="641"/>
      <c r="R331" s="583"/>
      <c r="S331" s="583"/>
      <c r="T331" s="577"/>
      <c r="U331" s="583"/>
      <c r="W331" s="641"/>
      <c r="X331" s="583"/>
      <c r="Y331" s="583"/>
      <c r="Z331" s="583"/>
      <c r="AA331" s="583"/>
    </row>
    <row r="332" spans="1:27" ht="18.95" customHeight="1">
      <c r="A332" s="632"/>
      <c r="B332" s="122"/>
      <c r="C332" s="244"/>
      <c r="D332" s="165"/>
      <c r="E332" s="267"/>
      <c r="F332" s="356"/>
      <c r="G332" s="270"/>
      <c r="H332" s="270"/>
      <c r="I332" s="270"/>
      <c r="J332" s="267"/>
      <c r="K332" s="267"/>
      <c r="L332" s="270"/>
      <c r="M332" s="270"/>
      <c r="N332" s="268"/>
      <c r="O332" s="250">
        <v>0.93490804699999996</v>
      </c>
      <c r="P332" s="583"/>
      <c r="Q332" s="641"/>
      <c r="R332" s="583"/>
      <c r="S332" s="583"/>
      <c r="T332" s="577"/>
      <c r="U332" s="583"/>
      <c r="W332" s="641"/>
      <c r="X332" s="583"/>
      <c r="Y332" s="583"/>
      <c r="Z332" s="583"/>
      <c r="AA332" s="583"/>
    </row>
    <row r="333" spans="1:27" ht="18.95" customHeight="1">
      <c r="A333" s="632"/>
      <c r="B333" s="1345" t="s">
        <v>1295</v>
      </c>
      <c r="C333" s="1346"/>
      <c r="D333" s="1356"/>
      <c r="E333" s="271"/>
      <c r="F333" s="281"/>
      <c r="G333" s="271"/>
      <c r="H333" s="271"/>
      <c r="I333" s="271">
        <f>SUM(I279:I331)</f>
        <v>248484.18468137737</v>
      </c>
      <c r="J333" s="271"/>
      <c r="K333" s="271"/>
      <c r="L333" s="271">
        <f>SUM(L279:L331)</f>
        <v>46556.772965167147</v>
      </c>
      <c r="M333" s="271">
        <f>I333+L333</f>
        <v>295040.9576465445</v>
      </c>
      <c r="N333" s="281"/>
      <c r="O333" s="250">
        <v>0.93490804699999996</v>
      </c>
      <c r="P333" s="583"/>
      <c r="Q333" s="641"/>
      <c r="R333" s="583"/>
      <c r="S333" s="583"/>
      <c r="T333" s="577"/>
      <c r="U333" s="583"/>
      <c r="W333" s="641"/>
      <c r="X333" s="583"/>
      <c r="Y333" s="583"/>
      <c r="Z333" s="583"/>
      <c r="AA333" s="583"/>
    </row>
    <row r="334" spans="1:27" ht="18.95" customHeight="1">
      <c r="A334" s="635"/>
      <c r="B334" s="451"/>
      <c r="C334" s="451"/>
      <c r="D334" s="452"/>
      <c r="E334" s="271"/>
      <c r="F334" s="281"/>
      <c r="G334" s="271"/>
      <c r="H334" s="271"/>
      <c r="I334" s="271"/>
      <c r="J334" s="271"/>
      <c r="K334" s="271"/>
      <c r="L334" s="271"/>
      <c r="M334" s="271"/>
      <c r="N334" s="281"/>
      <c r="O334" s="250">
        <v>0.93490804699999996</v>
      </c>
      <c r="P334" s="583"/>
      <c r="Q334" s="641"/>
      <c r="R334" s="583"/>
      <c r="S334" s="583"/>
      <c r="T334" s="577"/>
      <c r="U334" s="583"/>
      <c r="W334" s="641"/>
      <c r="X334" s="583"/>
      <c r="Y334" s="583"/>
      <c r="Z334" s="583"/>
      <c r="AA334" s="583"/>
    </row>
    <row r="335" spans="1:27" ht="18.95" customHeight="1">
      <c r="A335" s="639">
        <v>6</v>
      </c>
      <c r="B335" s="640" t="s">
        <v>1878</v>
      </c>
      <c r="C335" s="338"/>
      <c r="D335" s="167"/>
      <c r="E335" s="267"/>
      <c r="F335" s="356"/>
      <c r="G335" s="270"/>
      <c r="H335" s="270"/>
      <c r="I335" s="270"/>
      <c r="J335" s="267"/>
      <c r="K335" s="267"/>
      <c r="L335" s="270"/>
      <c r="M335" s="268"/>
      <c r="N335" s="268"/>
      <c r="O335" s="250">
        <v>0.93490804699999996</v>
      </c>
      <c r="P335" s="577"/>
      <c r="Q335" s="641"/>
      <c r="R335" s="577"/>
      <c r="S335" s="583"/>
      <c r="T335" s="577"/>
      <c r="U335" s="583"/>
      <c r="W335" s="641"/>
      <c r="X335" s="583"/>
      <c r="Y335" s="583"/>
      <c r="Z335" s="583"/>
      <c r="AA335" s="583"/>
    </row>
    <row r="336" spans="1:27" ht="18.95" customHeight="1">
      <c r="A336" s="632"/>
      <c r="B336" s="122">
        <v>6.1</v>
      </c>
      <c r="C336" s="244" t="s">
        <v>2167</v>
      </c>
      <c r="D336" s="165"/>
      <c r="E336" s="269">
        <v>1</v>
      </c>
      <c r="F336" s="648" t="s">
        <v>402</v>
      </c>
      <c r="G336" s="269">
        <v>85120</v>
      </c>
      <c r="H336" s="267">
        <f t="shared" ref="H336:H343" si="47">G336*O336</f>
        <v>79579.372960640001</v>
      </c>
      <c r="I336" s="284">
        <f t="shared" ref="I336:I343" si="48">E336*H336</f>
        <v>79579.372960640001</v>
      </c>
      <c r="J336" s="269">
        <v>5000</v>
      </c>
      <c r="K336" s="270">
        <f t="shared" ref="K336:K343" si="49">J336*O336</f>
        <v>4674.5402349999995</v>
      </c>
      <c r="L336" s="270">
        <f t="shared" ref="L336:L343" si="50">E336*K336</f>
        <v>4674.5402349999995</v>
      </c>
      <c r="M336" s="269">
        <f t="shared" ref="M336:M344" si="51">I336+L336</f>
        <v>84253.913195639994</v>
      </c>
      <c r="N336" s="269"/>
      <c r="O336" s="250">
        <v>0.93490804699999996</v>
      </c>
      <c r="P336" s="577"/>
      <c r="Q336" s="641"/>
      <c r="R336" s="577"/>
      <c r="S336" s="577"/>
      <c r="T336" s="577"/>
      <c r="U336" s="642"/>
      <c r="W336" s="641"/>
      <c r="X336" s="583"/>
      <c r="Y336" s="583"/>
      <c r="Z336" s="583"/>
      <c r="AA336" s="583"/>
    </row>
    <row r="337" spans="1:27" ht="18.95" customHeight="1">
      <c r="A337" s="632"/>
      <c r="B337" s="122">
        <v>6.2</v>
      </c>
      <c r="C337" s="244" t="s">
        <v>2168</v>
      </c>
      <c r="D337" s="230"/>
      <c r="E337" s="269"/>
      <c r="F337" s="648" t="s">
        <v>402</v>
      </c>
      <c r="G337" s="269">
        <v>0</v>
      </c>
      <c r="H337" s="267"/>
      <c r="I337" s="284"/>
      <c r="J337" s="269"/>
      <c r="K337" s="270"/>
      <c r="L337" s="270"/>
      <c r="M337" s="269"/>
      <c r="N337" s="269"/>
      <c r="O337" s="250">
        <v>0.93490804699999996</v>
      </c>
      <c r="P337" s="577"/>
      <c r="Q337" s="641"/>
      <c r="R337" s="577"/>
      <c r="S337" s="583"/>
      <c r="T337" s="577"/>
      <c r="U337" s="583"/>
      <c r="W337" s="641"/>
      <c r="X337" s="583"/>
      <c r="Y337" s="583"/>
      <c r="Z337" s="583"/>
      <c r="AA337" s="583"/>
    </row>
    <row r="338" spans="1:27" ht="18.95" customHeight="1">
      <c r="A338" s="632"/>
      <c r="B338" s="122">
        <v>6.3</v>
      </c>
      <c r="C338" s="244" t="s">
        <v>2169</v>
      </c>
      <c r="D338" s="230"/>
      <c r="E338" s="269">
        <v>10</v>
      </c>
      <c r="F338" s="648" t="s">
        <v>402</v>
      </c>
      <c r="G338" s="269">
        <v>2500</v>
      </c>
      <c r="H338" s="267">
        <f t="shared" si="47"/>
        <v>2337.2701174999997</v>
      </c>
      <c r="I338" s="284">
        <f t="shared" si="48"/>
        <v>23372.701174999998</v>
      </c>
      <c r="J338" s="269">
        <v>500</v>
      </c>
      <c r="K338" s="270">
        <f t="shared" si="49"/>
        <v>467.45402350000001</v>
      </c>
      <c r="L338" s="270">
        <f t="shared" si="50"/>
        <v>4674.5402350000004</v>
      </c>
      <c r="M338" s="269">
        <f t="shared" si="51"/>
        <v>28047.241409999999</v>
      </c>
      <c r="N338" s="269"/>
      <c r="O338" s="250">
        <v>0.93490804699999996</v>
      </c>
      <c r="P338" s="577"/>
      <c r="Q338" s="641"/>
      <c r="R338" s="577"/>
      <c r="S338" s="583"/>
      <c r="T338" s="577"/>
      <c r="U338" s="583"/>
      <c r="W338" s="641"/>
      <c r="X338" s="583"/>
      <c r="Y338" s="583"/>
      <c r="Z338" s="583"/>
      <c r="AA338" s="583"/>
    </row>
    <row r="339" spans="1:27" ht="18.95" customHeight="1">
      <c r="A339" s="632"/>
      <c r="B339" s="122">
        <v>6.4</v>
      </c>
      <c r="C339" s="244" t="s">
        <v>2170</v>
      </c>
      <c r="D339" s="230"/>
      <c r="E339" s="269">
        <v>1</v>
      </c>
      <c r="F339" s="648" t="s">
        <v>402</v>
      </c>
      <c r="G339" s="269">
        <v>92400</v>
      </c>
      <c r="H339" s="267">
        <f t="shared" si="47"/>
        <v>86385.503542799997</v>
      </c>
      <c r="I339" s="284">
        <f t="shared" si="48"/>
        <v>86385.503542799997</v>
      </c>
      <c r="J339" s="269">
        <v>500</v>
      </c>
      <c r="K339" s="270">
        <f t="shared" si="49"/>
        <v>467.45402350000001</v>
      </c>
      <c r="L339" s="270">
        <f t="shared" si="50"/>
        <v>467.45402350000001</v>
      </c>
      <c r="M339" s="269">
        <f t="shared" si="51"/>
        <v>86852.9575663</v>
      </c>
      <c r="N339" s="269"/>
      <c r="O339" s="250">
        <v>0.93490804699999996</v>
      </c>
      <c r="P339" s="593"/>
      <c r="Q339" s="641"/>
      <c r="R339" s="577"/>
      <c r="S339" s="577"/>
      <c r="T339" s="577"/>
      <c r="U339" s="642"/>
      <c r="W339" s="641"/>
      <c r="X339" s="583"/>
      <c r="Y339" s="583"/>
      <c r="Z339" s="583"/>
      <c r="AA339" s="583"/>
    </row>
    <row r="340" spans="1:27" ht="18.95" customHeight="1">
      <c r="A340" s="632"/>
      <c r="B340" s="122">
        <v>6.5</v>
      </c>
      <c r="C340" s="244" t="s">
        <v>2171</v>
      </c>
      <c r="D340" s="230"/>
      <c r="E340" s="269">
        <v>1</v>
      </c>
      <c r="F340" s="648" t="s">
        <v>402</v>
      </c>
      <c r="G340" s="269">
        <v>24080</v>
      </c>
      <c r="H340" s="267">
        <f t="shared" si="47"/>
        <v>22512.585771759997</v>
      </c>
      <c r="I340" s="284">
        <f t="shared" si="48"/>
        <v>22512.585771759997</v>
      </c>
      <c r="J340" s="269">
        <v>500</v>
      </c>
      <c r="K340" s="270">
        <f t="shared" si="49"/>
        <v>467.45402350000001</v>
      </c>
      <c r="L340" s="270">
        <f t="shared" si="50"/>
        <v>467.45402350000001</v>
      </c>
      <c r="M340" s="269">
        <f t="shared" si="51"/>
        <v>22980.039795259996</v>
      </c>
      <c r="N340" s="269"/>
      <c r="O340" s="250">
        <v>0.93490804699999996</v>
      </c>
      <c r="P340" s="593"/>
      <c r="Q340" s="641"/>
      <c r="R340" s="577"/>
      <c r="S340" s="577"/>
      <c r="T340" s="577"/>
      <c r="U340" s="642"/>
      <c r="W340" s="641"/>
      <c r="X340" s="583"/>
      <c r="Y340" s="583"/>
      <c r="Z340" s="583"/>
      <c r="AA340" s="583"/>
    </row>
    <row r="341" spans="1:27" ht="18.95" customHeight="1">
      <c r="A341" s="632"/>
      <c r="B341" s="122">
        <v>6.7</v>
      </c>
      <c r="C341" s="244" t="s">
        <v>1774</v>
      </c>
      <c r="D341" s="633"/>
      <c r="E341" s="267">
        <v>1</v>
      </c>
      <c r="F341" s="356" t="s">
        <v>1321</v>
      </c>
      <c r="G341" s="270">
        <v>22024</v>
      </c>
      <c r="H341" s="267">
        <f t="shared" si="47"/>
        <v>20590.414827127999</v>
      </c>
      <c r="I341" s="284">
        <f t="shared" si="48"/>
        <v>20590.414827127999</v>
      </c>
      <c r="J341" s="267">
        <v>6607.2</v>
      </c>
      <c r="K341" s="270">
        <f t="shared" si="49"/>
        <v>6177.1244481383992</v>
      </c>
      <c r="L341" s="270">
        <f t="shared" si="50"/>
        <v>6177.1244481383992</v>
      </c>
      <c r="M341" s="270">
        <f t="shared" si="51"/>
        <v>26767.539275266397</v>
      </c>
      <c r="N341" s="268"/>
      <c r="O341" s="250">
        <v>0.93490804699999996</v>
      </c>
      <c r="P341" s="583"/>
      <c r="Q341" s="641"/>
      <c r="R341" s="583"/>
      <c r="S341" s="583"/>
      <c r="T341" s="583"/>
      <c r="U341" s="583"/>
      <c r="W341" s="576"/>
    </row>
    <row r="342" spans="1:27" ht="18.95" customHeight="1">
      <c r="A342" s="632"/>
      <c r="B342" s="122">
        <v>6.8</v>
      </c>
      <c r="C342" s="244" t="s">
        <v>1775</v>
      </c>
      <c r="D342" s="633"/>
      <c r="E342" s="267">
        <v>1</v>
      </c>
      <c r="F342" s="356" t="s">
        <v>1321</v>
      </c>
      <c r="G342" s="270">
        <v>22024</v>
      </c>
      <c r="H342" s="267">
        <f t="shared" si="47"/>
        <v>20590.414827127999</v>
      </c>
      <c r="I342" s="284">
        <f t="shared" si="48"/>
        <v>20590.414827127999</v>
      </c>
      <c r="J342" s="267">
        <v>6607.2</v>
      </c>
      <c r="K342" s="270">
        <f t="shared" si="49"/>
        <v>6177.1244481383992</v>
      </c>
      <c r="L342" s="270">
        <f t="shared" si="50"/>
        <v>6177.1244481383992</v>
      </c>
      <c r="M342" s="270">
        <f t="shared" si="51"/>
        <v>26767.539275266397</v>
      </c>
      <c r="N342" s="268"/>
      <c r="O342" s="250">
        <v>0.93490804699999996</v>
      </c>
      <c r="P342" s="583"/>
      <c r="Q342" s="641"/>
      <c r="R342" s="583"/>
      <c r="S342" s="583"/>
      <c r="T342" s="583"/>
      <c r="U342" s="583"/>
      <c r="W342" s="576"/>
    </row>
    <row r="343" spans="1:27" ht="18.95" customHeight="1">
      <c r="A343" s="632"/>
      <c r="B343" s="122">
        <v>6.9</v>
      </c>
      <c r="C343" s="244" t="s">
        <v>1776</v>
      </c>
      <c r="D343" s="165"/>
      <c r="E343" s="267">
        <v>1</v>
      </c>
      <c r="F343" s="356" t="s">
        <v>1321</v>
      </c>
      <c r="G343" s="270">
        <v>11012</v>
      </c>
      <c r="H343" s="267">
        <f t="shared" si="47"/>
        <v>10295.207413564</v>
      </c>
      <c r="I343" s="284">
        <f t="shared" si="48"/>
        <v>10295.207413564</v>
      </c>
      <c r="J343" s="267">
        <v>3303.6</v>
      </c>
      <c r="K343" s="270">
        <f t="shared" si="49"/>
        <v>3088.5622240691996</v>
      </c>
      <c r="L343" s="270">
        <f t="shared" si="50"/>
        <v>3088.5622240691996</v>
      </c>
      <c r="M343" s="270">
        <f t="shared" si="51"/>
        <v>13383.769637633199</v>
      </c>
      <c r="N343" s="268"/>
      <c r="O343" s="250">
        <v>0.93490804699999996</v>
      </c>
      <c r="P343" s="583"/>
      <c r="Q343" s="641"/>
      <c r="R343" s="583"/>
      <c r="S343" s="583"/>
      <c r="T343" s="583"/>
      <c r="U343" s="583"/>
      <c r="W343" s="576"/>
    </row>
    <row r="344" spans="1:27" ht="18.95" customHeight="1">
      <c r="A344" s="632"/>
      <c r="B344" s="1345" t="s">
        <v>1322</v>
      </c>
      <c r="C344" s="1346"/>
      <c r="D344" s="1356"/>
      <c r="E344" s="271" t="s">
        <v>611</v>
      </c>
      <c r="F344" s="281"/>
      <c r="G344" s="271"/>
      <c r="H344" s="271"/>
      <c r="I344" s="271">
        <f>SUM(I336:I343)</f>
        <v>263326.20051801996</v>
      </c>
      <c r="J344" s="271"/>
      <c r="K344" s="271"/>
      <c r="L344" s="271">
        <f>SUM(L336:L343)</f>
        <v>25726.799637345997</v>
      </c>
      <c r="M344" s="271">
        <f t="shared" si="51"/>
        <v>289053.00015536597</v>
      </c>
      <c r="N344" s="281"/>
      <c r="O344" s="250">
        <v>0.93490804699999996</v>
      </c>
      <c r="P344" s="583"/>
      <c r="Q344" s="641"/>
      <c r="R344" s="583"/>
      <c r="S344" s="583"/>
      <c r="T344" s="583"/>
      <c r="U344" s="583"/>
      <c r="W344" s="576"/>
    </row>
    <row r="345" spans="1:27" ht="18.95" customHeight="1">
      <c r="A345" s="635"/>
      <c r="B345" s="451"/>
      <c r="C345" s="451"/>
      <c r="D345" s="452"/>
      <c r="E345" s="271"/>
      <c r="F345" s="281"/>
      <c r="G345" s="271"/>
      <c r="H345" s="271"/>
      <c r="I345" s="271"/>
      <c r="J345" s="271"/>
      <c r="K345" s="271"/>
      <c r="L345" s="271"/>
      <c r="M345" s="271"/>
      <c r="N345" s="281"/>
      <c r="O345" s="250">
        <v>0.93490804699999996</v>
      </c>
      <c r="P345" s="583"/>
      <c r="Q345" s="641"/>
      <c r="R345" s="583"/>
      <c r="S345" s="583"/>
      <c r="T345" s="583"/>
      <c r="U345" s="583"/>
      <c r="W345" s="576"/>
    </row>
    <row r="346" spans="1:27" ht="18.95" customHeight="1">
      <c r="A346" s="639">
        <v>7</v>
      </c>
      <c r="B346" s="338" t="s">
        <v>1879</v>
      </c>
      <c r="C346" s="318"/>
      <c r="D346" s="167"/>
      <c r="E346" s="267"/>
      <c r="F346" s="356"/>
      <c r="G346" s="270"/>
      <c r="H346" s="270"/>
      <c r="I346" s="270"/>
      <c r="J346" s="267"/>
      <c r="K346" s="267"/>
      <c r="L346" s="270"/>
      <c r="M346" s="268"/>
      <c r="N346" s="268"/>
      <c r="O346" s="250">
        <v>0.93490804699999996</v>
      </c>
      <c r="P346" s="583"/>
      <c r="Q346" s="641"/>
      <c r="R346" s="583"/>
      <c r="S346" s="583"/>
      <c r="T346" s="583"/>
      <c r="U346" s="583"/>
      <c r="W346" s="576"/>
    </row>
    <row r="347" spans="1:27" ht="18.95" customHeight="1">
      <c r="A347" s="632"/>
      <c r="B347" s="122">
        <v>7.1</v>
      </c>
      <c r="C347" s="244" t="s">
        <v>2172</v>
      </c>
      <c r="D347" s="165"/>
      <c r="E347" s="267"/>
      <c r="F347" s="356"/>
      <c r="G347" s="270"/>
      <c r="H347" s="270"/>
      <c r="I347" s="270"/>
      <c r="J347" s="267"/>
      <c r="K347" s="267"/>
      <c r="L347" s="270"/>
      <c r="M347" s="268"/>
      <c r="N347" s="268"/>
      <c r="O347" s="250">
        <v>0.93490804699999996</v>
      </c>
      <c r="P347" s="583"/>
      <c r="Q347" s="641"/>
      <c r="R347" s="583"/>
      <c r="S347" s="583"/>
      <c r="T347" s="583"/>
      <c r="U347" s="583"/>
      <c r="W347" s="576"/>
    </row>
    <row r="348" spans="1:27" ht="18.95" customHeight="1">
      <c r="A348" s="632"/>
      <c r="B348" s="638"/>
      <c r="C348" s="633" t="s">
        <v>2173</v>
      </c>
      <c r="D348" s="165"/>
      <c r="E348" s="269">
        <v>1</v>
      </c>
      <c r="F348" s="648" t="s">
        <v>402</v>
      </c>
      <c r="G348" s="269">
        <v>300000</v>
      </c>
      <c r="H348" s="267">
        <f t="shared" ref="H348:H358" si="52">G348*O348</f>
        <v>280472.41409999999</v>
      </c>
      <c r="I348" s="284">
        <f t="shared" ref="I348:I355" si="53">E348*H348</f>
        <v>280472.41409999999</v>
      </c>
      <c r="J348" s="269">
        <v>5000</v>
      </c>
      <c r="K348" s="270">
        <f t="shared" ref="K348:K358" si="54">J348*O348</f>
        <v>4674.5402349999995</v>
      </c>
      <c r="L348" s="270">
        <f t="shared" ref="L348:L358" si="55">E348*K348</f>
        <v>4674.5402349999995</v>
      </c>
      <c r="M348" s="269">
        <f>I348+L348</f>
        <v>285146.95433500002</v>
      </c>
      <c r="N348" s="268"/>
      <c r="O348" s="250">
        <v>0.93490804699999996</v>
      </c>
      <c r="P348" s="583"/>
      <c r="Q348" s="641"/>
      <c r="R348" s="583"/>
      <c r="S348" s="583"/>
      <c r="T348" s="583"/>
      <c r="U348" s="583"/>
      <c r="W348" s="576"/>
    </row>
    <row r="349" spans="1:27" ht="18.95" customHeight="1">
      <c r="A349" s="632"/>
      <c r="B349" s="638"/>
      <c r="C349" s="633" t="s">
        <v>2174</v>
      </c>
      <c r="D349" s="165"/>
      <c r="E349" s="269">
        <v>11</v>
      </c>
      <c r="F349" s="648" t="s">
        <v>402</v>
      </c>
      <c r="G349" s="269">
        <v>20000</v>
      </c>
      <c r="H349" s="267">
        <f t="shared" si="52"/>
        <v>18698.160939999998</v>
      </c>
      <c r="I349" s="284">
        <f t="shared" si="53"/>
        <v>205679.77033999999</v>
      </c>
      <c r="J349" s="543">
        <v>2500</v>
      </c>
      <c r="K349" s="270">
        <f t="shared" si="54"/>
        <v>2337.2701174999997</v>
      </c>
      <c r="L349" s="270">
        <f t="shared" si="55"/>
        <v>25709.971292499999</v>
      </c>
      <c r="M349" s="543">
        <f>I349+L349</f>
        <v>231389.74163249999</v>
      </c>
      <c r="N349" s="269"/>
      <c r="O349" s="250">
        <v>0.93490804699999996</v>
      </c>
      <c r="P349" s="583"/>
      <c r="Q349" s="641"/>
      <c r="R349" s="583"/>
      <c r="S349" s="583"/>
      <c r="T349" s="583"/>
      <c r="U349" s="583"/>
      <c r="W349" s="576"/>
    </row>
    <row r="350" spans="1:27" ht="18.95" customHeight="1">
      <c r="A350" s="632"/>
      <c r="B350" s="638"/>
      <c r="C350" s="633" t="s">
        <v>2175</v>
      </c>
      <c r="D350" s="165"/>
      <c r="E350" s="269">
        <v>1</v>
      </c>
      <c r="F350" s="648" t="s">
        <v>402</v>
      </c>
      <c r="G350" s="269">
        <v>30000</v>
      </c>
      <c r="H350" s="267">
        <f t="shared" si="52"/>
        <v>28047.241409999999</v>
      </c>
      <c r="I350" s="284">
        <f t="shared" si="53"/>
        <v>28047.241409999999</v>
      </c>
      <c r="J350" s="269">
        <v>5000</v>
      </c>
      <c r="K350" s="270">
        <f t="shared" si="54"/>
        <v>4674.5402349999995</v>
      </c>
      <c r="L350" s="270">
        <f t="shared" si="55"/>
        <v>4674.5402349999995</v>
      </c>
      <c r="M350" s="269">
        <f t="shared" ref="M350:M356" si="56">I350+L350</f>
        <v>32721.781644999999</v>
      </c>
      <c r="N350" s="268"/>
      <c r="O350" s="250">
        <v>0.93490804699999996</v>
      </c>
      <c r="P350" s="583"/>
      <c r="Q350" s="641"/>
      <c r="R350" s="583"/>
      <c r="S350" s="583"/>
      <c r="T350" s="583"/>
      <c r="U350" s="583"/>
      <c r="W350" s="576"/>
    </row>
    <row r="351" spans="1:27" ht="18.95" customHeight="1">
      <c r="A351" s="632"/>
      <c r="B351" s="638"/>
      <c r="C351" s="633" t="s">
        <v>2176</v>
      </c>
      <c r="D351" s="165"/>
      <c r="E351" s="269">
        <v>1</v>
      </c>
      <c r="F351" s="648" t="s">
        <v>402</v>
      </c>
      <c r="G351" s="269">
        <v>30000</v>
      </c>
      <c r="H351" s="267">
        <f t="shared" si="52"/>
        <v>28047.241409999999</v>
      </c>
      <c r="I351" s="284">
        <f t="shared" si="53"/>
        <v>28047.241409999999</v>
      </c>
      <c r="J351" s="269">
        <v>5000</v>
      </c>
      <c r="K351" s="270">
        <f t="shared" si="54"/>
        <v>4674.5402349999995</v>
      </c>
      <c r="L351" s="270">
        <f t="shared" si="55"/>
        <v>4674.5402349999995</v>
      </c>
      <c r="M351" s="269">
        <f t="shared" si="56"/>
        <v>32721.781644999999</v>
      </c>
      <c r="N351" s="268"/>
      <c r="O351" s="250">
        <v>0.93490804699999996</v>
      </c>
      <c r="P351" s="583"/>
      <c r="Q351" s="641"/>
      <c r="R351" s="583"/>
      <c r="S351" s="583"/>
      <c r="T351" s="583"/>
      <c r="U351" s="583"/>
      <c r="W351" s="576"/>
    </row>
    <row r="352" spans="1:27" ht="18.95" customHeight="1">
      <c r="A352" s="632"/>
      <c r="B352" s="638"/>
      <c r="C352" s="633" t="s">
        <v>2177</v>
      </c>
      <c r="D352" s="165"/>
      <c r="E352" s="269">
        <v>1</v>
      </c>
      <c r="F352" s="648" t="s">
        <v>402</v>
      </c>
      <c r="G352" s="269">
        <v>30000</v>
      </c>
      <c r="H352" s="267">
        <f t="shared" si="52"/>
        <v>28047.241409999999</v>
      </c>
      <c r="I352" s="284">
        <f t="shared" si="53"/>
        <v>28047.241409999999</v>
      </c>
      <c r="J352" s="269">
        <v>5000</v>
      </c>
      <c r="K352" s="270">
        <f t="shared" si="54"/>
        <v>4674.5402349999995</v>
      </c>
      <c r="L352" s="270">
        <f t="shared" si="55"/>
        <v>4674.5402349999995</v>
      </c>
      <c r="M352" s="269">
        <f t="shared" si="56"/>
        <v>32721.781644999999</v>
      </c>
      <c r="N352" s="268"/>
      <c r="O352" s="250">
        <v>0.93490804699999996</v>
      </c>
      <c r="P352" s="583"/>
      <c r="Q352" s="641"/>
      <c r="R352" s="583"/>
      <c r="S352" s="583"/>
      <c r="T352" s="583"/>
      <c r="U352" s="583"/>
      <c r="W352" s="576"/>
    </row>
    <row r="353" spans="1:23" ht="18.95" customHeight="1">
      <c r="A353" s="632"/>
      <c r="B353" s="638"/>
      <c r="C353" s="633" t="s">
        <v>2178</v>
      </c>
      <c r="D353" s="165"/>
      <c r="E353" s="269">
        <v>1</v>
      </c>
      <c r="F353" s="648" t="s">
        <v>402</v>
      </c>
      <c r="G353" s="269">
        <v>35000</v>
      </c>
      <c r="H353" s="267">
        <f t="shared" si="52"/>
        <v>32721.781644999999</v>
      </c>
      <c r="I353" s="284">
        <f t="shared" si="53"/>
        <v>32721.781644999999</v>
      </c>
      <c r="J353" s="269">
        <v>5000</v>
      </c>
      <c r="K353" s="270">
        <f t="shared" si="54"/>
        <v>4674.5402349999995</v>
      </c>
      <c r="L353" s="270">
        <f t="shared" si="55"/>
        <v>4674.5402349999995</v>
      </c>
      <c r="M353" s="269">
        <f t="shared" si="56"/>
        <v>37396.321879999996</v>
      </c>
      <c r="N353" s="268"/>
      <c r="O353" s="250">
        <v>0.93490804699999996</v>
      </c>
      <c r="P353" s="583"/>
      <c r="Q353" s="641"/>
      <c r="R353" s="583"/>
      <c r="S353" s="583"/>
      <c r="T353" s="583"/>
      <c r="U353" s="583"/>
      <c r="W353" s="576"/>
    </row>
    <row r="354" spans="1:23" ht="18.95" customHeight="1">
      <c r="A354" s="632"/>
      <c r="B354" s="638"/>
      <c r="C354" s="633" t="s">
        <v>2179</v>
      </c>
      <c r="D354" s="165"/>
      <c r="E354" s="269">
        <v>1</v>
      </c>
      <c r="F354" s="648" t="s">
        <v>402</v>
      </c>
      <c r="G354" s="269">
        <v>35000</v>
      </c>
      <c r="H354" s="267">
        <f t="shared" si="52"/>
        <v>32721.781644999999</v>
      </c>
      <c r="I354" s="284">
        <f t="shared" si="53"/>
        <v>32721.781644999999</v>
      </c>
      <c r="J354" s="269">
        <v>5000</v>
      </c>
      <c r="K354" s="270">
        <f t="shared" si="54"/>
        <v>4674.5402349999995</v>
      </c>
      <c r="L354" s="270">
        <f t="shared" si="55"/>
        <v>4674.5402349999995</v>
      </c>
      <c r="M354" s="269">
        <f t="shared" si="56"/>
        <v>37396.321879999996</v>
      </c>
      <c r="N354" s="268"/>
      <c r="O354" s="250">
        <v>0.93490804699999996</v>
      </c>
      <c r="P354" s="583"/>
      <c r="Q354" s="641"/>
      <c r="R354" s="583"/>
      <c r="S354" s="583"/>
      <c r="T354" s="583"/>
      <c r="U354" s="583"/>
      <c r="W354" s="576"/>
    </row>
    <row r="355" spans="1:23" ht="18.95" customHeight="1">
      <c r="A355" s="632"/>
      <c r="B355" s="638"/>
      <c r="C355" s="633" t="s">
        <v>2180</v>
      </c>
      <c r="D355" s="165"/>
      <c r="E355" s="269">
        <v>1</v>
      </c>
      <c r="F355" s="648" t="s">
        <v>402</v>
      </c>
      <c r="G355" s="269">
        <v>35000</v>
      </c>
      <c r="H355" s="267">
        <f t="shared" si="52"/>
        <v>32721.781644999999</v>
      </c>
      <c r="I355" s="284">
        <f t="shared" si="53"/>
        <v>32721.781644999999</v>
      </c>
      <c r="J355" s="269">
        <v>10500</v>
      </c>
      <c r="K355" s="270">
        <f t="shared" si="54"/>
        <v>9816.5344934999994</v>
      </c>
      <c r="L355" s="270">
        <f t="shared" si="55"/>
        <v>9816.5344934999994</v>
      </c>
      <c r="M355" s="269">
        <f t="shared" si="56"/>
        <v>42538.316138499998</v>
      </c>
      <c r="N355" s="268"/>
      <c r="O355" s="250">
        <v>0.93490804699999996</v>
      </c>
      <c r="P355" s="583"/>
      <c r="Q355" s="641"/>
      <c r="R355" s="583"/>
      <c r="S355" s="583"/>
      <c r="T355" s="583"/>
      <c r="U355" s="583"/>
      <c r="W355" s="576"/>
    </row>
    <row r="356" spans="1:23" ht="18.95" customHeight="1">
      <c r="A356" s="632"/>
      <c r="B356" s="638"/>
      <c r="C356" s="633" t="s">
        <v>2181</v>
      </c>
      <c r="D356" s="165"/>
      <c r="E356" s="269">
        <v>1</v>
      </c>
      <c r="F356" s="648" t="s">
        <v>402</v>
      </c>
      <c r="G356" s="269">
        <v>35000</v>
      </c>
      <c r="H356" s="267">
        <f t="shared" si="52"/>
        <v>32721.781644999999</v>
      </c>
      <c r="I356" s="270">
        <f t="shared" ref="I356:I357" si="57">E356*H356</f>
        <v>32721.781644999999</v>
      </c>
      <c r="J356" s="269">
        <v>5000</v>
      </c>
      <c r="K356" s="270">
        <f t="shared" si="54"/>
        <v>4674.5402349999995</v>
      </c>
      <c r="L356" s="270">
        <f t="shared" si="55"/>
        <v>4674.5402349999995</v>
      </c>
      <c r="M356" s="269">
        <f t="shared" si="56"/>
        <v>37396.321879999996</v>
      </c>
      <c r="N356" s="268"/>
      <c r="O356" s="250">
        <v>0.93490804699999996</v>
      </c>
      <c r="P356" s="583"/>
      <c r="Q356" s="641"/>
      <c r="R356" s="583"/>
      <c r="S356" s="583"/>
      <c r="T356" s="583"/>
      <c r="U356" s="583"/>
      <c r="W356" s="576"/>
    </row>
    <row r="357" spans="1:23" ht="18.95" customHeight="1">
      <c r="A357" s="224"/>
      <c r="B357" s="122">
        <v>7.2</v>
      </c>
      <c r="C357" s="532" t="s">
        <v>2182</v>
      </c>
      <c r="D357" s="165"/>
      <c r="E357" s="267">
        <v>1</v>
      </c>
      <c r="F357" s="356" t="s">
        <v>1321</v>
      </c>
      <c r="G357" s="270">
        <v>300000</v>
      </c>
      <c r="H357" s="267">
        <f t="shared" si="52"/>
        <v>280472.41409999999</v>
      </c>
      <c r="I357" s="270">
        <f t="shared" si="57"/>
        <v>280472.41409999999</v>
      </c>
      <c r="J357" s="267">
        <v>90000</v>
      </c>
      <c r="K357" s="270">
        <f t="shared" si="54"/>
        <v>84141.724229999993</v>
      </c>
      <c r="L357" s="270">
        <f t="shared" si="55"/>
        <v>84141.724229999993</v>
      </c>
      <c r="M357" s="270">
        <f>I357+L357</f>
        <v>364614.13832999999</v>
      </c>
      <c r="N357" s="268"/>
      <c r="O357" s="250">
        <v>0.93490804699999996</v>
      </c>
      <c r="Q357" s="576"/>
      <c r="W357" s="576"/>
    </row>
    <row r="358" spans="1:23" ht="18.95" customHeight="1">
      <c r="A358" s="224"/>
      <c r="B358" s="122">
        <v>7.3</v>
      </c>
      <c r="C358" s="244" t="s">
        <v>1776</v>
      </c>
      <c r="D358" s="165"/>
      <c r="E358" s="267">
        <v>1</v>
      </c>
      <c r="F358" s="356" t="s">
        <v>1321</v>
      </c>
      <c r="G358" s="270">
        <v>80000</v>
      </c>
      <c r="H358" s="267">
        <f t="shared" si="52"/>
        <v>74792.643759999992</v>
      </c>
      <c r="I358" s="270">
        <f>E358*H358</f>
        <v>74792.643759999992</v>
      </c>
      <c r="J358" s="267">
        <v>24000</v>
      </c>
      <c r="K358" s="270">
        <f t="shared" si="54"/>
        <v>22437.793127999998</v>
      </c>
      <c r="L358" s="270">
        <f t="shared" si="55"/>
        <v>22437.793127999998</v>
      </c>
      <c r="M358" s="270">
        <f>I358+L358</f>
        <v>97230.436887999997</v>
      </c>
      <c r="N358" s="268"/>
      <c r="O358" s="250">
        <v>0.93490804699999996</v>
      </c>
      <c r="Q358" s="576"/>
      <c r="W358" s="576"/>
    </row>
    <row r="359" spans="1:23" ht="18.95" customHeight="1">
      <c r="A359" s="224"/>
      <c r="B359" s="1345" t="s">
        <v>1340</v>
      </c>
      <c r="C359" s="1346"/>
      <c r="D359" s="1356"/>
      <c r="E359" s="271"/>
      <c r="F359" s="281"/>
      <c r="G359" s="271"/>
      <c r="H359" s="271"/>
      <c r="I359" s="271">
        <f>SUM(I348:I358)</f>
        <v>1056446.0931099998</v>
      </c>
      <c r="J359" s="271"/>
      <c r="K359" s="271"/>
      <c r="L359" s="271">
        <f>SUM(L348:L358)</f>
        <v>174827.80478899996</v>
      </c>
      <c r="M359" s="271">
        <f>I359+L359</f>
        <v>1231273.8978989997</v>
      </c>
      <c r="N359" s="281"/>
      <c r="O359" s="250">
        <v>0.93490804699999996</v>
      </c>
      <c r="Q359" s="560"/>
      <c r="W359" s="576"/>
    </row>
    <row r="360" spans="1:23" ht="18.95" customHeight="1">
      <c r="A360" s="224"/>
      <c r="B360" s="451"/>
      <c r="C360" s="451"/>
      <c r="D360" s="452"/>
      <c r="E360" s="271"/>
      <c r="F360" s="281"/>
      <c r="G360" s="271"/>
      <c r="H360" s="271"/>
      <c r="I360" s="271"/>
      <c r="J360" s="271"/>
      <c r="K360" s="271"/>
      <c r="L360" s="271"/>
      <c r="M360" s="271"/>
      <c r="N360" s="281"/>
      <c r="O360" s="250">
        <v>0.93490804699999996</v>
      </c>
      <c r="Q360" s="560"/>
      <c r="W360" s="576"/>
    </row>
    <row r="361" spans="1:23" ht="18.95" customHeight="1">
      <c r="A361" s="639">
        <v>8</v>
      </c>
      <c r="B361" s="640" t="s">
        <v>1880</v>
      </c>
      <c r="C361" s="338"/>
      <c r="D361" s="165"/>
      <c r="E361" s="267"/>
      <c r="F361" s="268"/>
      <c r="G361" s="267"/>
      <c r="H361" s="267"/>
      <c r="I361" s="267"/>
      <c r="J361" s="267"/>
      <c r="K361" s="267"/>
      <c r="L361" s="269"/>
      <c r="M361" s="267"/>
      <c r="N361" s="268"/>
      <c r="O361" s="250">
        <v>0.93490804699999996</v>
      </c>
      <c r="Q361" s="560"/>
      <c r="W361" s="576"/>
    </row>
    <row r="362" spans="1:23" ht="18.95" customHeight="1">
      <c r="A362" s="224"/>
      <c r="B362" s="122" t="s">
        <v>2183</v>
      </c>
      <c r="C362" s="453" t="s">
        <v>2184</v>
      </c>
      <c r="D362" s="328"/>
      <c r="E362" s="267">
        <v>1</v>
      </c>
      <c r="F362" s="356" t="s">
        <v>1321</v>
      </c>
      <c r="G362" s="270">
        <v>200000</v>
      </c>
      <c r="H362" s="267">
        <f t="shared" ref="H362" si="58">G362*O362</f>
        <v>186981.60939999999</v>
      </c>
      <c r="I362" s="270">
        <f>E362*H362</f>
        <v>186981.60939999999</v>
      </c>
      <c r="J362" s="267">
        <v>100000</v>
      </c>
      <c r="K362" s="270">
        <f t="shared" ref="K362" si="59">J362*O362</f>
        <v>93490.804699999993</v>
      </c>
      <c r="L362" s="270">
        <f t="shared" ref="L362" si="60">E362*K362</f>
        <v>93490.804699999993</v>
      </c>
      <c r="M362" s="270">
        <f>I362+L362</f>
        <v>280472.41409999999</v>
      </c>
      <c r="N362" s="268"/>
      <c r="O362" s="250">
        <v>0.93490804699999996</v>
      </c>
      <c r="Q362" s="576"/>
      <c r="W362" s="576"/>
    </row>
    <row r="363" spans="1:23" ht="18.95" customHeight="1">
      <c r="A363" s="224"/>
      <c r="B363" s="1345" t="s">
        <v>1577</v>
      </c>
      <c r="C363" s="1346"/>
      <c r="D363" s="1356"/>
      <c r="E363" s="271"/>
      <c r="F363" s="281"/>
      <c r="G363" s="271"/>
      <c r="H363" s="271"/>
      <c r="I363" s="271">
        <f>SUM(I362)</f>
        <v>186981.60939999999</v>
      </c>
      <c r="J363" s="271"/>
      <c r="K363" s="271"/>
      <c r="L363" s="271">
        <f>SUM(L362)</f>
        <v>93490.804699999993</v>
      </c>
      <c r="M363" s="271">
        <f>I363+L363</f>
        <v>280472.41409999999</v>
      </c>
      <c r="N363" s="281"/>
      <c r="Q363" s="576"/>
      <c r="W363" s="576"/>
    </row>
    <row r="364" spans="1:23" ht="18.95" customHeight="1">
      <c r="A364" s="649"/>
      <c r="B364" s="570"/>
      <c r="C364" s="570"/>
      <c r="D364" s="617"/>
      <c r="E364" s="286"/>
      <c r="F364" s="574"/>
      <c r="G364" s="286"/>
      <c r="H364" s="286"/>
      <c r="I364" s="286"/>
      <c r="J364" s="286"/>
      <c r="K364" s="286"/>
      <c r="L364" s="286"/>
      <c r="M364" s="286"/>
      <c r="N364" s="574"/>
      <c r="Q364" s="576"/>
      <c r="W364" s="576"/>
    </row>
  </sheetData>
  <mergeCells count="42">
    <mergeCell ref="N257:N262"/>
    <mergeCell ref="B261:D261"/>
    <mergeCell ref="B275:D275"/>
    <mergeCell ref="B333:D333"/>
    <mergeCell ref="B344:D344"/>
    <mergeCell ref="B359:D359"/>
    <mergeCell ref="B363:D363"/>
    <mergeCell ref="E222:F222"/>
    <mergeCell ref="B223:D223"/>
    <mergeCell ref="G5:I5"/>
    <mergeCell ref="E221:F221"/>
    <mergeCell ref="E160:F160"/>
    <mergeCell ref="E161:F161"/>
    <mergeCell ref="E162:F162"/>
    <mergeCell ref="E220:F220"/>
    <mergeCell ref="B164:D164"/>
    <mergeCell ref="J5:L5"/>
    <mergeCell ref="N5:N6"/>
    <mergeCell ref="P5:P6"/>
    <mergeCell ref="B18:D18"/>
    <mergeCell ref="E5:E6"/>
    <mergeCell ref="F5:F6"/>
    <mergeCell ref="A1:C1"/>
    <mergeCell ref="A2:C2"/>
    <mergeCell ref="A3:C3"/>
    <mergeCell ref="A5:A6"/>
    <mergeCell ref="B5:D6"/>
    <mergeCell ref="P164:P167"/>
    <mergeCell ref="Q164:U164"/>
    <mergeCell ref="W164:AA164"/>
    <mergeCell ref="Q165:R165"/>
    <mergeCell ref="S165:S167"/>
    <mergeCell ref="T165:T167"/>
    <mergeCell ref="U165:U167"/>
    <mergeCell ref="W165:X165"/>
    <mergeCell ref="Y165:Y167"/>
    <mergeCell ref="Z165:Z167"/>
    <mergeCell ref="AA165:AA167"/>
    <mergeCell ref="Q166:Q167"/>
    <mergeCell ref="R166:R167"/>
    <mergeCell ref="W166:W167"/>
    <mergeCell ref="X166:X167"/>
  </mergeCells>
  <printOptions horizontalCentered="1"/>
  <pageMargins left="0.39370078740157499" right="0.39370078740157499" top="1.1811023622047201" bottom="0" header="0.78740157480314998" footer="0"/>
  <pageSetup paperSize="9" scale="81" firstPageNumber="89" fitToHeight="1000" orientation="landscape" useFirstPageNumber="1" r:id="rId1"/>
  <headerFooter alignWithMargins="0">
    <oddHeader xml:space="preserve">&amp;C&amp;"Cordia New,Regular"&amp;14แบบแสดงรายการ ปริมาณงาน และราคา&amp;R&amp;"Cordia New,Regular"&amp;14แบบปร.4(ก) แผ่นที่ &amp;P/103   </oddHeader>
  </headerFooter>
  <rowBreaks count="7" manualBreakCount="7">
    <brk id="30" max="11" man="1"/>
    <brk id="55" max="11" man="1"/>
    <brk id="146" max="11" man="1"/>
    <brk id="165" max="11" man="1"/>
    <brk id="224" max="11" man="1"/>
    <brk id="276" max="11" man="1"/>
    <brk id="334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R751"/>
  <sheetViews>
    <sheetView showGridLines="0" view="pageBreakPreview" topLeftCell="A2" zoomScaleNormal="70" zoomScaleSheetLayoutView="100" workbookViewId="0">
      <selection activeCell="K17" sqref="K17"/>
    </sheetView>
  </sheetViews>
  <sheetFormatPr defaultColWidth="10.42578125" defaultRowHeight="18.95" customHeight="1"/>
  <cols>
    <col min="1" max="1" width="6.7109375" style="250" customWidth="1"/>
    <col min="2" max="2" width="6.42578125" style="407" customWidth="1"/>
    <col min="3" max="3" width="24.42578125" style="251" customWidth="1"/>
    <col min="4" max="4" width="36.140625" style="252" customWidth="1"/>
    <col min="5" max="5" width="11.42578125" style="408" customWidth="1"/>
    <col min="6" max="6" width="9.5703125" style="250" customWidth="1"/>
    <col min="7" max="7" width="15.7109375" style="408" hidden="1" customWidth="1"/>
    <col min="8" max="9" width="15.7109375" style="408" customWidth="1"/>
    <col min="10" max="10" width="15.7109375" style="250" hidden="1" customWidth="1"/>
    <col min="11" max="13" width="15.7109375" style="250" customWidth="1"/>
    <col min="14" max="14" width="16.140625" style="250" customWidth="1"/>
    <col min="15" max="15" width="13.28515625" style="250" customWidth="1"/>
    <col min="16" max="16" width="11.28515625" style="250" bestFit="1" customWidth="1"/>
    <col min="17" max="16384" width="10.42578125" style="250"/>
  </cols>
  <sheetData>
    <row r="1" spans="1:16" s="116" customFormat="1" ht="18.95" customHeight="1">
      <c r="A1" s="1368" t="s">
        <v>1168</v>
      </c>
      <c r="B1" s="1368"/>
      <c r="C1" s="1368"/>
      <c r="D1" s="1425" t="e">
        <f>+'RC2_ปร.5 (ก)'!#REF!</f>
        <v>#REF!</v>
      </c>
      <c r="E1" s="1425"/>
      <c r="F1" s="1425"/>
      <c r="G1" s="1425"/>
      <c r="H1" s="1425"/>
      <c r="I1" s="1425"/>
      <c r="J1" s="296" t="s">
        <v>1169</v>
      </c>
      <c r="K1" s="296" t="s">
        <v>1169</v>
      </c>
      <c r="L1" s="492" t="s">
        <v>2185</v>
      </c>
      <c r="M1" s="492"/>
      <c r="N1" s="114"/>
    </row>
    <row r="2" spans="1:16" s="116" customFormat="1" ht="18.95" customHeight="1">
      <c r="A2" s="1369" t="s">
        <v>4</v>
      </c>
      <c r="B2" s="1369"/>
      <c r="C2" s="1369"/>
      <c r="D2" s="115" t="e">
        <f>+'RC2_ปร.5 (ก)'!#REF!</f>
        <v>#REF!</v>
      </c>
      <c r="E2" s="298"/>
      <c r="F2" s="115"/>
      <c r="G2" s="299"/>
      <c r="H2" s="299"/>
      <c r="I2" s="299"/>
      <c r="J2" s="300" t="s">
        <v>1171</v>
      </c>
      <c r="K2" s="300" t="s">
        <v>1171</v>
      </c>
      <c r="L2" s="301" t="e">
        <f>+'RC2_ปร.5 (ก)'!#REF!</f>
        <v>#REF!</v>
      </c>
      <c r="M2" s="302"/>
      <c r="N2" s="115"/>
    </row>
    <row r="3" spans="1:16" s="116" customFormat="1" ht="18.95" customHeight="1">
      <c r="A3" s="1369" t="s">
        <v>1172</v>
      </c>
      <c r="B3" s="1369"/>
      <c r="C3" s="1369"/>
      <c r="D3" s="115" t="e">
        <f>+'RC2_ปร.5 (ก)'!#REF!</f>
        <v>#REF!</v>
      </c>
      <c r="E3" s="298"/>
      <c r="F3" s="115"/>
      <c r="G3" s="299"/>
      <c r="H3" s="299"/>
      <c r="I3" s="303"/>
      <c r="J3" s="303"/>
      <c r="K3" s="303"/>
      <c r="L3" s="304"/>
      <c r="M3" s="305"/>
      <c r="N3" s="115"/>
    </row>
    <row r="4" spans="1:16" s="116" customFormat="1" ht="18.95" customHeight="1">
      <c r="B4" s="307"/>
      <c r="C4" s="307"/>
      <c r="D4" s="118"/>
      <c r="E4" s="307"/>
      <c r="G4" s="307"/>
      <c r="H4" s="307"/>
      <c r="I4" s="307"/>
      <c r="N4" s="418"/>
    </row>
    <row r="5" spans="1:16" ht="18.95" customHeight="1">
      <c r="A5" s="1370" t="s">
        <v>1007</v>
      </c>
      <c r="B5" s="1384" t="s">
        <v>17</v>
      </c>
      <c r="C5" s="1385"/>
      <c r="D5" s="1386"/>
      <c r="E5" s="1390" t="s">
        <v>1173</v>
      </c>
      <c r="F5" s="1360" t="s">
        <v>1174</v>
      </c>
      <c r="G5" s="1362" t="s">
        <v>1008</v>
      </c>
      <c r="H5" s="1363"/>
      <c r="I5" s="1364"/>
      <c r="J5" s="1365" t="s">
        <v>1010</v>
      </c>
      <c r="K5" s="1366"/>
      <c r="L5" s="1367"/>
      <c r="M5" s="308" t="s">
        <v>1175</v>
      </c>
      <c r="N5" s="1360" t="s">
        <v>19</v>
      </c>
    </row>
    <row r="6" spans="1:16" ht="18.95" customHeight="1">
      <c r="A6" s="1373"/>
      <c r="B6" s="1387"/>
      <c r="C6" s="1388"/>
      <c r="D6" s="1389"/>
      <c r="E6" s="1391"/>
      <c r="F6" s="1361"/>
      <c r="G6" s="311" t="s">
        <v>203</v>
      </c>
      <c r="H6" s="311" t="s">
        <v>203</v>
      </c>
      <c r="I6" s="310" t="s">
        <v>1176</v>
      </c>
      <c r="J6" s="311" t="s">
        <v>203</v>
      </c>
      <c r="K6" s="311" t="s">
        <v>203</v>
      </c>
      <c r="L6" s="309" t="s">
        <v>1176</v>
      </c>
      <c r="M6" s="309" t="s">
        <v>1177</v>
      </c>
      <c r="N6" s="1361"/>
    </row>
    <row r="7" spans="1:16" ht="18.95" customHeight="1">
      <c r="A7" s="119"/>
      <c r="B7" s="581" t="s">
        <v>2186</v>
      </c>
      <c r="C7" s="120"/>
      <c r="D7" s="121"/>
      <c r="E7" s="263"/>
      <c r="F7" s="265"/>
      <c r="G7" s="263"/>
      <c r="H7" s="263"/>
      <c r="I7" s="263"/>
      <c r="J7" s="265"/>
      <c r="K7" s="265"/>
      <c r="L7" s="266"/>
      <c r="M7" s="265"/>
      <c r="N7" s="265"/>
    </row>
    <row r="8" spans="1:16" ht="18.95" customHeight="1">
      <c r="A8" s="122"/>
      <c r="B8" s="409" t="s">
        <v>22</v>
      </c>
      <c r="C8" s="123"/>
      <c r="D8" s="124"/>
      <c r="E8" s="267"/>
      <c r="F8" s="269"/>
      <c r="G8" s="267"/>
      <c r="H8" s="267"/>
      <c r="I8" s="267"/>
      <c r="J8" s="269"/>
      <c r="K8" s="269"/>
      <c r="L8" s="269"/>
      <c r="M8" s="267"/>
      <c r="N8" s="269"/>
    </row>
    <row r="9" spans="1:16" ht="18.95" customHeight="1">
      <c r="A9" s="125"/>
      <c r="B9" s="411"/>
      <c r="C9" s="123"/>
      <c r="D9" s="126"/>
      <c r="E9" s="267"/>
      <c r="F9" s="269"/>
      <c r="G9" s="267"/>
      <c r="H9" s="267"/>
      <c r="I9" s="267"/>
      <c r="J9" s="269"/>
      <c r="K9" s="269"/>
      <c r="L9" s="269"/>
      <c r="M9" s="267"/>
      <c r="N9" s="269"/>
    </row>
    <row r="10" spans="1:16" ht="18.95" customHeight="1">
      <c r="A10" s="362">
        <v>1</v>
      </c>
      <c r="B10" s="360" t="s">
        <v>2187</v>
      </c>
      <c r="C10" s="360"/>
      <c r="D10" s="126"/>
      <c r="E10" s="267"/>
      <c r="F10" s="269"/>
      <c r="G10" s="267"/>
      <c r="H10" s="267"/>
      <c r="I10" s="267"/>
      <c r="J10" s="269"/>
      <c r="K10" s="269"/>
      <c r="L10" s="269"/>
      <c r="M10" s="267">
        <f>M40</f>
        <v>808892.17465716938</v>
      </c>
      <c r="N10" s="269"/>
      <c r="O10" s="293">
        <f>P10*0.934908047</f>
        <v>808892.17465716926</v>
      </c>
      <c r="P10" s="293">
        <v>865210.41</v>
      </c>
    </row>
    <row r="11" spans="1:16" ht="18.95" customHeight="1">
      <c r="A11" s="224">
        <v>2</v>
      </c>
      <c r="B11" s="650" t="s">
        <v>206</v>
      </c>
      <c r="C11" s="620"/>
      <c r="D11" s="126"/>
      <c r="E11" s="267"/>
      <c r="F11" s="269"/>
      <c r="G11" s="267"/>
      <c r="H11" s="267"/>
      <c r="I11" s="267"/>
      <c r="J11" s="269"/>
      <c r="K11" s="269"/>
      <c r="L11" s="269"/>
      <c r="M11" s="267">
        <f>M44</f>
        <v>4851.47635092579</v>
      </c>
      <c r="N11" s="269"/>
      <c r="O11" s="293">
        <f t="shared" ref="O11:O12" si="0">P11*0.934908047</f>
        <v>4851.4809319752203</v>
      </c>
      <c r="P11" s="293">
        <v>5189.26</v>
      </c>
    </row>
    <row r="12" spans="1:16" ht="18.95" customHeight="1">
      <c r="A12" s="362">
        <v>3</v>
      </c>
      <c r="B12" s="651" t="s">
        <v>2188</v>
      </c>
      <c r="C12" s="123"/>
      <c r="D12" s="126"/>
      <c r="E12" s="267"/>
      <c r="F12" s="269"/>
      <c r="G12" s="267"/>
      <c r="H12" s="267"/>
      <c r="I12" s="267"/>
      <c r="J12" s="269"/>
      <c r="K12" s="269"/>
      <c r="L12" s="269"/>
      <c r="M12" s="267">
        <f>M51</f>
        <v>63544.177924289477</v>
      </c>
      <c r="N12" s="269"/>
      <c r="O12" s="293">
        <f t="shared" si="0"/>
        <v>63544.176054473384</v>
      </c>
      <c r="P12" s="293">
        <v>67968.37</v>
      </c>
    </row>
    <row r="13" spans="1:16" ht="18.95" customHeight="1">
      <c r="A13" s="224">
        <v>4</v>
      </c>
      <c r="B13" s="250" t="s">
        <v>2189</v>
      </c>
      <c r="C13" s="123"/>
      <c r="D13" s="126"/>
      <c r="E13" s="267"/>
      <c r="F13" s="269"/>
      <c r="G13" s="267"/>
      <c r="H13" s="267"/>
      <c r="I13" s="267"/>
      <c r="J13" s="269"/>
      <c r="K13" s="269"/>
      <c r="L13" s="269"/>
      <c r="M13" s="267">
        <f>M55</f>
        <v>0</v>
      </c>
      <c r="N13" s="269"/>
      <c r="O13" s="293">
        <f t="shared" ref="O13:O14" si="1">P13*0.934899332</f>
        <v>0</v>
      </c>
      <c r="P13" s="293"/>
    </row>
    <row r="14" spans="1:16" ht="18.95" customHeight="1">
      <c r="A14" s="125"/>
      <c r="B14" s="411"/>
      <c r="C14" s="123"/>
      <c r="D14" s="126"/>
      <c r="E14" s="267"/>
      <c r="F14" s="269"/>
      <c r="G14" s="269"/>
      <c r="H14" s="269"/>
      <c r="I14" s="269"/>
      <c r="J14" s="269"/>
      <c r="K14" s="269"/>
      <c r="L14" s="267"/>
      <c r="M14" s="267"/>
      <c r="N14" s="269"/>
      <c r="O14" s="293">
        <f t="shared" si="1"/>
        <v>0</v>
      </c>
      <c r="P14" s="293"/>
    </row>
    <row r="15" spans="1:16" ht="18.95" customHeight="1">
      <c r="A15" s="125"/>
      <c r="B15" s="1301" t="s">
        <v>2190</v>
      </c>
      <c r="C15" s="1302"/>
      <c r="D15" s="1303"/>
      <c r="E15" s="267"/>
      <c r="F15" s="269"/>
      <c r="G15" s="267"/>
      <c r="H15" s="267"/>
      <c r="I15" s="267"/>
      <c r="J15" s="269"/>
      <c r="K15" s="269"/>
      <c r="L15" s="269"/>
      <c r="M15" s="271">
        <f>SUM(M10:M14)</f>
        <v>877287.82893238461</v>
      </c>
      <c r="N15" s="269"/>
      <c r="O15" s="293">
        <f>SUM(O10:O14)</f>
        <v>877287.83164361783</v>
      </c>
      <c r="P15" s="293">
        <f>SUM(P10:P14)</f>
        <v>938368.04</v>
      </c>
    </row>
    <row r="16" spans="1:16" ht="18.95" customHeight="1">
      <c r="A16" s="125"/>
      <c r="B16" s="411"/>
      <c r="C16" s="123"/>
      <c r="D16" s="127"/>
      <c r="E16" s="267"/>
      <c r="F16" s="269"/>
      <c r="G16" s="269"/>
      <c r="H16" s="269"/>
      <c r="I16" s="269"/>
      <c r="J16" s="269"/>
      <c r="K16" s="269"/>
      <c r="L16" s="267"/>
      <c r="M16" s="267"/>
      <c r="N16" s="269"/>
    </row>
    <row r="17" spans="1:14" ht="18.95" customHeight="1">
      <c r="A17" s="125"/>
      <c r="B17" s="411"/>
      <c r="C17" s="123"/>
      <c r="D17" s="126"/>
      <c r="E17" s="267"/>
      <c r="F17" s="269"/>
      <c r="G17" s="269"/>
      <c r="H17" s="269"/>
      <c r="I17" s="269"/>
      <c r="J17" s="269"/>
      <c r="K17" s="269"/>
      <c r="L17" s="267"/>
      <c r="M17" s="269"/>
      <c r="N17" s="269"/>
    </row>
    <row r="18" spans="1:14" ht="18.95" customHeight="1">
      <c r="A18" s="122"/>
      <c r="B18" s="1422"/>
      <c r="C18" s="1423"/>
      <c r="D18" s="1424"/>
      <c r="E18" s="267"/>
      <c r="F18" s="269"/>
      <c r="G18" s="267"/>
      <c r="H18" s="267"/>
      <c r="I18" s="267"/>
      <c r="J18" s="267"/>
      <c r="K18" s="267"/>
      <c r="L18" s="269"/>
      <c r="M18" s="271"/>
      <c r="N18" s="269"/>
    </row>
    <row r="19" spans="1:14" ht="18.95" customHeight="1">
      <c r="A19" s="122"/>
      <c r="B19" s="128"/>
      <c r="C19" s="129"/>
      <c r="D19" s="130"/>
      <c r="E19" s="267"/>
      <c r="F19" s="269"/>
      <c r="G19" s="267"/>
      <c r="H19" s="267"/>
      <c r="I19" s="267"/>
      <c r="J19" s="267"/>
      <c r="K19" s="267"/>
      <c r="L19" s="269"/>
      <c r="M19" s="271"/>
      <c r="N19" s="269"/>
    </row>
    <row r="20" spans="1:14" ht="18.95" customHeight="1">
      <c r="A20" s="122"/>
      <c r="B20" s="128"/>
      <c r="C20" s="129"/>
      <c r="D20" s="130"/>
      <c r="E20" s="267"/>
      <c r="F20" s="269"/>
      <c r="G20" s="267"/>
      <c r="H20" s="267"/>
      <c r="I20" s="267"/>
      <c r="J20" s="267"/>
      <c r="K20" s="267"/>
      <c r="L20" s="269"/>
      <c r="M20" s="271"/>
      <c r="N20" s="269"/>
    </row>
    <row r="21" spans="1:14" ht="18.95" customHeight="1">
      <c r="A21" s="122"/>
      <c r="B21" s="122"/>
      <c r="C21" s="131"/>
      <c r="D21" s="132"/>
      <c r="E21" s="267"/>
      <c r="F21" s="269"/>
      <c r="G21" s="267"/>
      <c r="H21" s="267"/>
      <c r="I21" s="267"/>
      <c r="J21" s="267"/>
      <c r="K21" s="267"/>
      <c r="L21" s="269"/>
      <c r="M21" s="267"/>
      <c r="N21" s="269"/>
    </row>
    <row r="22" spans="1:14" ht="18.95" customHeight="1">
      <c r="A22" s="125"/>
      <c r="B22" s="411"/>
      <c r="C22" s="123"/>
      <c r="D22" s="132"/>
      <c r="E22" s="267"/>
      <c r="F22" s="269"/>
      <c r="G22" s="267"/>
      <c r="H22" s="267"/>
      <c r="I22" s="267"/>
      <c r="J22" s="267"/>
      <c r="K22" s="267"/>
      <c r="L22" s="269"/>
      <c r="M22" s="267"/>
      <c r="N22" s="269"/>
    </row>
    <row r="23" spans="1:14" ht="18.95" customHeight="1">
      <c r="A23" s="125"/>
      <c r="B23" s="411"/>
      <c r="C23" s="123"/>
      <c r="D23" s="132"/>
      <c r="E23" s="267"/>
      <c r="F23" s="269"/>
      <c r="G23" s="267"/>
      <c r="H23" s="267"/>
      <c r="I23" s="267"/>
      <c r="J23" s="267"/>
      <c r="K23" s="267"/>
      <c r="L23" s="269"/>
      <c r="M23" s="267"/>
      <c r="N23" s="269"/>
    </row>
    <row r="24" spans="1:14" ht="18.95" customHeight="1">
      <c r="A24" s="122"/>
      <c r="B24" s="122"/>
      <c r="C24" s="131"/>
      <c r="D24" s="132"/>
      <c r="E24" s="267"/>
      <c r="F24" s="269"/>
      <c r="G24" s="267"/>
      <c r="H24" s="267"/>
      <c r="I24" s="267"/>
      <c r="J24" s="267"/>
      <c r="K24" s="267"/>
      <c r="L24" s="269"/>
      <c r="M24" s="267"/>
      <c r="N24" s="269"/>
    </row>
    <row r="25" spans="1:14" ht="18.95" customHeight="1">
      <c r="A25" s="122"/>
      <c r="B25" s="122"/>
      <c r="C25" s="131"/>
      <c r="D25" s="132"/>
      <c r="E25" s="267"/>
      <c r="F25" s="269"/>
      <c r="G25" s="267"/>
      <c r="H25" s="267"/>
      <c r="I25" s="267"/>
      <c r="J25" s="267"/>
      <c r="K25" s="267"/>
      <c r="L25" s="269"/>
      <c r="M25" s="267"/>
      <c r="N25" s="269"/>
    </row>
    <row r="26" spans="1:14" ht="18.95" customHeight="1">
      <c r="A26" s="122"/>
      <c r="B26" s="411"/>
      <c r="C26" s="131"/>
      <c r="D26" s="132"/>
      <c r="E26" s="267"/>
      <c r="F26" s="269"/>
      <c r="G26" s="267"/>
      <c r="H26" s="267"/>
      <c r="I26" s="267"/>
      <c r="J26" s="267"/>
      <c r="K26" s="267"/>
      <c r="L26" s="269"/>
      <c r="M26" s="267"/>
      <c r="N26" s="269"/>
    </row>
    <row r="27" spans="1:14" ht="18.95" customHeight="1">
      <c r="A27" s="122"/>
      <c r="B27" s="411"/>
      <c r="C27" s="131"/>
      <c r="D27" s="132"/>
      <c r="E27" s="267"/>
      <c r="F27" s="269"/>
      <c r="G27" s="267"/>
      <c r="H27" s="267"/>
      <c r="I27" s="267"/>
      <c r="J27" s="267"/>
      <c r="K27" s="267"/>
      <c r="L27" s="269"/>
      <c r="M27" s="267"/>
      <c r="N27" s="269"/>
    </row>
    <row r="28" spans="1:14" ht="18.95" customHeight="1">
      <c r="A28" s="122"/>
      <c r="B28" s="122"/>
      <c r="C28" s="131"/>
      <c r="D28" s="132"/>
      <c r="E28" s="267"/>
      <c r="F28" s="269"/>
      <c r="G28" s="267"/>
      <c r="H28" s="267"/>
      <c r="I28" s="267"/>
      <c r="J28" s="267"/>
      <c r="K28" s="267"/>
      <c r="L28" s="269"/>
      <c r="M28" s="267"/>
      <c r="N28" s="269"/>
    </row>
    <row r="29" spans="1:14" ht="18.95" customHeight="1">
      <c r="A29" s="122"/>
      <c r="B29" s="122"/>
      <c r="C29" s="131"/>
      <c r="D29" s="132"/>
      <c r="E29" s="267"/>
      <c r="F29" s="269"/>
      <c r="G29" s="267"/>
      <c r="H29" s="267"/>
      <c r="I29" s="267"/>
      <c r="J29" s="267"/>
      <c r="K29" s="267"/>
      <c r="L29" s="269"/>
      <c r="M29" s="267"/>
      <c r="N29" s="269"/>
    </row>
    <row r="30" spans="1:14" ht="18.95" customHeight="1">
      <c r="A30" s="133"/>
      <c r="B30" s="133"/>
      <c r="C30" s="134"/>
      <c r="D30" s="135"/>
      <c r="E30" s="272"/>
      <c r="F30" s="274"/>
      <c r="G30" s="272"/>
      <c r="H30" s="272"/>
      <c r="I30" s="272"/>
      <c r="J30" s="272"/>
      <c r="K30" s="272"/>
      <c r="L30" s="274"/>
      <c r="M30" s="272"/>
      <c r="N30" s="269"/>
    </row>
    <row r="31" spans="1:14" ht="18.95" customHeight="1">
      <c r="A31" s="652"/>
      <c r="B31" s="653" t="s">
        <v>2191</v>
      </c>
      <c r="C31" s="172"/>
      <c r="D31" s="197"/>
      <c r="E31" s="263"/>
      <c r="F31" s="265"/>
      <c r="G31" s="263"/>
      <c r="H31" s="263"/>
      <c r="I31" s="263"/>
      <c r="J31" s="263"/>
      <c r="K31" s="263"/>
      <c r="L31" s="265"/>
      <c r="M31" s="263"/>
      <c r="N31" s="265"/>
    </row>
    <row r="32" spans="1:14" ht="18.95" customHeight="1">
      <c r="A32" s="654">
        <v>1</v>
      </c>
      <c r="B32" s="655" t="s">
        <v>2187</v>
      </c>
      <c r="C32" s="656"/>
      <c r="D32" s="656"/>
      <c r="E32" s="280"/>
      <c r="F32" s="282"/>
      <c r="G32" s="280"/>
      <c r="H32" s="280"/>
      <c r="I32" s="280"/>
      <c r="J32" s="280"/>
      <c r="K32" s="280"/>
      <c r="L32" s="282"/>
      <c r="M32" s="280"/>
      <c r="N32" s="282"/>
    </row>
    <row r="33" spans="1:18" ht="18.95" customHeight="1">
      <c r="A33" s="202">
        <v>1.1000000000000001</v>
      </c>
      <c r="B33" s="657" t="s">
        <v>2192</v>
      </c>
      <c r="C33" s="318"/>
      <c r="D33" s="167"/>
      <c r="E33" s="267">
        <v>884</v>
      </c>
      <c r="F33" s="269" t="s">
        <v>218</v>
      </c>
      <c r="G33" s="284">
        <v>647.5</v>
      </c>
      <c r="H33" s="284">
        <f>G33*O33</f>
        <v>605.35296043250003</v>
      </c>
      <c r="I33" s="267">
        <f>H33*E33</f>
        <v>535132.01702233008</v>
      </c>
      <c r="J33" s="269">
        <v>194.25</v>
      </c>
      <c r="K33" s="269">
        <f>J33*O33</f>
        <v>181.60588812974999</v>
      </c>
      <c r="L33" s="284">
        <f>E33*K33</f>
        <v>160539.60510669899</v>
      </c>
      <c r="M33" s="267">
        <f>SUM(I33,L33)</f>
        <v>695671.62212902913</v>
      </c>
      <c r="N33" s="267"/>
      <c r="O33" s="250">
        <v>0.93490804699999996</v>
      </c>
      <c r="P33" s="252"/>
      <c r="R33" s="252"/>
    </row>
    <row r="34" spans="1:18" ht="18.95" customHeight="1">
      <c r="A34" s="149"/>
      <c r="B34" s="657" t="s">
        <v>2193</v>
      </c>
      <c r="C34" s="174" t="s">
        <v>2194</v>
      </c>
      <c r="D34" s="167"/>
      <c r="E34" s="267"/>
      <c r="F34" s="269"/>
      <c r="G34" s="284"/>
      <c r="H34" s="284"/>
      <c r="I34" s="267"/>
      <c r="J34" s="269"/>
      <c r="K34" s="269"/>
      <c r="L34" s="284"/>
      <c r="M34" s="267"/>
      <c r="N34" s="267"/>
      <c r="O34" s="250">
        <v>0.93490804699999996</v>
      </c>
      <c r="P34" s="252"/>
      <c r="R34" s="252"/>
    </row>
    <row r="35" spans="1:18" ht="18.95" customHeight="1">
      <c r="A35" s="594"/>
      <c r="B35" s="344" t="s">
        <v>2195</v>
      </c>
      <c r="C35" s="318" t="s">
        <v>2196</v>
      </c>
      <c r="D35" s="167"/>
      <c r="E35" s="267"/>
      <c r="F35" s="269"/>
      <c r="G35" s="284"/>
      <c r="H35" s="284"/>
      <c r="I35" s="267"/>
      <c r="J35" s="269"/>
      <c r="K35" s="269"/>
      <c r="L35" s="284"/>
      <c r="M35" s="267"/>
      <c r="N35" s="267"/>
      <c r="O35" s="250">
        <v>0.93490804699999996</v>
      </c>
      <c r="P35" s="252"/>
      <c r="R35" s="252"/>
    </row>
    <row r="36" spans="1:18" ht="18.95" customHeight="1">
      <c r="A36" s="658"/>
      <c r="B36" s="657" t="s">
        <v>2197</v>
      </c>
      <c r="C36" s="234" t="s">
        <v>2198</v>
      </c>
      <c r="D36" s="167" t="s">
        <v>611</v>
      </c>
      <c r="E36" s="267"/>
      <c r="F36" s="269"/>
      <c r="G36" s="284"/>
      <c r="H36" s="284"/>
      <c r="I36" s="267"/>
      <c r="J36" s="269"/>
      <c r="K36" s="269"/>
      <c r="L36" s="284"/>
      <c r="M36" s="267"/>
      <c r="N36" s="267"/>
      <c r="O36" s="250">
        <v>0.93490804699999996</v>
      </c>
      <c r="P36" s="252"/>
      <c r="R36" s="252"/>
    </row>
    <row r="37" spans="1:18" ht="18.95" customHeight="1">
      <c r="A37" s="122"/>
      <c r="B37" s="659" t="s">
        <v>245</v>
      </c>
      <c r="C37" s="234" t="s">
        <v>2199</v>
      </c>
      <c r="D37" s="167"/>
      <c r="E37" s="267">
        <v>44</v>
      </c>
      <c r="F37" s="269" t="s">
        <v>1032</v>
      </c>
      <c r="G37" s="284">
        <v>508.33</v>
      </c>
      <c r="H37" s="284">
        <f>G37*O37</f>
        <v>475.24180753150995</v>
      </c>
      <c r="I37" s="267">
        <f>H37*E37</f>
        <v>20910.639531386438</v>
      </c>
      <c r="J37" s="269">
        <v>112</v>
      </c>
      <c r="K37" s="269">
        <f t="shared" ref="K37:K50" si="2">J37*O37</f>
        <v>104.70970126399999</v>
      </c>
      <c r="L37" s="284">
        <f t="shared" ref="L37:L50" si="3">E37*K37</f>
        <v>4607.2268556159997</v>
      </c>
      <c r="M37" s="267">
        <f>SUM(I37,L37)</f>
        <v>25517.866387002439</v>
      </c>
      <c r="N37" s="267"/>
      <c r="O37" s="250">
        <v>0.93490804699999996</v>
      </c>
      <c r="P37" s="252"/>
      <c r="R37" s="252"/>
    </row>
    <row r="38" spans="1:18" ht="18.95" customHeight="1">
      <c r="A38" s="125"/>
      <c r="B38" s="659" t="s">
        <v>245</v>
      </c>
      <c r="C38" s="318" t="s">
        <v>2200</v>
      </c>
      <c r="D38" s="167"/>
      <c r="E38" s="267">
        <v>133</v>
      </c>
      <c r="F38" s="269" t="s">
        <v>1032</v>
      </c>
      <c r="G38" s="267">
        <v>593.33000000000004</v>
      </c>
      <c r="H38" s="284">
        <f>G38*O38</f>
        <v>554.70899152650998</v>
      </c>
      <c r="I38" s="267">
        <f>H38*E38</f>
        <v>73776.295873025825</v>
      </c>
      <c r="J38" s="269">
        <v>112</v>
      </c>
      <c r="K38" s="269">
        <f t="shared" si="2"/>
        <v>104.70970126399999</v>
      </c>
      <c r="L38" s="284">
        <f t="shared" si="3"/>
        <v>13926.390268111998</v>
      </c>
      <c r="M38" s="267">
        <f>SUM(I38,L38)</f>
        <v>87702.68614113782</v>
      </c>
      <c r="N38" s="267"/>
      <c r="O38" s="250">
        <v>0.93490804699999996</v>
      </c>
      <c r="P38" s="252"/>
      <c r="R38" s="252"/>
    </row>
    <row r="39" spans="1:18" ht="18.95" customHeight="1">
      <c r="A39" s="125"/>
      <c r="B39" s="659" t="s">
        <v>245</v>
      </c>
      <c r="C39" s="318" t="s">
        <v>2201</v>
      </c>
      <c r="D39" s="167"/>
      <c r="E39" s="267">
        <v>884</v>
      </c>
      <c r="F39" s="269" t="s">
        <v>1032</v>
      </c>
      <c r="G39" s="435" t="s">
        <v>2202</v>
      </c>
      <c r="H39" s="291"/>
      <c r="I39" s="291"/>
      <c r="J39" s="267"/>
      <c r="K39" s="269"/>
      <c r="L39" s="284"/>
      <c r="M39" s="267"/>
      <c r="N39" s="267"/>
      <c r="O39" s="250">
        <v>0.93490804699999996</v>
      </c>
      <c r="P39" s="252"/>
      <c r="R39" s="252"/>
    </row>
    <row r="40" spans="1:18" ht="18.95" customHeight="1">
      <c r="A40" s="136"/>
      <c r="B40" s="1345" t="s">
        <v>2203</v>
      </c>
      <c r="C40" s="1346"/>
      <c r="D40" s="1356"/>
      <c r="E40" s="267"/>
      <c r="F40" s="269"/>
      <c r="G40" s="269"/>
      <c r="H40" s="269"/>
      <c r="I40" s="267"/>
      <c r="J40" s="267"/>
      <c r="K40" s="269"/>
      <c r="L40" s="284"/>
      <c r="M40" s="271">
        <f>SUM(M33:M38)</f>
        <v>808892.17465716938</v>
      </c>
      <c r="N40" s="269"/>
      <c r="O40" s="250">
        <v>0.93490804699999996</v>
      </c>
      <c r="P40" s="252"/>
      <c r="R40" s="252"/>
    </row>
    <row r="41" spans="1:18" ht="18.95" customHeight="1">
      <c r="A41" s="136"/>
      <c r="B41" s="357"/>
      <c r="C41" s="137"/>
      <c r="D41" s="138"/>
      <c r="E41" s="267"/>
      <c r="F41" s="269"/>
      <c r="G41" s="267"/>
      <c r="H41" s="267"/>
      <c r="I41" s="267"/>
      <c r="J41" s="267"/>
      <c r="K41" s="269"/>
      <c r="L41" s="284"/>
      <c r="M41" s="267"/>
      <c r="N41" s="269"/>
      <c r="O41" s="250">
        <v>0.93490804699999996</v>
      </c>
      <c r="P41" s="252"/>
      <c r="R41" s="252"/>
    </row>
    <row r="42" spans="1:18" ht="18.95" customHeight="1">
      <c r="A42" s="654">
        <v>2</v>
      </c>
      <c r="B42" s="660" t="s">
        <v>206</v>
      </c>
      <c r="C42" s="233"/>
      <c r="D42" s="164"/>
      <c r="E42" s="267"/>
      <c r="F42" s="269"/>
      <c r="G42" s="267"/>
      <c r="H42" s="267"/>
      <c r="I42" s="267"/>
      <c r="J42" s="267"/>
      <c r="K42" s="269"/>
      <c r="L42" s="284"/>
      <c r="M42" s="267"/>
      <c r="N42" s="269"/>
      <c r="O42" s="250">
        <v>0.93490804699999996</v>
      </c>
      <c r="P42" s="252"/>
      <c r="R42" s="252"/>
    </row>
    <row r="43" spans="1:18" ht="18.95" customHeight="1">
      <c r="A43" s="661">
        <v>2.1</v>
      </c>
      <c r="B43" s="344" t="s">
        <v>2204</v>
      </c>
      <c r="C43" s="174" t="s">
        <v>2205</v>
      </c>
      <c r="D43" s="235"/>
      <c r="E43" s="267">
        <v>9</v>
      </c>
      <c r="F43" s="269" t="s">
        <v>218</v>
      </c>
      <c r="G43" s="284">
        <v>343.93890000000005</v>
      </c>
      <c r="H43" s="284">
        <f>G43*O43</f>
        <v>321.55124528632831</v>
      </c>
      <c r="I43" s="267">
        <f>H43*E43</f>
        <v>2893.9612075769546</v>
      </c>
      <c r="J43" s="269">
        <v>232.64500000000001</v>
      </c>
      <c r="K43" s="269">
        <f t="shared" si="2"/>
        <v>217.50168259431501</v>
      </c>
      <c r="L43" s="284">
        <f t="shared" si="3"/>
        <v>1957.5151433488352</v>
      </c>
      <c r="M43" s="267">
        <f>SUM(I43,L43)</f>
        <v>4851.47635092579</v>
      </c>
      <c r="N43" s="277"/>
      <c r="O43" s="250">
        <v>0.93490804699999996</v>
      </c>
      <c r="P43" s="252"/>
      <c r="R43" s="252"/>
    </row>
    <row r="44" spans="1:18" ht="18.95" customHeight="1">
      <c r="A44" s="224"/>
      <c r="B44" s="1345" t="s">
        <v>2206</v>
      </c>
      <c r="C44" s="1346"/>
      <c r="D44" s="1356"/>
      <c r="E44" s="267"/>
      <c r="F44" s="269"/>
      <c r="G44" s="284"/>
      <c r="H44" s="284"/>
      <c r="I44" s="267"/>
      <c r="J44" s="269"/>
      <c r="K44" s="269"/>
      <c r="L44" s="284"/>
      <c r="M44" s="271">
        <f>SUM(M43)</f>
        <v>4851.47635092579</v>
      </c>
      <c r="N44" s="269"/>
      <c r="O44" s="250">
        <v>0.93490804699999996</v>
      </c>
      <c r="P44" s="252"/>
      <c r="R44" s="252"/>
    </row>
    <row r="45" spans="1:18" ht="18.95" customHeight="1">
      <c r="A45" s="139"/>
      <c r="B45" s="357"/>
      <c r="C45" s="140"/>
      <c r="D45" s="138"/>
      <c r="E45" s="267"/>
      <c r="F45" s="269"/>
      <c r="G45" s="267"/>
      <c r="H45" s="267"/>
      <c r="I45" s="267"/>
      <c r="J45" s="267"/>
      <c r="K45" s="269"/>
      <c r="L45" s="284"/>
      <c r="M45" s="267"/>
      <c r="N45" s="269"/>
      <c r="O45" s="250">
        <v>0.93490804699999996</v>
      </c>
      <c r="P45" s="252"/>
      <c r="R45" s="252"/>
    </row>
    <row r="46" spans="1:18" ht="18.95" customHeight="1">
      <c r="A46" s="654">
        <v>3</v>
      </c>
      <c r="B46" s="655" t="s">
        <v>2188</v>
      </c>
      <c r="C46" s="662"/>
      <c r="D46" s="656"/>
      <c r="E46" s="280"/>
      <c r="F46" s="282"/>
      <c r="G46" s="280"/>
      <c r="H46" s="280"/>
      <c r="I46" s="280"/>
      <c r="J46" s="280"/>
      <c r="K46" s="269"/>
      <c r="L46" s="284"/>
      <c r="M46" s="280"/>
      <c r="N46" s="269"/>
      <c r="O46" s="250">
        <v>0.93490804699999996</v>
      </c>
      <c r="P46" s="252"/>
      <c r="R46" s="252"/>
    </row>
    <row r="47" spans="1:18" ht="18.95" customHeight="1">
      <c r="A47" s="202">
        <v>3.1</v>
      </c>
      <c r="B47" s="349" t="s">
        <v>2207</v>
      </c>
      <c r="C47" s="164" t="s">
        <v>2208</v>
      </c>
      <c r="D47" s="167"/>
      <c r="E47" s="267">
        <v>58</v>
      </c>
      <c r="F47" s="269" t="s">
        <v>218</v>
      </c>
      <c r="G47" s="284">
        <v>238.02</v>
      </c>
      <c r="H47" s="284">
        <f>G47*O47</f>
        <v>222.52681334694</v>
      </c>
      <c r="I47" s="267">
        <f>H47*E47</f>
        <v>12906.555174122521</v>
      </c>
      <c r="J47" s="269">
        <v>161</v>
      </c>
      <c r="K47" s="269">
        <f t="shared" si="2"/>
        <v>150.520195567</v>
      </c>
      <c r="L47" s="284">
        <f t="shared" si="3"/>
        <v>8730.1713428860003</v>
      </c>
      <c r="M47" s="267">
        <f>I47+L47</f>
        <v>21636.726517008523</v>
      </c>
      <c r="N47" s="269"/>
      <c r="O47" s="250">
        <v>0.93490804699999996</v>
      </c>
      <c r="P47" s="252"/>
      <c r="R47" s="252"/>
    </row>
    <row r="48" spans="1:18" ht="18.95" customHeight="1">
      <c r="A48" s="202">
        <v>3.2</v>
      </c>
      <c r="B48" s="349" t="s">
        <v>2209</v>
      </c>
      <c r="C48" s="164" t="s">
        <v>2210</v>
      </c>
      <c r="D48" s="167"/>
      <c r="E48" s="267">
        <v>46</v>
      </c>
      <c r="F48" s="269" t="s">
        <v>1079</v>
      </c>
      <c r="G48" s="284">
        <v>148.54</v>
      </c>
      <c r="H48" s="284">
        <f t="shared" ref="H48:H50" si="4">G48*O48</f>
        <v>138.87124130138</v>
      </c>
      <c r="I48" s="267">
        <f t="shared" ref="I48:I50" si="5">H48*E48</f>
        <v>6388.0770998634798</v>
      </c>
      <c r="J48" s="269">
        <v>44.561999999999998</v>
      </c>
      <c r="K48" s="269">
        <f t="shared" si="2"/>
        <v>41.661372390413995</v>
      </c>
      <c r="L48" s="284">
        <f t="shared" si="3"/>
        <v>1916.4231299590438</v>
      </c>
      <c r="M48" s="267">
        <f>I48+L48</f>
        <v>8304.5002298225227</v>
      </c>
      <c r="N48" s="269"/>
      <c r="O48" s="250">
        <v>0.93490804699999996</v>
      </c>
      <c r="P48" s="252"/>
      <c r="R48" s="252"/>
    </row>
    <row r="49" spans="1:18" ht="18.95" customHeight="1">
      <c r="A49" s="202">
        <v>3.3</v>
      </c>
      <c r="B49" s="349" t="s">
        <v>2211</v>
      </c>
      <c r="C49" s="164" t="s">
        <v>2212</v>
      </c>
      <c r="D49" s="167"/>
      <c r="E49" s="267">
        <v>83</v>
      </c>
      <c r="F49" s="269" t="s">
        <v>1079</v>
      </c>
      <c r="G49" s="284">
        <v>299.19</v>
      </c>
      <c r="H49" s="284">
        <f t="shared" si="4"/>
        <v>279.71513858192998</v>
      </c>
      <c r="I49" s="267">
        <f t="shared" si="5"/>
        <v>23216.356502300187</v>
      </c>
      <c r="J49" s="269">
        <v>68.13</v>
      </c>
      <c r="K49" s="269">
        <f t="shared" si="2"/>
        <v>63.695285242109996</v>
      </c>
      <c r="L49" s="284">
        <f t="shared" si="3"/>
        <v>5286.7086750951294</v>
      </c>
      <c r="M49" s="267">
        <f>I49+L49</f>
        <v>28503.065177395314</v>
      </c>
      <c r="N49" s="269"/>
      <c r="O49" s="250">
        <v>0.93490804699999996</v>
      </c>
      <c r="P49" s="252"/>
      <c r="R49" s="252"/>
    </row>
    <row r="50" spans="1:18" ht="18.95" customHeight="1">
      <c r="A50" s="202">
        <v>3.4</v>
      </c>
      <c r="B50" s="349" t="s">
        <v>2213</v>
      </c>
      <c r="C50" s="318" t="s">
        <v>2214</v>
      </c>
      <c r="D50" s="663"/>
      <c r="E50" s="267">
        <v>51</v>
      </c>
      <c r="F50" s="269" t="s">
        <v>1079</v>
      </c>
      <c r="G50" s="284">
        <v>72.2</v>
      </c>
      <c r="H50" s="284">
        <f t="shared" si="4"/>
        <v>67.500360993399994</v>
      </c>
      <c r="I50" s="267">
        <f t="shared" si="5"/>
        <v>3442.5184106633997</v>
      </c>
      <c r="J50" s="269">
        <v>34.76</v>
      </c>
      <c r="K50" s="269">
        <f t="shared" si="2"/>
        <v>32.497403713719997</v>
      </c>
      <c r="L50" s="284">
        <f t="shared" si="3"/>
        <v>1657.3675893997199</v>
      </c>
      <c r="M50" s="267">
        <f>I50+L50</f>
        <v>5099.8860000631194</v>
      </c>
      <c r="N50" s="277"/>
      <c r="O50" s="250">
        <v>0.93490804699999996</v>
      </c>
      <c r="P50" s="252"/>
      <c r="R50" s="252"/>
    </row>
    <row r="51" spans="1:18" ht="18.95" customHeight="1">
      <c r="A51" s="122"/>
      <c r="B51" s="1345" t="s">
        <v>2215</v>
      </c>
      <c r="C51" s="1346"/>
      <c r="D51" s="1356"/>
      <c r="E51" s="267"/>
      <c r="F51" s="269"/>
      <c r="G51" s="267"/>
      <c r="H51" s="267"/>
      <c r="I51" s="267"/>
      <c r="J51" s="267"/>
      <c r="K51" s="267"/>
      <c r="L51" s="267"/>
      <c r="M51" s="271">
        <f>SUM(M47:M50)</f>
        <v>63544.177924289477</v>
      </c>
      <c r="N51" s="269"/>
      <c r="P51" s="252"/>
      <c r="R51" s="252"/>
    </row>
    <row r="52" spans="1:18" ht="18.95" customHeight="1">
      <c r="A52" s="122"/>
      <c r="B52" s="342"/>
      <c r="C52" s="140"/>
      <c r="D52" s="132"/>
      <c r="E52" s="267"/>
      <c r="F52" s="269"/>
      <c r="G52" s="267"/>
      <c r="H52" s="267"/>
      <c r="I52" s="267"/>
      <c r="J52" s="267"/>
      <c r="K52" s="267"/>
      <c r="L52" s="267"/>
      <c r="M52" s="267"/>
      <c r="N52" s="269"/>
      <c r="P52" s="252"/>
      <c r="R52" s="252"/>
    </row>
    <row r="53" spans="1:18" ht="18.95" customHeight="1">
      <c r="A53" s="654">
        <v>4</v>
      </c>
      <c r="B53" s="116" t="s">
        <v>2189</v>
      </c>
      <c r="C53" s="116"/>
      <c r="D53" s="664"/>
      <c r="E53" s="280"/>
      <c r="F53" s="282"/>
      <c r="G53" s="665"/>
      <c r="H53" s="665"/>
      <c r="I53" s="280"/>
      <c r="J53" s="282"/>
      <c r="K53" s="282"/>
      <c r="L53" s="665"/>
      <c r="M53" s="280"/>
      <c r="N53" s="269"/>
      <c r="P53" s="252"/>
      <c r="R53" s="252"/>
    </row>
    <row r="54" spans="1:18" ht="18.95" customHeight="1">
      <c r="A54" s="202">
        <v>4.0999999999999996</v>
      </c>
      <c r="B54" s="657" t="s">
        <v>2216</v>
      </c>
      <c r="C54" s="244"/>
      <c r="D54" s="454"/>
      <c r="E54" s="267">
        <v>3</v>
      </c>
      <c r="F54" s="269" t="s">
        <v>2217</v>
      </c>
      <c r="G54" s="972" t="s">
        <v>2218</v>
      </c>
      <c r="H54" s="972"/>
      <c r="I54" s="544"/>
      <c r="J54" s="543"/>
      <c r="K54" s="543"/>
      <c r="L54" s="972"/>
      <c r="M54" s="544"/>
      <c r="N54" s="269"/>
      <c r="P54" s="252"/>
      <c r="R54" s="252"/>
    </row>
    <row r="55" spans="1:18" ht="18.95" customHeight="1">
      <c r="A55" s="358"/>
      <c r="B55" s="1380" t="s">
        <v>2219</v>
      </c>
      <c r="C55" s="1381"/>
      <c r="D55" s="1382"/>
      <c r="E55" s="272"/>
      <c r="F55" s="274"/>
      <c r="G55" s="274"/>
      <c r="H55" s="274"/>
      <c r="I55" s="272"/>
      <c r="J55" s="274"/>
      <c r="K55" s="274"/>
      <c r="L55" s="272"/>
      <c r="M55" s="286">
        <f>SUM(M54)</f>
        <v>0</v>
      </c>
      <c r="N55" s="274"/>
    </row>
    <row r="56" spans="1:18" ht="18.95" customHeight="1">
      <c r="B56" s="250"/>
      <c r="C56" s="250"/>
      <c r="D56" s="250"/>
      <c r="E56" s="250"/>
      <c r="G56" s="250"/>
      <c r="H56" s="250"/>
      <c r="I56" s="250"/>
    </row>
    <row r="57" spans="1:18" ht="18.95" customHeight="1">
      <c r="A57" s="863"/>
      <c r="B57" s="864"/>
      <c r="C57" s="865"/>
      <c r="D57" s="866"/>
      <c r="E57" s="752"/>
      <c r="F57" s="407"/>
      <c r="G57" s="752"/>
      <c r="H57" s="752"/>
      <c r="I57" s="752"/>
      <c r="J57" s="867"/>
      <c r="K57" s="867"/>
      <c r="L57" s="867"/>
      <c r="M57" s="868"/>
      <c r="N57" s="868"/>
    </row>
    <row r="58" spans="1:18" ht="18.95" customHeight="1">
      <c r="A58" s="869"/>
      <c r="B58" s="864"/>
      <c r="C58" s="865"/>
      <c r="D58" s="866"/>
      <c r="E58" s="752"/>
      <c r="F58" s="407"/>
      <c r="G58" s="752"/>
      <c r="H58" s="752"/>
      <c r="I58" s="752"/>
      <c r="J58" s="517"/>
      <c r="K58" s="517"/>
      <c r="L58" s="517"/>
      <c r="M58" s="868"/>
      <c r="N58" s="868"/>
    </row>
    <row r="59" spans="1:18" ht="18.95" customHeight="1">
      <c r="A59" s="869"/>
      <c r="B59" s="864"/>
      <c r="C59" s="865"/>
      <c r="D59" s="866"/>
      <c r="E59" s="752"/>
      <c r="F59" s="407"/>
      <c r="G59" s="517"/>
      <c r="H59" s="517"/>
      <c r="I59" s="870"/>
      <c r="J59" s="517"/>
      <c r="K59" s="517"/>
      <c r="L59" s="517"/>
      <c r="M59" s="868"/>
      <c r="N59" s="868"/>
    </row>
    <row r="60" spans="1:18" ht="18.95" customHeight="1">
      <c r="A60" s="871"/>
      <c r="B60" s="824"/>
      <c r="C60" s="865"/>
      <c r="D60" s="866"/>
      <c r="E60" s="752"/>
      <c r="F60" s="407"/>
      <c r="G60" s="517"/>
      <c r="H60" s="517"/>
      <c r="I60" s="867"/>
      <c r="J60" s="867"/>
      <c r="K60" s="867"/>
      <c r="L60" s="867"/>
      <c r="M60" s="867"/>
      <c r="N60" s="868"/>
    </row>
    <row r="61" spans="1:18" ht="18.95" customHeight="1">
      <c r="A61" s="863"/>
      <c r="B61" s="872"/>
      <c r="C61" s="873"/>
      <c r="D61" s="866"/>
      <c r="E61" s="868"/>
      <c r="F61" s="874"/>
      <c r="G61" s="867"/>
      <c r="H61" s="867"/>
      <c r="I61" s="867"/>
      <c r="J61" s="517"/>
      <c r="K61" s="517"/>
      <c r="L61" s="868"/>
      <c r="M61" s="407"/>
      <c r="N61" s="407"/>
    </row>
    <row r="62" spans="1:18" ht="18.95" customHeight="1">
      <c r="A62" s="869"/>
      <c r="B62" s="864"/>
      <c r="C62" s="865"/>
      <c r="D62" s="866"/>
      <c r="E62" s="752"/>
      <c r="F62" s="407"/>
      <c r="G62" s="517"/>
      <c r="H62" s="517"/>
      <c r="I62" s="870"/>
      <c r="J62" s="517"/>
      <c r="K62" s="517"/>
      <c r="L62" s="517"/>
      <c r="M62" s="868"/>
      <c r="N62" s="407"/>
    </row>
    <row r="63" spans="1:18" ht="18.95" customHeight="1">
      <c r="A63" s="871"/>
      <c r="B63" s="824"/>
      <c r="C63" s="865"/>
      <c r="D63" s="866"/>
      <c r="E63" s="868"/>
      <c r="F63" s="407"/>
      <c r="G63" s="517"/>
      <c r="H63" s="517"/>
      <c r="I63" s="867"/>
      <c r="J63" s="517"/>
      <c r="K63" s="517"/>
      <c r="L63" s="867"/>
      <c r="M63" s="867"/>
      <c r="N63" s="407"/>
    </row>
    <row r="64" spans="1:18" ht="18.95" customHeight="1">
      <c r="A64" s="869"/>
      <c r="B64" s="864"/>
      <c r="C64" s="865"/>
      <c r="D64" s="866"/>
      <c r="E64" s="752"/>
      <c r="F64" s="407"/>
      <c r="G64" s="517"/>
      <c r="H64" s="517"/>
      <c r="I64" s="870"/>
      <c r="J64" s="517"/>
      <c r="K64" s="517"/>
      <c r="L64" s="517"/>
      <c r="M64" s="868"/>
      <c r="N64" s="407"/>
    </row>
    <row r="65" spans="1:14" ht="18.95" customHeight="1">
      <c r="A65" s="871"/>
      <c r="B65" s="872"/>
      <c r="C65" s="873"/>
      <c r="D65" s="866"/>
      <c r="E65" s="868"/>
      <c r="F65" s="407"/>
      <c r="G65" s="867"/>
      <c r="H65" s="867"/>
      <c r="I65" s="867"/>
      <c r="J65" s="867"/>
      <c r="K65" s="867"/>
      <c r="L65" s="867"/>
      <c r="M65" s="867"/>
      <c r="N65" s="407"/>
    </row>
    <row r="66" spans="1:14" ht="18.95" customHeight="1">
      <c r="A66" s="871"/>
      <c r="B66" s="875"/>
      <c r="C66" s="865"/>
      <c r="D66" s="118"/>
      <c r="E66" s="868"/>
      <c r="F66" s="407"/>
      <c r="G66" s="867"/>
      <c r="H66" s="867"/>
      <c r="I66" s="867"/>
      <c r="J66" s="867"/>
      <c r="K66" s="867"/>
      <c r="L66" s="867"/>
      <c r="M66" s="867"/>
      <c r="N66" s="407"/>
    </row>
    <row r="67" spans="1:14" ht="18.95" customHeight="1">
      <c r="A67" s="871"/>
      <c r="B67" s="875"/>
      <c r="C67" s="865"/>
      <c r="D67" s="866"/>
      <c r="E67" s="752"/>
      <c r="F67" s="407"/>
      <c r="G67" s="867"/>
      <c r="H67" s="867"/>
      <c r="I67" s="867"/>
      <c r="J67" s="867"/>
      <c r="K67" s="867"/>
      <c r="L67" s="867"/>
      <c r="M67" s="867"/>
      <c r="N67" s="407"/>
    </row>
    <row r="68" spans="1:14" ht="18.95" customHeight="1">
      <c r="A68" s="871"/>
      <c r="B68" s="875"/>
      <c r="C68" s="865"/>
      <c r="D68" s="866"/>
      <c r="E68" s="752"/>
      <c r="F68" s="407"/>
      <c r="G68" s="517"/>
      <c r="H68" s="517"/>
      <c r="I68" s="870"/>
      <c r="J68" s="867"/>
      <c r="K68" s="867"/>
      <c r="L68" s="517"/>
      <c r="M68" s="868"/>
      <c r="N68" s="407"/>
    </row>
    <row r="69" spans="1:14" ht="18.95" customHeight="1">
      <c r="A69" s="869"/>
      <c r="B69" s="864"/>
      <c r="C69" s="876"/>
      <c r="D69" s="877"/>
      <c r="E69" s="752"/>
      <c r="F69" s="407"/>
      <c r="G69" s="867"/>
      <c r="H69" s="867"/>
      <c r="I69" s="752"/>
      <c r="J69" s="867"/>
      <c r="K69" s="867"/>
      <c r="L69" s="867"/>
      <c r="M69" s="867"/>
      <c r="N69" s="407"/>
    </row>
    <row r="70" spans="1:14" ht="18.95" customHeight="1">
      <c r="A70" s="863"/>
      <c r="B70" s="864"/>
      <c r="C70" s="876"/>
      <c r="D70" s="877"/>
      <c r="E70" s="752"/>
      <c r="F70" s="407"/>
      <c r="G70" s="517"/>
      <c r="H70" s="517"/>
      <c r="I70" s="752"/>
      <c r="J70" s="867"/>
      <c r="K70" s="867"/>
      <c r="L70" s="517"/>
      <c r="M70" s="867"/>
      <c r="N70" s="407"/>
    </row>
    <row r="71" spans="1:14" ht="18.95" customHeight="1">
      <c r="A71" s="407"/>
      <c r="B71" s="864"/>
      <c r="C71" s="865"/>
      <c r="D71" s="118"/>
      <c r="E71" s="752"/>
      <c r="F71" s="407"/>
      <c r="G71" s="867"/>
      <c r="H71" s="867"/>
      <c r="I71" s="752"/>
      <c r="J71" s="867"/>
      <c r="K71" s="867"/>
      <c r="L71" s="867"/>
      <c r="M71" s="867"/>
      <c r="N71" s="407"/>
    </row>
    <row r="72" spans="1:14" ht="18.95" customHeight="1">
      <c r="A72" s="871"/>
      <c r="B72" s="878"/>
      <c r="E72" s="752"/>
      <c r="F72" s="874"/>
      <c r="G72" s="867"/>
      <c r="H72" s="867"/>
      <c r="I72" s="867"/>
      <c r="J72" s="867"/>
      <c r="K72" s="867"/>
      <c r="L72" s="867"/>
      <c r="M72" s="867"/>
      <c r="N72" s="407"/>
    </row>
    <row r="73" spans="1:14" ht="18.95" customHeight="1">
      <c r="A73" s="871"/>
      <c r="B73" s="878"/>
      <c r="E73" s="752"/>
      <c r="F73" s="874"/>
      <c r="G73" s="867"/>
      <c r="H73" s="867"/>
      <c r="I73" s="867"/>
      <c r="J73" s="867"/>
      <c r="K73" s="867"/>
      <c r="L73" s="867"/>
      <c r="M73" s="407"/>
      <c r="N73" s="407"/>
    </row>
    <row r="74" spans="1:14" ht="18.95" customHeight="1">
      <c r="A74" s="863"/>
      <c r="B74" s="1418"/>
      <c r="C74" s="1418"/>
      <c r="D74" s="1418"/>
      <c r="E74" s="868"/>
      <c r="F74" s="874"/>
      <c r="G74" s="867"/>
      <c r="H74" s="867"/>
      <c r="I74" s="867"/>
      <c r="J74" s="867"/>
      <c r="K74" s="867"/>
      <c r="L74" s="867"/>
      <c r="M74" s="880"/>
      <c r="N74" s="407"/>
    </row>
    <row r="75" spans="1:14" ht="18.95" customHeight="1">
      <c r="A75" s="863"/>
      <c r="B75" s="878"/>
      <c r="C75" s="873"/>
      <c r="D75" s="881"/>
      <c r="E75" s="868"/>
      <c r="F75" s="874"/>
      <c r="G75" s="867"/>
      <c r="H75" s="867"/>
      <c r="I75" s="867"/>
      <c r="J75" s="867"/>
      <c r="K75" s="867"/>
      <c r="L75" s="867"/>
      <c r="M75" s="407"/>
      <c r="N75" s="407"/>
    </row>
    <row r="76" spans="1:14" ht="18.95" customHeight="1">
      <c r="A76" s="407"/>
      <c r="B76" s="875"/>
      <c r="E76" s="752"/>
      <c r="F76" s="407"/>
      <c r="G76" s="752"/>
      <c r="H76" s="752"/>
      <c r="I76" s="752"/>
      <c r="J76" s="882"/>
      <c r="K76" s="882"/>
      <c r="L76" s="870"/>
      <c r="M76" s="882"/>
      <c r="N76" s="407"/>
    </row>
    <row r="77" spans="1:14" ht="18.95" customHeight="1">
      <c r="A77" s="407"/>
      <c r="E77" s="752"/>
      <c r="F77" s="407"/>
      <c r="G77" s="752"/>
      <c r="H77" s="752"/>
      <c r="I77" s="752"/>
      <c r="J77" s="882"/>
      <c r="K77" s="882"/>
      <c r="L77" s="870"/>
      <c r="M77" s="882"/>
      <c r="N77" s="407"/>
    </row>
    <row r="78" spans="1:14" ht="18.95" customHeight="1">
      <c r="A78" s="407"/>
      <c r="E78" s="752"/>
      <c r="F78" s="407"/>
      <c r="G78" s="752"/>
      <c r="H78" s="752"/>
      <c r="I78" s="752"/>
      <c r="J78" s="882"/>
      <c r="K78" s="882"/>
      <c r="L78" s="870"/>
      <c r="M78" s="882"/>
      <c r="N78" s="407"/>
    </row>
    <row r="79" spans="1:14" ht="18.95" customHeight="1">
      <c r="A79" s="407"/>
      <c r="E79" s="752"/>
      <c r="F79" s="407"/>
      <c r="G79" s="752"/>
      <c r="H79" s="752"/>
      <c r="I79" s="752"/>
      <c r="J79" s="882"/>
      <c r="K79" s="882"/>
      <c r="L79" s="870"/>
      <c r="M79" s="882"/>
      <c r="N79" s="407"/>
    </row>
    <row r="80" spans="1:14" ht="18.95" customHeight="1">
      <c r="A80" s="883"/>
      <c r="B80" s="884"/>
      <c r="C80" s="885"/>
      <c r="D80" s="886"/>
      <c r="E80" s="752"/>
      <c r="F80" s="407"/>
      <c r="G80" s="752"/>
      <c r="H80" s="752"/>
      <c r="I80" s="752"/>
      <c r="J80" s="887"/>
      <c r="K80" s="887"/>
      <c r="L80" s="870"/>
      <c r="M80" s="882"/>
      <c r="N80" s="407"/>
    </row>
    <row r="81" spans="1:14" ht="18.95" customHeight="1">
      <c r="A81" s="863"/>
      <c r="B81" s="888"/>
      <c r="C81" s="876"/>
      <c r="D81" s="876"/>
      <c r="E81" s="868"/>
      <c r="F81" s="874"/>
      <c r="G81" s="867"/>
      <c r="H81" s="867"/>
      <c r="I81" s="867"/>
      <c r="J81" s="867"/>
      <c r="K81" s="867"/>
      <c r="L81" s="517"/>
      <c r="M81" s="867"/>
      <c r="N81" s="889"/>
    </row>
    <row r="82" spans="1:14" ht="18.95" customHeight="1">
      <c r="A82" s="863"/>
      <c r="B82" s="888"/>
      <c r="C82" s="876"/>
      <c r="D82" s="876"/>
      <c r="E82" s="868"/>
      <c r="F82" s="874"/>
      <c r="G82" s="867"/>
      <c r="H82" s="867"/>
      <c r="I82" s="867"/>
      <c r="J82" s="867"/>
      <c r="K82" s="867"/>
      <c r="L82" s="517"/>
      <c r="M82" s="867"/>
      <c r="N82" s="889"/>
    </row>
    <row r="83" spans="1:14" ht="18.95" customHeight="1">
      <c r="A83" s="863"/>
      <c r="B83" s="888"/>
      <c r="C83" s="876"/>
      <c r="D83" s="876"/>
      <c r="E83" s="868"/>
      <c r="F83" s="874"/>
      <c r="G83" s="867"/>
      <c r="H83" s="867"/>
      <c r="I83" s="867"/>
      <c r="J83" s="867"/>
      <c r="K83" s="867"/>
      <c r="L83" s="517"/>
      <c r="M83" s="867"/>
      <c r="N83" s="889"/>
    </row>
    <row r="84" spans="1:14" ht="18.95" customHeight="1">
      <c r="A84" s="863"/>
      <c r="B84" s="888"/>
      <c r="C84" s="876"/>
      <c r="D84" s="876"/>
      <c r="E84" s="868"/>
      <c r="F84" s="874"/>
      <c r="G84" s="867"/>
      <c r="H84" s="867"/>
      <c r="I84" s="867"/>
      <c r="J84" s="867"/>
      <c r="K84" s="867"/>
      <c r="L84" s="517"/>
      <c r="M84" s="867"/>
      <c r="N84" s="889"/>
    </row>
    <row r="85" spans="1:14" ht="18.95" customHeight="1">
      <c r="A85" s="863"/>
      <c r="B85" s="890"/>
      <c r="C85" s="876"/>
      <c r="D85" s="876"/>
      <c r="E85" s="868"/>
      <c r="F85" s="874"/>
      <c r="G85" s="867"/>
      <c r="H85" s="867"/>
      <c r="I85" s="867"/>
      <c r="J85" s="867"/>
      <c r="K85" s="867"/>
      <c r="L85" s="517"/>
      <c r="M85" s="867"/>
      <c r="N85" s="889"/>
    </row>
    <row r="86" spans="1:14" ht="18.95" customHeight="1">
      <c r="A86" s="863"/>
      <c r="B86" s="890"/>
      <c r="C86" s="891"/>
      <c r="D86" s="762"/>
      <c r="E86" s="752"/>
      <c r="F86" s="874"/>
      <c r="G86" s="867"/>
      <c r="H86" s="867"/>
      <c r="I86" s="867"/>
      <c r="J86" s="867"/>
      <c r="K86" s="867"/>
      <c r="L86" s="517"/>
      <c r="M86" s="867"/>
      <c r="N86" s="889"/>
    </row>
    <row r="87" spans="1:14" ht="18.95" customHeight="1">
      <c r="A87" s="863"/>
      <c r="B87" s="890"/>
      <c r="C87" s="891"/>
      <c r="D87" s="762"/>
      <c r="E87" s="752"/>
      <c r="F87" s="874"/>
      <c r="G87" s="867"/>
      <c r="H87" s="867"/>
      <c r="I87" s="867"/>
      <c r="J87" s="867"/>
      <c r="K87" s="867"/>
      <c r="L87" s="517"/>
      <c r="M87" s="867"/>
      <c r="N87" s="889"/>
    </row>
    <row r="88" spans="1:14" ht="18.95" customHeight="1">
      <c r="A88" s="863"/>
      <c r="B88" s="824"/>
      <c r="C88" s="891"/>
      <c r="D88" s="762"/>
      <c r="E88" s="752"/>
      <c r="F88" s="874"/>
      <c r="G88" s="867"/>
      <c r="H88" s="867"/>
      <c r="I88" s="867"/>
      <c r="J88" s="867"/>
      <c r="K88" s="867"/>
      <c r="L88" s="517"/>
      <c r="M88" s="867"/>
      <c r="N88" s="889"/>
    </row>
    <row r="89" spans="1:14" ht="18.95" customHeight="1">
      <c r="A89" s="863"/>
      <c r="B89" s="824"/>
      <c r="C89" s="891"/>
      <c r="D89" s="762"/>
      <c r="E89" s="752"/>
      <c r="F89" s="874"/>
      <c r="G89" s="867"/>
      <c r="H89" s="867"/>
      <c r="I89" s="867"/>
      <c r="J89" s="867"/>
      <c r="K89" s="867"/>
      <c r="L89" s="517"/>
      <c r="M89" s="867"/>
      <c r="N89" s="407"/>
    </row>
    <row r="90" spans="1:14" ht="18.95" customHeight="1">
      <c r="A90" s="892"/>
      <c r="B90" s="824"/>
      <c r="C90" s="891"/>
      <c r="D90" s="762"/>
      <c r="E90" s="868"/>
      <c r="F90" s="874"/>
      <c r="G90" s="867"/>
      <c r="H90" s="867"/>
      <c r="I90" s="867"/>
      <c r="J90" s="867"/>
      <c r="K90" s="867"/>
      <c r="L90" s="517"/>
      <c r="M90" s="867"/>
      <c r="N90" s="407"/>
    </row>
    <row r="91" spans="1:14" ht="18.95" customHeight="1">
      <c r="A91" s="893"/>
      <c r="B91" s="824"/>
      <c r="C91" s="891"/>
      <c r="D91" s="762"/>
      <c r="E91" s="752"/>
      <c r="F91" s="407"/>
      <c r="G91" s="867"/>
      <c r="H91" s="867"/>
      <c r="I91" s="867"/>
      <c r="J91" s="867"/>
      <c r="K91" s="867"/>
      <c r="L91" s="867"/>
      <c r="M91" s="867"/>
      <c r="N91" s="868"/>
    </row>
    <row r="92" spans="1:14" ht="18.95" customHeight="1">
      <c r="A92" s="892"/>
      <c r="B92" s="824"/>
      <c r="C92" s="891"/>
      <c r="D92" s="762"/>
      <c r="E92" s="752"/>
      <c r="F92" s="874"/>
      <c r="G92" s="867"/>
      <c r="H92" s="867"/>
      <c r="I92" s="867"/>
      <c r="J92" s="867"/>
      <c r="K92" s="867"/>
      <c r="L92" s="867"/>
      <c r="M92" s="867"/>
      <c r="N92" s="868"/>
    </row>
    <row r="93" spans="1:14" ht="18.95" customHeight="1">
      <c r="A93" s="892"/>
      <c r="B93" s="824"/>
      <c r="C93" s="891"/>
      <c r="D93" s="762"/>
      <c r="E93" s="868"/>
      <c r="F93" s="874"/>
      <c r="G93" s="867"/>
      <c r="H93" s="867"/>
      <c r="I93" s="867"/>
      <c r="J93" s="867"/>
      <c r="K93" s="867"/>
      <c r="L93" s="517"/>
      <c r="M93" s="867"/>
      <c r="N93" s="407"/>
    </row>
    <row r="94" spans="1:14" ht="18.95" customHeight="1">
      <c r="A94" s="892"/>
      <c r="B94" s="824"/>
      <c r="C94" s="891"/>
      <c r="D94" s="769"/>
      <c r="E94" s="752"/>
      <c r="F94" s="874"/>
      <c r="G94" s="867"/>
      <c r="H94" s="867"/>
      <c r="I94" s="867"/>
      <c r="J94" s="867"/>
      <c r="K94" s="867"/>
      <c r="L94" s="517"/>
      <c r="M94" s="867"/>
      <c r="N94" s="407"/>
    </row>
    <row r="95" spans="1:14" ht="18.95" customHeight="1">
      <c r="A95" s="892"/>
      <c r="B95" s="824"/>
      <c r="C95" s="891"/>
      <c r="D95" s="769"/>
      <c r="E95" s="752"/>
      <c r="F95" s="874"/>
      <c r="G95" s="867"/>
      <c r="H95" s="867"/>
      <c r="I95" s="867"/>
      <c r="J95" s="867"/>
      <c r="K95" s="867"/>
      <c r="L95" s="517"/>
      <c r="M95" s="867"/>
      <c r="N95" s="407"/>
    </row>
    <row r="96" spans="1:14" ht="18.95" customHeight="1">
      <c r="A96" s="892"/>
      <c r="B96" s="824"/>
      <c r="C96" s="891"/>
      <c r="D96" s="769"/>
      <c r="E96" s="752"/>
      <c r="F96" s="874"/>
      <c r="G96" s="867"/>
      <c r="H96" s="867"/>
      <c r="I96" s="867"/>
      <c r="J96" s="867"/>
      <c r="K96" s="867"/>
      <c r="L96" s="867"/>
      <c r="M96" s="867"/>
      <c r="N96" s="407"/>
    </row>
    <row r="97" spans="1:14" ht="18.95" customHeight="1">
      <c r="A97" s="892"/>
      <c r="B97" s="824"/>
      <c r="C97" s="891"/>
      <c r="D97" s="769"/>
      <c r="E97" s="752"/>
      <c r="F97" s="874"/>
      <c r="G97" s="867"/>
      <c r="H97" s="867"/>
      <c r="I97" s="867"/>
      <c r="J97" s="867"/>
      <c r="K97" s="867"/>
      <c r="L97" s="517"/>
      <c r="M97" s="867"/>
      <c r="N97" s="407"/>
    </row>
    <row r="98" spans="1:14" ht="18.95" customHeight="1">
      <c r="A98" s="892"/>
      <c r="B98" s="824"/>
      <c r="C98" s="894"/>
      <c r="D98" s="768"/>
      <c r="E98" s="752"/>
      <c r="F98" s="407"/>
      <c r="G98" s="867"/>
      <c r="H98" s="867"/>
      <c r="I98" s="867"/>
      <c r="J98" s="867"/>
      <c r="K98" s="867"/>
      <c r="L98" s="867"/>
      <c r="M98" s="867"/>
      <c r="N98" s="407"/>
    </row>
    <row r="99" spans="1:14" ht="18.95" customHeight="1">
      <c r="A99" s="892"/>
      <c r="B99" s="824"/>
      <c r="C99" s="894"/>
      <c r="D99" s="768"/>
      <c r="E99" s="752"/>
      <c r="F99" s="874"/>
      <c r="G99" s="867"/>
      <c r="H99" s="867"/>
      <c r="I99" s="867"/>
      <c r="J99" s="867"/>
      <c r="K99" s="867"/>
      <c r="L99" s="517"/>
      <c r="M99" s="867"/>
      <c r="N99" s="407"/>
    </row>
    <row r="100" spans="1:14" ht="18.95" customHeight="1">
      <c r="A100" s="892"/>
      <c r="B100" s="824"/>
      <c r="C100" s="894"/>
      <c r="D100" s="768"/>
      <c r="E100" s="868"/>
      <c r="F100" s="407"/>
      <c r="G100" s="867"/>
      <c r="H100" s="867"/>
      <c r="I100" s="867"/>
      <c r="J100" s="867"/>
      <c r="K100" s="867"/>
      <c r="L100" s="867"/>
      <c r="M100" s="867"/>
      <c r="N100" s="407"/>
    </row>
    <row r="101" spans="1:14" ht="18.95" customHeight="1">
      <c r="A101" s="892"/>
      <c r="B101" s="824"/>
      <c r="C101" s="894"/>
      <c r="D101" s="767"/>
      <c r="E101" s="868"/>
      <c r="F101" s="874"/>
      <c r="G101" s="867"/>
      <c r="H101" s="867"/>
      <c r="I101" s="867"/>
      <c r="J101" s="867"/>
      <c r="K101" s="867"/>
      <c r="L101" s="517"/>
      <c r="M101" s="867"/>
      <c r="N101" s="407"/>
    </row>
    <row r="102" spans="1:14" ht="18.95" customHeight="1">
      <c r="A102" s="892"/>
      <c r="B102" s="824"/>
      <c r="C102" s="894"/>
      <c r="D102" s="768"/>
      <c r="E102" s="868"/>
      <c r="F102" s="407"/>
      <c r="G102" s="867"/>
      <c r="H102" s="867"/>
      <c r="I102" s="867"/>
      <c r="J102" s="867"/>
      <c r="K102" s="867"/>
      <c r="L102" s="867"/>
      <c r="M102" s="867"/>
      <c r="N102" s="407"/>
    </row>
    <row r="103" spans="1:14" ht="18.95" customHeight="1">
      <c r="A103" s="892"/>
      <c r="B103" s="824"/>
      <c r="C103" s="894"/>
      <c r="D103" s="876"/>
      <c r="E103" s="868"/>
      <c r="F103" s="874"/>
      <c r="G103" s="867"/>
      <c r="H103" s="867"/>
      <c r="I103" s="867"/>
      <c r="J103" s="867"/>
      <c r="K103" s="867"/>
      <c r="L103" s="517"/>
      <c r="M103" s="867"/>
      <c r="N103" s="407"/>
    </row>
    <row r="104" spans="1:14" ht="18.95" customHeight="1">
      <c r="A104" s="892"/>
      <c r="B104" s="824"/>
      <c r="C104" s="762"/>
      <c r="D104" s="768"/>
      <c r="E104" s="752"/>
      <c r="F104" s="874"/>
      <c r="G104" s="867"/>
      <c r="H104" s="867"/>
      <c r="I104" s="867"/>
      <c r="J104" s="867"/>
      <c r="K104" s="867"/>
      <c r="L104" s="517"/>
      <c r="M104" s="867"/>
      <c r="N104" s="407"/>
    </row>
    <row r="105" spans="1:14" ht="18.95" customHeight="1">
      <c r="A105" s="407"/>
      <c r="B105" s="895"/>
      <c r="C105" s="762"/>
      <c r="D105" s="896"/>
      <c r="E105" s="752"/>
      <c r="F105" s="874"/>
      <c r="G105" s="752"/>
      <c r="H105" s="752"/>
      <c r="I105" s="867"/>
      <c r="J105" s="867"/>
      <c r="K105" s="867"/>
      <c r="L105" s="517"/>
      <c r="M105" s="867"/>
      <c r="N105" s="407"/>
    </row>
    <row r="106" spans="1:14" ht="18.95" customHeight="1">
      <c r="A106" s="407"/>
      <c r="B106" s="895"/>
      <c r="C106" s="762"/>
      <c r="D106" s="896"/>
      <c r="E106" s="752"/>
      <c r="F106" s="874"/>
      <c r="G106" s="752"/>
      <c r="H106" s="752"/>
      <c r="I106" s="867"/>
      <c r="J106" s="867"/>
      <c r="K106" s="867"/>
      <c r="L106" s="867"/>
      <c r="M106" s="867"/>
      <c r="N106" s="407"/>
    </row>
    <row r="107" spans="1:14" ht="18.95" customHeight="1">
      <c r="A107" s="892"/>
      <c r="B107" s="824"/>
      <c r="C107" s="762"/>
      <c r="D107" s="762"/>
      <c r="E107" s="752"/>
      <c r="F107" s="407"/>
      <c r="G107" s="867"/>
      <c r="H107" s="867"/>
      <c r="I107" s="867"/>
      <c r="J107" s="867"/>
      <c r="K107" s="867"/>
      <c r="L107" s="867"/>
      <c r="M107" s="867"/>
      <c r="N107" s="407"/>
    </row>
    <row r="108" spans="1:14" ht="18.95" customHeight="1">
      <c r="A108" s="893"/>
      <c r="B108" s="878"/>
      <c r="C108" s="897"/>
      <c r="D108" s="876"/>
      <c r="E108" s="752"/>
      <c r="F108" s="407"/>
      <c r="G108" s="752"/>
      <c r="H108" s="752"/>
      <c r="I108" s="752"/>
      <c r="J108" s="887"/>
      <c r="K108" s="887"/>
      <c r="L108" s="870"/>
      <c r="M108" s="882"/>
      <c r="N108" s="407"/>
    </row>
    <row r="109" spans="1:14" ht="18.95" customHeight="1">
      <c r="A109" s="407"/>
      <c r="B109" s="824"/>
      <c r="C109" s="876"/>
      <c r="D109" s="876"/>
      <c r="E109" s="868"/>
      <c r="F109" s="874"/>
      <c r="G109" s="867"/>
      <c r="H109" s="867"/>
      <c r="I109" s="752"/>
      <c r="J109" s="867"/>
      <c r="K109" s="867"/>
      <c r="L109" s="517"/>
      <c r="M109" s="752"/>
      <c r="N109" s="407"/>
    </row>
    <row r="110" spans="1:14" ht="18.95" customHeight="1">
      <c r="A110" s="407"/>
      <c r="B110" s="824"/>
      <c r="C110" s="876"/>
      <c r="D110" s="768"/>
      <c r="E110" s="868"/>
      <c r="F110" s="874"/>
      <c r="G110" s="868"/>
      <c r="H110" s="868"/>
      <c r="I110" s="867"/>
      <c r="J110" s="898"/>
      <c r="K110" s="898"/>
      <c r="L110" s="867"/>
      <c r="M110" s="867"/>
      <c r="N110" s="868"/>
    </row>
    <row r="111" spans="1:14" ht="18.95" customHeight="1">
      <c r="A111" s="407"/>
      <c r="B111" s="824"/>
      <c r="C111" s="876"/>
      <c r="D111" s="768"/>
      <c r="E111" s="868"/>
      <c r="F111" s="874"/>
      <c r="G111" s="868"/>
      <c r="H111" s="868"/>
      <c r="I111" s="867"/>
      <c r="J111" s="898"/>
      <c r="K111" s="898"/>
      <c r="L111" s="867"/>
      <c r="M111" s="867"/>
      <c r="N111" s="868"/>
    </row>
    <row r="112" spans="1:14" ht="18.95" customHeight="1">
      <c r="A112" s="893"/>
      <c r="B112" s="824"/>
      <c r="C112" s="876"/>
      <c r="D112" s="768"/>
      <c r="E112" s="868"/>
      <c r="F112" s="874"/>
      <c r="G112" s="868"/>
      <c r="H112" s="868"/>
      <c r="I112" s="867"/>
      <c r="J112" s="898"/>
      <c r="K112" s="898"/>
      <c r="L112" s="867"/>
      <c r="M112" s="867"/>
      <c r="N112" s="868"/>
    </row>
    <row r="113" spans="1:14" ht="18.95" customHeight="1">
      <c r="A113" s="407"/>
      <c r="B113" s="824"/>
      <c r="C113" s="876"/>
      <c r="D113" s="876"/>
      <c r="E113" s="868"/>
      <c r="F113" s="874"/>
      <c r="G113" s="867"/>
      <c r="H113" s="867"/>
      <c r="I113" s="867"/>
      <c r="J113" s="867"/>
      <c r="K113" s="867"/>
      <c r="L113" s="867"/>
      <c r="M113" s="867"/>
      <c r="N113" s="868"/>
    </row>
    <row r="114" spans="1:14" ht="18.95" customHeight="1">
      <c r="A114" s="407"/>
      <c r="B114" s="824"/>
      <c r="C114" s="762"/>
      <c r="D114" s="876"/>
      <c r="E114" s="868"/>
      <c r="F114" s="874"/>
      <c r="G114" s="867"/>
      <c r="H114" s="867"/>
      <c r="I114" s="867"/>
      <c r="J114" s="867"/>
      <c r="K114" s="867"/>
      <c r="L114" s="867"/>
      <c r="M114" s="867"/>
      <c r="N114" s="868"/>
    </row>
    <row r="115" spans="1:14" ht="18.95" customHeight="1">
      <c r="A115" s="407"/>
      <c r="B115" s="824"/>
      <c r="C115" s="891"/>
      <c r="D115" s="762"/>
      <c r="E115" s="868"/>
      <c r="F115" s="874"/>
      <c r="G115" s="867"/>
      <c r="H115" s="867"/>
      <c r="I115" s="867"/>
      <c r="J115" s="867"/>
      <c r="K115" s="867"/>
      <c r="L115" s="867"/>
      <c r="M115" s="867"/>
      <c r="N115" s="868"/>
    </row>
    <row r="116" spans="1:14" ht="18.95" customHeight="1">
      <c r="A116" s="893"/>
      <c r="B116" s="824"/>
      <c r="C116" s="894"/>
      <c r="D116" s="899"/>
      <c r="E116" s="868"/>
      <c r="F116" s="874"/>
      <c r="G116" s="867"/>
      <c r="H116" s="867"/>
      <c r="I116" s="867"/>
      <c r="J116" s="867"/>
      <c r="K116" s="867"/>
      <c r="L116" s="867"/>
      <c r="M116" s="867"/>
      <c r="N116" s="868"/>
    </row>
    <row r="117" spans="1:14" ht="18.95" customHeight="1">
      <c r="A117" s="893"/>
      <c r="B117" s="824"/>
      <c r="C117" s="891"/>
      <c r="D117" s="769"/>
      <c r="E117" s="868"/>
      <c r="F117" s="874"/>
      <c r="G117" s="868"/>
      <c r="H117" s="868"/>
      <c r="I117" s="867"/>
      <c r="J117" s="898"/>
      <c r="K117" s="898"/>
      <c r="L117" s="867"/>
      <c r="M117" s="867"/>
      <c r="N117" s="407"/>
    </row>
    <row r="118" spans="1:14" ht="18.95" customHeight="1">
      <c r="A118" s="407"/>
      <c r="B118" s="824"/>
      <c r="C118" s="891"/>
      <c r="D118" s="762"/>
      <c r="E118" s="868"/>
      <c r="F118" s="874"/>
      <c r="G118" s="868"/>
      <c r="H118" s="868"/>
      <c r="I118" s="867"/>
      <c r="J118" s="898"/>
      <c r="K118" s="898"/>
      <c r="L118" s="867"/>
      <c r="M118" s="867"/>
      <c r="N118" s="407"/>
    </row>
    <row r="119" spans="1:14" ht="18.95" customHeight="1">
      <c r="A119" s="893"/>
      <c r="B119" s="824"/>
      <c r="C119" s="891"/>
      <c r="D119" s="762"/>
      <c r="E119" s="868"/>
      <c r="F119" s="874"/>
      <c r="G119" s="868"/>
      <c r="H119" s="868"/>
      <c r="I119" s="867"/>
      <c r="J119" s="898"/>
      <c r="K119" s="898"/>
      <c r="L119" s="867"/>
      <c r="M119" s="867"/>
      <c r="N119" s="407"/>
    </row>
    <row r="120" spans="1:14" ht="18.95" customHeight="1">
      <c r="A120" s="407"/>
      <c r="B120" s="824"/>
      <c r="C120" s="891"/>
      <c r="D120" s="762"/>
      <c r="E120" s="868"/>
      <c r="F120" s="874"/>
      <c r="G120" s="517"/>
      <c r="H120" s="517"/>
      <c r="I120" s="867"/>
      <c r="J120" s="517"/>
      <c r="K120" s="517"/>
      <c r="L120" s="867"/>
      <c r="M120" s="867"/>
      <c r="N120" s="407"/>
    </row>
    <row r="121" spans="1:14" ht="18.95" customHeight="1">
      <c r="A121" s="893"/>
      <c r="B121" s="824"/>
      <c r="C121" s="891"/>
      <c r="D121" s="762"/>
      <c r="E121" s="868"/>
      <c r="F121" s="874"/>
      <c r="G121" s="867"/>
      <c r="H121" s="867"/>
      <c r="I121" s="867"/>
      <c r="J121" s="867"/>
      <c r="K121" s="867"/>
      <c r="L121" s="867"/>
      <c r="M121" s="407"/>
      <c r="N121" s="407"/>
    </row>
    <row r="122" spans="1:14" ht="18.95" customHeight="1">
      <c r="A122" s="893"/>
      <c r="B122" s="824"/>
      <c r="C122" s="891"/>
      <c r="D122" s="769"/>
      <c r="E122" s="868"/>
      <c r="F122" s="874"/>
      <c r="G122" s="867"/>
      <c r="H122" s="867"/>
      <c r="I122" s="867"/>
      <c r="J122" s="867"/>
      <c r="K122" s="867"/>
      <c r="L122" s="867"/>
      <c r="M122" s="867"/>
      <c r="N122" s="407"/>
    </row>
    <row r="123" spans="1:14" ht="18.95" customHeight="1">
      <c r="A123" s="407"/>
      <c r="B123" s="824"/>
      <c r="C123" s="891"/>
      <c r="D123" s="769"/>
      <c r="E123" s="868"/>
      <c r="F123" s="874"/>
      <c r="G123" s="868"/>
      <c r="H123" s="868"/>
      <c r="I123" s="867"/>
      <c r="J123" s="898"/>
      <c r="K123" s="898"/>
      <c r="L123" s="867"/>
      <c r="M123" s="867"/>
      <c r="N123" s="407"/>
    </row>
    <row r="124" spans="1:14" ht="18.95" customHeight="1">
      <c r="A124" s="407"/>
      <c r="B124" s="824"/>
      <c r="C124" s="891"/>
      <c r="D124" s="769"/>
      <c r="E124" s="762"/>
      <c r="F124" s="874"/>
      <c r="G124" s="867"/>
      <c r="H124" s="867"/>
      <c r="I124" s="867"/>
      <c r="J124" s="867"/>
      <c r="K124" s="867"/>
      <c r="L124" s="867"/>
      <c r="M124" s="407"/>
      <c r="N124" s="407"/>
    </row>
    <row r="125" spans="1:14" ht="18.95" customHeight="1">
      <c r="A125" s="893"/>
      <c r="B125" s="824"/>
      <c r="C125" s="891"/>
      <c r="D125" s="769"/>
      <c r="E125" s="752"/>
      <c r="F125" s="874"/>
      <c r="G125" s="867"/>
      <c r="H125" s="867"/>
      <c r="I125" s="867"/>
      <c r="J125" s="867"/>
      <c r="K125" s="867"/>
      <c r="L125" s="867"/>
      <c r="M125" s="407"/>
      <c r="N125" s="407"/>
    </row>
    <row r="126" spans="1:14" ht="18.95" customHeight="1">
      <c r="A126" s="893"/>
      <c r="B126" s="824"/>
      <c r="C126" s="891"/>
      <c r="D126" s="769"/>
      <c r="E126" s="868"/>
      <c r="F126" s="874"/>
      <c r="G126" s="867"/>
      <c r="H126" s="867"/>
      <c r="I126" s="867"/>
      <c r="J126" s="867"/>
      <c r="K126" s="867"/>
      <c r="L126" s="867"/>
      <c r="M126" s="867"/>
      <c r="N126" s="407"/>
    </row>
    <row r="127" spans="1:14" ht="18.95" customHeight="1">
      <c r="A127" s="407"/>
      <c r="B127" s="824"/>
      <c r="C127" s="894"/>
      <c r="D127" s="768"/>
      <c r="E127" s="868"/>
      <c r="F127" s="874"/>
      <c r="G127" s="867"/>
      <c r="H127" s="867"/>
      <c r="I127" s="867"/>
      <c r="J127" s="867"/>
      <c r="K127" s="867"/>
      <c r="L127" s="867"/>
      <c r="M127" s="407"/>
      <c r="N127" s="407"/>
    </row>
    <row r="128" spans="1:14" ht="18.95" customHeight="1">
      <c r="A128" s="893"/>
      <c r="B128" s="824"/>
      <c r="C128" s="894"/>
      <c r="D128" s="768"/>
      <c r="E128" s="868"/>
      <c r="F128" s="874"/>
      <c r="G128" s="867"/>
      <c r="H128" s="867"/>
      <c r="I128" s="867"/>
      <c r="J128" s="867"/>
      <c r="K128" s="867"/>
      <c r="L128" s="867"/>
      <c r="M128" s="407"/>
      <c r="N128" s="407"/>
    </row>
    <row r="129" spans="1:14" ht="18.95" customHeight="1">
      <c r="A129" s="407"/>
      <c r="B129" s="824"/>
      <c r="C129" s="894"/>
      <c r="D129" s="768"/>
      <c r="E129" s="868"/>
      <c r="F129" s="874"/>
      <c r="G129" s="867"/>
      <c r="H129" s="867"/>
      <c r="I129" s="867"/>
      <c r="J129" s="867"/>
      <c r="K129" s="867"/>
      <c r="L129" s="867"/>
      <c r="M129" s="867"/>
      <c r="N129" s="407"/>
    </row>
    <row r="130" spans="1:14" ht="18.95" customHeight="1">
      <c r="A130" s="893"/>
      <c r="B130" s="824"/>
      <c r="C130" s="894"/>
      <c r="D130" s="767"/>
      <c r="E130" s="868"/>
      <c r="F130" s="874"/>
      <c r="G130" s="867"/>
      <c r="H130" s="867"/>
      <c r="I130" s="867"/>
      <c r="J130" s="867"/>
      <c r="K130" s="867"/>
      <c r="L130" s="867"/>
      <c r="M130" s="867"/>
      <c r="N130" s="407"/>
    </row>
    <row r="131" spans="1:14" ht="18.95" customHeight="1">
      <c r="A131" s="407"/>
      <c r="B131" s="824"/>
      <c r="C131" s="891"/>
      <c r="D131" s="768"/>
      <c r="E131" s="868"/>
      <c r="F131" s="874"/>
      <c r="G131" s="867"/>
      <c r="H131" s="867"/>
      <c r="I131" s="867"/>
      <c r="J131" s="867"/>
      <c r="K131" s="867"/>
      <c r="L131" s="867"/>
      <c r="M131" s="867"/>
      <c r="N131" s="407"/>
    </row>
    <row r="132" spans="1:14" ht="18.95" customHeight="1">
      <c r="A132" s="893"/>
      <c r="B132" s="824"/>
      <c r="C132" s="894"/>
      <c r="D132" s="876"/>
      <c r="E132" s="868"/>
      <c r="F132" s="874"/>
      <c r="G132" s="867"/>
      <c r="H132" s="867"/>
      <c r="I132" s="867"/>
      <c r="J132" s="867"/>
      <c r="K132" s="867"/>
      <c r="L132" s="867"/>
      <c r="M132" s="867"/>
      <c r="N132" s="407"/>
    </row>
    <row r="133" spans="1:14" ht="18.95" customHeight="1">
      <c r="A133" s="407"/>
      <c r="B133" s="763"/>
      <c r="C133" s="900"/>
      <c r="D133" s="762"/>
      <c r="E133" s="752"/>
      <c r="F133" s="407"/>
      <c r="G133" s="752"/>
      <c r="H133" s="752"/>
      <c r="I133" s="867"/>
      <c r="J133" s="752"/>
      <c r="K133" s="752"/>
      <c r="L133" s="867"/>
      <c r="M133" s="867"/>
      <c r="N133" s="407"/>
    </row>
    <row r="134" spans="1:14" ht="18.95" customHeight="1">
      <c r="A134" s="893"/>
      <c r="B134" s="824"/>
      <c r="C134" s="891"/>
      <c r="D134" s="768"/>
      <c r="E134" s="762"/>
      <c r="F134" s="407"/>
      <c r="G134" s="752"/>
      <c r="H134" s="752"/>
      <c r="I134" s="752"/>
      <c r="J134" s="882"/>
      <c r="K134" s="882"/>
      <c r="L134" s="870"/>
      <c r="M134" s="882"/>
      <c r="N134" s="407"/>
    </row>
    <row r="135" spans="1:14" ht="18.95" customHeight="1">
      <c r="A135" s="407"/>
      <c r="B135" s="1421"/>
      <c r="C135" s="1421"/>
      <c r="D135" s="1421"/>
      <c r="E135" s="752"/>
      <c r="F135" s="407"/>
      <c r="G135" s="752"/>
      <c r="H135" s="752"/>
      <c r="I135" s="752"/>
      <c r="J135" s="882"/>
      <c r="K135" s="882"/>
      <c r="L135" s="870"/>
      <c r="M135" s="882"/>
      <c r="N135" s="407"/>
    </row>
    <row r="136" spans="1:14" ht="18.600000000000001" customHeight="1">
      <c r="A136" s="407"/>
      <c r="B136" s="901"/>
      <c r="C136" s="901"/>
      <c r="D136" s="901"/>
      <c r="E136" s="752"/>
      <c r="F136" s="407"/>
      <c r="G136" s="752"/>
      <c r="H136" s="752"/>
      <c r="I136" s="752"/>
      <c r="J136" s="882"/>
      <c r="K136" s="882"/>
      <c r="L136" s="870"/>
      <c r="M136" s="882"/>
      <c r="N136" s="407"/>
    </row>
    <row r="137" spans="1:14" ht="18.95" customHeight="1">
      <c r="A137" s="407"/>
      <c r="B137" s="824"/>
      <c r="C137" s="899"/>
      <c r="D137" s="899"/>
      <c r="E137" s="752"/>
      <c r="F137" s="407"/>
      <c r="G137" s="752"/>
      <c r="H137" s="752"/>
      <c r="I137" s="752"/>
      <c r="J137" s="882"/>
      <c r="K137" s="882"/>
      <c r="L137" s="870"/>
      <c r="M137" s="882"/>
      <c r="N137" s="407"/>
    </row>
    <row r="138" spans="1:14" ht="18.95" customHeight="1">
      <c r="A138" s="407"/>
      <c r="B138" s="763"/>
      <c r="C138" s="891"/>
      <c r="D138" s="902"/>
      <c r="E138" s="868"/>
      <c r="F138" s="407"/>
      <c r="G138" s="867"/>
      <c r="H138" s="867"/>
      <c r="I138" s="867"/>
      <c r="J138" s="867"/>
      <c r="K138" s="867"/>
      <c r="L138" s="867"/>
      <c r="M138" s="867"/>
      <c r="N138" s="903"/>
    </row>
    <row r="139" spans="1:14" ht="18.95" customHeight="1">
      <c r="A139" s="407"/>
      <c r="B139" s="904"/>
      <c r="C139" s="891"/>
      <c r="D139" s="902"/>
      <c r="E139" s="868"/>
      <c r="F139" s="407"/>
      <c r="G139" s="867"/>
      <c r="H139" s="867"/>
      <c r="I139" s="867"/>
      <c r="J139" s="867"/>
      <c r="K139" s="867"/>
      <c r="L139" s="867"/>
      <c r="M139" s="867"/>
      <c r="N139" s="903"/>
    </row>
    <row r="140" spans="1:14" ht="18.95" customHeight="1">
      <c r="A140" s="407"/>
      <c r="B140" s="904"/>
      <c r="C140" s="901"/>
      <c r="D140" s="901"/>
      <c r="E140" s="752"/>
      <c r="F140" s="407"/>
      <c r="G140" s="752"/>
      <c r="H140" s="752"/>
      <c r="I140" s="752"/>
      <c r="J140" s="882"/>
      <c r="K140" s="882"/>
      <c r="L140" s="867"/>
      <c r="M140" s="867"/>
      <c r="N140" s="407"/>
    </row>
    <row r="141" spans="1:14" ht="18.600000000000001" customHeight="1">
      <c r="A141" s="407"/>
      <c r="B141" s="763"/>
      <c r="C141" s="891"/>
      <c r="D141" s="901"/>
      <c r="E141" s="868"/>
      <c r="F141" s="874"/>
      <c r="G141" s="867"/>
      <c r="H141" s="867"/>
      <c r="I141" s="867"/>
      <c r="J141" s="867"/>
      <c r="K141" s="867"/>
      <c r="L141" s="867"/>
      <c r="M141" s="867"/>
      <c r="N141" s="407"/>
    </row>
    <row r="142" spans="1:14" ht="18.95" customHeight="1">
      <c r="A142" s="407"/>
      <c r="B142" s="763"/>
      <c r="C142" s="891"/>
      <c r="D142" s="901"/>
      <c r="E142" s="752"/>
      <c r="F142" s="874"/>
      <c r="G142" s="867"/>
      <c r="H142" s="867"/>
      <c r="I142" s="867"/>
      <c r="J142" s="867"/>
      <c r="K142" s="867"/>
      <c r="L142" s="867"/>
      <c r="M142" s="867"/>
      <c r="N142" s="407"/>
    </row>
    <row r="143" spans="1:14" ht="18.95" customHeight="1">
      <c r="A143" s="407"/>
      <c r="B143" s="763"/>
      <c r="C143" s="891"/>
      <c r="D143" s="901"/>
      <c r="E143" s="868"/>
      <c r="F143" s="407"/>
      <c r="G143" s="867"/>
      <c r="H143" s="867"/>
      <c r="I143" s="867"/>
      <c r="J143" s="867"/>
      <c r="K143" s="867"/>
      <c r="L143" s="867"/>
      <c r="M143" s="867"/>
      <c r="N143" s="407"/>
    </row>
    <row r="144" spans="1:14" ht="18.95" customHeight="1">
      <c r="A144" s="407"/>
      <c r="B144" s="905"/>
      <c r="C144" s="901"/>
      <c r="D144" s="901"/>
      <c r="E144" s="752"/>
      <c r="F144" s="407"/>
      <c r="G144" s="752"/>
      <c r="H144" s="752"/>
      <c r="I144" s="752"/>
      <c r="J144" s="882"/>
      <c r="K144" s="882"/>
      <c r="L144" s="870"/>
      <c r="M144" s="882"/>
      <c r="N144" s="407"/>
    </row>
    <row r="145" spans="1:14" ht="18.95" customHeight="1">
      <c r="A145" s="407"/>
      <c r="B145" s="1418"/>
      <c r="C145" s="1418"/>
      <c r="D145" s="1418"/>
      <c r="E145" s="752"/>
      <c r="F145" s="407"/>
      <c r="G145" s="752"/>
      <c r="H145" s="752"/>
      <c r="I145" s="752"/>
      <c r="J145" s="882"/>
      <c r="K145" s="882"/>
      <c r="L145" s="870"/>
      <c r="M145" s="906"/>
      <c r="N145" s="407"/>
    </row>
    <row r="146" spans="1:14" ht="18.95" customHeight="1">
      <c r="A146" s="407"/>
      <c r="B146" s="905"/>
      <c r="C146" s="901"/>
      <c r="D146" s="901"/>
      <c r="E146" s="752"/>
      <c r="F146" s="407"/>
      <c r="G146" s="752"/>
      <c r="H146" s="752"/>
      <c r="I146" s="752"/>
      <c r="J146" s="882"/>
      <c r="K146" s="882"/>
      <c r="L146" s="870"/>
      <c r="M146" s="882"/>
      <c r="N146" s="407"/>
    </row>
    <row r="147" spans="1:14" ht="18.95" customHeight="1">
      <c r="A147" s="407"/>
      <c r="B147" s="905"/>
      <c r="C147" s="901"/>
      <c r="D147" s="901"/>
      <c r="E147" s="752"/>
      <c r="F147" s="407"/>
      <c r="G147" s="752"/>
      <c r="H147" s="752"/>
      <c r="I147" s="752"/>
      <c r="J147" s="882"/>
      <c r="K147" s="882"/>
      <c r="L147" s="870"/>
      <c r="M147" s="882"/>
      <c r="N147" s="407"/>
    </row>
    <row r="148" spans="1:14" ht="18.95" customHeight="1">
      <c r="A148" s="407"/>
      <c r="B148" s="905"/>
      <c r="C148" s="901"/>
      <c r="D148" s="901"/>
      <c r="E148" s="752"/>
      <c r="F148" s="407"/>
      <c r="G148" s="752"/>
      <c r="H148" s="752"/>
      <c r="I148" s="752"/>
      <c r="J148" s="882"/>
      <c r="K148" s="882"/>
      <c r="L148" s="870"/>
      <c r="M148" s="882"/>
      <c r="N148" s="407"/>
    </row>
    <row r="149" spans="1:14" ht="18.95" customHeight="1">
      <c r="A149" s="407"/>
      <c r="B149" s="905"/>
      <c r="C149" s="901"/>
      <c r="D149" s="901"/>
      <c r="E149" s="752"/>
      <c r="F149" s="407"/>
      <c r="G149" s="752"/>
      <c r="H149" s="752"/>
      <c r="I149" s="752"/>
      <c r="J149" s="882"/>
      <c r="K149" s="882"/>
      <c r="L149" s="870"/>
      <c r="M149" s="882"/>
      <c r="N149" s="407"/>
    </row>
    <row r="150" spans="1:14" ht="18.95" customHeight="1">
      <c r="A150" s="407"/>
      <c r="B150" s="905"/>
      <c r="C150" s="901"/>
      <c r="D150" s="901"/>
      <c r="E150" s="752"/>
      <c r="F150" s="407"/>
      <c r="G150" s="752"/>
      <c r="H150" s="752"/>
      <c r="I150" s="752"/>
      <c r="J150" s="882"/>
      <c r="K150" s="882"/>
      <c r="L150" s="870"/>
      <c r="M150" s="882"/>
      <c r="N150" s="407"/>
    </row>
    <row r="151" spans="1:14" ht="18.95" customHeight="1">
      <c r="A151" s="407"/>
      <c r="B151" s="886"/>
      <c r="C151" s="886"/>
      <c r="D151" s="886"/>
      <c r="E151" s="752"/>
      <c r="F151" s="407"/>
      <c r="G151" s="752"/>
      <c r="H151" s="752"/>
      <c r="I151" s="752"/>
      <c r="J151" s="882"/>
      <c r="K151" s="882"/>
      <c r="L151" s="870"/>
      <c r="M151" s="882"/>
      <c r="N151" s="407"/>
    </row>
    <row r="152" spans="1:14" ht="18.95" customHeight="1">
      <c r="A152" s="407"/>
      <c r="B152" s="905"/>
      <c r="C152" s="901"/>
      <c r="D152" s="901"/>
      <c r="E152" s="752"/>
      <c r="F152" s="407"/>
      <c r="G152" s="752"/>
      <c r="H152" s="752"/>
      <c r="I152" s="752"/>
      <c r="J152" s="882"/>
      <c r="K152" s="882"/>
      <c r="L152" s="870"/>
      <c r="M152" s="882"/>
      <c r="N152" s="407"/>
    </row>
    <row r="153" spans="1:14" ht="18.95" customHeight="1">
      <c r="A153" s="407"/>
      <c r="B153" s="905"/>
      <c r="C153" s="901"/>
      <c r="D153" s="901"/>
      <c r="E153" s="752"/>
      <c r="F153" s="407"/>
      <c r="G153" s="752"/>
      <c r="H153" s="752"/>
      <c r="I153" s="752"/>
      <c r="J153" s="882"/>
      <c r="K153" s="882"/>
      <c r="L153" s="870"/>
      <c r="M153" s="882"/>
      <c r="N153" s="407"/>
    </row>
    <row r="154" spans="1:14" ht="18.95" customHeight="1">
      <c r="A154" s="407"/>
      <c r="B154" s="905"/>
      <c r="C154" s="901"/>
      <c r="D154" s="901"/>
      <c r="E154" s="752"/>
      <c r="F154" s="407"/>
      <c r="G154" s="752"/>
      <c r="H154" s="752"/>
      <c r="I154" s="752"/>
      <c r="J154" s="882"/>
      <c r="K154" s="882"/>
      <c r="L154" s="870"/>
      <c r="M154" s="882"/>
      <c r="N154" s="407"/>
    </row>
    <row r="155" spans="1:14" ht="18.95" customHeight="1">
      <c r="A155" s="407"/>
      <c r="B155" s="905"/>
      <c r="C155" s="901"/>
      <c r="D155" s="901"/>
      <c r="E155" s="752"/>
      <c r="F155" s="407"/>
      <c r="G155" s="752"/>
      <c r="H155" s="752"/>
      <c r="I155" s="752"/>
      <c r="J155" s="882"/>
      <c r="K155" s="882"/>
      <c r="L155" s="870"/>
      <c r="M155" s="882"/>
      <c r="N155" s="407"/>
    </row>
    <row r="156" spans="1:14" ht="18.95" customHeight="1">
      <c r="A156" s="407"/>
      <c r="B156" s="905"/>
      <c r="C156" s="901"/>
      <c r="D156" s="901"/>
      <c r="E156" s="752"/>
      <c r="F156" s="407"/>
      <c r="G156" s="752"/>
      <c r="H156" s="752"/>
      <c r="I156" s="752"/>
      <c r="J156" s="882"/>
      <c r="K156" s="882"/>
      <c r="L156" s="870"/>
      <c r="M156" s="882"/>
      <c r="N156" s="407"/>
    </row>
    <row r="157" spans="1:14" ht="18.95" customHeight="1">
      <c r="A157" s="407"/>
      <c r="B157" s="905"/>
      <c r="C157" s="901"/>
      <c r="D157" s="901"/>
      <c r="E157" s="752"/>
      <c r="F157" s="407"/>
      <c r="G157" s="752"/>
      <c r="H157" s="752"/>
      <c r="I157" s="752"/>
      <c r="J157" s="882"/>
      <c r="K157" s="882"/>
      <c r="L157" s="870"/>
      <c r="M157" s="882"/>
      <c r="N157" s="407"/>
    </row>
    <row r="158" spans="1:14" ht="18.95" customHeight="1">
      <c r="A158" s="407"/>
      <c r="B158" s="905"/>
      <c r="C158" s="901"/>
      <c r="D158" s="901"/>
      <c r="E158" s="752"/>
      <c r="F158" s="407"/>
      <c r="G158" s="752"/>
      <c r="H158" s="752"/>
      <c r="I158" s="752"/>
      <c r="J158" s="882"/>
      <c r="K158" s="882"/>
      <c r="L158" s="870"/>
      <c r="M158" s="882"/>
      <c r="N158" s="407"/>
    </row>
    <row r="159" spans="1:14" ht="18.95" customHeight="1">
      <c r="A159" s="407"/>
      <c r="B159" s="905"/>
      <c r="C159" s="901"/>
      <c r="D159" s="901"/>
      <c r="E159" s="752"/>
      <c r="F159" s="407"/>
      <c r="G159" s="752"/>
      <c r="H159" s="752"/>
      <c r="I159" s="752"/>
      <c r="J159" s="882"/>
      <c r="K159" s="882"/>
      <c r="L159" s="870"/>
      <c r="M159" s="882"/>
      <c r="N159" s="407"/>
    </row>
    <row r="160" spans="1:14" ht="18.95" customHeight="1">
      <c r="A160" s="407"/>
      <c r="B160" s="905"/>
      <c r="C160" s="901"/>
      <c r="D160" s="901"/>
      <c r="E160" s="752"/>
      <c r="F160" s="407"/>
      <c r="G160" s="752"/>
      <c r="H160" s="752"/>
      <c r="I160" s="752"/>
      <c r="J160" s="882"/>
      <c r="K160" s="882"/>
      <c r="L160" s="870"/>
      <c r="M160" s="882"/>
      <c r="N160" s="407"/>
    </row>
    <row r="161" spans="1:14" ht="18.95" customHeight="1">
      <c r="A161" s="407"/>
      <c r="B161" s="905"/>
      <c r="C161" s="901"/>
      <c r="D161" s="901"/>
      <c r="E161" s="752"/>
      <c r="F161" s="407"/>
      <c r="G161" s="752"/>
      <c r="H161" s="752"/>
      <c r="I161" s="752"/>
      <c r="J161" s="882"/>
      <c r="K161" s="882"/>
      <c r="L161" s="870"/>
      <c r="M161" s="882"/>
      <c r="N161" s="407"/>
    </row>
    <row r="162" spans="1:14" ht="18.95" customHeight="1">
      <c r="A162" s="407"/>
      <c r="B162" s="905"/>
      <c r="C162" s="901"/>
      <c r="D162" s="901"/>
      <c r="E162" s="752"/>
      <c r="F162" s="407"/>
      <c r="G162" s="752"/>
      <c r="H162" s="752"/>
      <c r="I162" s="752"/>
      <c r="J162" s="882"/>
      <c r="K162" s="882"/>
      <c r="L162" s="870"/>
      <c r="M162" s="882"/>
      <c r="N162" s="407"/>
    </row>
    <row r="163" spans="1:14" ht="18.95" customHeight="1">
      <c r="A163" s="407"/>
      <c r="B163" s="905"/>
      <c r="C163" s="901"/>
      <c r="D163" s="901"/>
      <c r="E163" s="752"/>
      <c r="F163" s="407"/>
      <c r="G163" s="752"/>
      <c r="H163" s="752"/>
      <c r="I163" s="752"/>
      <c r="J163" s="882"/>
      <c r="K163" s="882"/>
      <c r="L163" s="870"/>
      <c r="M163" s="882"/>
      <c r="N163" s="407"/>
    </row>
    <row r="164" spans="1:14" ht="18.95" customHeight="1">
      <c r="A164" s="883"/>
      <c r="B164" s="907"/>
      <c r="C164" s="908"/>
      <c r="D164" s="909"/>
      <c r="E164" s="752"/>
      <c r="F164" s="407"/>
      <c r="G164" s="752"/>
      <c r="H164" s="752"/>
      <c r="I164" s="752"/>
      <c r="J164" s="517"/>
      <c r="K164" s="517"/>
      <c r="L164" s="906"/>
      <c r="M164" s="407"/>
      <c r="N164" s="407"/>
    </row>
    <row r="165" spans="1:14" ht="18.95" customHeight="1">
      <c r="A165" s="869"/>
      <c r="B165" s="824"/>
      <c r="C165" s="910"/>
      <c r="D165" s="911"/>
      <c r="E165" s="752"/>
      <c r="F165" s="874"/>
      <c r="G165" s="867"/>
      <c r="H165" s="867"/>
      <c r="I165" s="867"/>
      <c r="J165" s="867"/>
      <c r="K165" s="867"/>
      <c r="L165" s="867"/>
      <c r="M165" s="867"/>
      <c r="N165" s="868"/>
    </row>
    <row r="166" spans="1:14" ht="18.95" customHeight="1">
      <c r="A166" s="869"/>
      <c r="B166" s="824"/>
      <c r="C166" s="910"/>
      <c r="D166" s="911"/>
      <c r="E166" s="752"/>
      <c r="F166" s="874"/>
      <c r="G166" s="560"/>
      <c r="H166" s="560"/>
      <c r="I166" s="867"/>
      <c r="J166" s="560"/>
      <c r="K166" s="560"/>
      <c r="L166" s="867"/>
      <c r="M166" s="867"/>
      <c r="N166" s="868"/>
    </row>
    <row r="167" spans="1:14" ht="18.95" customHeight="1">
      <c r="A167" s="869"/>
      <c r="B167" s="824"/>
      <c r="C167" s="910"/>
      <c r="D167" s="911"/>
      <c r="E167" s="752"/>
      <c r="F167" s="874"/>
      <c r="G167" s="560"/>
      <c r="H167" s="560"/>
      <c r="I167" s="867"/>
      <c r="J167" s="560"/>
      <c r="K167" s="560"/>
      <c r="L167" s="867"/>
      <c r="M167" s="867"/>
      <c r="N167" s="868"/>
    </row>
    <row r="168" spans="1:14" ht="18.95" customHeight="1">
      <c r="A168" s="869"/>
      <c r="B168" s="824"/>
      <c r="C168" s="911"/>
      <c r="D168" s="911"/>
      <c r="E168" s="868"/>
      <c r="F168" s="874"/>
      <c r="G168" s="867"/>
      <c r="H168" s="867"/>
      <c r="I168" s="867"/>
      <c r="J168" s="867"/>
      <c r="K168" s="867"/>
      <c r="L168" s="867"/>
      <c r="M168" s="867"/>
      <c r="N168" s="868"/>
    </row>
    <row r="169" spans="1:14" ht="18.95" customHeight="1">
      <c r="A169" s="869"/>
      <c r="B169" s="824"/>
      <c r="C169" s="911"/>
      <c r="D169" s="909"/>
      <c r="E169" s="752"/>
      <c r="F169" s="874"/>
      <c r="G169" s="867"/>
      <c r="H169" s="867"/>
      <c r="I169" s="867"/>
      <c r="J169" s="867"/>
      <c r="K169" s="867"/>
      <c r="L169" s="867"/>
      <c r="M169" s="867"/>
      <c r="N169" s="868"/>
    </row>
    <row r="170" spans="1:14" ht="18.95" customHeight="1">
      <c r="A170" s="869"/>
      <c r="B170" s="824"/>
      <c r="C170" s="910"/>
      <c r="D170" s="911"/>
      <c r="E170" s="752"/>
      <c r="F170" s="874"/>
      <c r="G170" s="517"/>
      <c r="H170" s="517"/>
      <c r="I170" s="867"/>
      <c r="J170" s="867"/>
      <c r="K170" s="867"/>
      <c r="L170" s="867"/>
      <c r="M170" s="867"/>
      <c r="N170" s="868"/>
    </row>
    <row r="171" spans="1:14" ht="18.95" customHeight="1">
      <c r="A171" s="869"/>
      <c r="B171" s="824"/>
      <c r="C171" s="912"/>
      <c r="D171" s="911"/>
      <c r="E171" s="752"/>
      <c r="F171" s="874"/>
      <c r="G171" s="867"/>
      <c r="H171" s="867"/>
      <c r="I171" s="867"/>
      <c r="J171" s="913"/>
      <c r="K171" s="913"/>
      <c r="L171" s="867"/>
      <c r="M171" s="867"/>
      <c r="N171" s="868"/>
    </row>
    <row r="172" spans="1:14" ht="18.95" customHeight="1">
      <c r="A172" s="869"/>
      <c r="B172" s="824"/>
      <c r="C172" s="910"/>
      <c r="D172" s="909"/>
      <c r="E172" s="752"/>
      <c r="F172" s="874"/>
      <c r="G172" s="867"/>
      <c r="H172" s="867"/>
      <c r="I172" s="867"/>
      <c r="J172" s="867"/>
      <c r="K172" s="867"/>
      <c r="L172" s="867"/>
      <c r="M172" s="867"/>
      <c r="N172" s="407"/>
    </row>
    <row r="173" spans="1:14" ht="18.95" customHeight="1">
      <c r="A173" s="871"/>
      <c r="B173" s="824"/>
      <c r="C173" s="910"/>
      <c r="D173" s="911"/>
      <c r="E173" s="752"/>
      <c r="F173" s="914"/>
      <c r="G173" s="517"/>
      <c r="H173" s="517"/>
      <c r="I173" s="867"/>
      <c r="J173" s="913"/>
      <c r="K173" s="913"/>
      <c r="L173" s="868"/>
      <c r="M173" s="868"/>
      <c r="N173" s="407"/>
    </row>
    <row r="174" spans="1:14" ht="18.95" customHeight="1">
      <c r="A174" s="869"/>
      <c r="B174" s="824"/>
      <c r="C174" s="910"/>
      <c r="D174" s="911"/>
      <c r="E174" s="752"/>
      <c r="F174" s="874"/>
      <c r="G174" s="517"/>
      <c r="H174" s="517"/>
      <c r="I174" s="867"/>
      <c r="J174" s="913"/>
      <c r="K174" s="913"/>
      <c r="L174" s="867"/>
      <c r="M174" s="867"/>
      <c r="N174" s="407"/>
    </row>
    <row r="175" spans="1:14" ht="18.95" customHeight="1">
      <c r="A175" s="863"/>
      <c r="B175" s="824"/>
      <c r="C175" s="910"/>
      <c r="D175" s="911"/>
      <c r="E175" s="752"/>
      <c r="F175" s="874"/>
      <c r="G175" s="867"/>
      <c r="H175" s="867"/>
      <c r="I175" s="867"/>
      <c r="J175" s="867"/>
      <c r="K175" s="867"/>
      <c r="L175" s="867"/>
      <c r="M175" s="867"/>
      <c r="N175" s="407"/>
    </row>
    <row r="176" spans="1:14" ht="18.95" customHeight="1">
      <c r="A176" s="871"/>
      <c r="B176" s="824"/>
      <c r="C176" s="915"/>
      <c r="D176" s="911"/>
      <c r="E176" s="752"/>
      <c r="F176" s="874"/>
      <c r="G176" s="867"/>
      <c r="H176" s="867"/>
      <c r="I176" s="867"/>
      <c r="J176" s="913"/>
      <c r="K176" s="913"/>
      <c r="L176" s="867"/>
      <c r="M176" s="867"/>
      <c r="N176" s="407"/>
    </row>
    <row r="177" spans="1:14" ht="18.95" customHeight="1">
      <c r="A177" s="871"/>
      <c r="B177" s="824"/>
      <c r="C177" s="915"/>
      <c r="D177" s="911"/>
      <c r="E177" s="752"/>
      <c r="F177" s="874"/>
      <c r="G177" s="867"/>
      <c r="H177" s="867"/>
      <c r="I177" s="867"/>
      <c r="J177" s="913"/>
      <c r="K177" s="913"/>
      <c r="L177" s="868"/>
      <c r="M177" s="868"/>
      <c r="N177" s="407"/>
    </row>
    <row r="178" spans="1:14" ht="18.95" customHeight="1">
      <c r="A178" s="893"/>
      <c r="B178" s="824"/>
      <c r="C178" s="910"/>
      <c r="D178" s="909"/>
      <c r="E178" s="752"/>
      <c r="F178" s="874"/>
      <c r="G178" s="867"/>
      <c r="H178" s="867"/>
      <c r="I178" s="867"/>
      <c r="J178" s="913"/>
      <c r="K178" s="913"/>
      <c r="L178" s="867"/>
      <c r="M178" s="867"/>
      <c r="N178" s="407"/>
    </row>
    <row r="179" spans="1:14" ht="18.95" customHeight="1">
      <c r="A179" s="871"/>
      <c r="B179" s="824"/>
      <c r="C179" s="910"/>
      <c r="D179" s="909"/>
      <c r="E179" s="752"/>
      <c r="F179" s="874"/>
      <c r="G179" s="867"/>
      <c r="H179" s="867"/>
      <c r="I179" s="867"/>
      <c r="J179" s="867"/>
      <c r="K179" s="867"/>
      <c r="L179" s="867"/>
      <c r="M179" s="867"/>
      <c r="N179" s="407"/>
    </row>
    <row r="180" spans="1:14" ht="18.95" customHeight="1">
      <c r="A180" s="869"/>
      <c r="B180" s="824"/>
      <c r="C180" s="910"/>
      <c r="D180" s="909"/>
      <c r="E180" s="752"/>
      <c r="F180" s="874"/>
      <c r="G180" s="867"/>
      <c r="H180" s="867"/>
      <c r="I180" s="867"/>
      <c r="J180" s="913"/>
      <c r="K180" s="913"/>
      <c r="L180" s="867"/>
      <c r="M180" s="867"/>
      <c r="N180" s="407"/>
    </row>
    <row r="181" spans="1:14" ht="18.95" customHeight="1">
      <c r="A181" s="893"/>
      <c r="B181" s="824"/>
      <c r="C181" s="910"/>
      <c r="D181" s="518"/>
      <c r="E181" s="752"/>
      <c r="F181" s="874"/>
      <c r="G181" s="867"/>
      <c r="H181" s="867"/>
      <c r="I181" s="867"/>
      <c r="J181" s="867"/>
      <c r="K181" s="867"/>
      <c r="L181" s="867"/>
      <c r="M181" s="867"/>
      <c r="N181" s="407"/>
    </row>
    <row r="182" spans="1:14" ht="18.95" customHeight="1">
      <c r="A182" s="871"/>
      <c r="B182" s="878"/>
      <c r="C182" s="916"/>
      <c r="D182" s="518"/>
      <c r="E182" s="752"/>
      <c r="F182" s="874"/>
      <c r="G182" s="867"/>
      <c r="H182" s="867"/>
      <c r="I182" s="867"/>
      <c r="J182" s="913"/>
      <c r="K182" s="913"/>
      <c r="L182" s="867"/>
      <c r="M182" s="867"/>
      <c r="N182" s="407"/>
    </row>
    <row r="183" spans="1:14" ht="18.95" customHeight="1">
      <c r="A183" s="892"/>
      <c r="B183" s="878"/>
      <c r="C183" s="910"/>
      <c r="D183" s="518"/>
      <c r="E183" s="752"/>
      <c r="F183" s="874"/>
      <c r="G183" s="867"/>
      <c r="H183" s="867"/>
      <c r="I183" s="867"/>
      <c r="J183" s="867"/>
      <c r="K183" s="867"/>
      <c r="L183" s="867"/>
      <c r="M183" s="867"/>
      <c r="N183" s="407"/>
    </row>
    <row r="184" spans="1:14" ht="18.95" customHeight="1">
      <c r="A184" s="893"/>
      <c r="B184" s="878"/>
      <c r="C184" s="910"/>
      <c r="D184" s="518"/>
      <c r="E184" s="752"/>
      <c r="F184" s="874"/>
      <c r="G184" s="867"/>
      <c r="H184" s="867"/>
      <c r="I184" s="867"/>
      <c r="J184" s="867"/>
      <c r="K184" s="867"/>
      <c r="L184" s="867"/>
      <c r="M184" s="867"/>
      <c r="N184" s="407"/>
    </row>
    <row r="185" spans="1:14" ht="18.95" customHeight="1">
      <c r="A185" s="893"/>
      <c r="B185" s="878"/>
      <c r="C185" s="910"/>
      <c r="D185" s="518"/>
      <c r="E185" s="752"/>
      <c r="F185" s="874"/>
      <c r="G185" s="867"/>
      <c r="H185" s="867"/>
      <c r="I185" s="867"/>
      <c r="J185" s="867"/>
      <c r="K185" s="867"/>
      <c r="L185" s="867"/>
      <c r="M185" s="867"/>
      <c r="N185" s="407"/>
    </row>
    <row r="186" spans="1:14" ht="18.95" customHeight="1">
      <c r="A186" s="892"/>
      <c r="B186" s="904"/>
      <c r="C186" s="891"/>
      <c r="D186" s="902"/>
      <c r="E186" s="868"/>
      <c r="F186" s="407"/>
      <c r="G186" s="867"/>
      <c r="H186" s="867"/>
      <c r="I186" s="867"/>
      <c r="J186" s="867"/>
      <c r="K186" s="867"/>
      <c r="L186" s="867"/>
      <c r="M186" s="867"/>
      <c r="N186" s="407"/>
    </row>
    <row r="187" spans="1:14" ht="18.95" customHeight="1">
      <c r="A187" s="407"/>
      <c r="B187" s="900"/>
      <c r="C187" s="917"/>
      <c r="D187" s="917"/>
      <c r="E187" s="752"/>
      <c r="F187" s="407"/>
      <c r="G187" s="752"/>
      <c r="H187" s="752"/>
      <c r="I187" s="752"/>
      <c r="J187" s="882"/>
      <c r="K187" s="882"/>
      <c r="L187" s="870"/>
      <c r="M187" s="906"/>
      <c r="N187" s="407"/>
    </row>
    <row r="188" spans="1:14" ht="18.95" customHeight="1">
      <c r="A188" s="407"/>
      <c r="B188" s="763"/>
      <c r="C188" s="891"/>
      <c r="D188" s="901"/>
      <c r="E188" s="868"/>
      <c r="F188" s="874"/>
      <c r="G188" s="867"/>
      <c r="H188" s="867"/>
      <c r="I188" s="867"/>
      <c r="J188" s="867"/>
      <c r="K188" s="867"/>
      <c r="L188" s="867"/>
      <c r="M188" s="867"/>
      <c r="N188" s="407"/>
    </row>
    <row r="189" spans="1:14" ht="18.95" customHeight="1">
      <c r="A189" s="407"/>
      <c r="B189" s="763"/>
      <c r="C189" s="891"/>
      <c r="D189" s="901"/>
      <c r="E189" s="752"/>
      <c r="F189" s="874"/>
      <c r="G189" s="867"/>
      <c r="H189" s="867"/>
      <c r="I189" s="867"/>
      <c r="J189" s="867"/>
      <c r="K189" s="867"/>
      <c r="L189" s="867"/>
      <c r="M189" s="867"/>
      <c r="N189" s="407"/>
    </row>
    <row r="190" spans="1:14" ht="18.95" customHeight="1">
      <c r="A190" s="407"/>
      <c r="B190" s="763"/>
      <c r="C190" s="900"/>
      <c r="D190" s="917"/>
      <c r="E190" s="868"/>
      <c r="F190" s="407"/>
      <c r="G190" s="867"/>
      <c r="H190" s="867"/>
      <c r="I190" s="867"/>
      <c r="J190" s="867"/>
      <c r="K190" s="867"/>
      <c r="L190" s="867"/>
      <c r="M190" s="867"/>
      <c r="N190" s="407"/>
    </row>
    <row r="191" spans="1:14" ht="18.95" customHeight="1">
      <c r="A191" s="407"/>
      <c r="B191" s="1420"/>
      <c r="C191" s="1420"/>
      <c r="D191" s="1420"/>
      <c r="E191" s="752"/>
      <c r="F191" s="407"/>
      <c r="G191" s="752"/>
      <c r="H191" s="752"/>
      <c r="I191" s="752"/>
      <c r="J191" s="882"/>
      <c r="K191" s="882"/>
      <c r="L191" s="870"/>
      <c r="M191" s="906"/>
      <c r="N191" s="407"/>
    </row>
    <row r="192" spans="1:14" ht="18.95" customHeight="1">
      <c r="A192" s="918"/>
      <c r="B192" s="884"/>
      <c r="C192" s="919"/>
      <c r="D192" s="768"/>
      <c r="E192" s="752"/>
      <c r="F192" s="874"/>
      <c r="G192" s="867"/>
      <c r="H192" s="867"/>
      <c r="I192" s="867"/>
      <c r="J192" s="867"/>
      <c r="K192" s="867"/>
      <c r="L192" s="867"/>
      <c r="M192" s="867"/>
      <c r="N192" s="407"/>
    </row>
    <row r="193" spans="1:17" ht="18.95" customHeight="1">
      <c r="A193" s="863"/>
      <c r="B193" s="920"/>
      <c r="C193" s="876"/>
      <c r="D193" s="768"/>
      <c r="E193" s="868"/>
      <c r="F193" s="407"/>
      <c r="G193" s="867"/>
      <c r="H193" s="867"/>
      <c r="I193" s="867"/>
      <c r="J193" s="867"/>
      <c r="K193" s="867"/>
      <c r="L193" s="867"/>
      <c r="M193" s="867"/>
      <c r="N193" s="407"/>
      <c r="P193" s="867"/>
      <c r="Q193" s="867"/>
    </row>
    <row r="194" spans="1:17" ht="18.95" customHeight="1">
      <c r="A194" s="869"/>
      <c r="B194" s="921"/>
      <c r="C194" s="876"/>
      <c r="D194" s="768"/>
      <c r="E194" s="868"/>
      <c r="F194" s="874"/>
      <c r="G194" s="867"/>
      <c r="H194" s="867"/>
      <c r="I194" s="867"/>
      <c r="J194" s="867"/>
      <c r="K194" s="867"/>
      <c r="L194" s="867"/>
      <c r="M194" s="867"/>
      <c r="N194" s="868"/>
      <c r="P194" s="867"/>
      <c r="Q194" s="867"/>
    </row>
    <row r="195" spans="1:17" ht="18.95" customHeight="1">
      <c r="A195" s="869"/>
      <c r="B195" s="921"/>
      <c r="C195" s="876"/>
      <c r="D195" s="768"/>
      <c r="E195" s="868"/>
      <c r="F195" s="874"/>
      <c r="G195" s="867"/>
      <c r="H195" s="867"/>
      <c r="I195" s="867"/>
      <c r="J195" s="867"/>
      <c r="K195" s="867"/>
      <c r="L195" s="867"/>
      <c r="M195" s="867"/>
      <c r="N195" s="868"/>
      <c r="P195" s="867"/>
      <c r="Q195" s="867"/>
    </row>
    <row r="196" spans="1:17" ht="18.95" customHeight="1">
      <c r="A196" s="869"/>
      <c r="B196" s="920"/>
      <c r="C196" s="876"/>
      <c r="D196" s="768"/>
      <c r="E196" s="868"/>
      <c r="F196" s="407"/>
      <c r="G196" s="867"/>
      <c r="H196" s="867"/>
      <c r="I196" s="867"/>
      <c r="J196" s="867"/>
      <c r="K196" s="867"/>
      <c r="L196" s="867"/>
      <c r="M196" s="867"/>
      <c r="N196" s="868"/>
      <c r="P196" s="867"/>
      <c r="Q196" s="867"/>
    </row>
    <row r="197" spans="1:17" ht="18.95" customHeight="1">
      <c r="A197" s="869"/>
      <c r="B197" s="921"/>
      <c r="C197" s="876"/>
      <c r="D197" s="768"/>
      <c r="E197" s="868"/>
      <c r="F197" s="874"/>
      <c r="G197" s="867"/>
      <c r="H197" s="867"/>
      <c r="I197" s="867"/>
      <c r="J197" s="867"/>
      <c r="K197" s="867"/>
      <c r="L197" s="867"/>
      <c r="M197" s="867"/>
      <c r="N197" s="868"/>
      <c r="P197" s="867"/>
      <c r="Q197" s="867"/>
    </row>
    <row r="198" spans="1:17" ht="18.95" customHeight="1">
      <c r="A198" s="863"/>
      <c r="B198" s="920"/>
      <c r="C198" s="876"/>
      <c r="D198" s="768"/>
      <c r="E198" s="868"/>
      <c r="F198" s="407"/>
      <c r="G198" s="867"/>
      <c r="H198" s="867"/>
      <c r="I198" s="867"/>
      <c r="J198" s="867"/>
      <c r="K198" s="867"/>
      <c r="L198" s="867"/>
      <c r="M198" s="867"/>
      <c r="N198" s="868"/>
      <c r="P198" s="867"/>
      <c r="Q198" s="867"/>
    </row>
    <row r="199" spans="1:17" ht="18.95" customHeight="1">
      <c r="A199" s="869"/>
      <c r="B199" s="921"/>
      <c r="C199" s="876"/>
      <c r="D199" s="768"/>
      <c r="E199" s="868"/>
      <c r="F199" s="874"/>
      <c r="G199" s="867"/>
      <c r="H199" s="867"/>
      <c r="I199" s="752"/>
      <c r="J199" s="867"/>
      <c r="K199" s="867"/>
      <c r="L199" s="517"/>
      <c r="M199" s="867"/>
      <c r="N199" s="868"/>
      <c r="P199" s="867"/>
      <c r="Q199" s="867"/>
    </row>
    <row r="200" spans="1:17" ht="18.95" customHeight="1">
      <c r="A200" s="869"/>
      <c r="B200" s="922"/>
      <c r="C200" s="876"/>
      <c r="D200" s="768"/>
      <c r="E200" s="762"/>
      <c r="F200" s="874"/>
      <c r="G200" s="867"/>
      <c r="H200" s="867"/>
      <c r="I200" s="752"/>
      <c r="J200" s="867"/>
      <c r="K200" s="867"/>
      <c r="L200" s="517"/>
      <c r="M200" s="867"/>
      <c r="N200" s="868"/>
      <c r="P200" s="867"/>
      <c r="Q200" s="867"/>
    </row>
    <row r="201" spans="1:17" ht="18.95" customHeight="1">
      <c r="A201" s="869"/>
      <c r="B201" s="923"/>
      <c r="C201" s="876"/>
      <c r="D201" s="768"/>
      <c r="E201" s="868"/>
      <c r="F201" s="874"/>
      <c r="G201" s="867"/>
      <c r="H201" s="867"/>
      <c r="I201" s="752"/>
      <c r="J201" s="867"/>
      <c r="K201" s="867"/>
      <c r="L201" s="517"/>
      <c r="M201" s="867"/>
      <c r="N201" s="868"/>
      <c r="P201" s="867"/>
      <c r="Q201" s="867"/>
    </row>
    <row r="202" spans="1:17" ht="18.95" customHeight="1">
      <c r="A202" s="869"/>
      <c r="B202" s="920"/>
      <c r="C202" s="876"/>
      <c r="D202" s="768"/>
      <c r="E202" s="868"/>
      <c r="F202" s="407"/>
      <c r="G202" s="867"/>
      <c r="H202" s="867"/>
      <c r="I202" s="867"/>
      <c r="J202" s="867"/>
      <c r="K202" s="867"/>
      <c r="L202" s="867"/>
      <c r="M202" s="867"/>
      <c r="N202" s="407"/>
      <c r="P202" s="867"/>
      <c r="Q202" s="867"/>
    </row>
    <row r="203" spans="1:17" ht="18.95" customHeight="1">
      <c r="A203" s="871"/>
      <c r="B203" s="921"/>
      <c r="C203" s="876"/>
      <c r="D203" s="768"/>
      <c r="E203" s="868"/>
      <c r="F203" s="874"/>
      <c r="G203" s="867"/>
      <c r="H203" s="867"/>
      <c r="I203" s="752"/>
      <c r="J203" s="868"/>
      <c r="K203" s="868"/>
      <c r="L203" s="868"/>
      <c r="M203" s="906"/>
      <c r="N203" s="407"/>
      <c r="P203" s="868"/>
      <c r="Q203" s="867"/>
    </row>
    <row r="204" spans="1:17" ht="18.95" customHeight="1">
      <c r="A204" s="869"/>
      <c r="B204" s="922"/>
      <c r="C204" s="876"/>
      <c r="D204" s="768"/>
      <c r="E204" s="762"/>
      <c r="F204" s="874"/>
      <c r="G204" s="867"/>
      <c r="H204" s="867"/>
      <c r="I204" s="752"/>
      <c r="J204" s="913"/>
      <c r="K204" s="913"/>
      <c r="L204" s="868"/>
      <c r="M204" s="407"/>
      <c r="N204" s="407"/>
      <c r="P204" s="913"/>
      <c r="Q204" s="867"/>
    </row>
    <row r="205" spans="1:17" ht="18.95" customHeight="1">
      <c r="A205" s="924"/>
      <c r="B205" s="925"/>
      <c r="C205" s="876"/>
      <c r="D205" s="768"/>
      <c r="E205" s="752"/>
      <c r="F205" s="407"/>
      <c r="G205" s="867"/>
      <c r="H205" s="867"/>
      <c r="I205" s="867"/>
      <c r="J205" s="867"/>
      <c r="K205" s="867"/>
      <c r="L205" s="867"/>
      <c r="M205" s="867"/>
      <c r="N205" s="407"/>
      <c r="P205" s="913"/>
      <c r="Q205" s="867"/>
    </row>
    <row r="206" spans="1:17" ht="18.95" customHeight="1">
      <c r="A206" s="869"/>
      <c r="B206" s="250"/>
      <c r="C206" s="865"/>
      <c r="D206" s="118"/>
      <c r="E206" s="752"/>
      <c r="F206" s="914"/>
      <c r="G206" s="867"/>
      <c r="H206" s="867"/>
      <c r="I206" s="867"/>
      <c r="J206" s="913"/>
      <c r="K206" s="913"/>
      <c r="L206" s="868"/>
      <c r="M206" s="407"/>
      <c r="N206" s="407"/>
      <c r="P206" s="913"/>
      <c r="Q206" s="867"/>
    </row>
    <row r="207" spans="1:17" ht="18.95" customHeight="1">
      <c r="A207" s="863"/>
      <c r="B207" s="250"/>
      <c r="C207" s="876"/>
      <c r="D207" s="118"/>
      <c r="E207" s="752"/>
      <c r="F207" s="407"/>
      <c r="G207" s="867"/>
      <c r="H207" s="867"/>
      <c r="I207" s="867"/>
      <c r="J207" s="913"/>
      <c r="K207" s="913"/>
      <c r="L207" s="867"/>
      <c r="M207" s="867"/>
      <c r="N207" s="407"/>
      <c r="P207" s="913"/>
      <c r="Q207" s="867"/>
    </row>
    <row r="208" spans="1:17" ht="18.95" customHeight="1">
      <c r="A208" s="871"/>
      <c r="B208" s="250"/>
      <c r="C208" s="865"/>
      <c r="D208" s="118"/>
      <c r="E208" s="752"/>
      <c r="F208" s="914"/>
      <c r="G208" s="867"/>
      <c r="H208" s="867"/>
      <c r="I208" s="867"/>
      <c r="J208" s="913"/>
      <c r="K208" s="913"/>
      <c r="L208" s="868"/>
      <c r="M208" s="407"/>
      <c r="N208" s="407"/>
      <c r="P208" s="913"/>
      <c r="Q208" s="867"/>
    </row>
    <row r="209" spans="1:17" ht="18.95" customHeight="1">
      <c r="A209" s="869"/>
      <c r="B209" s="920"/>
      <c r="C209" s="876"/>
      <c r="D209" s="768"/>
      <c r="E209" s="752"/>
      <c r="F209" s="407"/>
      <c r="G209" s="867"/>
      <c r="H209" s="867"/>
      <c r="I209" s="867"/>
      <c r="J209" s="913"/>
      <c r="K209" s="913"/>
      <c r="L209" s="867"/>
      <c r="M209" s="867"/>
      <c r="N209" s="407"/>
      <c r="P209" s="913"/>
      <c r="Q209" s="867"/>
    </row>
    <row r="210" spans="1:17" ht="18.95" customHeight="1">
      <c r="A210" s="893"/>
      <c r="B210" s="921"/>
      <c r="C210" s="876"/>
      <c r="D210" s="768"/>
      <c r="E210" s="752"/>
      <c r="F210" s="914"/>
      <c r="G210" s="867"/>
      <c r="H210" s="867"/>
      <c r="I210" s="867"/>
      <c r="J210" s="913"/>
      <c r="K210" s="913"/>
      <c r="L210" s="868"/>
      <c r="M210" s="407"/>
      <c r="N210" s="407"/>
      <c r="P210" s="913"/>
      <c r="Q210" s="867"/>
    </row>
    <row r="211" spans="1:17" ht="18.95" customHeight="1">
      <c r="A211" s="924"/>
      <c r="B211" s="250"/>
      <c r="C211" s="876"/>
      <c r="D211" s="118"/>
      <c r="E211" s="752"/>
      <c r="F211" s="407"/>
      <c r="G211" s="867"/>
      <c r="H211" s="867"/>
      <c r="I211" s="867"/>
      <c r="J211" s="913"/>
      <c r="K211" s="913"/>
      <c r="L211" s="867"/>
      <c r="M211" s="867"/>
      <c r="N211" s="407"/>
      <c r="P211" s="913"/>
      <c r="Q211" s="867"/>
    </row>
    <row r="212" spans="1:17" ht="18.95" customHeight="1">
      <c r="A212" s="863"/>
      <c r="B212" s="250"/>
      <c r="C212" s="865"/>
      <c r="D212" s="118"/>
      <c r="E212" s="868"/>
      <c r="F212" s="874"/>
      <c r="G212" s="867"/>
      <c r="H212" s="867"/>
      <c r="I212" s="867"/>
      <c r="J212" s="867"/>
      <c r="K212" s="867"/>
      <c r="L212" s="867"/>
      <c r="M212" s="407"/>
      <c r="N212" s="407"/>
      <c r="P212" s="867"/>
      <c r="Q212" s="867"/>
    </row>
    <row r="213" spans="1:17" ht="18.95" customHeight="1">
      <c r="A213" s="863"/>
      <c r="B213" s="920"/>
      <c r="C213" s="876"/>
      <c r="D213" s="768"/>
      <c r="E213" s="868"/>
      <c r="F213" s="407"/>
      <c r="G213" s="867"/>
      <c r="H213" s="867"/>
      <c r="I213" s="867"/>
      <c r="J213" s="867"/>
      <c r="K213" s="867"/>
      <c r="L213" s="867"/>
      <c r="M213" s="867"/>
      <c r="N213" s="407"/>
      <c r="P213" s="867"/>
      <c r="Q213" s="867"/>
    </row>
    <row r="214" spans="1:17" ht="18.95" customHeight="1">
      <c r="A214" s="863"/>
      <c r="B214" s="921"/>
      <c r="C214" s="876"/>
      <c r="D214" s="768"/>
      <c r="E214" s="868"/>
      <c r="F214" s="874"/>
      <c r="G214" s="867"/>
      <c r="H214" s="867"/>
      <c r="I214" s="867"/>
      <c r="J214" s="867"/>
      <c r="K214" s="867"/>
      <c r="L214" s="867"/>
      <c r="M214" s="407"/>
      <c r="N214" s="407"/>
      <c r="P214" s="867"/>
      <c r="Q214" s="867"/>
    </row>
    <row r="215" spans="1:17" ht="18.95" customHeight="1">
      <c r="A215" s="871"/>
      <c r="B215" s="920"/>
      <c r="C215" s="876"/>
      <c r="D215" s="768"/>
      <c r="E215" s="868"/>
      <c r="F215" s="407"/>
      <c r="G215" s="867"/>
      <c r="H215" s="867"/>
      <c r="I215" s="867"/>
      <c r="J215" s="867"/>
      <c r="K215" s="867"/>
      <c r="L215" s="867"/>
      <c r="M215" s="867"/>
      <c r="N215" s="407"/>
      <c r="P215" s="867"/>
      <c r="Q215" s="867"/>
    </row>
    <row r="216" spans="1:17" ht="18.95" customHeight="1">
      <c r="A216" s="407"/>
      <c r="B216" s="921"/>
      <c r="C216" s="876"/>
      <c r="D216" s="768"/>
      <c r="E216" s="752"/>
      <c r="F216" s="407"/>
      <c r="G216" s="752"/>
      <c r="H216" s="752"/>
      <c r="I216" s="752"/>
      <c r="J216" s="882"/>
      <c r="K216" s="882"/>
      <c r="L216" s="870"/>
      <c r="M216" s="882"/>
      <c r="N216" s="407"/>
      <c r="P216" s="882"/>
      <c r="Q216" s="867"/>
    </row>
    <row r="217" spans="1:17" ht="18.95" customHeight="1">
      <c r="A217" s="871"/>
      <c r="B217" s="920"/>
      <c r="C217" s="876"/>
      <c r="D217" s="768"/>
      <c r="E217" s="752"/>
      <c r="F217" s="407"/>
      <c r="G217" s="752"/>
      <c r="H217" s="752"/>
      <c r="I217" s="867"/>
      <c r="J217" s="752"/>
      <c r="K217" s="752"/>
      <c r="L217" s="867"/>
      <c r="M217" s="867"/>
      <c r="N217" s="407"/>
      <c r="P217" s="752"/>
      <c r="Q217" s="867"/>
    </row>
    <row r="218" spans="1:17" ht="18.95" customHeight="1">
      <c r="A218" s="407"/>
      <c r="B218" s="921"/>
      <c r="C218" s="876"/>
      <c r="D218" s="768"/>
      <c r="E218" s="752"/>
      <c r="F218" s="407"/>
      <c r="G218" s="752"/>
      <c r="H218" s="752"/>
      <c r="I218" s="752"/>
      <c r="J218" s="882"/>
      <c r="K218" s="882"/>
      <c r="L218" s="870"/>
      <c r="M218" s="882"/>
      <c r="N218" s="407"/>
      <c r="P218" s="882"/>
      <c r="Q218" s="867"/>
    </row>
    <row r="219" spans="1:17" ht="18.95" customHeight="1">
      <c r="A219" s="407"/>
      <c r="E219" s="752"/>
      <c r="F219" s="407"/>
      <c r="G219" s="752"/>
      <c r="H219" s="752"/>
      <c r="I219" s="752"/>
      <c r="J219" s="882"/>
      <c r="K219" s="882"/>
      <c r="L219" s="870"/>
      <c r="M219" s="882"/>
      <c r="N219" s="407"/>
      <c r="P219" s="882"/>
      <c r="Q219" s="867"/>
    </row>
    <row r="220" spans="1:17" ht="18.95" customHeight="1">
      <c r="A220" s="926"/>
      <c r="B220" s="920"/>
      <c r="C220" s="876"/>
      <c r="D220" s="768"/>
      <c r="E220" s="752"/>
      <c r="F220" s="407"/>
      <c r="G220" s="752"/>
      <c r="H220" s="752"/>
      <c r="I220" s="867"/>
      <c r="J220" s="752"/>
      <c r="K220" s="752"/>
      <c r="L220" s="867"/>
      <c r="M220" s="867"/>
      <c r="N220" s="407"/>
      <c r="P220" s="752"/>
      <c r="Q220" s="867"/>
    </row>
    <row r="221" spans="1:17" ht="18.95" customHeight="1">
      <c r="A221" s="863"/>
      <c r="B221" s="921"/>
      <c r="C221" s="876"/>
      <c r="D221" s="768"/>
      <c r="E221" s="752"/>
      <c r="F221" s="407"/>
      <c r="G221" s="752"/>
      <c r="H221" s="752"/>
      <c r="I221" s="752"/>
      <c r="J221" s="752"/>
      <c r="K221" s="752"/>
      <c r="L221" s="517"/>
      <c r="M221" s="906"/>
      <c r="N221" s="407"/>
      <c r="P221" s="752"/>
      <c r="Q221" s="867"/>
    </row>
    <row r="222" spans="1:17" ht="18.95" customHeight="1">
      <c r="A222" s="869"/>
      <c r="B222" s="920"/>
      <c r="C222" s="876"/>
      <c r="D222" s="768"/>
      <c r="E222" s="752"/>
      <c r="F222" s="407"/>
      <c r="G222" s="867"/>
      <c r="H222" s="867"/>
      <c r="I222" s="867"/>
      <c r="J222" s="867"/>
      <c r="K222" s="867"/>
      <c r="L222" s="867"/>
      <c r="M222" s="867"/>
      <c r="N222" s="868"/>
      <c r="P222" s="867"/>
      <c r="Q222" s="867"/>
    </row>
    <row r="223" spans="1:17" ht="18.95" customHeight="1">
      <c r="A223" s="869"/>
      <c r="B223" s="921"/>
      <c r="C223" s="876"/>
      <c r="D223" s="768"/>
      <c r="E223" s="752"/>
      <c r="F223" s="407"/>
      <c r="G223" s="517"/>
      <c r="H223" s="517"/>
      <c r="I223" s="752"/>
      <c r="J223" s="752"/>
      <c r="K223" s="752"/>
      <c r="L223" s="517"/>
      <c r="M223" s="752"/>
      <c r="N223" s="868"/>
      <c r="P223" s="752"/>
      <c r="Q223" s="867"/>
    </row>
    <row r="224" spans="1:17" ht="18.95" customHeight="1">
      <c r="A224" s="869"/>
      <c r="B224" s="920"/>
      <c r="C224" s="876"/>
      <c r="D224" s="768"/>
      <c r="E224" s="752"/>
      <c r="F224" s="874"/>
      <c r="G224" s="867"/>
      <c r="H224" s="867"/>
      <c r="I224" s="752"/>
      <c r="J224" s="867"/>
      <c r="K224" s="867"/>
      <c r="L224" s="517"/>
      <c r="M224" s="867"/>
      <c r="N224" s="868"/>
      <c r="P224" s="867"/>
      <c r="Q224" s="867"/>
    </row>
    <row r="225" spans="1:17" ht="18.95" customHeight="1">
      <c r="A225" s="869"/>
      <c r="B225" s="920"/>
      <c r="C225" s="876"/>
      <c r="D225" s="768"/>
      <c r="E225" s="752"/>
      <c r="F225" s="407"/>
      <c r="G225" s="517"/>
      <c r="H225" s="517"/>
      <c r="I225" s="867"/>
      <c r="J225" s="752"/>
      <c r="K225" s="752"/>
      <c r="L225" s="867"/>
      <c r="M225" s="867"/>
      <c r="N225" s="868"/>
      <c r="P225" s="752"/>
      <c r="Q225" s="867"/>
    </row>
    <row r="226" spans="1:17" ht="18.95" customHeight="1">
      <c r="A226" s="863"/>
      <c r="B226" s="921"/>
      <c r="C226" s="876"/>
      <c r="D226" s="768"/>
      <c r="E226" s="752"/>
      <c r="F226" s="874"/>
      <c r="G226" s="867"/>
      <c r="H226" s="867"/>
      <c r="I226" s="752"/>
      <c r="J226" s="867"/>
      <c r="K226" s="867"/>
      <c r="L226" s="517"/>
      <c r="M226" s="867"/>
      <c r="N226" s="868"/>
      <c r="P226" s="867"/>
      <c r="Q226" s="867"/>
    </row>
    <row r="227" spans="1:17" ht="18.95" customHeight="1">
      <c r="A227" s="869"/>
      <c r="B227" s="920"/>
      <c r="C227" s="876"/>
      <c r="D227" s="768"/>
      <c r="E227" s="752"/>
      <c r="F227" s="407"/>
      <c r="G227" s="517"/>
      <c r="H227" s="517"/>
      <c r="I227" s="867"/>
      <c r="J227" s="752"/>
      <c r="K227" s="752"/>
      <c r="L227" s="867"/>
      <c r="M227" s="867"/>
      <c r="N227" s="868"/>
      <c r="P227" s="752"/>
      <c r="Q227" s="867"/>
    </row>
    <row r="228" spans="1:17" ht="18.95" customHeight="1">
      <c r="A228" s="869"/>
      <c r="B228" s="921"/>
      <c r="C228" s="876"/>
      <c r="D228" s="768"/>
      <c r="E228" s="752"/>
      <c r="F228" s="874"/>
      <c r="G228" s="867"/>
      <c r="H228" s="867"/>
      <c r="I228" s="752"/>
      <c r="J228" s="867"/>
      <c r="K228" s="867"/>
      <c r="L228" s="517"/>
      <c r="M228" s="867"/>
      <c r="N228" s="868"/>
      <c r="P228" s="867"/>
      <c r="Q228" s="867"/>
    </row>
    <row r="229" spans="1:17" ht="18.95" customHeight="1">
      <c r="A229" s="869"/>
      <c r="B229" s="920"/>
      <c r="C229" s="876"/>
      <c r="D229" s="768"/>
      <c r="E229" s="752"/>
      <c r="F229" s="407"/>
      <c r="G229" s="517"/>
      <c r="H229" s="517"/>
      <c r="I229" s="867"/>
      <c r="J229" s="752"/>
      <c r="K229" s="752"/>
      <c r="L229" s="867"/>
      <c r="M229" s="867"/>
      <c r="N229" s="407"/>
      <c r="P229" s="752"/>
      <c r="Q229" s="867"/>
    </row>
    <row r="230" spans="1:17" ht="18.95" customHeight="1">
      <c r="A230" s="869"/>
      <c r="B230" s="921"/>
      <c r="C230" s="876"/>
      <c r="D230" s="768"/>
      <c r="E230" s="752"/>
      <c r="F230" s="874"/>
      <c r="G230" s="867"/>
      <c r="H230" s="867"/>
      <c r="I230" s="752"/>
      <c r="J230" s="867"/>
      <c r="K230" s="867"/>
      <c r="L230" s="517"/>
      <c r="M230" s="867"/>
      <c r="N230" s="407"/>
      <c r="P230" s="867"/>
      <c r="Q230" s="867"/>
    </row>
    <row r="231" spans="1:17" ht="18.95" customHeight="1">
      <c r="A231" s="871"/>
      <c r="B231" s="920"/>
      <c r="C231" s="876"/>
      <c r="D231" s="768"/>
      <c r="E231" s="752"/>
      <c r="F231" s="407"/>
      <c r="G231" s="517"/>
      <c r="H231" s="517"/>
      <c r="I231" s="867"/>
      <c r="J231" s="752"/>
      <c r="K231" s="752"/>
      <c r="L231" s="867"/>
      <c r="M231" s="867"/>
      <c r="N231" s="407"/>
      <c r="P231" s="752"/>
      <c r="Q231" s="867"/>
    </row>
    <row r="232" spans="1:17" ht="18.95" customHeight="1">
      <c r="A232" s="892"/>
      <c r="B232" s="921"/>
      <c r="C232" s="876"/>
      <c r="D232" s="768"/>
      <c r="E232" s="752"/>
      <c r="F232" s="874"/>
      <c r="G232" s="867"/>
      <c r="H232" s="867"/>
      <c r="I232" s="752"/>
      <c r="J232" s="867"/>
      <c r="K232" s="867"/>
      <c r="L232" s="517"/>
      <c r="M232" s="867"/>
      <c r="N232" s="407"/>
      <c r="P232" s="867"/>
      <c r="Q232" s="867"/>
    </row>
    <row r="233" spans="1:17" ht="18.95" customHeight="1">
      <c r="A233" s="893"/>
      <c r="B233" s="920"/>
      <c r="C233" s="876"/>
      <c r="D233" s="768"/>
      <c r="E233" s="752"/>
      <c r="F233" s="407"/>
      <c r="G233" s="517"/>
      <c r="H233" s="517"/>
      <c r="I233" s="867"/>
      <c r="J233" s="752"/>
      <c r="K233" s="752"/>
      <c r="L233" s="867"/>
      <c r="M233" s="867"/>
      <c r="N233" s="407"/>
      <c r="P233" s="752"/>
      <c r="Q233" s="867"/>
    </row>
    <row r="234" spans="1:17" ht="18.95" customHeight="1">
      <c r="A234" s="871"/>
      <c r="B234" s="921"/>
      <c r="C234" s="876"/>
      <c r="D234" s="768"/>
      <c r="E234" s="868"/>
      <c r="F234" s="874"/>
      <c r="G234" s="867"/>
      <c r="H234" s="867"/>
      <c r="I234" s="752"/>
      <c r="J234" s="867"/>
      <c r="K234" s="867"/>
      <c r="L234" s="517"/>
      <c r="M234" s="867"/>
      <c r="N234" s="407"/>
      <c r="P234" s="867"/>
      <c r="Q234" s="867"/>
    </row>
    <row r="235" spans="1:17" ht="18.95" customHeight="1">
      <c r="A235" s="893"/>
      <c r="B235" s="920"/>
      <c r="C235" s="876"/>
      <c r="D235" s="768"/>
      <c r="E235" s="752"/>
      <c r="F235" s="407"/>
      <c r="G235" s="867"/>
      <c r="H235" s="867"/>
      <c r="I235" s="867"/>
      <c r="J235" s="867"/>
      <c r="K235" s="867"/>
      <c r="L235" s="867"/>
      <c r="M235" s="867"/>
      <c r="N235" s="407"/>
      <c r="P235" s="867"/>
      <c r="Q235" s="867"/>
    </row>
    <row r="236" spans="1:17" ht="18.95" customHeight="1">
      <c r="A236" s="893"/>
      <c r="B236" s="921"/>
      <c r="C236" s="876"/>
      <c r="D236" s="768"/>
      <c r="E236" s="752"/>
      <c r="F236" s="407"/>
      <c r="G236" s="517"/>
      <c r="H236" s="517"/>
      <c r="I236" s="752"/>
      <c r="J236" s="752"/>
      <c r="K236" s="752"/>
      <c r="L236" s="517"/>
      <c r="M236" s="752"/>
      <c r="N236" s="407"/>
      <c r="P236" s="752"/>
      <c r="Q236" s="867"/>
    </row>
    <row r="237" spans="1:17" ht="18.95" customHeight="1">
      <c r="A237" s="893"/>
      <c r="B237" s="920"/>
      <c r="C237" s="876"/>
      <c r="D237" s="768"/>
      <c r="E237" s="752"/>
      <c r="F237" s="407"/>
      <c r="G237" s="867"/>
      <c r="H237" s="867"/>
      <c r="I237" s="867"/>
      <c r="J237" s="867"/>
      <c r="K237" s="867"/>
      <c r="L237" s="867"/>
      <c r="M237" s="867"/>
      <c r="N237" s="407"/>
      <c r="P237" s="867"/>
      <c r="Q237" s="867"/>
    </row>
    <row r="238" spans="1:17" ht="18.95" customHeight="1">
      <c r="A238" s="892"/>
      <c r="B238" s="921"/>
      <c r="C238" s="876"/>
      <c r="D238" s="768"/>
      <c r="E238" s="752"/>
      <c r="F238" s="407"/>
      <c r="G238" s="517"/>
      <c r="H238" s="517"/>
      <c r="I238" s="752"/>
      <c r="J238" s="752"/>
      <c r="K238" s="752"/>
      <c r="L238" s="517"/>
      <c r="M238" s="752"/>
      <c r="N238" s="407"/>
      <c r="P238" s="752"/>
      <c r="Q238" s="867"/>
    </row>
    <row r="239" spans="1:17" ht="18.95" customHeight="1">
      <c r="A239" s="893"/>
      <c r="B239" s="920"/>
      <c r="C239" s="876"/>
      <c r="D239" s="768"/>
      <c r="E239" s="752"/>
      <c r="F239" s="407"/>
      <c r="G239" s="867"/>
      <c r="H239" s="867"/>
      <c r="I239" s="867"/>
      <c r="J239" s="867"/>
      <c r="K239" s="867"/>
      <c r="L239" s="867"/>
      <c r="M239" s="867"/>
      <c r="N239" s="407"/>
      <c r="P239" s="867"/>
      <c r="Q239" s="867"/>
    </row>
    <row r="240" spans="1:17" ht="18.95" customHeight="1">
      <c r="A240" s="871"/>
      <c r="B240" s="921"/>
      <c r="C240" s="876"/>
      <c r="D240" s="768"/>
      <c r="E240" s="868"/>
      <c r="F240" s="874"/>
      <c r="G240" s="867"/>
      <c r="H240" s="867"/>
      <c r="I240" s="867"/>
      <c r="J240" s="867"/>
      <c r="K240" s="867"/>
      <c r="L240" s="867"/>
      <c r="M240" s="867"/>
      <c r="N240" s="407"/>
      <c r="P240" s="867"/>
      <c r="Q240" s="867"/>
    </row>
    <row r="241" spans="1:17" ht="18.95" customHeight="1">
      <c r="A241" s="893"/>
      <c r="B241" s="920"/>
      <c r="C241" s="876"/>
      <c r="D241" s="768"/>
      <c r="E241" s="752"/>
      <c r="F241" s="407"/>
      <c r="G241" s="867"/>
      <c r="H241" s="867"/>
      <c r="I241" s="867"/>
      <c r="J241" s="867"/>
      <c r="K241" s="867"/>
      <c r="L241" s="867"/>
      <c r="M241" s="867"/>
      <c r="N241" s="407"/>
      <c r="P241" s="867"/>
      <c r="Q241" s="867"/>
    </row>
    <row r="242" spans="1:17" ht="18.95" customHeight="1">
      <c r="A242" s="893"/>
      <c r="B242" s="921"/>
      <c r="C242" s="876"/>
      <c r="D242" s="768"/>
      <c r="E242" s="752"/>
      <c r="F242" s="874"/>
      <c r="G242" s="867"/>
      <c r="H242" s="867"/>
      <c r="I242" s="752"/>
      <c r="J242" s="867"/>
      <c r="K242" s="867"/>
      <c r="L242" s="517"/>
      <c r="M242" s="867"/>
      <c r="N242" s="407"/>
      <c r="P242" s="867"/>
      <c r="Q242" s="867"/>
    </row>
    <row r="243" spans="1:17" ht="18.95" customHeight="1">
      <c r="A243" s="893"/>
      <c r="B243" s="920"/>
      <c r="C243" s="876"/>
      <c r="D243" s="768"/>
      <c r="E243" s="868"/>
      <c r="F243" s="407"/>
      <c r="G243" s="867"/>
      <c r="H243" s="867"/>
      <c r="I243" s="867"/>
      <c r="J243" s="867"/>
      <c r="K243" s="867"/>
      <c r="L243" s="867"/>
      <c r="M243" s="867"/>
      <c r="N243" s="407"/>
      <c r="P243" s="867"/>
      <c r="Q243" s="867"/>
    </row>
    <row r="244" spans="1:17" ht="18.95" customHeight="1">
      <c r="A244" s="407"/>
      <c r="B244" s="921"/>
      <c r="C244" s="876"/>
      <c r="D244" s="768"/>
      <c r="E244" s="752"/>
      <c r="F244" s="874"/>
      <c r="G244" s="867"/>
      <c r="H244" s="867"/>
      <c r="I244" s="752"/>
      <c r="J244" s="867"/>
      <c r="K244" s="867"/>
      <c r="L244" s="517"/>
      <c r="M244" s="867"/>
      <c r="N244" s="407"/>
      <c r="P244" s="867"/>
      <c r="Q244" s="867"/>
    </row>
    <row r="245" spans="1:17" ht="18.95" customHeight="1">
      <c r="A245" s="407"/>
      <c r="B245" s="920"/>
      <c r="C245" s="876"/>
      <c r="D245" s="768"/>
      <c r="E245" s="868"/>
      <c r="F245" s="407"/>
      <c r="G245" s="867"/>
      <c r="H245" s="867"/>
      <c r="I245" s="867"/>
      <c r="J245" s="867"/>
      <c r="K245" s="867"/>
      <c r="L245" s="867"/>
      <c r="M245" s="867"/>
      <c r="N245" s="407"/>
      <c r="P245" s="867"/>
      <c r="Q245" s="867"/>
    </row>
    <row r="246" spans="1:17" ht="18.95" customHeight="1">
      <c r="A246" s="407"/>
      <c r="B246" s="921"/>
      <c r="C246" s="876"/>
      <c r="D246" s="768"/>
      <c r="E246" s="868"/>
      <c r="F246" s="874"/>
      <c r="G246" s="868"/>
      <c r="H246" s="868"/>
      <c r="I246" s="868"/>
      <c r="J246" s="868"/>
      <c r="K246" s="868"/>
      <c r="L246" s="868"/>
      <c r="M246" s="868"/>
      <c r="N246" s="407"/>
      <c r="P246" s="868"/>
      <c r="Q246" s="867"/>
    </row>
    <row r="247" spans="1:17" ht="18.95" customHeight="1">
      <c r="A247" s="407"/>
      <c r="B247" s="895"/>
      <c r="C247" s="762"/>
      <c r="D247" s="762"/>
      <c r="E247" s="868"/>
      <c r="F247" s="874"/>
      <c r="G247" s="868"/>
      <c r="H247" s="868"/>
      <c r="I247" s="868"/>
      <c r="J247" s="868"/>
      <c r="K247" s="868"/>
      <c r="L247" s="868"/>
      <c r="M247" s="868"/>
      <c r="N247" s="407"/>
      <c r="P247" s="868"/>
      <c r="Q247" s="867"/>
    </row>
    <row r="248" spans="1:17" ht="18.95" customHeight="1">
      <c r="A248" s="926"/>
      <c r="B248" s="920"/>
      <c r="C248" s="876"/>
      <c r="D248" s="768"/>
      <c r="E248" s="868"/>
      <c r="F248" s="407"/>
      <c r="G248" s="868"/>
      <c r="H248" s="868"/>
      <c r="I248" s="867"/>
      <c r="J248" s="868"/>
      <c r="K248" s="868"/>
      <c r="L248" s="867"/>
      <c r="M248" s="867"/>
      <c r="N248" s="407"/>
      <c r="P248" s="868"/>
      <c r="Q248" s="867"/>
    </row>
    <row r="249" spans="1:17" ht="18.95" customHeight="1">
      <c r="A249" s="893"/>
      <c r="B249" s="921"/>
      <c r="C249" s="876"/>
      <c r="D249" s="768"/>
      <c r="E249" s="868"/>
      <c r="F249" s="874"/>
      <c r="G249" s="868"/>
      <c r="H249" s="868"/>
      <c r="I249" s="868"/>
      <c r="J249" s="868"/>
      <c r="K249" s="868"/>
      <c r="L249" s="868"/>
      <c r="M249" s="868"/>
      <c r="N249" s="407"/>
      <c r="P249" s="868"/>
      <c r="Q249" s="867"/>
    </row>
    <row r="250" spans="1:17" ht="18.95" customHeight="1">
      <c r="A250" s="869"/>
      <c r="B250" s="920"/>
      <c r="C250" s="876"/>
      <c r="D250" s="768"/>
      <c r="E250" s="752"/>
      <c r="F250" s="407"/>
      <c r="G250" s="752"/>
      <c r="H250" s="752"/>
      <c r="I250" s="867"/>
      <c r="J250" s="752"/>
      <c r="K250" s="752"/>
      <c r="L250" s="867"/>
      <c r="M250" s="867"/>
      <c r="N250" s="407"/>
      <c r="P250" s="752"/>
      <c r="Q250" s="867"/>
    </row>
    <row r="251" spans="1:17" ht="18.95" customHeight="1">
      <c r="A251" s="869"/>
      <c r="B251" s="921"/>
      <c r="C251" s="876"/>
      <c r="D251" s="768"/>
      <c r="E251" s="752"/>
      <c r="F251" s="874"/>
      <c r="G251" s="867"/>
      <c r="H251" s="867"/>
      <c r="I251" s="752"/>
      <c r="J251" s="867"/>
      <c r="K251" s="867"/>
      <c r="L251" s="517"/>
      <c r="M251" s="867"/>
      <c r="N251" s="407"/>
      <c r="P251" s="867"/>
      <c r="Q251" s="867"/>
    </row>
    <row r="252" spans="1:17" ht="18.95" customHeight="1">
      <c r="A252" s="869"/>
      <c r="B252" s="920"/>
      <c r="C252" s="876"/>
      <c r="D252" s="768"/>
      <c r="E252" s="868"/>
      <c r="F252" s="407"/>
      <c r="G252" s="867"/>
      <c r="H252" s="867"/>
      <c r="I252" s="867"/>
      <c r="J252" s="867"/>
      <c r="K252" s="867"/>
      <c r="L252" s="867"/>
      <c r="M252" s="867"/>
      <c r="N252" s="868"/>
      <c r="P252" s="867"/>
      <c r="Q252" s="867"/>
    </row>
    <row r="253" spans="1:17" ht="18.95" customHeight="1">
      <c r="A253" s="863"/>
      <c r="B253" s="921"/>
      <c r="C253" s="876"/>
      <c r="D253" s="768"/>
      <c r="E253" s="752"/>
      <c r="F253" s="874"/>
      <c r="G253" s="867"/>
      <c r="H253" s="867"/>
      <c r="I253" s="752"/>
      <c r="J253" s="867"/>
      <c r="K253" s="867"/>
      <c r="L253" s="517"/>
      <c r="M253" s="867"/>
      <c r="N253" s="868"/>
      <c r="P253" s="867"/>
      <c r="Q253" s="867"/>
    </row>
    <row r="254" spans="1:17" ht="18.95" customHeight="1">
      <c r="A254" s="869"/>
      <c r="B254" s="920"/>
      <c r="C254" s="876"/>
      <c r="D254" s="768"/>
      <c r="E254" s="868"/>
      <c r="F254" s="407"/>
      <c r="G254" s="867"/>
      <c r="H254" s="867"/>
      <c r="I254" s="867"/>
      <c r="J254" s="867"/>
      <c r="K254" s="867"/>
      <c r="L254" s="867"/>
      <c r="M254" s="867"/>
      <c r="N254" s="868"/>
      <c r="P254" s="867"/>
      <c r="Q254" s="867"/>
    </row>
    <row r="255" spans="1:17" ht="18.95" customHeight="1">
      <c r="A255" s="869"/>
      <c r="B255" s="921"/>
      <c r="C255" s="876"/>
      <c r="D255" s="768"/>
      <c r="E255" s="752"/>
      <c r="F255" s="874"/>
      <c r="G255" s="867"/>
      <c r="H255" s="867"/>
      <c r="I255" s="752"/>
      <c r="J255" s="867"/>
      <c r="K255" s="867"/>
      <c r="L255" s="517"/>
      <c r="M255" s="867"/>
      <c r="N255" s="868"/>
      <c r="P255" s="867"/>
      <c r="Q255" s="867"/>
    </row>
    <row r="256" spans="1:17" ht="18.95" customHeight="1">
      <c r="A256" s="869"/>
      <c r="B256" s="920"/>
      <c r="C256" s="876"/>
      <c r="D256" s="768"/>
      <c r="E256" s="868"/>
      <c r="F256" s="407"/>
      <c r="G256" s="867"/>
      <c r="H256" s="867"/>
      <c r="I256" s="867"/>
      <c r="J256" s="867"/>
      <c r="K256" s="867"/>
      <c r="L256" s="867"/>
      <c r="M256" s="867"/>
      <c r="N256" s="868"/>
      <c r="P256" s="867"/>
      <c r="Q256" s="867"/>
    </row>
    <row r="257" spans="1:17" ht="18.95" customHeight="1">
      <c r="A257" s="869"/>
      <c r="B257" s="921"/>
      <c r="C257" s="876"/>
      <c r="D257" s="768"/>
      <c r="E257" s="752"/>
      <c r="F257" s="874"/>
      <c r="G257" s="867"/>
      <c r="H257" s="867"/>
      <c r="I257" s="752"/>
      <c r="J257" s="867"/>
      <c r="K257" s="867"/>
      <c r="L257" s="517"/>
      <c r="M257" s="867"/>
      <c r="N257" s="868"/>
      <c r="P257" s="867"/>
      <c r="Q257" s="867"/>
    </row>
    <row r="258" spans="1:17" ht="18.95" customHeight="1">
      <c r="A258" s="871"/>
      <c r="B258" s="920"/>
      <c r="C258" s="876"/>
      <c r="D258" s="768"/>
      <c r="E258" s="868"/>
      <c r="F258" s="407"/>
      <c r="G258" s="867"/>
      <c r="H258" s="867"/>
      <c r="I258" s="867"/>
      <c r="J258" s="867"/>
      <c r="K258" s="867"/>
      <c r="L258" s="867"/>
      <c r="M258" s="867"/>
      <c r="N258" s="868"/>
      <c r="P258" s="867"/>
      <c r="Q258" s="867"/>
    </row>
    <row r="259" spans="1:17" ht="18.95" customHeight="1">
      <c r="A259" s="869"/>
      <c r="B259" s="921"/>
      <c r="C259" s="876"/>
      <c r="D259" s="768"/>
      <c r="E259" s="752"/>
      <c r="F259" s="874"/>
      <c r="G259" s="867"/>
      <c r="H259" s="867"/>
      <c r="I259" s="752"/>
      <c r="J259" s="867"/>
      <c r="K259" s="867"/>
      <c r="L259" s="517"/>
      <c r="M259" s="867"/>
      <c r="N259" s="407"/>
      <c r="P259" s="867"/>
      <c r="Q259" s="867"/>
    </row>
    <row r="260" spans="1:17" ht="18.95" customHeight="1">
      <c r="A260" s="893"/>
      <c r="B260" s="920"/>
      <c r="C260" s="876"/>
      <c r="D260" s="768"/>
      <c r="E260" s="752"/>
      <c r="F260" s="407"/>
      <c r="G260" s="867"/>
      <c r="H260" s="867"/>
      <c r="I260" s="867"/>
      <c r="J260" s="867"/>
      <c r="K260" s="867"/>
      <c r="L260" s="867"/>
      <c r="M260" s="867"/>
      <c r="N260" s="407"/>
      <c r="P260" s="867"/>
      <c r="Q260" s="867"/>
    </row>
    <row r="261" spans="1:17" ht="18.95" customHeight="1">
      <c r="A261" s="871"/>
      <c r="B261" s="921"/>
      <c r="C261" s="876"/>
      <c r="D261" s="768"/>
      <c r="E261" s="868"/>
      <c r="F261" s="874"/>
      <c r="G261" s="867"/>
      <c r="H261" s="867"/>
      <c r="I261" s="867"/>
      <c r="J261" s="867"/>
      <c r="K261" s="867"/>
      <c r="L261" s="867"/>
      <c r="M261" s="867"/>
      <c r="N261" s="407"/>
      <c r="P261" s="867"/>
      <c r="Q261" s="867"/>
    </row>
    <row r="262" spans="1:17" ht="18.95" customHeight="1">
      <c r="A262" s="869"/>
      <c r="B262" s="920"/>
      <c r="C262" s="876"/>
      <c r="D262" s="768"/>
      <c r="E262" s="752"/>
      <c r="F262" s="407"/>
      <c r="G262" s="867"/>
      <c r="H262" s="867"/>
      <c r="I262" s="867"/>
      <c r="J262" s="867"/>
      <c r="K262" s="867"/>
      <c r="L262" s="867"/>
      <c r="M262" s="867"/>
      <c r="N262" s="407"/>
      <c r="P262" s="867"/>
      <c r="Q262" s="867"/>
    </row>
    <row r="263" spans="1:17" ht="18.95" customHeight="1">
      <c r="A263" s="893"/>
      <c r="B263" s="921"/>
      <c r="C263" s="876"/>
      <c r="D263" s="768"/>
      <c r="E263" s="752"/>
      <c r="F263" s="874"/>
      <c r="G263" s="867"/>
      <c r="H263" s="867"/>
      <c r="I263" s="867"/>
      <c r="J263" s="867"/>
      <c r="K263" s="867"/>
      <c r="L263" s="867"/>
      <c r="M263" s="867"/>
      <c r="N263" s="407"/>
      <c r="P263" s="867"/>
      <c r="Q263" s="867"/>
    </row>
    <row r="264" spans="1:17" ht="18.95" customHeight="1">
      <c r="A264" s="871"/>
      <c r="B264" s="920"/>
      <c r="C264" s="876"/>
      <c r="D264" s="768"/>
      <c r="E264" s="752"/>
      <c r="F264" s="407"/>
      <c r="G264" s="867"/>
      <c r="H264" s="867"/>
      <c r="I264" s="867"/>
      <c r="J264" s="867"/>
      <c r="K264" s="867"/>
      <c r="L264" s="867"/>
      <c r="M264" s="867"/>
      <c r="N264" s="407"/>
      <c r="P264" s="867"/>
      <c r="Q264" s="867"/>
    </row>
    <row r="265" spans="1:17" ht="18.95" customHeight="1">
      <c r="A265" s="869"/>
      <c r="B265" s="921"/>
      <c r="C265" s="876"/>
      <c r="D265" s="768"/>
      <c r="E265" s="752"/>
      <c r="F265" s="874"/>
      <c r="G265" s="867"/>
      <c r="H265" s="867"/>
      <c r="I265" s="867"/>
      <c r="J265" s="867"/>
      <c r="K265" s="867"/>
      <c r="L265" s="867"/>
      <c r="M265" s="867"/>
      <c r="N265" s="407"/>
      <c r="P265" s="867"/>
      <c r="Q265" s="867"/>
    </row>
    <row r="266" spans="1:17" ht="18.95" customHeight="1">
      <c r="A266" s="893"/>
      <c r="B266" s="920"/>
      <c r="C266" s="876"/>
      <c r="D266" s="768"/>
      <c r="E266" s="752"/>
      <c r="F266" s="407"/>
      <c r="G266" s="867"/>
      <c r="H266" s="867"/>
      <c r="I266" s="867"/>
      <c r="J266" s="867"/>
      <c r="K266" s="867"/>
      <c r="L266" s="867"/>
      <c r="M266" s="867"/>
      <c r="N266" s="407"/>
      <c r="P266" s="867"/>
      <c r="Q266" s="867"/>
    </row>
    <row r="267" spans="1:17" ht="18.95" customHeight="1">
      <c r="A267" s="869"/>
      <c r="B267" s="921"/>
      <c r="C267" s="876"/>
      <c r="D267" s="768"/>
      <c r="E267" s="752"/>
      <c r="F267" s="874"/>
      <c r="G267" s="867"/>
      <c r="H267" s="867"/>
      <c r="I267" s="867"/>
      <c r="J267" s="867"/>
      <c r="K267" s="867"/>
      <c r="L267" s="867"/>
      <c r="M267" s="867"/>
      <c r="N267" s="407"/>
      <c r="P267" s="867"/>
      <c r="Q267" s="867"/>
    </row>
    <row r="268" spans="1:17" ht="18.95" customHeight="1">
      <c r="A268" s="893"/>
      <c r="B268" s="920"/>
      <c r="C268" s="876"/>
      <c r="D268" s="768"/>
      <c r="E268" s="752"/>
      <c r="F268" s="407"/>
      <c r="G268" s="867"/>
      <c r="H268" s="867"/>
      <c r="I268" s="867"/>
      <c r="J268" s="867"/>
      <c r="K268" s="867"/>
      <c r="L268" s="867"/>
      <c r="M268" s="867"/>
      <c r="N268" s="407"/>
      <c r="P268" s="867"/>
      <c r="Q268" s="867"/>
    </row>
    <row r="269" spans="1:17" ht="18.95" customHeight="1">
      <c r="A269" s="871"/>
      <c r="B269" s="921"/>
      <c r="C269" s="876"/>
      <c r="D269" s="768"/>
      <c r="E269" s="868"/>
      <c r="F269" s="874"/>
      <c r="G269" s="867"/>
      <c r="H269" s="867"/>
      <c r="I269" s="867"/>
      <c r="J269" s="867"/>
      <c r="K269" s="867"/>
      <c r="L269" s="867"/>
      <c r="M269" s="867"/>
      <c r="N269" s="407"/>
      <c r="P269" s="867"/>
      <c r="Q269" s="867"/>
    </row>
    <row r="270" spans="1:17" ht="18.95" customHeight="1">
      <c r="A270" s="893"/>
      <c r="B270" s="920"/>
      <c r="C270" s="876"/>
      <c r="D270" s="768"/>
      <c r="E270" s="762"/>
      <c r="F270" s="874"/>
      <c r="G270" s="867"/>
      <c r="H270" s="867"/>
      <c r="I270" s="752"/>
      <c r="J270" s="867"/>
      <c r="K270" s="867"/>
      <c r="L270" s="517"/>
      <c r="M270" s="867"/>
      <c r="N270" s="407"/>
      <c r="P270" s="867"/>
      <c r="Q270" s="867"/>
    </row>
    <row r="271" spans="1:17" ht="18.95" customHeight="1">
      <c r="A271" s="893"/>
      <c r="B271" s="923"/>
      <c r="C271" s="876"/>
      <c r="D271" s="768"/>
      <c r="E271" s="868"/>
      <c r="F271" s="874"/>
      <c r="G271" s="867"/>
      <c r="H271" s="867"/>
      <c r="I271" s="867"/>
      <c r="J271" s="867"/>
      <c r="K271" s="867"/>
      <c r="L271" s="867"/>
      <c r="M271" s="867"/>
      <c r="N271" s="407"/>
      <c r="P271" s="867"/>
      <c r="Q271" s="867"/>
    </row>
    <row r="272" spans="1:17" ht="18.95" customHeight="1">
      <c r="A272" s="893"/>
      <c r="B272" s="920"/>
      <c r="C272" s="876"/>
      <c r="D272" s="768"/>
      <c r="E272" s="752"/>
      <c r="F272" s="874"/>
      <c r="G272" s="867"/>
      <c r="H272" s="867"/>
      <c r="I272" s="752"/>
      <c r="J272" s="867"/>
      <c r="K272" s="867"/>
      <c r="L272" s="517"/>
      <c r="M272" s="867"/>
      <c r="N272" s="407"/>
      <c r="P272" s="867"/>
      <c r="Q272" s="867"/>
    </row>
    <row r="273" spans="1:17" ht="18.95" customHeight="1">
      <c r="A273" s="407"/>
      <c r="B273" s="922"/>
      <c r="C273" s="876"/>
      <c r="D273" s="768"/>
      <c r="E273" s="762"/>
      <c r="F273" s="874"/>
      <c r="G273" s="867"/>
      <c r="H273" s="867"/>
      <c r="I273" s="867"/>
      <c r="J273" s="867"/>
      <c r="K273" s="867"/>
      <c r="L273" s="867"/>
      <c r="M273" s="867"/>
      <c r="N273" s="407"/>
      <c r="P273" s="867"/>
      <c r="Q273" s="867"/>
    </row>
    <row r="274" spans="1:17" ht="18.95" customHeight="1">
      <c r="A274" s="407"/>
      <c r="B274" s="923"/>
      <c r="C274" s="876"/>
      <c r="D274" s="768"/>
      <c r="E274" s="868"/>
      <c r="F274" s="874"/>
      <c r="G274" s="868"/>
      <c r="H274" s="868"/>
      <c r="I274" s="867"/>
      <c r="J274" s="867"/>
      <c r="K274" s="867"/>
      <c r="L274" s="867"/>
      <c r="M274" s="867"/>
      <c r="N274" s="407"/>
      <c r="P274" s="867"/>
      <c r="Q274" s="867"/>
    </row>
    <row r="275" spans="1:17" ht="18.95" customHeight="1">
      <c r="A275" s="407"/>
      <c r="E275" s="752"/>
      <c r="F275" s="407"/>
      <c r="G275" s="752"/>
      <c r="H275" s="752"/>
      <c r="I275" s="752"/>
      <c r="J275" s="882"/>
      <c r="K275" s="882"/>
      <c r="L275" s="870"/>
      <c r="M275" s="882"/>
      <c r="N275" s="407"/>
      <c r="P275" s="882"/>
      <c r="Q275" s="867"/>
    </row>
    <row r="276" spans="1:17" ht="18.95" customHeight="1">
      <c r="A276" s="869"/>
      <c r="B276" s="920"/>
      <c r="C276" s="876"/>
      <c r="D276" s="768"/>
      <c r="E276" s="752"/>
      <c r="F276" s="407"/>
      <c r="G276" s="752"/>
      <c r="H276" s="752"/>
      <c r="I276" s="867"/>
      <c r="J276" s="752"/>
      <c r="K276" s="752"/>
      <c r="L276" s="867"/>
      <c r="M276" s="867"/>
      <c r="N276" s="407"/>
      <c r="P276" s="752"/>
      <c r="Q276" s="867"/>
    </row>
    <row r="277" spans="1:17" ht="18.95" customHeight="1">
      <c r="A277" s="869"/>
      <c r="B277" s="921"/>
      <c r="C277" s="876"/>
      <c r="D277" s="768"/>
      <c r="E277" s="868"/>
      <c r="F277" s="874"/>
      <c r="G277" s="867"/>
      <c r="H277" s="867"/>
      <c r="I277" s="752"/>
      <c r="J277" s="867"/>
      <c r="K277" s="867"/>
      <c r="L277" s="517"/>
      <c r="M277" s="867"/>
      <c r="N277" s="407"/>
      <c r="P277" s="867"/>
      <c r="Q277" s="867"/>
    </row>
    <row r="278" spans="1:17" ht="18.95" customHeight="1">
      <c r="A278" s="893"/>
      <c r="B278" s="920"/>
      <c r="C278" s="876"/>
      <c r="D278" s="768"/>
      <c r="E278" s="762"/>
      <c r="F278" s="874"/>
      <c r="G278" s="867"/>
      <c r="H278" s="867"/>
      <c r="I278" s="867"/>
      <c r="J278" s="867"/>
      <c r="K278" s="867"/>
      <c r="L278" s="867"/>
      <c r="M278" s="867"/>
      <c r="N278" s="868"/>
      <c r="P278" s="867"/>
      <c r="Q278" s="867"/>
    </row>
    <row r="279" spans="1:17" ht="18.95" customHeight="1">
      <c r="A279" s="869"/>
      <c r="B279" s="923"/>
      <c r="C279" s="876"/>
      <c r="D279" s="768"/>
      <c r="E279" s="868"/>
      <c r="F279" s="407"/>
      <c r="G279" s="867"/>
      <c r="H279" s="867"/>
      <c r="I279" s="867"/>
      <c r="J279" s="867"/>
      <c r="K279" s="867"/>
      <c r="L279" s="867"/>
      <c r="M279" s="867"/>
      <c r="N279" s="868"/>
      <c r="P279" s="867"/>
      <c r="Q279" s="867"/>
    </row>
    <row r="280" spans="1:17" ht="18.95" customHeight="1">
      <c r="A280" s="869"/>
      <c r="B280" s="920"/>
      <c r="C280" s="876"/>
      <c r="D280" s="768"/>
      <c r="E280" s="868"/>
      <c r="F280" s="407"/>
      <c r="G280" s="868"/>
      <c r="H280" s="868"/>
      <c r="I280" s="867"/>
      <c r="J280" s="868"/>
      <c r="K280" s="868"/>
      <c r="L280" s="867"/>
      <c r="M280" s="867"/>
      <c r="N280" s="868"/>
      <c r="P280" s="868"/>
      <c r="Q280" s="867"/>
    </row>
    <row r="281" spans="1:17" ht="18.95" customHeight="1">
      <c r="A281" s="893"/>
      <c r="B281" s="921"/>
      <c r="C281" s="876"/>
      <c r="D281" s="768"/>
      <c r="E281" s="868"/>
      <c r="F281" s="874"/>
      <c r="G281" s="867"/>
      <c r="H281" s="867"/>
      <c r="I281" s="752"/>
      <c r="J281" s="867"/>
      <c r="K281" s="867"/>
      <c r="L281" s="517"/>
      <c r="M281" s="867"/>
      <c r="N281" s="868"/>
      <c r="P281" s="867"/>
      <c r="Q281" s="867"/>
    </row>
    <row r="282" spans="1:17" ht="18.95" customHeight="1">
      <c r="A282" s="892"/>
      <c r="B282" s="920"/>
      <c r="C282" s="876"/>
      <c r="D282" s="768"/>
      <c r="E282" s="868"/>
      <c r="F282" s="407"/>
      <c r="G282" s="867"/>
      <c r="H282" s="867"/>
      <c r="I282" s="867"/>
      <c r="J282" s="867"/>
      <c r="K282" s="867"/>
      <c r="L282" s="867"/>
      <c r="M282" s="867"/>
      <c r="N282" s="868"/>
      <c r="P282" s="867"/>
      <c r="Q282" s="867"/>
    </row>
    <row r="283" spans="1:17" ht="18.95" customHeight="1">
      <c r="A283" s="871"/>
      <c r="B283" s="921"/>
      <c r="C283" s="876"/>
      <c r="D283" s="768"/>
      <c r="E283" s="868"/>
      <c r="F283" s="874"/>
      <c r="G283" s="867"/>
      <c r="H283" s="867"/>
      <c r="I283" s="752"/>
      <c r="J283" s="867"/>
      <c r="K283" s="867"/>
      <c r="L283" s="517"/>
      <c r="M283" s="867"/>
      <c r="N283" s="868"/>
      <c r="P283" s="867"/>
      <c r="Q283" s="867"/>
    </row>
    <row r="284" spans="1:17" ht="18.95" customHeight="1">
      <c r="A284" s="869"/>
      <c r="B284" s="920"/>
      <c r="C284" s="876"/>
      <c r="D284" s="768"/>
      <c r="E284" s="752"/>
      <c r="F284" s="407"/>
      <c r="G284" s="867"/>
      <c r="H284" s="867"/>
      <c r="I284" s="867"/>
      <c r="J284" s="867"/>
      <c r="K284" s="867"/>
      <c r="L284" s="867"/>
      <c r="M284" s="867"/>
      <c r="N284" s="868"/>
      <c r="P284" s="867"/>
      <c r="Q284" s="867"/>
    </row>
    <row r="285" spans="1:17" ht="18.95" customHeight="1">
      <c r="A285" s="893"/>
      <c r="B285" s="921"/>
      <c r="C285" s="876"/>
      <c r="D285" s="768"/>
      <c r="E285" s="752"/>
      <c r="F285" s="874"/>
      <c r="G285" s="867"/>
      <c r="H285" s="867"/>
      <c r="I285" s="752"/>
      <c r="J285" s="867"/>
      <c r="K285" s="867"/>
      <c r="L285" s="517"/>
      <c r="M285" s="867"/>
      <c r="N285" s="868"/>
      <c r="P285" s="867"/>
      <c r="Q285" s="867"/>
    </row>
    <row r="286" spans="1:17" ht="18.95" customHeight="1">
      <c r="A286" s="871"/>
      <c r="B286" s="920"/>
      <c r="C286" s="876"/>
      <c r="D286" s="768"/>
      <c r="E286" s="752"/>
      <c r="F286" s="407"/>
      <c r="G286" s="867"/>
      <c r="H286" s="867"/>
      <c r="I286" s="867"/>
      <c r="J286" s="867"/>
      <c r="K286" s="867"/>
      <c r="L286" s="867"/>
      <c r="M286" s="867"/>
      <c r="N286" s="868"/>
      <c r="P286" s="867"/>
      <c r="Q286" s="867"/>
    </row>
    <row r="287" spans="1:17" ht="18.95" customHeight="1">
      <c r="A287" s="869"/>
      <c r="B287" s="921"/>
      <c r="C287" s="876"/>
      <c r="D287" s="768"/>
      <c r="E287" s="752"/>
      <c r="F287" s="874"/>
      <c r="G287" s="867"/>
      <c r="H287" s="867"/>
      <c r="I287" s="752"/>
      <c r="J287" s="867"/>
      <c r="K287" s="867"/>
      <c r="L287" s="517"/>
      <c r="M287" s="867"/>
      <c r="N287" s="868"/>
      <c r="P287" s="867"/>
      <c r="Q287" s="867"/>
    </row>
    <row r="288" spans="1:17" ht="18.95" customHeight="1">
      <c r="A288" s="893"/>
      <c r="B288" s="920"/>
      <c r="C288" s="876"/>
      <c r="D288" s="762"/>
      <c r="E288" s="868"/>
      <c r="F288" s="407"/>
      <c r="G288" s="867"/>
      <c r="H288" s="867"/>
      <c r="I288" s="867"/>
      <c r="J288" s="867"/>
      <c r="K288" s="867"/>
      <c r="L288" s="867"/>
      <c r="M288" s="867"/>
      <c r="N288" s="407"/>
      <c r="P288" s="867"/>
      <c r="Q288" s="867"/>
    </row>
    <row r="289" spans="1:17" ht="18.95" customHeight="1">
      <c r="A289" s="871"/>
      <c r="B289" s="921"/>
      <c r="C289" s="876"/>
      <c r="D289" s="762"/>
      <c r="E289" s="868"/>
      <c r="F289" s="874"/>
      <c r="G289" s="867"/>
      <c r="H289" s="867"/>
      <c r="I289" s="867"/>
      <c r="J289" s="867"/>
      <c r="K289" s="867"/>
      <c r="L289" s="867"/>
      <c r="M289" s="867"/>
      <c r="N289" s="407"/>
      <c r="P289" s="867"/>
      <c r="Q289" s="867"/>
    </row>
    <row r="290" spans="1:17" ht="18.95" customHeight="1">
      <c r="A290" s="892"/>
      <c r="B290" s="920"/>
      <c r="C290" s="876"/>
      <c r="D290" s="762"/>
      <c r="E290" s="868"/>
      <c r="F290" s="407"/>
      <c r="G290" s="867"/>
      <c r="H290" s="867"/>
      <c r="I290" s="867"/>
      <c r="J290" s="867"/>
      <c r="K290" s="867"/>
      <c r="L290" s="867"/>
      <c r="M290" s="867"/>
      <c r="N290" s="407"/>
      <c r="P290" s="867"/>
      <c r="Q290" s="867"/>
    </row>
    <row r="291" spans="1:17" ht="18.95" customHeight="1">
      <c r="A291" s="871"/>
      <c r="B291" s="921"/>
      <c r="C291" s="876"/>
      <c r="D291" s="762"/>
      <c r="E291" s="868"/>
      <c r="F291" s="874"/>
      <c r="G291" s="867"/>
      <c r="H291" s="867"/>
      <c r="I291" s="867"/>
      <c r="J291" s="867"/>
      <c r="K291" s="867"/>
      <c r="L291" s="867"/>
      <c r="M291" s="867"/>
      <c r="N291" s="407"/>
      <c r="P291" s="867"/>
      <c r="Q291" s="867"/>
    </row>
    <row r="292" spans="1:17" ht="18.95" customHeight="1">
      <c r="A292" s="869"/>
      <c r="B292" s="920"/>
      <c r="C292" s="876"/>
      <c r="D292" s="768"/>
      <c r="E292" s="868"/>
      <c r="F292" s="407"/>
      <c r="G292" s="867"/>
      <c r="H292" s="867"/>
      <c r="I292" s="867"/>
      <c r="J292" s="867"/>
      <c r="K292" s="867"/>
      <c r="L292" s="867"/>
      <c r="M292" s="867"/>
      <c r="N292" s="407"/>
      <c r="P292" s="867"/>
      <c r="Q292" s="867"/>
    </row>
    <row r="293" spans="1:17" ht="18.95" customHeight="1">
      <c r="A293" s="893"/>
      <c r="B293" s="921"/>
      <c r="C293" s="876"/>
      <c r="D293" s="768"/>
      <c r="E293" s="868"/>
      <c r="F293" s="874"/>
      <c r="G293" s="867"/>
      <c r="H293" s="867"/>
      <c r="I293" s="752"/>
      <c r="J293" s="867"/>
      <c r="K293" s="867"/>
      <c r="L293" s="517"/>
      <c r="M293" s="867"/>
      <c r="N293" s="407"/>
      <c r="P293" s="867"/>
      <c r="Q293" s="867"/>
    </row>
    <row r="294" spans="1:17" ht="18.95" customHeight="1">
      <c r="A294" s="871"/>
      <c r="B294" s="920"/>
      <c r="C294" s="876"/>
      <c r="D294" s="768"/>
      <c r="E294" s="868"/>
      <c r="F294" s="407"/>
      <c r="G294" s="867"/>
      <c r="H294" s="867"/>
      <c r="I294" s="867"/>
      <c r="J294" s="867"/>
      <c r="K294" s="867"/>
      <c r="L294" s="867"/>
      <c r="M294" s="867"/>
      <c r="N294" s="407"/>
      <c r="P294" s="867"/>
      <c r="Q294" s="867"/>
    </row>
    <row r="295" spans="1:17" ht="18.95" customHeight="1">
      <c r="A295" s="892"/>
      <c r="B295" s="921"/>
      <c r="C295" s="876"/>
      <c r="D295" s="768"/>
      <c r="E295" s="868"/>
      <c r="F295" s="874"/>
      <c r="G295" s="867"/>
      <c r="H295" s="867"/>
      <c r="I295" s="752"/>
      <c r="J295" s="867"/>
      <c r="K295" s="867"/>
      <c r="L295" s="867"/>
      <c r="M295" s="867"/>
      <c r="N295" s="407"/>
      <c r="P295" s="867"/>
      <c r="Q295" s="867"/>
    </row>
    <row r="296" spans="1:17" ht="18.95" customHeight="1">
      <c r="A296" s="871"/>
      <c r="B296" s="920"/>
      <c r="C296" s="876"/>
      <c r="D296" s="868"/>
      <c r="E296" s="868"/>
      <c r="F296" s="407"/>
      <c r="G296" s="867"/>
      <c r="H296" s="867"/>
      <c r="I296" s="867"/>
      <c r="J296" s="867"/>
      <c r="K296" s="867"/>
      <c r="L296" s="867"/>
      <c r="M296" s="867"/>
      <c r="N296" s="407"/>
      <c r="P296" s="867"/>
      <c r="Q296" s="867"/>
    </row>
    <row r="297" spans="1:17" ht="18.95" customHeight="1">
      <c r="A297" s="871"/>
      <c r="B297" s="921"/>
      <c r="C297" s="876"/>
      <c r="D297" s="868"/>
      <c r="E297" s="868"/>
      <c r="F297" s="874"/>
      <c r="G297" s="867"/>
      <c r="H297" s="867"/>
      <c r="I297" s="752"/>
      <c r="J297" s="867"/>
      <c r="K297" s="867"/>
      <c r="L297" s="517"/>
      <c r="M297" s="867"/>
      <c r="N297" s="407"/>
      <c r="P297" s="867"/>
      <c r="Q297" s="867"/>
    </row>
    <row r="298" spans="1:17" ht="18.95" customHeight="1">
      <c r="A298" s="869"/>
      <c r="B298" s="920"/>
      <c r="C298" s="876"/>
      <c r="D298" s="768"/>
      <c r="E298" s="868"/>
      <c r="F298" s="407"/>
      <c r="G298" s="867"/>
      <c r="H298" s="867"/>
      <c r="I298" s="867"/>
      <c r="J298" s="867"/>
      <c r="K298" s="867"/>
      <c r="L298" s="867"/>
      <c r="M298" s="867"/>
      <c r="N298" s="407"/>
      <c r="P298" s="867"/>
      <c r="Q298" s="867"/>
    </row>
    <row r="299" spans="1:17" ht="18.95" customHeight="1">
      <c r="A299" s="893"/>
      <c r="B299" s="921"/>
      <c r="C299" s="876"/>
      <c r="D299" s="768"/>
      <c r="E299" s="868"/>
      <c r="F299" s="874"/>
      <c r="G299" s="867"/>
      <c r="H299" s="867"/>
      <c r="I299" s="752"/>
      <c r="J299" s="867"/>
      <c r="K299" s="867"/>
      <c r="L299" s="517"/>
      <c r="M299" s="867"/>
      <c r="N299" s="407"/>
      <c r="P299" s="867"/>
      <c r="Q299" s="867"/>
    </row>
    <row r="300" spans="1:17" ht="18.95" customHeight="1">
      <c r="A300" s="871"/>
      <c r="B300" s="920"/>
      <c r="C300" s="876"/>
      <c r="D300" s="768"/>
      <c r="E300" s="752"/>
      <c r="F300" s="407"/>
      <c r="G300" s="867"/>
      <c r="H300" s="867"/>
      <c r="I300" s="867"/>
      <c r="J300" s="867"/>
      <c r="K300" s="867"/>
      <c r="L300" s="867"/>
      <c r="M300" s="867"/>
      <c r="N300" s="407"/>
      <c r="P300" s="867"/>
      <c r="Q300" s="867"/>
    </row>
    <row r="301" spans="1:17" ht="18.95" customHeight="1">
      <c r="A301" s="892"/>
      <c r="B301" s="921"/>
      <c r="C301" s="876"/>
      <c r="D301" s="768"/>
      <c r="E301" s="752"/>
      <c r="F301" s="874"/>
      <c r="G301" s="867"/>
      <c r="H301" s="867"/>
      <c r="I301" s="752"/>
      <c r="J301" s="867"/>
      <c r="K301" s="867"/>
      <c r="L301" s="517"/>
      <c r="M301" s="867"/>
      <c r="N301" s="407"/>
      <c r="P301" s="867"/>
      <c r="Q301" s="867"/>
    </row>
    <row r="302" spans="1:17" ht="18.95" customHeight="1">
      <c r="A302" s="871"/>
      <c r="B302" s="920"/>
      <c r="C302" s="876"/>
      <c r="D302" s="868"/>
      <c r="E302" s="752"/>
      <c r="F302" s="407"/>
      <c r="G302" s="867"/>
      <c r="H302" s="867"/>
      <c r="I302" s="867"/>
      <c r="J302" s="867"/>
      <c r="K302" s="867"/>
      <c r="L302" s="867"/>
      <c r="M302" s="867"/>
      <c r="N302" s="407"/>
      <c r="P302" s="867"/>
      <c r="Q302" s="867"/>
    </row>
    <row r="303" spans="1:17" ht="18.95" customHeight="1">
      <c r="A303" s="869"/>
      <c r="B303" s="921"/>
      <c r="C303" s="876"/>
      <c r="D303" s="868"/>
      <c r="E303" s="752"/>
      <c r="F303" s="874"/>
      <c r="G303" s="867"/>
      <c r="H303" s="867"/>
      <c r="I303" s="752"/>
      <c r="J303" s="867"/>
      <c r="K303" s="867"/>
      <c r="L303" s="517"/>
      <c r="M303" s="867"/>
      <c r="N303" s="407"/>
    </row>
    <row r="304" spans="1:17" ht="18.95" customHeight="1">
      <c r="A304" s="926"/>
      <c r="B304" s="921"/>
      <c r="C304" s="876"/>
      <c r="D304" s="868"/>
      <c r="E304" s="752"/>
      <c r="F304" s="407"/>
      <c r="G304" s="867"/>
      <c r="H304" s="867"/>
      <c r="I304" s="867"/>
      <c r="J304" s="867"/>
      <c r="K304" s="867"/>
      <c r="L304" s="867"/>
      <c r="M304" s="867"/>
      <c r="N304" s="407"/>
    </row>
    <row r="305" spans="1:14" ht="18.95" customHeight="1">
      <c r="A305" s="869"/>
      <c r="B305" s="921"/>
      <c r="C305" s="876"/>
      <c r="D305" s="868"/>
      <c r="E305" s="752"/>
      <c r="F305" s="874"/>
      <c r="G305" s="867"/>
      <c r="H305" s="867"/>
      <c r="I305" s="752"/>
      <c r="J305" s="867"/>
      <c r="K305" s="867"/>
      <c r="L305" s="517"/>
      <c r="M305" s="867"/>
      <c r="N305" s="407"/>
    </row>
    <row r="306" spans="1:14" ht="18.95" customHeight="1">
      <c r="A306" s="869"/>
      <c r="B306" s="921"/>
      <c r="C306" s="876"/>
      <c r="D306" s="868"/>
      <c r="E306" s="752"/>
      <c r="F306" s="407"/>
      <c r="G306" s="867"/>
      <c r="H306" s="867"/>
      <c r="I306" s="867"/>
      <c r="J306" s="867"/>
      <c r="K306" s="867"/>
      <c r="L306" s="867"/>
      <c r="M306" s="867"/>
      <c r="N306" s="407"/>
    </row>
    <row r="307" spans="1:14" ht="18.95" customHeight="1">
      <c r="A307" s="893"/>
      <c r="B307" s="895"/>
      <c r="C307" s="762"/>
      <c r="D307" s="768"/>
      <c r="E307" s="868"/>
      <c r="F307" s="407"/>
      <c r="G307" s="867"/>
      <c r="H307" s="867"/>
      <c r="I307" s="867"/>
      <c r="J307" s="867"/>
      <c r="K307" s="867"/>
      <c r="L307" s="867"/>
      <c r="M307" s="867"/>
      <c r="N307" s="407"/>
    </row>
    <row r="308" spans="1:14" ht="18.95" customHeight="1">
      <c r="A308" s="893"/>
      <c r="B308" s="895"/>
      <c r="C308" s="762"/>
      <c r="D308" s="768"/>
      <c r="E308" s="752"/>
      <c r="F308" s="874"/>
      <c r="G308" s="867"/>
      <c r="H308" s="867"/>
      <c r="I308" s="752"/>
      <c r="J308" s="867"/>
      <c r="K308" s="867"/>
      <c r="L308" s="517"/>
      <c r="M308" s="867"/>
      <c r="N308" s="407"/>
    </row>
    <row r="309" spans="1:14" ht="18.95" customHeight="1">
      <c r="A309" s="869"/>
      <c r="B309" s="895"/>
      <c r="C309" s="762"/>
      <c r="D309" s="768"/>
      <c r="E309" s="868"/>
      <c r="F309" s="407"/>
      <c r="G309" s="867"/>
      <c r="H309" s="867"/>
      <c r="I309" s="867"/>
      <c r="J309" s="867"/>
      <c r="K309" s="867"/>
      <c r="L309" s="867"/>
      <c r="M309" s="867"/>
      <c r="N309" s="407"/>
    </row>
    <row r="310" spans="1:14" ht="18.95" customHeight="1">
      <c r="A310" s="893"/>
      <c r="B310" s="895"/>
      <c r="C310" s="762"/>
      <c r="D310" s="768"/>
      <c r="E310" s="868"/>
      <c r="F310" s="407"/>
      <c r="G310" s="867"/>
      <c r="H310" s="867"/>
      <c r="I310" s="867"/>
      <c r="J310" s="867"/>
      <c r="K310" s="867"/>
      <c r="L310" s="867"/>
      <c r="M310" s="867"/>
      <c r="N310" s="407"/>
    </row>
    <row r="311" spans="1:14" ht="18.95" customHeight="1">
      <c r="A311" s="893"/>
      <c r="B311" s="895"/>
      <c r="C311" s="762"/>
      <c r="D311" s="876"/>
      <c r="E311" s="868"/>
      <c r="F311" s="407"/>
      <c r="G311" s="867"/>
      <c r="H311" s="867"/>
      <c r="I311" s="867"/>
      <c r="J311" s="867"/>
      <c r="K311" s="867"/>
      <c r="L311" s="867"/>
      <c r="M311" s="867"/>
      <c r="N311" s="407"/>
    </row>
    <row r="312" spans="1:14" ht="18.95" customHeight="1">
      <c r="A312" s="869"/>
      <c r="B312" s="895"/>
      <c r="C312" s="762"/>
      <c r="D312" s="876"/>
      <c r="E312" s="868"/>
      <c r="F312" s="407"/>
      <c r="G312" s="867"/>
      <c r="H312" s="867"/>
      <c r="I312" s="867"/>
      <c r="J312" s="867"/>
      <c r="K312" s="867"/>
      <c r="L312" s="867"/>
      <c r="M312" s="867"/>
      <c r="N312" s="407"/>
    </row>
    <row r="313" spans="1:14" ht="18.95" customHeight="1">
      <c r="A313" s="869"/>
      <c r="B313" s="895"/>
      <c r="C313" s="927"/>
      <c r="D313" s="762"/>
      <c r="E313" s="868"/>
      <c r="F313" s="874"/>
      <c r="G313" s="867"/>
      <c r="H313" s="867"/>
      <c r="I313" s="752"/>
      <c r="J313" s="867"/>
      <c r="K313" s="867"/>
      <c r="L313" s="517"/>
      <c r="M313" s="867"/>
      <c r="N313" s="407"/>
    </row>
    <row r="314" spans="1:14" ht="18.95" customHeight="1">
      <c r="A314" s="869"/>
      <c r="B314" s="895"/>
      <c r="C314" s="876"/>
      <c r="D314" s="762"/>
      <c r="E314" s="868"/>
      <c r="F314" s="407"/>
      <c r="G314" s="867"/>
      <c r="H314" s="867"/>
      <c r="I314" s="867"/>
      <c r="J314" s="867"/>
      <c r="K314" s="867"/>
      <c r="L314" s="867"/>
      <c r="M314" s="867"/>
      <c r="N314" s="407"/>
    </row>
    <row r="315" spans="1:14" ht="18.95" customHeight="1">
      <c r="A315" s="893"/>
      <c r="B315" s="895"/>
      <c r="C315" s="762"/>
      <c r="D315" s="768"/>
      <c r="E315" s="868"/>
      <c r="F315" s="407"/>
      <c r="G315" s="867"/>
      <c r="H315" s="867"/>
      <c r="I315" s="867"/>
      <c r="J315" s="867"/>
      <c r="K315" s="867"/>
      <c r="L315" s="867"/>
      <c r="M315" s="867"/>
      <c r="N315" s="868"/>
    </row>
    <row r="316" spans="1:14" ht="18.95" customHeight="1">
      <c r="A316" s="869"/>
      <c r="B316" s="895"/>
      <c r="C316" s="762"/>
      <c r="D316" s="768"/>
      <c r="E316" s="868"/>
      <c r="F316" s="407"/>
      <c r="G316" s="867"/>
      <c r="H316" s="867"/>
      <c r="I316" s="867"/>
      <c r="J316" s="867"/>
      <c r="K316" s="867"/>
      <c r="L316" s="867"/>
      <c r="M316" s="867"/>
      <c r="N316" s="407"/>
    </row>
    <row r="317" spans="1:14" ht="18.95" customHeight="1">
      <c r="A317" s="869"/>
      <c r="B317" s="895"/>
      <c r="C317" s="762"/>
      <c r="D317" s="876"/>
      <c r="E317" s="868"/>
      <c r="F317" s="407"/>
      <c r="G317" s="867"/>
      <c r="H317" s="867"/>
      <c r="I317" s="867"/>
      <c r="J317" s="867"/>
      <c r="K317" s="867"/>
      <c r="L317" s="867"/>
      <c r="M317" s="867"/>
      <c r="N317" s="407"/>
    </row>
    <row r="318" spans="1:14" ht="18.95" customHeight="1">
      <c r="A318" s="893"/>
      <c r="B318" s="895"/>
      <c r="C318" s="762"/>
      <c r="D318" s="768"/>
      <c r="E318" s="868"/>
      <c r="F318" s="407"/>
      <c r="G318" s="867"/>
      <c r="H318" s="867"/>
      <c r="I318" s="867"/>
      <c r="J318" s="867"/>
      <c r="K318" s="867"/>
      <c r="L318" s="867"/>
      <c r="M318" s="867"/>
      <c r="N318" s="407"/>
    </row>
    <row r="319" spans="1:14" ht="18.95" customHeight="1">
      <c r="A319" s="893"/>
      <c r="B319" s="895"/>
      <c r="C319" s="876"/>
      <c r="D319" s="762"/>
      <c r="E319" s="752"/>
      <c r="F319" s="874"/>
      <c r="G319" s="867"/>
      <c r="H319" s="867"/>
      <c r="I319" s="752"/>
      <c r="J319" s="867"/>
      <c r="K319" s="867"/>
      <c r="L319" s="517"/>
      <c r="M319" s="867"/>
      <c r="N319" s="407"/>
    </row>
    <row r="320" spans="1:14" ht="18.95" customHeight="1">
      <c r="A320" s="871"/>
      <c r="B320" s="895"/>
      <c r="C320" s="762"/>
      <c r="D320" s="768"/>
      <c r="E320" s="752"/>
      <c r="F320" s="407"/>
      <c r="G320" s="867"/>
      <c r="H320" s="867"/>
      <c r="I320" s="867"/>
      <c r="J320" s="867"/>
      <c r="K320" s="867"/>
      <c r="L320" s="867"/>
      <c r="M320" s="867"/>
      <c r="N320" s="407"/>
    </row>
    <row r="321" spans="1:14" ht="18.95" customHeight="1">
      <c r="A321" s="871"/>
      <c r="B321" s="895"/>
      <c r="C321" s="876"/>
      <c r="D321" s="768"/>
      <c r="E321" s="752"/>
      <c r="F321" s="874"/>
      <c r="G321" s="867"/>
      <c r="H321" s="867"/>
      <c r="I321" s="867"/>
      <c r="J321" s="867"/>
      <c r="K321" s="867"/>
      <c r="L321" s="867"/>
      <c r="M321" s="867"/>
      <c r="N321" s="407"/>
    </row>
    <row r="322" spans="1:14" ht="18.95" customHeight="1">
      <c r="A322" s="893"/>
      <c r="B322" s="895"/>
      <c r="C322" s="762"/>
      <c r="D322" s="768"/>
      <c r="E322" s="752"/>
      <c r="F322" s="407"/>
      <c r="G322" s="867"/>
      <c r="H322" s="867"/>
      <c r="I322" s="867"/>
      <c r="J322" s="867"/>
      <c r="K322" s="867"/>
      <c r="L322" s="867"/>
      <c r="M322" s="867"/>
      <c r="N322" s="407"/>
    </row>
    <row r="323" spans="1:14" ht="18.95" customHeight="1">
      <c r="A323" s="893"/>
      <c r="B323" s="895"/>
      <c r="C323" s="876"/>
      <c r="D323" s="762"/>
      <c r="E323" s="752"/>
      <c r="F323" s="874"/>
      <c r="G323" s="867"/>
      <c r="H323" s="867"/>
      <c r="I323" s="867"/>
      <c r="J323" s="867"/>
      <c r="K323" s="867"/>
      <c r="L323" s="867"/>
      <c r="M323" s="867"/>
      <c r="N323" s="407"/>
    </row>
    <row r="324" spans="1:14" ht="18.95" customHeight="1">
      <c r="A324" s="871"/>
      <c r="B324" s="895"/>
      <c r="C324" s="762"/>
      <c r="D324" s="768"/>
      <c r="E324" s="752"/>
      <c r="F324" s="407"/>
      <c r="G324" s="867"/>
      <c r="H324" s="867"/>
      <c r="I324" s="867"/>
      <c r="J324" s="867"/>
      <c r="K324" s="867"/>
      <c r="L324" s="867"/>
      <c r="M324" s="867"/>
      <c r="N324" s="407"/>
    </row>
    <row r="325" spans="1:14" ht="18.95" customHeight="1">
      <c r="A325" s="869"/>
      <c r="B325" s="895"/>
      <c r="C325" s="876"/>
      <c r="D325" s="768"/>
      <c r="E325" s="752"/>
      <c r="F325" s="874"/>
      <c r="G325" s="867"/>
      <c r="H325" s="867"/>
      <c r="I325" s="867"/>
      <c r="J325" s="867"/>
      <c r="K325" s="867"/>
      <c r="L325" s="867"/>
      <c r="M325" s="867"/>
      <c r="N325" s="407"/>
    </row>
    <row r="326" spans="1:14" ht="18.95" customHeight="1">
      <c r="A326" s="869"/>
      <c r="B326" s="895"/>
      <c r="C326" s="762"/>
      <c r="D326" s="768"/>
      <c r="E326" s="752"/>
      <c r="F326" s="407"/>
      <c r="G326" s="867"/>
      <c r="H326" s="867"/>
      <c r="I326" s="867"/>
      <c r="J326" s="867"/>
      <c r="K326" s="867"/>
      <c r="L326" s="867"/>
      <c r="M326" s="867"/>
      <c r="N326" s="407"/>
    </row>
    <row r="327" spans="1:14" ht="18.95" customHeight="1">
      <c r="A327" s="871"/>
      <c r="B327" s="895"/>
      <c r="C327" s="762"/>
      <c r="D327" s="762"/>
      <c r="E327" s="752"/>
      <c r="F327" s="874"/>
      <c r="G327" s="867"/>
      <c r="H327" s="867"/>
      <c r="I327" s="752"/>
      <c r="J327" s="867"/>
      <c r="K327" s="867"/>
      <c r="L327" s="517"/>
      <c r="M327" s="867"/>
      <c r="N327" s="407"/>
    </row>
    <row r="328" spans="1:14" ht="18.95" customHeight="1">
      <c r="A328" s="869"/>
      <c r="B328" s="895"/>
      <c r="C328" s="762"/>
      <c r="D328" s="768"/>
      <c r="E328" s="868"/>
      <c r="F328" s="874"/>
      <c r="G328" s="867"/>
      <c r="H328" s="867"/>
      <c r="I328" s="867"/>
      <c r="J328" s="867"/>
      <c r="K328" s="867"/>
      <c r="L328" s="867"/>
      <c r="M328" s="867"/>
      <c r="N328" s="407"/>
    </row>
    <row r="329" spans="1:14" ht="18.95" customHeight="1">
      <c r="A329" s="871"/>
      <c r="B329" s="895"/>
      <c r="C329" s="762"/>
      <c r="D329" s="762"/>
      <c r="E329" s="752"/>
      <c r="F329" s="874"/>
      <c r="G329" s="867"/>
      <c r="H329" s="867"/>
      <c r="I329" s="752"/>
      <c r="J329" s="867"/>
      <c r="K329" s="867"/>
      <c r="L329" s="517"/>
      <c r="M329" s="867"/>
      <c r="N329" s="407"/>
    </row>
    <row r="330" spans="1:14" ht="18.95" customHeight="1">
      <c r="A330" s="869"/>
      <c r="B330" s="895"/>
      <c r="C330" s="762"/>
      <c r="E330" s="868"/>
      <c r="F330" s="874"/>
      <c r="G330" s="868"/>
      <c r="H330" s="868"/>
      <c r="I330" s="868"/>
      <c r="J330" s="868"/>
      <c r="K330" s="868"/>
      <c r="L330" s="868"/>
      <c r="M330" s="868"/>
      <c r="N330" s="407"/>
    </row>
    <row r="331" spans="1:14" ht="18.95" customHeight="1">
      <c r="A331" s="869"/>
      <c r="E331" s="752"/>
      <c r="F331" s="407"/>
      <c r="G331" s="752"/>
      <c r="H331" s="752"/>
      <c r="I331" s="752"/>
      <c r="J331" s="882"/>
      <c r="K331" s="882"/>
      <c r="L331" s="870"/>
      <c r="M331" s="882"/>
      <c r="N331" s="407"/>
    </row>
    <row r="332" spans="1:14" ht="18.95" customHeight="1">
      <c r="A332" s="893"/>
      <c r="B332" s="895"/>
      <c r="C332" s="885"/>
      <c r="D332" s="886"/>
      <c r="E332" s="868"/>
      <c r="F332" s="874"/>
      <c r="G332" s="867"/>
      <c r="H332" s="867"/>
      <c r="I332" s="867"/>
      <c r="J332" s="867"/>
      <c r="K332" s="867"/>
      <c r="L332" s="867"/>
      <c r="M332" s="867"/>
      <c r="N332" s="407"/>
    </row>
    <row r="333" spans="1:14" ht="18.95" customHeight="1">
      <c r="A333" s="871"/>
      <c r="B333" s="895"/>
      <c r="E333" s="752"/>
      <c r="F333" s="407"/>
      <c r="G333" s="752"/>
      <c r="H333" s="752"/>
      <c r="I333" s="752"/>
      <c r="J333" s="882"/>
      <c r="K333" s="882"/>
      <c r="L333" s="870"/>
      <c r="M333" s="882"/>
      <c r="N333" s="407"/>
    </row>
    <row r="334" spans="1:14" ht="18.95" customHeight="1">
      <c r="A334" s="869"/>
      <c r="B334" s="895"/>
      <c r="C334" s="919"/>
      <c r="D334" s="886"/>
      <c r="E334" s="752"/>
      <c r="F334" s="874"/>
      <c r="G334" s="928"/>
      <c r="H334" s="928"/>
      <c r="I334" s="752"/>
      <c r="J334" s="928"/>
      <c r="K334" s="928"/>
      <c r="L334" s="517"/>
      <c r="M334" s="928"/>
      <c r="N334" s="868"/>
    </row>
    <row r="335" spans="1:14" ht="18.95" customHeight="1">
      <c r="A335" s="871"/>
      <c r="B335" s="895"/>
      <c r="C335" s="919"/>
      <c r="D335" s="876"/>
      <c r="E335" s="868"/>
      <c r="F335" s="874"/>
      <c r="G335" s="928"/>
      <c r="H335" s="928"/>
      <c r="I335" s="928"/>
      <c r="J335" s="928"/>
      <c r="K335" s="928"/>
      <c r="L335" s="928"/>
      <c r="M335" s="928"/>
      <c r="N335" s="407"/>
    </row>
    <row r="336" spans="1:14" ht="18.95" customHeight="1">
      <c r="A336" s="893"/>
      <c r="B336" s="895"/>
      <c r="C336" s="876"/>
      <c r="D336" s="886"/>
      <c r="E336" s="752"/>
      <c r="F336" s="874"/>
      <c r="G336" s="928"/>
      <c r="H336" s="928"/>
      <c r="I336" s="752"/>
      <c r="J336" s="928"/>
      <c r="K336" s="928"/>
      <c r="L336" s="517"/>
      <c r="M336" s="928"/>
      <c r="N336" s="868"/>
    </row>
    <row r="337" spans="1:14" ht="18.95" customHeight="1">
      <c r="A337" s="869"/>
      <c r="B337" s="895"/>
      <c r="D337" s="876"/>
      <c r="E337" s="868"/>
      <c r="F337" s="874"/>
      <c r="G337" s="868"/>
      <c r="H337" s="868"/>
      <c r="I337" s="867"/>
      <c r="J337" s="868"/>
      <c r="K337" s="868"/>
      <c r="L337" s="867"/>
      <c r="M337" s="867"/>
      <c r="N337" s="407"/>
    </row>
    <row r="338" spans="1:14" ht="18.95" customHeight="1">
      <c r="A338" s="869"/>
      <c r="B338" s="895"/>
      <c r="D338" s="886"/>
      <c r="E338" s="752"/>
      <c r="F338" s="874"/>
      <c r="G338" s="928"/>
      <c r="H338" s="928"/>
      <c r="I338" s="752"/>
      <c r="J338" s="928"/>
      <c r="K338" s="928"/>
      <c r="L338" s="517"/>
      <c r="M338" s="928"/>
      <c r="N338" s="868"/>
    </row>
    <row r="339" spans="1:14" ht="18.95" customHeight="1">
      <c r="A339" s="869"/>
      <c r="B339" s="895"/>
      <c r="C339" s="885"/>
      <c r="D339" s="876"/>
      <c r="E339" s="868"/>
      <c r="F339" s="874"/>
      <c r="G339" s="868"/>
      <c r="H339" s="868"/>
      <c r="I339" s="867"/>
      <c r="J339" s="868"/>
      <c r="K339" s="868"/>
      <c r="L339" s="867"/>
      <c r="M339" s="867"/>
      <c r="N339" s="407"/>
    </row>
    <row r="340" spans="1:14" ht="18.95" customHeight="1">
      <c r="A340" s="869"/>
      <c r="B340" s="895"/>
      <c r="C340" s="927"/>
      <c r="D340" s="929"/>
      <c r="E340" s="752"/>
      <c r="F340" s="874"/>
      <c r="G340" s="928"/>
      <c r="H340" s="928"/>
      <c r="I340" s="752"/>
      <c r="J340" s="928"/>
      <c r="K340" s="928"/>
      <c r="L340" s="517"/>
      <c r="M340" s="928"/>
      <c r="N340" s="868"/>
    </row>
    <row r="341" spans="1:14" ht="18.95" customHeight="1">
      <c r="A341" s="869"/>
      <c r="B341" s="895"/>
      <c r="C341" s="927"/>
      <c r="D341" s="768"/>
      <c r="E341" s="868"/>
      <c r="F341" s="874"/>
      <c r="G341" s="928"/>
      <c r="H341" s="928"/>
      <c r="I341" s="928"/>
      <c r="J341" s="928"/>
      <c r="K341" s="928"/>
      <c r="L341" s="928"/>
      <c r="M341" s="928"/>
      <c r="N341" s="407"/>
    </row>
    <row r="342" spans="1:14" ht="18.95" customHeight="1">
      <c r="A342" s="869"/>
      <c r="B342" s="895"/>
      <c r="C342" s="927"/>
      <c r="D342" s="876"/>
      <c r="E342" s="752"/>
      <c r="F342" s="874"/>
      <c r="G342" s="928"/>
      <c r="H342" s="928"/>
      <c r="I342" s="752"/>
      <c r="J342" s="928"/>
      <c r="K342" s="928"/>
      <c r="L342" s="517"/>
      <c r="M342" s="928"/>
      <c r="N342" s="407"/>
    </row>
    <row r="343" spans="1:14" ht="18.95" customHeight="1">
      <c r="A343" s="869"/>
      <c r="B343" s="895"/>
      <c r="C343" s="927"/>
      <c r="D343" s="768"/>
      <c r="E343" s="868"/>
      <c r="F343" s="874"/>
      <c r="G343" s="868"/>
      <c r="H343" s="868"/>
      <c r="I343" s="928"/>
      <c r="J343" s="868"/>
      <c r="K343" s="868"/>
      <c r="L343" s="928"/>
      <c r="M343" s="928"/>
      <c r="N343" s="407"/>
    </row>
    <row r="344" spans="1:14" ht="18.95" customHeight="1">
      <c r="A344" s="871"/>
      <c r="B344" s="895"/>
      <c r="C344" s="927"/>
      <c r="D344" s="876"/>
      <c r="E344" s="752"/>
      <c r="F344" s="874"/>
      <c r="G344" s="928"/>
      <c r="H344" s="928"/>
      <c r="I344" s="752"/>
      <c r="J344" s="928"/>
      <c r="K344" s="928"/>
      <c r="L344" s="517"/>
      <c r="M344" s="928"/>
      <c r="N344" s="868"/>
    </row>
    <row r="345" spans="1:14" ht="18.95" customHeight="1">
      <c r="A345" s="893"/>
      <c r="B345" s="895"/>
      <c r="C345" s="927"/>
      <c r="D345" s="768"/>
      <c r="E345" s="868"/>
      <c r="F345" s="874"/>
      <c r="G345" s="868"/>
      <c r="H345" s="868"/>
      <c r="I345" s="928"/>
      <c r="J345" s="868"/>
      <c r="K345" s="868"/>
      <c r="L345" s="928"/>
      <c r="M345" s="928"/>
      <c r="N345" s="407"/>
    </row>
    <row r="346" spans="1:14" ht="18.95" customHeight="1">
      <c r="A346" s="869"/>
      <c r="B346" s="895"/>
      <c r="C346" s="919"/>
      <c r="D346" s="876"/>
      <c r="E346" s="752"/>
      <c r="F346" s="874"/>
      <c r="G346" s="928"/>
      <c r="H346" s="928"/>
      <c r="I346" s="752"/>
      <c r="J346" s="928"/>
      <c r="K346" s="928"/>
      <c r="L346" s="517"/>
      <c r="M346" s="928"/>
      <c r="N346" s="868"/>
    </row>
    <row r="347" spans="1:14" ht="18.95" customHeight="1">
      <c r="A347" s="869"/>
      <c r="B347" s="1418"/>
      <c r="C347" s="1418"/>
      <c r="D347" s="1418"/>
      <c r="E347" s="868"/>
      <c r="F347" s="874"/>
      <c r="G347" s="868"/>
      <c r="H347" s="868"/>
      <c r="I347" s="928"/>
      <c r="J347" s="868"/>
      <c r="K347" s="868"/>
      <c r="L347" s="928"/>
      <c r="M347" s="930"/>
      <c r="N347" s="407"/>
    </row>
    <row r="348" spans="1:14" ht="18.95" customHeight="1">
      <c r="A348" s="871"/>
      <c r="B348" s="895"/>
      <c r="C348" s="919"/>
      <c r="D348" s="876"/>
      <c r="E348" s="752"/>
      <c r="F348" s="874"/>
      <c r="G348" s="928"/>
      <c r="H348" s="928"/>
      <c r="I348" s="752"/>
      <c r="J348" s="928"/>
      <c r="K348" s="928"/>
      <c r="L348" s="517"/>
      <c r="M348" s="928"/>
      <c r="N348" s="868"/>
    </row>
    <row r="349" spans="1:14" ht="18.95" customHeight="1">
      <c r="A349" s="893"/>
      <c r="B349" s="895"/>
      <c r="C349" s="876"/>
      <c r="D349" s="768"/>
      <c r="E349" s="868"/>
      <c r="F349" s="874"/>
      <c r="G349" s="868"/>
      <c r="H349" s="868"/>
      <c r="I349" s="928"/>
      <c r="J349" s="868"/>
      <c r="K349" s="868"/>
      <c r="L349" s="928"/>
      <c r="M349" s="928"/>
      <c r="N349" s="407"/>
    </row>
    <row r="350" spans="1:14" ht="18.95" customHeight="1">
      <c r="A350" s="869"/>
      <c r="B350" s="895"/>
      <c r="D350" s="876"/>
      <c r="E350" s="752"/>
      <c r="F350" s="874"/>
      <c r="G350" s="928"/>
      <c r="H350" s="928"/>
      <c r="I350" s="752"/>
      <c r="J350" s="928"/>
      <c r="K350" s="928"/>
      <c r="L350" s="517"/>
      <c r="M350" s="928"/>
      <c r="N350" s="868"/>
    </row>
    <row r="351" spans="1:14" ht="18.95" customHeight="1">
      <c r="A351" s="869"/>
      <c r="B351" s="895"/>
      <c r="D351" s="768"/>
      <c r="E351" s="868"/>
      <c r="F351" s="874"/>
      <c r="G351" s="868"/>
      <c r="H351" s="868"/>
      <c r="I351" s="928"/>
      <c r="J351" s="868"/>
      <c r="K351" s="868"/>
      <c r="L351" s="928"/>
      <c r="M351" s="928"/>
      <c r="N351" s="407"/>
    </row>
    <row r="352" spans="1:14" ht="18.95" customHeight="1">
      <c r="A352" s="869"/>
      <c r="B352" s="895"/>
      <c r="C352" s="885"/>
      <c r="D352" s="762"/>
      <c r="E352" s="752"/>
      <c r="F352" s="874"/>
      <c r="G352" s="928"/>
      <c r="H352" s="928"/>
      <c r="I352" s="752"/>
      <c r="J352" s="928"/>
      <c r="K352" s="928"/>
      <c r="L352" s="517"/>
      <c r="M352" s="928"/>
      <c r="N352" s="868"/>
    </row>
    <row r="353" spans="1:16" ht="18.95" customHeight="1">
      <c r="A353" s="869"/>
      <c r="B353" s="895"/>
      <c r="C353" s="927"/>
      <c r="D353" s="762"/>
      <c r="E353" s="868"/>
      <c r="F353" s="874"/>
      <c r="G353" s="928"/>
      <c r="H353" s="928"/>
      <c r="I353" s="928"/>
      <c r="J353" s="928"/>
      <c r="K353" s="928"/>
      <c r="L353" s="928"/>
      <c r="M353" s="928"/>
      <c r="N353" s="407"/>
    </row>
    <row r="354" spans="1:16" ht="18.95" customHeight="1">
      <c r="A354" s="869"/>
      <c r="B354" s="895"/>
      <c r="C354" s="927"/>
      <c r="D354" s="768"/>
      <c r="E354" s="868"/>
      <c r="F354" s="874"/>
      <c r="G354" s="868"/>
      <c r="H354" s="868"/>
      <c r="I354" s="928"/>
      <c r="J354" s="868"/>
      <c r="K354" s="868"/>
      <c r="L354" s="928"/>
      <c r="M354" s="928"/>
      <c r="N354" s="407"/>
    </row>
    <row r="355" spans="1:16" ht="18.95" customHeight="1">
      <c r="A355" s="869"/>
      <c r="B355" s="895"/>
      <c r="C355" s="927"/>
      <c r="D355" s="876"/>
      <c r="E355" s="752"/>
      <c r="F355" s="874"/>
      <c r="G355" s="928"/>
      <c r="H355" s="928"/>
      <c r="I355" s="752"/>
      <c r="J355" s="928"/>
      <c r="K355" s="928"/>
      <c r="L355" s="517"/>
      <c r="M355" s="928"/>
      <c r="N355" s="868"/>
    </row>
    <row r="356" spans="1:16" ht="18.95" customHeight="1">
      <c r="A356" s="871"/>
      <c r="B356" s="895"/>
      <c r="C356" s="927"/>
      <c r="D356" s="768"/>
      <c r="E356" s="868"/>
      <c r="F356" s="874"/>
      <c r="G356" s="560"/>
      <c r="H356" s="560"/>
      <c r="I356" s="931"/>
      <c r="J356" s="560"/>
      <c r="K356" s="560"/>
      <c r="L356" s="931"/>
      <c r="M356" s="931"/>
      <c r="N356" s="868"/>
    </row>
    <row r="357" spans="1:16" ht="18.95" customHeight="1">
      <c r="A357" s="893"/>
      <c r="B357" s="895"/>
      <c r="C357" s="927"/>
      <c r="D357" s="876"/>
      <c r="E357" s="752"/>
      <c r="F357" s="874"/>
      <c r="G357" s="928"/>
      <c r="H357" s="928"/>
      <c r="I357" s="752"/>
      <c r="J357" s="928"/>
      <c r="K357" s="928"/>
      <c r="L357" s="517"/>
      <c r="M357" s="928"/>
      <c r="N357" s="868"/>
    </row>
    <row r="358" spans="1:16" ht="18.95" customHeight="1">
      <c r="A358" s="892"/>
      <c r="B358" s="878"/>
      <c r="C358" s="927"/>
      <c r="D358" s="768"/>
      <c r="E358" s="868"/>
      <c r="F358" s="874"/>
      <c r="G358" s="560"/>
      <c r="H358" s="560"/>
      <c r="I358" s="931"/>
      <c r="J358" s="560"/>
      <c r="K358" s="560"/>
      <c r="L358" s="931"/>
      <c r="M358" s="931"/>
      <c r="N358" s="407"/>
    </row>
    <row r="359" spans="1:16" ht="18.95" customHeight="1">
      <c r="A359" s="407"/>
      <c r="E359" s="752"/>
      <c r="F359" s="407"/>
      <c r="G359" s="752"/>
      <c r="H359" s="752"/>
      <c r="I359" s="752"/>
      <c r="J359" s="882"/>
      <c r="K359" s="882"/>
      <c r="L359" s="870"/>
      <c r="M359" s="882"/>
      <c r="N359" s="407"/>
    </row>
    <row r="360" spans="1:16" ht="18.95" customHeight="1">
      <c r="A360" s="918"/>
      <c r="B360" s="884"/>
      <c r="C360" s="885"/>
      <c r="D360" s="769"/>
      <c r="E360" s="752"/>
      <c r="F360" s="407"/>
      <c r="G360" s="752"/>
      <c r="H360" s="752"/>
      <c r="I360" s="752"/>
      <c r="J360" s="752"/>
      <c r="K360" s="752"/>
      <c r="L360" s="517"/>
      <c r="M360" s="906"/>
      <c r="N360" s="407"/>
    </row>
    <row r="361" spans="1:16" ht="18.95" customHeight="1">
      <c r="A361" s="918"/>
      <c r="B361" s="884"/>
      <c r="C361" s="885"/>
      <c r="D361" s="769"/>
      <c r="E361" s="752"/>
      <c r="F361" s="407"/>
      <c r="G361" s="752"/>
      <c r="H361" s="752"/>
      <c r="I361" s="752"/>
      <c r="J361" s="752"/>
      <c r="K361" s="752"/>
      <c r="L361" s="517"/>
      <c r="M361" s="906"/>
      <c r="N361" s="407"/>
    </row>
    <row r="362" spans="1:16" ht="18.95" customHeight="1">
      <c r="A362" s="932"/>
      <c r="B362" s="878"/>
      <c r="C362" s="876"/>
      <c r="D362" s="768"/>
      <c r="E362" s="752"/>
      <c r="F362" s="407"/>
      <c r="G362" s="928"/>
      <c r="H362" s="928"/>
      <c r="I362" s="867"/>
      <c r="J362" s="928"/>
      <c r="K362" s="928"/>
      <c r="L362" s="867"/>
      <c r="M362" s="867"/>
      <c r="N362" s="868"/>
      <c r="P362" s="867"/>
    </row>
    <row r="363" spans="1:16" ht="18.95" customHeight="1">
      <c r="A363" s="892"/>
      <c r="B363" s="878"/>
      <c r="C363" s="876"/>
      <c r="D363" s="768"/>
      <c r="E363" s="752"/>
      <c r="F363" s="874"/>
      <c r="G363" s="928"/>
      <c r="H363" s="928"/>
      <c r="I363" s="752"/>
      <c r="J363" s="928"/>
      <c r="K363" s="928"/>
      <c r="L363" s="517"/>
      <c r="M363" s="928"/>
      <c r="N363" s="868"/>
      <c r="P363" s="867"/>
    </row>
    <row r="364" spans="1:16" ht="18.95" customHeight="1">
      <c r="A364" s="932"/>
      <c r="B364" s="878"/>
      <c r="C364" s="876"/>
      <c r="D364" s="768"/>
      <c r="E364" s="868"/>
      <c r="F364" s="407"/>
      <c r="G364" s="928"/>
      <c r="H364" s="928"/>
      <c r="I364" s="867"/>
      <c r="J364" s="928"/>
      <c r="K364" s="928"/>
      <c r="L364" s="867"/>
      <c r="M364" s="867"/>
      <c r="N364" s="868"/>
      <c r="P364" s="867"/>
    </row>
    <row r="365" spans="1:16" ht="18.95" customHeight="1">
      <c r="A365" s="932"/>
      <c r="B365" s="878"/>
      <c r="C365" s="876"/>
      <c r="D365" s="768"/>
      <c r="E365" s="752"/>
      <c r="F365" s="874"/>
      <c r="G365" s="928"/>
      <c r="H365" s="928"/>
      <c r="I365" s="752"/>
      <c r="J365" s="928"/>
      <c r="K365" s="928"/>
      <c r="L365" s="517"/>
      <c r="M365" s="928"/>
      <c r="N365" s="868"/>
      <c r="P365" s="867"/>
    </row>
    <row r="366" spans="1:16" ht="18.95" customHeight="1">
      <c r="A366" s="932"/>
      <c r="B366" s="878"/>
      <c r="C366" s="876"/>
      <c r="D366" s="768"/>
      <c r="E366" s="868"/>
      <c r="F366" s="407"/>
      <c r="G366" s="928"/>
      <c r="H366" s="928"/>
      <c r="I366" s="867"/>
      <c r="J366" s="928"/>
      <c r="K366" s="928"/>
      <c r="L366" s="867"/>
      <c r="M366" s="867"/>
      <c r="N366" s="868"/>
      <c r="P366" s="867"/>
    </row>
    <row r="367" spans="1:16" ht="18.95" customHeight="1">
      <c r="A367" s="863"/>
      <c r="B367" s="878"/>
      <c r="C367" s="876"/>
      <c r="D367" s="768"/>
      <c r="E367" s="752"/>
      <c r="F367" s="874"/>
      <c r="G367" s="928"/>
      <c r="H367" s="928"/>
      <c r="I367" s="752"/>
      <c r="J367" s="928"/>
      <c r="K367" s="928"/>
      <c r="L367" s="517"/>
      <c r="M367" s="928"/>
      <c r="N367" s="868"/>
      <c r="P367" s="867"/>
    </row>
    <row r="368" spans="1:16" ht="18.95" customHeight="1">
      <c r="A368" s="932"/>
      <c r="B368" s="878"/>
      <c r="C368" s="876"/>
      <c r="D368" s="762"/>
      <c r="E368" s="868"/>
      <c r="F368" s="407"/>
      <c r="G368" s="928"/>
      <c r="H368" s="928"/>
      <c r="I368" s="867"/>
      <c r="J368" s="928"/>
      <c r="K368" s="928"/>
      <c r="L368" s="867"/>
      <c r="M368" s="867"/>
      <c r="N368" s="868"/>
      <c r="P368" s="867"/>
    </row>
    <row r="369" spans="1:16" ht="18.95" customHeight="1">
      <c r="A369" s="893"/>
      <c r="B369" s="878"/>
      <c r="C369" s="876"/>
      <c r="D369" s="762"/>
      <c r="E369" s="752"/>
      <c r="F369" s="874"/>
      <c r="G369" s="928"/>
      <c r="H369" s="928"/>
      <c r="I369" s="752"/>
      <c r="J369" s="928"/>
      <c r="K369" s="928"/>
      <c r="L369" s="517"/>
      <c r="M369" s="928"/>
      <c r="N369" s="407"/>
      <c r="P369" s="867"/>
    </row>
    <row r="370" spans="1:16" ht="18.95" customHeight="1">
      <c r="A370" s="932"/>
      <c r="B370" s="878"/>
      <c r="C370" s="876"/>
      <c r="D370" s="769"/>
      <c r="E370" s="752"/>
      <c r="F370" s="407"/>
      <c r="G370" s="928"/>
      <c r="H370" s="928"/>
      <c r="I370" s="867"/>
      <c r="J370" s="928"/>
      <c r="K370" s="928"/>
      <c r="L370" s="867"/>
      <c r="M370" s="867"/>
      <c r="N370" s="407"/>
      <c r="P370" s="867"/>
    </row>
    <row r="371" spans="1:16" ht="18.95" customHeight="1">
      <c r="A371" s="893"/>
      <c r="B371" s="878"/>
      <c r="C371" s="876"/>
      <c r="D371" s="762"/>
      <c r="E371" s="868"/>
      <c r="F371" s="874"/>
      <c r="G371" s="928"/>
      <c r="H371" s="928"/>
      <c r="I371" s="752"/>
      <c r="J371" s="928"/>
      <c r="K371" s="928"/>
      <c r="L371" s="517"/>
      <c r="M371" s="928"/>
      <c r="N371" s="407"/>
      <c r="P371" s="867"/>
    </row>
    <row r="372" spans="1:16" ht="18.95" customHeight="1">
      <c r="A372" s="932"/>
      <c r="B372" s="878"/>
      <c r="C372" s="876"/>
      <c r="D372" s="762"/>
      <c r="E372" s="752"/>
      <c r="F372" s="407"/>
      <c r="G372" s="928"/>
      <c r="H372" s="928"/>
      <c r="I372" s="867"/>
      <c r="J372" s="928"/>
      <c r="K372" s="928"/>
      <c r="L372" s="867"/>
      <c r="M372" s="867"/>
      <c r="N372" s="407"/>
      <c r="P372" s="867"/>
    </row>
    <row r="373" spans="1:16" ht="18.95" customHeight="1">
      <c r="A373" s="893"/>
      <c r="B373" s="878"/>
      <c r="C373" s="876"/>
      <c r="D373" s="762"/>
      <c r="E373" s="868"/>
      <c r="F373" s="874"/>
      <c r="G373" s="867"/>
      <c r="H373" s="867"/>
      <c r="I373" s="752"/>
      <c r="J373" s="867"/>
      <c r="K373" s="867"/>
      <c r="L373" s="517"/>
      <c r="M373" s="867"/>
      <c r="N373" s="407"/>
      <c r="P373" s="867"/>
    </row>
    <row r="374" spans="1:16" ht="18.95" customHeight="1">
      <c r="A374" s="932"/>
      <c r="B374" s="878"/>
      <c r="C374" s="876"/>
      <c r="D374" s="762"/>
      <c r="E374" s="752"/>
      <c r="F374" s="407"/>
      <c r="G374" s="867"/>
      <c r="H374" s="867"/>
      <c r="I374" s="867"/>
      <c r="J374" s="867"/>
      <c r="K374" s="867"/>
      <c r="L374" s="867"/>
      <c r="M374" s="867"/>
      <c r="N374" s="407"/>
      <c r="P374" s="867"/>
    </row>
    <row r="375" spans="1:16" ht="18.95" customHeight="1">
      <c r="A375" s="893"/>
      <c r="B375" s="878"/>
      <c r="C375" s="876"/>
      <c r="D375" s="762"/>
      <c r="E375" s="868"/>
      <c r="F375" s="874"/>
      <c r="G375" s="867"/>
      <c r="H375" s="867"/>
      <c r="I375" s="752"/>
      <c r="J375" s="867"/>
      <c r="K375" s="867"/>
      <c r="L375" s="517"/>
      <c r="M375" s="867"/>
      <c r="N375" s="407"/>
      <c r="P375" s="867"/>
    </row>
    <row r="376" spans="1:16" ht="18.95" customHeight="1">
      <c r="A376" s="932"/>
      <c r="B376" s="878"/>
      <c r="C376" s="876"/>
      <c r="D376" s="762"/>
      <c r="E376" s="752"/>
      <c r="F376" s="407"/>
      <c r="G376" s="867"/>
      <c r="H376" s="867"/>
      <c r="I376" s="867"/>
      <c r="J376" s="867"/>
      <c r="K376" s="867"/>
      <c r="L376" s="867"/>
      <c r="M376" s="867"/>
      <c r="N376" s="407"/>
      <c r="P376" s="867"/>
    </row>
    <row r="377" spans="1:16" ht="18.95" customHeight="1">
      <c r="A377" s="893"/>
      <c r="B377" s="878"/>
      <c r="C377" s="876"/>
      <c r="D377" s="762"/>
      <c r="E377" s="868"/>
      <c r="F377" s="874"/>
      <c r="G377" s="867"/>
      <c r="H377" s="867"/>
      <c r="I377" s="752"/>
      <c r="J377" s="867"/>
      <c r="K377" s="867"/>
      <c r="L377" s="517"/>
      <c r="M377" s="867"/>
      <c r="N377" s="407"/>
      <c r="P377" s="867"/>
    </row>
    <row r="378" spans="1:16" ht="18.95" customHeight="1">
      <c r="A378" s="932"/>
      <c r="B378" s="878"/>
      <c r="C378" s="876"/>
      <c r="D378" s="762"/>
      <c r="E378" s="868"/>
      <c r="F378" s="407"/>
      <c r="G378" s="928"/>
      <c r="H378" s="928"/>
      <c r="I378" s="867"/>
      <c r="J378" s="928"/>
      <c r="K378" s="928"/>
      <c r="L378" s="867"/>
      <c r="M378" s="867"/>
      <c r="N378" s="407"/>
      <c r="P378" s="867"/>
    </row>
    <row r="379" spans="1:16" ht="18.95" customHeight="1">
      <c r="A379" s="893"/>
      <c r="B379" s="888"/>
      <c r="C379" s="876"/>
      <c r="D379" s="762"/>
      <c r="E379" s="868"/>
      <c r="F379" s="874"/>
      <c r="G379" s="867"/>
      <c r="H379" s="867"/>
      <c r="I379" s="752"/>
      <c r="J379" s="867"/>
      <c r="K379" s="867"/>
      <c r="L379" s="517"/>
      <c r="M379" s="867"/>
      <c r="N379" s="407"/>
      <c r="P379" s="867"/>
    </row>
    <row r="380" spans="1:16" ht="18.95" customHeight="1">
      <c r="A380" s="892"/>
      <c r="B380" s="888"/>
      <c r="C380" s="876"/>
      <c r="D380" s="762"/>
      <c r="E380" s="868"/>
      <c r="F380" s="407"/>
      <c r="G380" s="928"/>
      <c r="H380" s="928"/>
      <c r="I380" s="867"/>
      <c r="J380" s="928"/>
      <c r="K380" s="928"/>
      <c r="L380" s="867"/>
      <c r="M380" s="867"/>
      <c r="N380" s="407"/>
      <c r="P380" s="867"/>
    </row>
    <row r="381" spans="1:16" ht="18.95" customHeight="1">
      <c r="A381" s="892"/>
      <c r="B381" s="888"/>
      <c r="C381" s="876"/>
      <c r="D381" s="762"/>
      <c r="E381" s="868"/>
      <c r="F381" s="874"/>
      <c r="G381" s="867"/>
      <c r="H381" s="867"/>
      <c r="I381" s="752"/>
      <c r="J381" s="867"/>
      <c r="K381" s="867"/>
      <c r="L381" s="517"/>
      <c r="M381" s="867"/>
      <c r="N381" s="407"/>
      <c r="P381" s="867"/>
    </row>
    <row r="382" spans="1:16" ht="18.95" customHeight="1">
      <c r="A382" s="892"/>
      <c r="B382" s="888"/>
      <c r="C382" s="876"/>
      <c r="D382" s="769"/>
      <c r="E382" s="868"/>
      <c r="F382" s="407"/>
      <c r="G382" s="867"/>
      <c r="H382" s="867"/>
      <c r="I382" s="867"/>
      <c r="J382" s="867"/>
      <c r="K382" s="867"/>
      <c r="L382" s="867"/>
      <c r="M382" s="867"/>
      <c r="N382" s="407"/>
      <c r="P382" s="867"/>
    </row>
    <row r="383" spans="1:16" ht="18.95" customHeight="1">
      <c r="A383" s="892"/>
      <c r="B383" s="888"/>
      <c r="C383" s="876"/>
      <c r="D383" s="762"/>
      <c r="E383" s="752"/>
      <c r="F383" s="407"/>
      <c r="G383" s="867"/>
      <c r="H383" s="867"/>
      <c r="I383" s="867"/>
      <c r="J383" s="867"/>
      <c r="K383" s="867"/>
      <c r="L383" s="867"/>
      <c r="M383" s="867"/>
      <c r="N383" s="407"/>
      <c r="P383" s="867"/>
    </row>
    <row r="384" spans="1:16" ht="18.95" customHeight="1">
      <c r="A384" s="892"/>
      <c r="B384" s="888"/>
      <c r="C384" s="876"/>
      <c r="D384" s="768"/>
      <c r="E384" s="868"/>
      <c r="F384" s="407"/>
      <c r="G384" s="867"/>
      <c r="H384" s="867"/>
      <c r="I384" s="867"/>
      <c r="J384" s="867"/>
      <c r="K384" s="867"/>
      <c r="L384" s="867"/>
      <c r="M384" s="867"/>
      <c r="N384" s="407"/>
      <c r="P384" s="867"/>
    </row>
    <row r="385" spans="1:16" ht="18.95" customHeight="1">
      <c r="A385" s="892"/>
      <c r="B385" s="888"/>
      <c r="C385" s="876"/>
      <c r="D385" s="769"/>
      <c r="E385" s="868"/>
      <c r="F385" s="407"/>
      <c r="G385" s="867"/>
      <c r="H385" s="867"/>
      <c r="I385" s="867"/>
      <c r="J385" s="867"/>
      <c r="K385" s="867"/>
      <c r="L385" s="867"/>
      <c r="M385" s="867"/>
      <c r="N385" s="407"/>
      <c r="P385" s="867"/>
    </row>
    <row r="386" spans="1:16" ht="18.95" customHeight="1">
      <c r="A386" s="892"/>
      <c r="B386" s="888"/>
      <c r="C386" s="876"/>
      <c r="D386" s="768"/>
      <c r="E386" s="868"/>
      <c r="F386" s="407"/>
      <c r="G386" s="867"/>
      <c r="H386" s="867"/>
      <c r="I386" s="867"/>
      <c r="J386" s="867"/>
      <c r="K386" s="867"/>
      <c r="L386" s="867"/>
      <c r="M386" s="867"/>
      <c r="N386" s="407"/>
      <c r="P386" s="867"/>
    </row>
    <row r="387" spans="1:16" ht="18.95" customHeight="1">
      <c r="A387" s="407"/>
      <c r="B387" s="888"/>
      <c r="C387" s="876"/>
      <c r="D387" s="769"/>
      <c r="E387" s="752"/>
      <c r="F387" s="407"/>
      <c r="G387" s="752"/>
      <c r="H387" s="752"/>
      <c r="I387" s="752"/>
      <c r="J387" s="882"/>
      <c r="K387" s="882"/>
      <c r="L387" s="870"/>
      <c r="M387" s="882"/>
      <c r="N387" s="407"/>
      <c r="P387" s="867"/>
    </row>
    <row r="388" spans="1:16" ht="18.95" customHeight="1">
      <c r="A388" s="893"/>
      <c r="B388" s="888"/>
      <c r="C388" s="876"/>
      <c r="D388" s="769"/>
      <c r="E388" s="752"/>
      <c r="F388" s="407"/>
      <c r="G388" s="752"/>
      <c r="H388" s="752"/>
      <c r="I388" s="867"/>
      <c r="J388" s="752"/>
      <c r="K388" s="752"/>
      <c r="L388" s="867"/>
      <c r="M388" s="867"/>
      <c r="N388" s="407"/>
      <c r="P388" s="867"/>
    </row>
    <row r="389" spans="1:16" ht="18.95" customHeight="1">
      <c r="A389" s="933"/>
      <c r="B389" s="888"/>
      <c r="C389" s="876"/>
      <c r="D389" s="762"/>
      <c r="E389" s="752"/>
      <c r="F389" s="407"/>
      <c r="G389" s="752"/>
      <c r="H389" s="752"/>
      <c r="I389" s="752"/>
      <c r="J389" s="752"/>
      <c r="K389" s="752"/>
      <c r="L389" s="517"/>
      <c r="M389" s="906"/>
      <c r="N389" s="407"/>
      <c r="P389" s="867"/>
    </row>
    <row r="390" spans="1:16" ht="18.95" customHeight="1">
      <c r="A390" s="892"/>
      <c r="B390" s="888"/>
      <c r="C390" s="876"/>
      <c r="D390" s="769"/>
      <c r="E390" s="752"/>
      <c r="F390" s="407"/>
      <c r="G390" s="867"/>
      <c r="H390" s="867"/>
      <c r="I390" s="867"/>
      <c r="J390" s="867"/>
      <c r="K390" s="867"/>
      <c r="L390" s="867"/>
      <c r="M390" s="867"/>
      <c r="N390" s="868"/>
      <c r="P390" s="867"/>
    </row>
    <row r="391" spans="1:16" ht="18.95" customHeight="1">
      <c r="A391" s="869"/>
      <c r="B391" s="888"/>
      <c r="C391" s="876"/>
      <c r="D391" s="768"/>
      <c r="E391" s="752"/>
      <c r="F391" s="874"/>
      <c r="G391" s="867"/>
      <c r="H391" s="867"/>
      <c r="I391" s="752"/>
      <c r="J391" s="867"/>
      <c r="K391" s="867"/>
      <c r="L391" s="517"/>
      <c r="M391" s="867"/>
      <c r="N391" s="868"/>
      <c r="P391" s="867"/>
    </row>
    <row r="392" spans="1:16" ht="18.95" customHeight="1">
      <c r="A392" s="892"/>
      <c r="B392" s="888"/>
      <c r="C392" s="876"/>
      <c r="D392" s="768"/>
      <c r="E392" s="752"/>
      <c r="F392" s="407"/>
      <c r="G392" s="867"/>
      <c r="H392" s="867"/>
      <c r="I392" s="867"/>
      <c r="J392" s="867"/>
      <c r="K392" s="867"/>
      <c r="L392" s="867"/>
      <c r="M392" s="867"/>
      <c r="N392" s="868"/>
      <c r="P392" s="867"/>
    </row>
    <row r="393" spans="1:16" ht="18.95" customHeight="1">
      <c r="A393" s="407"/>
      <c r="B393" s="888"/>
      <c r="C393" s="876"/>
      <c r="D393" s="762"/>
      <c r="E393" s="752"/>
      <c r="F393" s="874"/>
      <c r="G393" s="867"/>
      <c r="H393" s="867"/>
      <c r="I393" s="752"/>
      <c r="J393" s="867"/>
      <c r="K393" s="867"/>
      <c r="L393" s="517"/>
      <c r="M393" s="867"/>
      <c r="N393" s="868"/>
      <c r="P393" s="867"/>
    </row>
    <row r="394" spans="1:16" ht="18.95" customHeight="1">
      <c r="A394" s="892"/>
      <c r="B394" s="888"/>
      <c r="C394" s="876"/>
      <c r="D394" s="762"/>
      <c r="E394" s="752"/>
      <c r="F394" s="407"/>
      <c r="G394" s="867"/>
      <c r="H394" s="867"/>
      <c r="I394" s="867"/>
      <c r="J394" s="867"/>
      <c r="K394" s="867"/>
      <c r="L394" s="867"/>
      <c r="M394" s="867"/>
      <c r="N394" s="868"/>
      <c r="P394" s="867"/>
    </row>
    <row r="395" spans="1:16" ht="18.95" customHeight="1">
      <c r="A395" s="869"/>
      <c r="B395" s="888"/>
      <c r="C395" s="876"/>
      <c r="D395" s="762"/>
      <c r="E395" s="752"/>
      <c r="F395" s="874"/>
      <c r="G395" s="867"/>
      <c r="H395" s="867"/>
      <c r="I395" s="752"/>
      <c r="J395" s="867"/>
      <c r="K395" s="867"/>
      <c r="L395" s="517"/>
      <c r="M395" s="867"/>
      <c r="N395" s="868"/>
      <c r="P395" s="867"/>
    </row>
    <row r="396" spans="1:16" ht="18.95" customHeight="1">
      <c r="A396" s="892"/>
      <c r="B396" s="888"/>
      <c r="C396" s="876"/>
      <c r="D396" s="876"/>
      <c r="E396" s="752"/>
      <c r="F396" s="407"/>
      <c r="G396" s="867"/>
      <c r="H396" s="867"/>
      <c r="I396" s="867"/>
      <c r="J396" s="867"/>
      <c r="K396" s="867"/>
      <c r="L396" s="867"/>
      <c r="M396" s="867"/>
      <c r="N396" s="407"/>
      <c r="P396" s="867"/>
    </row>
    <row r="397" spans="1:16" ht="18.95" customHeight="1">
      <c r="A397" s="407"/>
      <c r="B397" s="888"/>
      <c r="C397" s="876"/>
      <c r="D397" s="768"/>
      <c r="E397" s="752"/>
      <c r="F397" s="874"/>
      <c r="G397" s="867"/>
      <c r="H397" s="867"/>
      <c r="I397" s="752"/>
      <c r="J397" s="867"/>
      <c r="K397" s="867"/>
      <c r="L397" s="517"/>
      <c r="M397" s="867"/>
      <c r="N397" s="407"/>
      <c r="P397" s="867"/>
    </row>
    <row r="398" spans="1:16" ht="18.95" customHeight="1">
      <c r="A398" s="892"/>
      <c r="B398" s="888"/>
      <c r="C398" s="876"/>
      <c r="D398" s="769"/>
      <c r="E398" s="752"/>
      <c r="F398" s="407"/>
      <c r="G398" s="867"/>
      <c r="H398" s="867"/>
      <c r="I398" s="867"/>
      <c r="J398" s="867"/>
      <c r="K398" s="867"/>
      <c r="L398" s="867"/>
      <c r="M398" s="867"/>
      <c r="N398" s="407"/>
      <c r="P398" s="867"/>
    </row>
    <row r="399" spans="1:16" ht="18.95" customHeight="1">
      <c r="A399" s="407"/>
      <c r="B399" s="888"/>
      <c r="C399" s="876"/>
      <c r="D399" s="768"/>
      <c r="E399" s="752"/>
      <c r="F399" s="874"/>
      <c r="G399" s="867"/>
      <c r="H399" s="867"/>
      <c r="I399" s="752"/>
      <c r="J399" s="867"/>
      <c r="K399" s="867"/>
      <c r="L399" s="517"/>
      <c r="M399" s="867"/>
      <c r="N399" s="407"/>
      <c r="P399" s="867"/>
    </row>
    <row r="400" spans="1:16" ht="18.95" customHeight="1">
      <c r="A400" s="892"/>
      <c r="B400" s="888"/>
      <c r="C400" s="876"/>
      <c r="D400" s="768"/>
      <c r="E400" s="752"/>
      <c r="F400" s="407"/>
      <c r="G400" s="867"/>
      <c r="H400" s="867"/>
      <c r="I400" s="867"/>
      <c r="J400" s="867"/>
      <c r="K400" s="867"/>
      <c r="L400" s="867"/>
      <c r="M400" s="867"/>
      <c r="N400" s="407"/>
      <c r="P400" s="867"/>
    </row>
    <row r="401" spans="1:16" ht="18.95" customHeight="1">
      <c r="A401" s="407"/>
      <c r="B401" s="888"/>
      <c r="C401" s="876"/>
      <c r="D401" s="768"/>
      <c r="E401" s="752"/>
      <c r="F401" s="874"/>
      <c r="G401" s="867"/>
      <c r="H401" s="867"/>
      <c r="I401" s="867"/>
      <c r="J401" s="867"/>
      <c r="K401" s="867"/>
      <c r="L401" s="867"/>
      <c r="M401" s="867"/>
      <c r="N401" s="407"/>
      <c r="P401" s="867"/>
    </row>
    <row r="402" spans="1:16" ht="18.95" customHeight="1">
      <c r="A402" s="892"/>
      <c r="B402" s="888"/>
      <c r="C402" s="876"/>
      <c r="D402" s="886"/>
      <c r="E402" s="752"/>
      <c r="F402" s="407"/>
      <c r="G402" s="867"/>
      <c r="H402" s="867"/>
      <c r="I402" s="867"/>
      <c r="J402" s="867"/>
      <c r="K402" s="867"/>
      <c r="L402" s="867"/>
      <c r="M402" s="867"/>
      <c r="N402" s="407"/>
      <c r="P402" s="867"/>
    </row>
    <row r="403" spans="1:16" ht="18.95" customHeight="1">
      <c r="A403" s="407"/>
      <c r="B403" s="888"/>
      <c r="C403" s="876"/>
      <c r="D403" s="768"/>
      <c r="E403" s="752"/>
      <c r="F403" s="874"/>
      <c r="G403" s="867"/>
      <c r="H403" s="867"/>
      <c r="I403" s="867"/>
      <c r="J403" s="867"/>
      <c r="K403" s="867"/>
      <c r="L403" s="517"/>
      <c r="M403" s="867"/>
      <c r="N403" s="407"/>
      <c r="P403" s="867"/>
    </row>
    <row r="404" spans="1:16" ht="18.95" customHeight="1">
      <c r="A404" s="892"/>
      <c r="B404" s="888"/>
      <c r="C404" s="876"/>
      <c r="D404" s="768"/>
      <c r="E404" s="752"/>
      <c r="F404" s="407"/>
      <c r="G404" s="867"/>
      <c r="H404" s="867"/>
      <c r="I404" s="867"/>
      <c r="J404" s="867"/>
      <c r="K404" s="867"/>
      <c r="L404" s="867"/>
      <c r="M404" s="867"/>
      <c r="N404" s="407"/>
      <c r="P404" s="867"/>
    </row>
    <row r="405" spans="1:16" ht="18.95" customHeight="1">
      <c r="A405" s="892"/>
      <c r="B405" s="888"/>
      <c r="C405" s="876"/>
      <c r="D405" s="768"/>
      <c r="E405" s="752"/>
      <c r="F405" s="874"/>
      <c r="G405" s="867"/>
      <c r="H405" s="867"/>
      <c r="I405" s="867"/>
      <c r="J405" s="867"/>
      <c r="K405" s="867"/>
      <c r="L405" s="517"/>
      <c r="M405" s="867"/>
      <c r="N405" s="407"/>
      <c r="P405" s="867"/>
    </row>
    <row r="406" spans="1:16" ht="18.95" customHeight="1">
      <c r="A406" s="892"/>
      <c r="B406" s="888"/>
      <c r="C406" s="876"/>
      <c r="D406" s="762"/>
      <c r="E406" s="752"/>
      <c r="F406" s="407"/>
      <c r="G406" s="867"/>
      <c r="H406" s="867"/>
      <c r="I406" s="867"/>
      <c r="J406" s="867"/>
      <c r="K406" s="867"/>
      <c r="L406" s="517"/>
      <c r="M406" s="867"/>
      <c r="N406" s="407"/>
      <c r="P406" s="867"/>
    </row>
    <row r="407" spans="1:16" ht="18.95" customHeight="1">
      <c r="A407" s="892"/>
      <c r="B407" s="888"/>
      <c r="C407" s="876"/>
      <c r="D407" s="762"/>
      <c r="E407" s="752"/>
      <c r="F407" s="407"/>
      <c r="G407" s="867"/>
      <c r="H407" s="867"/>
      <c r="I407" s="867"/>
      <c r="J407" s="867"/>
      <c r="K407" s="867"/>
      <c r="L407" s="867"/>
      <c r="M407" s="867"/>
      <c r="N407" s="407"/>
      <c r="P407" s="867"/>
    </row>
    <row r="408" spans="1:16" ht="18.95" customHeight="1">
      <c r="A408" s="869"/>
      <c r="B408" s="888"/>
      <c r="C408" s="876"/>
      <c r="D408" s="886"/>
      <c r="E408" s="752"/>
      <c r="F408" s="874"/>
      <c r="G408" s="867"/>
      <c r="H408" s="867"/>
      <c r="I408" s="867"/>
      <c r="J408" s="867"/>
      <c r="K408" s="867"/>
      <c r="L408" s="517"/>
      <c r="M408" s="867"/>
      <c r="N408" s="407"/>
      <c r="P408" s="867"/>
    </row>
    <row r="409" spans="1:16" ht="18.95" customHeight="1">
      <c r="A409" s="871"/>
      <c r="B409" s="888"/>
      <c r="C409" s="876"/>
      <c r="D409" s="762"/>
      <c r="E409" s="752"/>
      <c r="F409" s="407"/>
      <c r="G409" s="867"/>
      <c r="H409" s="867"/>
      <c r="I409" s="867"/>
      <c r="J409" s="867"/>
      <c r="K409" s="867"/>
      <c r="L409" s="867"/>
      <c r="M409" s="867"/>
      <c r="N409" s="407"/>
      <c r="P409" s="867"/>
    </row>
    <row r="410" spans="1:16" ht="18.95" customHeight="1">
      <c r="A410" s="871"/>
      <c r="B410" s="888"/>
      <c r="C410" s="876"/>
      <c r="D410" s="886"/>
      <c r="E410" s="752"/>
      <c r="F410" s="874"/>
      <c r="G410" s="867"/>
      <c r="H410" s="867"/>
      <c r="I410" s="867"/>
      <c r="J410" s="867"/>
      <c r="K410" s="867"/>
      <c r="L410" s="517"/>
      <c r="M410" s="867"/>
      <c r="N410" s="407"/>
      <c r="P410" s="867"/>
    </row>
    <row r="411" spans="1:16" ht="18.95" customHeight="1">
      <c r="A411" s="871"/>
      <c r="B411" s="888"/>
      <c r="C411" s="876"/>
      <c r="D411" s="762"/>
      <c r="E411" s="752"/>
      <c r="F411" s="407"/>
      <c r="G411" s="867"/>
      <c r="H411" s="867"/>
      <c r="I411" s="867"/>
      <c r="J411" s="867"/>
      <c r="K411" s="867"/>
      <c r="L411" s="867"/>
      <c r="M411" s="867"/>
      <c r="N411" s="407"/>
      <c r="P411" s="867"/>
    </row>
    <row r="412" spans="1:16" ht="18.95" customHeight="1">
      <c r="A412" s="871"/>
      <c r="B412" s="888"/>
      <c r="C412" s="876"/>
      <c r="D412" s="762"/>
      <c r="E412" s="752"/>
      <c r="F412" s="874"/>
      <c r="G412" s="867"/>
      <c r="H412" s="867"/>
      <c r="I412" s="867"/>
      <c r="J412" s="867"/>
      <c r="K412" s="867"/>
      <c r="L412" s="517"/>
      <c r="M412" s="867"/>
      <c r="N412" s="407"/>
      <c r="P412" s="867"/>
    </row>
    <row r="413" spans="1:16" ht="18.95" customHeight="1">
      <c r="A413" s="407"/>
      <c r="B413" s="888"/>
      <c r="C413" s="876"/>
      <c r="D413" s="762"/>
      <c r="E413" s="752"/>
      <c r="F413" s="407"/>
      <c r="G413" s="867"/>
      <c r="H413" s="867"/>
      <c r="I413" s="867"/>
      <c r="J413" s="867"/>
      <c r="K413" s="867"/>
      <c r="L413" s="867"/>
      <c r="M413" s="867"/>
      <c r="N413" s="407"/>
      <c r="P413" s="867"/>
    </row>
    <row r="414" spans="1:16" ht="18.95" customHeight="1">
      <c r="A414" s="871"/>
      <c r="B414" s="888"/>
      <c r="C414" s="876"/>
      <c r="D414" s="762"/>
      <c r="E414" s="752"/>
      <c r="F414" s="874"/>
      <c r="G414" s="867"/>
      <c r="H414" s="867"/>
      <c r="I414" s="867"/>
      <c r="J414" s="867"/>
      <c r="K414" s="867"/>
      <c r="L414" s="867"/>
      <c r="M414" s="934"/>
      <c r="N414" s="407"/>
      <c r="P414" s="867"/>
    </row>
    <row r="415" spans="1:16" ht="18.95" customHeight="1">
      <c r="B415" s="895"/>
      <c r="C415" s="762"/>
      <c r="D415" s="762"/>
      <c r="E415" s="868"/>
      <c r="F415" s="874"/>
      <c r="G415" s="868"/>
      <c r="H415" s="868"/>
      <c r="I415" s="868"/>
      <c r="J415" s="868"/>
      <c r="K415" s="868"/>
      <c r="L415" s="868"/>
      <c r="M415" s="868"/>
      <c r="N415" s="407"/>
      <c r="P415" s="867"/>
    </row>
    <row r="416" spans="1:16" ht="18.95" customHeight="1">
      <c r="A416" s="871"/>
      <c r="B416" s="888"/>
      <c r="C416" s="876"/>
      <c r="D416" s="762"/>
      <c r="E416" s="868"/>
      <c r="F416" s="407"/>
      <c r="G416" s="868"/>
      <c r="H416" s="868"/>
      <c r="I416" s="867"/>
      <c r="J416" s="868"/>
      <c r="K416" s="868"/>
      <c r="L416" s="867"/>
      <c r="M416" s="867"/>
      <c r="N416" s="407"/>
      <c r="P416" s="867"/>
    </row>
    <row r="417" spans="1:16" ht="18.95" customHeight="1">
      <c r="A417" s="407"/>
      <c r="B417" s="888"/>
      <c r="C417" s="876"/>
      <c r="D417" s="762"/>
      <c r="E417" s="868"/>
      <c r="F417" s="874"/>
      <c r="G417" s="868"/>
      <c r="H417" s="868"/>
      <c r="I417" s="868"/>
      <c r="J417" s="868"/>
      <c r="K417" s="868"/>
      <c r="L417" s="868"/>
      <c r="M417" s="868"/>
      <c r="N417" s="407"/>
      <c r="P417" s="867"/>
    </row>
    <row r="418" spans="1:16" ht="18.95" customHeight="1">
      <c r="A418" s="407"/>
      <c r="B418" s="888"/>
      <c r="C418" s="876"/>
      <c r="D418" s="762"/>
      <c r="E418" s="868"/>
      <c r="F418" s="407"/>
      <c r="G418" s="868"/>
      <c r="H418" s="868"/>
      <c r="I418" s="867"/>
      <c r="J418" s="868"/>
      <c r="K418" s="868"/>
      <c r="L418" s="867"/>
      <c r="M418" s="867"/>
      <c r="N418" s="407"/>
      <c r="P418" s="867"/>
    </row>
    <row r="419" spans="1:16" ht="18.95" customHeight="1">
      <c r="A419" s="407"/>
      <c r="B419" s="888"/>
      <c r="C419" s="876"/>
      <c r="D419" s="876"/>
      <c r="E419" s="868"/>
      <c r="F419" s="874"/>
      <c r="G419" s="868"/>
      <c r="H419" s="868"/>
      <c r="I419" s="868"/>
      <c r="J419" s="868"/>
      <c r="K419" s="868"/>
      <c r="L419" s="868"/>
      <c r="M419" s="868"/>
      <c r="N419" s="407"/>
      <c r="P419" s="867"/>
    </row>
    <row r="420" spans="1:16" ht="18.95" customHeight="1">
      <c r="A420" s="407"/>
      <c r="B420" s="888"/>
      <c r="C420" s="876"/>
      <c r="D420" s="762"/>
      <c r="E420" s="868"/>
      <c r="F420" s="407"/>
      <c r="G420" s="868"/>
      <c r="H420" s="868"/>
      <c r="I420" s="867"/>
      <c r="J420" s="868"/>
      <c r="K420" s="868"/>
      <c r="L420" s="867"/>
      <c r="M420" s="867"/>
      <c r="N420" s="407"/>
      <c r="P420" s="867"/>
    </row>
    <row r="421" spans="1:16" ht="18.95" customHeight="1">
      <c r="A421" s="407"/>
      <c r="B421" s="888"/>
      <c r="C421" s="876"/>
      <c r="D421" s="876"/>
      <c r="E421" s="868"/>
      <c r="F421" s="874"/>
      <c r="G421" s="868"/>
      <c r="H421" s="868"/>
      <c r="I421" s="868"/>
      <c r="J421" s="868"/>
      <c r="K421" s="868"/>
      <c r="L421" s="868"/>
      <c r="M421" s="868"/>
      <c r="N421" s="407"/>
      <c r="P421" s="867"/>
    </row>
    <row r="422" spans="1:16" ht="18.95" customHeight="1">
      <c r="A422" s="407"/>
      <c r="B422" s="888"/>
      <c r="C422" s="876"/>
      <c r="D422" s="762"/>
      <c r="E422" s="868"/>
      <c r="F422" s="407"/>
      <c r="G422" s="868"/>
      <c r="H422" s="868"/>
      <c r="I422" s="867"/>
      <c r="J422" s="868"/>
      <c r="K422" s="868"/>
      <c r="L422" s="867"/>
      <c r="M422" s="867"/>
      <c r="N422" s="407"/>
      <c r="P422" s="867"/>
    </row>
    <row r="423" spans="1:16" ht="18.95" customHeight="1">
      <c r="A423" s="407"/>
      <c r="B423" s="888"/>
      <c r="C423" s="876"/>
      <c r="D423" s="762"/>
      <c r="E423" s="868"/>
      <c r="F423" s="874"/>
      <c r="G423" s="868"/>
      <c r="H423" s="868"/>
      <c r="I423" s="868"/>
      <c r="J423" s="868"/>
      <c r="K423" s="868"/>
      <c r="L423" s="868"/>
      <c r="M423" s="868"/>
      <c r="N423" s="407"/>
      <c r="P423" s="867"/>
    </row>
    <row r="424" spans="1:16" ht="18.95" customHeight="1">
      <c r="A424" s="407"/>
      <c r="B424" s="888"/>
      <c r="C424" s="876"/>
      <c r="D424" s="762"/>
      <c r="E424" s="868"/>
      <c r="F424" s="407"/>
      <c r="G424" s="868"/>
      <c r="H424" s="868"/>
      <c r="I424" s="867"/>
      <c r="J424" s="868"/>
      <c r="K424" s="868"/>
      <c r="L424" s="867"/>
      <c r="M424" s="867"/>
      <c r="N424" s="407"/>
      <c r="P424" s="867"/>
    </row>
    <row r="425" spans="1:16" ht="18.95" customHeight="1">
      <c r="A425" s="407"/>
      <c r="B425" s="888"/>
      <c r="C425" s="876"/>
      <c r="D425" s="762"/>
      <c r="E425" s="868"/>
      <c r="F425" s="874"/>
      <c r="G425" s="868"/>
      <c r="H425" s="868"/>
      <c r="I425" s="868"/>
      <c r="J425" s="868"/>
      <c r="K425" s="868"/>
      <c r="L425" s="868"/>
      <c r="M425" s="868"/>
      <c r="N425" s="407"/>
      <c r="P425" s="867"/>
    </row>
    <row r="426" spans="1:16" ht="18.95" customHeight="1">
      <c r="A426" s="407"/>
      <c r="B426" s="888"/>
      <c r="C426" s="876"/>
      <c r="D426" s="762"/>
      <c r="E426" s="868"/>
      <c r="F426" s="407"/>
      <c r="G426" s="868"/>
      <c r="H426" s="868"/>
      <c r="I426" s="867"/>
      <c r="J426" s="868"/>
      <c r="K426" s="868"/>
      <c r="L426" s="867"/>
      <c r="M426" s="867"/>
      <c r="N426" s="407"/>
      <c r="P426" s="867"/>
    </row>
    <row r="427" spans="1:16" ht="18.95" customHeight="1">
      <c r="A427" s="407"/>
      <c r="B427" s="888"/>
      <c r="C427" s="876"/>
      <c r="D427" s="762"/>
      <c r="E427" s="868"/>
      <c r="F427" s="874"/>
      <c r="G427" s="868"/>
      <c r="H427" s="868"/>
      <c r="I427" s="868"/>
      <c r="J427" s="868"/>
      <c r="K427" s="868"/>
      <c r="L427" s="868"/>
      <c r="M427" s="868"/>
      <c r="N427" s="407"/>
      <c r="P427" s="867"/>
    </row>
    <row r="428" spans="1:16" ht="18.95" customHeight="1">
      <c r="A428" s="407"/>
      <c r="B428" s="878"/>
      <c r="C428" s="876"/>
      <c r="D428" s="768"/>
      <c r="E428" s="868"/>
      <c r="F428" s="407"/>
      <c r="G428" s="868"/>
      <c r="H428" s="868"/>
      <c r="I428" s="867"/>
      <c r="J428" s="868"/>
      <c r="K428" s="868"/>
      <c r="L428" s="867"/>
      <c r="M428" s="867"/>
      <c r="N428" s="407"/>
      <c r="P428" s="867"/>
    </row>
    <row r="429" spans="1:16" ht="18.95" customHeight="1">
      <c r="A429" s="407"/>
      <c r="B429" s="878"/>
      <c r="C429" s="876"/>
      <c r="D429" s="767"/>
      <c r="E429" s="868"/>
      <c r="F429" s="874"/>
      <c r="G429" s="868"/>
      <c r="H429" s="868"/>
      <c r="I429" s="868"/>
      <c r="J429" s="868"/>
      <c r="K429" s="868"/>
      <c r="L429" s="868"/>
      <c r="M429" s="868"/>
      <c r="N429" s="407"/>
      <c r="P429" s="867"/>
    </row>
    <row r="430" spans="1:16" ht="18.95" customHeight="1">
      <c r="A430" s="407"/>
      <c r="B430" s="888"/>
      <c r="C430" s="876"/>
      <c r="D430" s="886"/>
      <c r="E430" s="868"/>
      <c r="F430" s="407"/>
      <c r="G430" s="868"/>
      <c r="H430" s="868"/>
      <c r="I430" s="867"/>
      <c r="J430" s="868"/>
      <c r="K430" s="868"/>
      <c r="L430" s="867"/>
      <c r="M430" s="867"/>
      <c r="N430" s="407"/>
      <c r="P430" s="867"/>
    </row>
    <row r="431" spans="1:16" ht="18.95" customHeight="1">
      <c r="A431" s="407"/>
      <c r="B431" s="888"/>
      <c r="C431" s="876"/>
      <c r="D431" s="768"/>
      <c r="E431" s="868"/>
      <c r="F431" s="874"/>
      <c r="G431" s="868"/>
      <c r="H431" s="868"/>
      <c r="I431" s="868"/>
      <c r="J431" s="868"/>
      <c r="K431" s="868"/>
      <c r="L431" s="868"/>
      <c r="M431" s="868"/>
      <c r="N431" s="407"/>
      <c r="P431" s="867"/>
    </row>
    <row r="432" spans="1:16" ht="18.95" customHeight="1">
      <c r="A432" s="407"/>
      <c r="B432" s="888"/>
      <c r="C432" s="876"/>
      <c r="D432" s="886"/>
      <c r="E432" s="868"/>
      <c r="F432" s="407"/>
      <c r="G432" s="868"/>
      <c r="H432" s="868"/>
      <c r="I432" s="867"/>
      <c r="J432" s="868"/>
      <c r="K432" s="868"/>
      <c r="L432" s="867"/>
      <c r="M432" s="867"/>
      <c r="N432" s="407"/>
      <c r="P432" s="867"/>
    </row>
    <row r="433" spans="1:16" ht="18.95" customHeight="1">
      <c r="B433" s="888"/>
      <c r="C433" s="876"/>
      <c r="D433" s="768"/>
      <c r="E433" s="868"/>
      <c r="F433" s="874"/>
      <c r="G433" s="868"/>
      <c r="H433" s="868"/>
      <c r="I433" s="868"/>
      <c r="J433" s="868"/>
      <c r="K433" s="868"/>
      <c r="L433" s="868"/>
      <c r="M433" s="868"/>
      <c r="N433" s="407"/>
      <c r="P433" s="867"/>
    </row>
    <row r="434" spans="1:16" ht="18.95" customHeight="1">
      <c r="A434" s="871"/>
      <c r="B434" s="888"/>
      <c r="C434" s="876"/>
      <c r="D434" s="769"/>
      <c r="E434" s="868"/>
      <c r="F434" s="407"/>
      <c r="G434" s="868"/>
      <c r="H434" s="868"/>
      <c r="I434" s="867"/>
      <c r="J434" s="868"/>
      <c r="K434" s="868"/>
      <c r="L434" s="867"/>
      <c r="M434" s="867"/>
      <c r="N434" s="407"/>
      <c r="P434" s="867"/>
    </row>
    <row r="435" spans="1:16" ht="18.95" customHeight="1">
      <c r="A435" s="871"/>
      <c r="B435" s="888"/>
      <c r="C435" s="876"/>
      <c r="D435" s="769"/>
      <c r="E435" s="868"/>
      <c r="F435" s="874"/>
      <c r="G435" s="868"/>
      <c r="H435" s="868"/>
      <c r="I435" s="868"/>
      <c r="J435" s="868"/>
      <c r="K435" s="868"/>
      <c r="L435" s="868"/>
      <c r="M435" s="868"/>
      <c r="N435" s="407"/>
      <c r="P435" s="867"/>
    </row>
    <row r="436" spans="1:16" ht="18.95" customHeight="1">
      <c r="A436" s="871"/>
      <c r="B436" s="888"/>
      <c r="C436" s="876"/>
      <c r="D436" s="762"/>
      <c r="E436" s="868"/>
      <c r="F436" s="407"/>
      <c r="G436" s="868"/>
      <c r="H436" s="868"/>
      <c r="I436" s="867"/>
      <c r="J436" s="868"/>
      <c r="K436" s="868"/>
      <c r="L436" s="867"/>
      <c r="M436" s="867"/>
      <c r="N436" s="407"/>
      <c r="P436" s="867"/>
    </row>
    <row r="437" spans="1:16" ht="18.95" customHeight="1">
      <c r="A437" s="871"/>
      <c r="B437" s="888"/>
      <c r="C437" s="876"/>
      <c r="D437" s="762"/>
      <c r="E437" s="868"/>
      <c r="F437" s="874"/>
      <c r="G437" s="868"/>
      <c r="H437" s="868"/>
      <c r="I437" s="868"/>
      <c r="J437" s="868"/>
      <c r="K437" s="868"/>
      <c r="L437" s="868"/>
      <c r="M437" s="868"/>
      <c r="N437" s="407"/>
    </row>
    <row r="438" spans="1:16" ht="18.95" customHeight="1">
      <c r="A438" s="871"/>
      <c r="B438" s="895"/>
      <c r="C438" s="762"/>
      <c r="D438" s="762"/>
      <c r="E438" s="868"/>
      <c r="F438" s="407"/>
      <c r="G438" s="868"/>
      <c r="H438" s="868"/>
      <c r="I438" s="868"/>
      <c r="J438" s="868"/>
      <c r="K438" s="868"/>
      <c r="L438" s="868"/>
      <c r="M438" s="868"/>
      <c r="N438" s="407"/>
    </row>
    <row r="439" spans="1:16" ht="18.95" customHeight="1">
      <c r="A439" s="871"/>
      <c r="B439" s="895"/>
      <c r="C439" s="762"/>
      <c r="D439" s="762"/>
      <c r="E439" s="868"/>
      <c r="F439" s="407"/>
      <c r="G439" s="868"/>
      <c r="H439" s="868"/>
      <c r="I439" s="868"/>
      <c r="J439" s="868"/>
      <c r="K439" s="868"/>
      <c r="L439" s="868"/>
      <c r="M439" s="868"/>
      <c r="N439" s="407"/>
    </row>
    <row r="440" spans="1:16" ht="18.95" customHeight="1">
      <c r="A440" s="871"/>
      <c r="B440" s="895"/>
      <c r="C440" s="762"/>
      <c r="D440" s="762"/>
      <c r="E440" s="868"/>
      <c r="F440" s="874"/>
      <c r="G440" s="868"/>
      <c r="H440" s="868"/>
      <c r="I440" s="868"/>
      <c r="J440" s="868"/>
      <c r="K440" s="868"/>
      <c r="L440" s="868"/>
      <c r="M440" s="868"/>
      <c r="N440" s="407"/>
    </row>
    <row r="441" spans="1:16" ht="18.95" customHeight="1">
      <c r="A441" s="871"/>
      <c r="B441" s="895"/>
      <c r="C441" s="876"/>
      <c r="D441" s="886"/>
      <c r="E441" s="868"/>
      <c r="F441" s="407"/>
      <c r="G441" s="868"/>
      <c r="H441" s="868"/>
      <c r="I441" s="868"/>
      <c r="J441" s="868"/>
      <c r="K441" s="868"/>
      <c r="L441" s="868"/>
      <c r="M441" s="868"/>
      <c r="N441" s="407"/>
    </row>
    <row r="442" spans="1:16" ht="18.95" customHeight="1">
      <c r="B442" s="1418"/>
      <c r="C442" s="1418"/>
      <c r="D442" s="1418"/>
      <c r="E442" s="868"/>
      <c r="F442" s="874"/>
      <c r="G442" s="868"/>
      <c r="H442" s="868"/>
      <c r="I442" s="868"/>
      <c r="J442" s="868"/>
      <c r="K442" s="868"/>
      <c r="L442" s="868"/>
      <c r="M442" s="935"/>
      <c r="N442" s="407"/>
    </row>
    <row r="443" spans="1:16" ht="18.95" customHeight="1">
      <c r="B443" s="895"/>
      <c r="C443" s="762"/>
      <c r="D443" s="762"/>
      <c r="E443" s="868"/>
      <c r="F443" s="874"/>
      <c r="G443" s="868"/>
      <c r="H443" s="868"/>
      <c r="I443" s="868"/>
      <c r="J443" s="868"/>
      <c r="K443" s="868"/>
      <c r="L443" s="868"/>
      <c r="M443" s="868"/>
      <c r="N443" s="407"/>
    </row>
    <row r="444" spans="1:16" ht="18.95" customHeight="1">
      <c r="B444" s="895"/>
      <c r="C444" s="762"/>
      <c r="D444" s="762"/>
      <c r="E444" s="868"/>
      <c r="F444" s="874"/>
      <c r="G444" s="868"/>
      <c r="H444" s="868"/>
      <c r="I444" s="868"/>
      <c r="J444" s="868"/>
      <c r="K444" s="868"/>
      <c r="L444" s="868"/>
      <c r="M444" s="868"/>
      <c r="N444" s="407"/>
    </row>
    <row r="445" spans="1:16" ht="18.95" customHeight="1">
      <c r="B445" s="895"/>
      <c r="C445" s="762"/>
      <c r="D445" s="762"/>
      <c r="E445" s="868"/>
      <c r="F445" s="874"/>
      <c r="G445" s="868"/>
      <c r="H445" s="868"/>
      <c r="I445" s="868"/>
      <c r="J445" s="868"/>
      <c r="K445" s="868"/>
      <c r="L445" s="868"/>
      <c r="M445" s="868"/>
      <c r="N445" s="407"/>
    </row>
    <row r="446" spans="1:16" ht="18.95" customHeight="1">
      <c r="B446" s="895"/>
      <c r="C446" s="762"/>
      <c r="D446" s="762"/>
      <c r="E446" s="868"/>
      <c r="F446" s="407"/>
      <c r="G446" s="868"/>
      <c r="H446" s="868"/>
      <c r="I446" s="868"/>
      <c r="J446" s="868"/>
      <c r="K446" s="868"/>
      <c r="L446" s="868"/>
      <c r="M446" s="868"/>
      <c r="N446" s="407"/>
    </row>
    <row r="447" spans="1:16" ht="18.95" customHeight="1">
      <c r="B447" s="895"/>
      <c r="C447" s="762"/>
      <c r="D447" s="762"/>
      <c r="E447" s="868"/>
      <c r="F447" s="874"/>
      <c r="G447" s="868"/>
      <c r="H447" s="868"/>
      <c r="I447" s="868"/>
      <c r="J447" s="868"/>
      <c r="K447" s="868"/>
      <c r="L447" s="868"/>
      <c r="M447" s="868"/>
      <c r="N447" s="407"/>
    </row>
    <row r="448" spans="1:16" ht="18.95" customHeight="1">
      <c r="B448" s="895"/>
      <c r="C448" s="876"/>
      <c r="D448" s="886"/>
      <c r="E448" s="868"/>
      <c r="F448" s="407"/>
      <c r="G448" s="868"/>
      <c r="H448" s="868"/>
      <c r="I448" s="868"/>
      <c r="J448" s="868"/>
      <c r="K448" s="868"/>
      <c r="L448" s="868"/>
      <c r="M448" s="868"/>
      <c r="N448" s="407"/>
    </row>
    <row r="449" spans="2:14" ht="18.95" customHeight="1">
      <c r="B449" s="895"/>
      <c r="C449" s="762"/>
      <c r="D449" s="762"/>
      <c r="E449" s="868"/>
      <c r="F449" s="874"/>
      <c r="G449" s="868"/>
      <c r="H449" s="868"/>
      <c r="I449" s="868"/>
      <c r="J449" s="868"/>
      <c r="K449" s="868"/>
      <c r="L449" s="868"/>
      <c r="M449" s="868"/>
      <c r="N449" s="407"/>
    </row>
    <row r="450" spans="2:14" ht="18.95" customHeight="1">
      <c r="B450" s="895"/>
      <c r="C450" s="762"/>
      <c r="D450" s="762"/>
      <c r="E450" s="868"/>
      <c r="F450" s="874"/>
      <c r="G450" s="868"/>
      <c r="H450" s="868"/>
      <c r="I450" s="868"/>
      <c r="J450" s="868"/>
      <c r="K450" s="868"/>
      <c r="L450" s="868"/>
      <c r="M450" s="868"/>
      <c r="N450" s="407"/>
    </row>
    <row r="451" spans="2:14" ht="18.95" customHeight="1">
      <c r="B451" s="895"/>
      <c r="C451" s="762"/>
      <c r="D451" s="762"/>
      <c r="E451" s="868"/>
      <c r="F451" s="874"/>
      <c r="G451" s="868"/>
      <c r="H451" s="868"/>
      <c r="I451" s="868"/>
      <c r="J451" s="868"/>
      <c r="K451" s="868"/>
      <c r="L451" s="868"/>
      <c r="M451" s="868"/>
      <c r="N451" s="407"/>
    </row>
    <row r="452" spans="2:14" ht="18.95" customHeight="1">
      <c r="B452" s="895"/>
      <c r="C452" s="762"/>
      <c r="D452" s="762"/>
      <c r="E452" s="868"/>
      <c r="F452" s="874"/>
      <c r="G452" s="868"/>
      <c r="H452" s="868"/>
      <c r="I452" s="868"/>
      <c r="J452" s="868"/>
      <c r="K452" s="868"/>
      <c r="L452" s="868"/>
      <c r="M452" s="868"/>
      <c r="N452" s="407"/>
    </row>
    <row r="453" spans="2:14" ht="18.95" customHeight="1">
      <c r="B453" s="895"/>
      <c r="C453" s="762"/>
      <c r="D453" s="762"/>
      <c r="E453" s="868"/>
      <c r="F453" s="874"/>
      <c r="G453" s="868"/>
      <c r="H453" s="868"/>
      <c r="I453" s="868"/>
      <c r="J453" s="868"/>
      <c r="K453" s="868"/>
      <c r="L453" s="868"/>
      <c r="M453" s="868"/>
      <c r="N453" s="407"/>
    </row>
    <row r="454" spans="2:14" ht="18.95" customHeight="1">
      <c r="B454" s="1418"/>
      <c r="C454" s="1418"/>
      <c r="D454" s="1418"/>
      <c r="E454" s="868"/>
      <c r="F454" s="874"/>
      <c r="G454" s="868"/>
      <c r="H454" s="868"/>
      <c r="I454" s="868"/>
      <c r="J454" s="868"/>
      <c r="K454" s="868"/>
      <c r="L454" s="868"/>
      <c r="M454" s="935"/>
      <c r="N454" s="407"/>
    </row>
    <row r="455" spans="2:14" ht="18.95" customHeight="1">
      <c r="B455" s="895"/>
      <c r="C455" s="762"/>
      <c r="D455" s="762"/>
      <c r="E455" s="868"/>
      <c r="F455" s="874"/>
      <c r="G455" s="868"/>
      <c r="H455" s="868"/>
      <c r="I455" s="868"/>
      <c r="J455" s="868"/>
      <c r="K455" s="868"/>
      <c r="L455" s="868"/>
      <c r="M455" s="868"/>
      <c r="N455" s="407"/>
    </row>
    <row r="456" spans="2:14" ht="18.95" customHeight="1">
      <c r="B456" s="895"/>
      <c r="C456" s="762"/>
      <c r="D456" s="762"/>
      <c r="E456" s="868"/>
      <c r="F456" s="874"/>
      <c r="G456" s="868"/>
      <c r="H456" s="868"/>
      <c r="I456" s="868"/>
      <c r="J456" s="868"/>
      <c r="K456" s="868"/>
      <c r="L456" s="868"/>
      <c r="M456" s="868"/>
      <c r="N456" s="407"/>
    </row>
    <row r="457" spans="2:14" ht="18.95" customHeight="1">
      <c r="B457" s="895"/>
      <c r="C457" s="762"/>
      <c r="D457" s="762"/>
      <c r="E457" s="868"/>
      <c r="F457" s="874"/>
      <c r="G457" s="868"/>
      <c r="H457" s="868"/>
      <c r="I457" s="868"/>
      <c r="J457" s="868"/>
      <c r="K457" s="868"/>
      <c r="L457" s="868"/>
      <c r="M457" s="868"/>
      <c r="N457" s="407"/>
    </row>
    <row r="458" spans="2:14" ht="18.95" customHeight="1">
      <c r="B458" s="895"/>
      <c r="C458" s="762"/>
      <c r="D458" s="762"/>
      <c r="E458" s="868"/>
      <c r="F458" s="874"/>
      <c r="G458" s="868"/>
      <c r="H458" s="868"/>
      <c r="I458" s="868"/>
      <c r="J458" s="868"/>
      <c r="K458" s="868"/>
      <c r="L458" s="868"/>
      <c r="M458" s="868"/>
      <c r="N458" s="407"/>
    </row>
    <row r="459" spans="2:14" ht="18.95" customHeight="1">
      <c r="B459" s="895"/>
      <c r="C459" s="762"/>
      <c r="D459" s="762"/>
      <c r="E459" s="868"/>
      <c r="F459" s="874"/>
      <c r="G459" s="868"/>
      <c r="H459" s="868"/>
      <c r="I459" s="868"/>
      <c r="J459" s="868"/>
      <c r="K459" s="868"/>
      <c r="L459" s="868"/>
      <c r="M459" s="868"/>
      <c r="N459" s="407"/>
    </row>
    <row r="460" spans="2:14" ht="18.95" customHeight="1">
      <c r="B460" s="895"/>
      <c r="C460" s="762"/>
      <c r="D460" s="762"/>
      <c r="E460" s="868"/>
      <c r="F460" s="874"/>
      <c r="G460" s="868"/>
      <c r="H460" s="868"/>
      <c r="I460" s="868"/>
      <c r="J460" s="868"/>
      <c r="K460" s="868"/>
      <c r="L460" s="868"/>
      <c r="M460" s="868"/>
      <c r="N460" s="407"/>
    </row>
    <row r="461" spans="2:14" ht="18.95" customHeight="1">
      <c r="B461" s="895"/>
      <c r="C461" s="762"/>
      <c r="D461" s="762"/>
      <c r="E461" s="868"/>
      <c r="F461" s="874"/>
      <c r="G461" s="868"/>
      <c r="H461" s="868"/>
      <c r="I461" s="868"/>
      <c r="J461" s="868"/>
      <c r="K461" s="868"/>
      <c r="L461" s="868"/>
      <c r="M461" s="868"/>
      <c r="N461" s="407"/>
    </row>
    <row r="462" spans="2:14" ht="18.95" customHeight="1">
      <c r="B462" s="895"/>
      <c r="C462" s="762"/>
      <c r="D462" s="762"/>
      <c r="E462" s="868"/>
      <c r="F462" s="874"/>
      <c r="G462" s="868"/>
      <c r="H462" s="868"/>
      <c r="I462" s="868"/>
      <c r="J462" s="868"/>
      <c r="K462" s="868"/>
      <c r="L462" s="868"/>
      <c r="M462" s="868"/>
      <c r="N462" s="407"/>
    </row>
    <row r="463" spans="2:14" ht="18.95" customHeight="1">
      <c r="B463" s="895"/>
      <c r="C463" s="762"/>
      <c r="D463" s="762"/>
      <c r="E463" s="868"/>
      <c r="F463" s="874"/>
      <c r="G463" s="868"/>
      <c r="H463" s="868"/>
      <c r="I463" s="868"/>
      <c r="J463" s="868"/>
      <c r="K463" s="868"/>
      <c r="L463" s="868"/>
      <c r="M463" s="868"/>
      <c r="N463" s="407"/>
    </row>
    <row r="464" spans="2:14" ht="18.95" customHeight="1">
      <c r="B464" s="895"/>
      <c r="C464" s="762"/>
      <c r="D464" s="762"/>
      <c r="E464" s="868"/>
      <c r="F464" s="874"/>
      <c r="G464" s="868"/>
      <c r="H464" s="868"/>
      <c r="I464" s="868"/>
      <c r="J464" s="868"/>
      <c r="K464" s="868"/>
      <c r="L464" s="868"/>
      <c r="M464" s="868"/>
      <c r="N464" s="407"/>
    </row>
    <row r="465" spans="1:14" ht="18.95" customHeight="1">
      <c r="B465" s="895"/>
      <c r="C465" s="762"/>
      <c r="D465" s="762"/>
      <c r="E465" s="868"/>
      <c r="F465" s="874"/>
      <c r="G465" s="868"/>
      <c r="H465" s="868"/>
      <c r="I465" s="868"/>
      <c r="J465" s="868"/>
      <c r="K465" s="868"/>
      <c r="L465" s="868"/>
      <c r="M465" s="868"/>
      <c r="N465" s="407"/>
    </row>
    <row r="466" spans="1:14" ht="18.95" customHeight="1">
      <c r="B466" s="895"/>
      <c r="C466" s="762"/>
      <c r="D466" s="762"/>
      <c r="E466" s="868"/>
      <c r="F466" s="874"/>
      <c r="G466" s="868"/>
      <c r="H466" s="868"/>
      <c r="I466" s="868"/>
      <c r="J466" s="868"/>
      <c r="K466" s="868"/>
      <c r="L466" s="868"/>
      <c r="M466" s="868"/>
      <c r="N466" s="407"/>
    </row>
    <row r="467" spans="1:14" ht="18.95" customHeight="1">
      <c r="B467" s="895"/>
      <c r="C467" s="762"/>
      <c r="D467" s="762"/>
      <c r="E467" s="868"/>
      <c r="F467" s="874"/>
      <c r="G467" s="868"/>
      <c r="H467" s="868"/>
      <c r="I467" s="868"/>
      <c r="J467" s="868"/>
      <c r="K467" s="868"/>
      <c r="L467" s="868"/>
      <c r="M467" s="868"/>
      <c r="N467" s="407"/>
    </row>
    <row r="468" spans="1:14" ht="18.95" customHeight="1">
      <c r="B468" s="895"/>
      <c r="C468" s="762"/>
      <c r="D468" s="762"/>
      <c r="E468" s="868"/>
      <c r="F468" s="874"/>
      <c r="G468" s="868"/>
      <c r="H468" s="868"/>
      <c r="I468" s="868"/>
      <c r="J468" s="868"/>
      <c r="K468" s="868"/>
      <c r="L468" s="868"/>
      <c r="M468" s="868"/>
      <c r="N468" s="407"/>
    </row>
    <row r="469" spans="1:14" ht="18.95" customHeight="1">
      <c r="B469" s="895"/>
      <c r="C469" s="762"/>
      <c r="D469" s="762"/>
      <c r="E469" s="868"/>
      <c r="F469" s="874"/>
      <c r="G469" s="868"/>
      <c r="H469" s="868"/>
      <c r="I469" s="868"/>
      <c r="J469" s="868"/>
      <c r="K469" s="868"/>
      <c r="L469" s="868"/>
      <c r="M469" s="868"/>
      <c r="N469" s="407"/>
    </row>
    <row r="470" spans="1:14" ht="18.95" customHeight="1">
      <c r="B470" s="895"/>
      <c r="C470" s="762"/>
      <c r="D470" s="762"/>
      <c r="E470" s="868"/>
      <c r="F470" s="874"/>
      <c r="G470" s="868"/>
      <c r="H470" s="868"/>
      <c r="I470" s="868"/>
      <c r="J470" s="868"/>
      <c r="K470" s="868"/>
      <c r="L470" s="868"/>
      <c r="M470" s="868"/>
      <c r="N470" s="407"/>
    </row>
    <row r="471" spans="1:14" ht="18.95" customHeight="1">
      <c r="B471" s="895"/>
      <c r="C471" s="762"/>
      <c r="D471" s="762"/>
      <c r="E471" s="868"/>
      <c r="F471" s="874"/>
      <c r="G471" s="868"/>
      <c r="H471" s="868"/>
      <c r="I471" s="868"/>
      <c r="J471" s="868"/>
      <c r="K471" s="868"/>
      <c r="L471" s="868"/>
      <c r="M471" s="868"/>
      <c r="N471" s="407"/>
    </row>
    <row r="472" spans="1:14" ht="18.95" customHeight="1">
      <c r="A472" s="883"/>
      <c r="B472" s="884"/>
      <c r="C472" s="885"/>
      <c r="D472" s="876"/>
      <c r="E472" s="913"/>
      <c r="F472" s="936"/>
      <c r="G472" s="560"/>
      <c r="H472" s="560"/>
      <c r="I472" s="937"/>
      <c r="J472" s="560"/>
      <c r="K472" s="560"/>
      <c r="L472" s="937"/>
      <c r="M472" s="938"/>
      <c r="N472" s="407"/>
    </row>
    <row r="473" spans="1:14" ht="18.95" customHeight="1">
      <c r="A473" s="933"/>
      <c r="B473" s="884"/>
      <c r="C473" s="876"/>
      <c r="D473" s="876"/>
      <c r="E473" s="752"/>
      <c r="F473" s="939"/>
      <c r="G473" s="752"/>
      <c r="H473" s="752"/>
      <c r="I473" s="752"/>
      <c r="J473" s="940"/>
      <c r="K473" s="940"/>
      <c r="L473" s="517"/>
      <c r="M473" s="752"/>
      <c r="N473" s="407"/>
    </row>
    <row r="474" spans="1:14" ht="18.95" customHeight="1">
      <c r="A474" s="869"/>
      <c r="B474" s="895"/>
      <c r="C474" s="762"/>
      <c r="D474" s="762"/>
      <c r="E474" s="868"/>
      <c r="F474" s="874"/>
      <c r="G474" s="867"/>
      <c r="H474" s="867"/>
      <c r="I474" s="867"/>
      <c r="J474" s="867"/>
      <c r="K474" s="867"/>
      <c r="L474" s="867"/>
      <c r="M474" s="867"/>
      <c r="N474" s="868"/>
    </row>
    <row r="475" spans="1:14" ht="18.95" customHeight="1">
      <c r="A475" s="869"/>
      <c r="B475" s="895"/>
      <c r="C475" s="762"/>
      <c r="D475" s="762"/>
      <c r="E475" s="868"/>
      <c r="F475" s="874"/>
      <c r="G475" s="867"/>
      <c r="H475" s="867"/>
      <c r="I475" s="867"/>
      <c r="J475" s="867"/>
      <c r="K475" s="867"/>
      <c r="L475" s="867"/>
      <c r="M475" s="867"/>
      <c r="N475" s="868"/>
    </row>
    <row r="476" spans="1:14" ht="18.95" customHeight="1">
      <c r="A476" s="869"/>
      <c r="B476" s="895"/>
      <c r="C476" s="762"/>
      <c r="D476" s="762"/>
      <c r="E476" s="868"/>
      <c r="F476" s="874"/>
      <c r="G476" s="867"/>
      <c r="H476" s="867"/>
      <c r="I476" s="867"/>
      <c r="J476" s="867"/>
      <c r="K476" s="867"/>
      <c r="L476" s="867"/>
      <c r="M476" s="867"/>
      <c r="N476" s="868"/>
    </row>
    <row r="477" spans="1:14" ht="18.95" customHeight="1">
      <c r="A477" s="869"/>
      <c r="B477" s="895"/>
      <c r="C477" s="762"/>
      <c r="D477" s="762"/>
      <c r="E477" s="868"/>
      <c r="F477" s="874"/>
      <c r="G477" s="867"/>
      <c r="H477" s="867"/>
      <c r="I477" s="867"/>
      <c r="J477" s="867"/>
      <c r="K477" s="867"/>
      <c r="L477" s="867"/>
      <c r="M477" s="867"/>
      <c r="N477" s="868"/>
    </row>
    <row r="478" spans="1:14" ht="18.95" customHeight="1">
      <c r="A478" s="869"/>
      <c r="B478" s="895"/>
      <c r="C478" s="762"/>
      <c r="D478" s="762"/>
      <c r="E478" s="868"/>
      <c r="F478" s="874"/>
      <c r="G478" s="868"/>
      <c r="H478" s="868"/>
      <c r="I478" s="867"/>
      <c r="J478" s="868"/>
      <c r="K478" s="868"/>
      <c r="L478" s="867"/>
      <c r="M478" s="867"/>
      <c r="N478" s="868"/>
    </row>
    <row r="479" spans="1:14" ht="18.95" customHeight="1">
      <c r="A479" s="869"/>
      <c r="B479" s="895"/>
      <c r="C479" s="762"/>
      <c r="D479" s="762"/>
      <c r="E479" s="868"/>
      <c r="F479" s="874"/>
      <c r="G479" s="867"/>
      <c r="H479" s="867"/>
      <c r="I479" s="867"/>
      <c r="J479" s="867"/>
      <c r="K479" s="867"/>
      <c r="L479" s="867"/>
      <c r="M479" s="867"/>
      <c r="N479" s="868"/>
    </row>
    <row r="480" spans="1:14" ht="18.95" customHeight="1">
      <c r="A480" s="869"/>
      <c r="B480" s="895"/>
      <c r="C480" s="762"/>
      <c r="D480" s="762"/>
      <c r="E480" s="868"/>
      <c r="F480" s="874"/>
      <c r="G480" s="867"/>
      <c r="H480" s="867"/>
      <c r="I480" s="867"/>
      <c r="J480" s="867"/>
      <c r="K480" s="867"/>
      <c r="L480" s="867"/>
      <c r="M480" s="867"/>
      <c r="N480" s="868"/>
    </row>
    <row r="481" spans="1:14" ht="18.95" customHeight="1">
      <c r="A481" s="869"/>
      <c r="B481" s="895"/>
      <c r="C481" s="762"/>
      <c r="D481" s="762"/>
      <c r="E481" s="868"/>
      <c r="F481" s="874"/>
      <c r="G481" s="867"/>
      <c r="H481" s="867"/>
      <c r="I481" s="867"/>
      <c r="J481" s="867"/>
      <c r="K481" s="867"/>
      <c r="L481" s="867"/>
      <c r="M481" s="867"/>
      <c r="N481" s="407"/>
    </row>
    <row r="482" spans="1:14" ht="18.95" customHeight="1">
      <c r="A482" s="869"/>
      <c r="B482" s="895"/>
      <c r="C482" s="762"/>
      <c r="D482" s="762"/>
      <c r="E482" s="868"/>
      <c r="F482" s="874"/>
      <c r="G482" s="867"/>
      <c r="H482" s="867"/>
      <c r="I482" s="867"/>
      <c r="J482" s="867"/>
      <c r="K482" s="867"/>
      <c r="L482" s="867"/>
      <c r="M482" s="867"/>
      <c r="N482" s="407"/>
    </row>
    <row r="483" spans="1:14" ht="18.95" customHeight="1">
      <c r="A483" s="869"/>
      <c r="B483" s="895"/>
      <c r="C483" s="762"/>
      <c r="D483" s="762"/>
      <c r="E483" s="868"/>
      <c r="F483" s="874"/>
      <c r="G483" s="867"/>
      <c r="H483" s="867"/>
      <c r="I483" s="867"/>
      <c r="J483" s="867"/>
      <c r="K483" s="867"/>
      <c r="L483" s="867"/>
      <c r="M483" s="867"/>
      <c r="N483" s="407"/>
    </row>
    <row r="484" spans="1:14" ht="18.95" customHeight="1">
      <c r="A484" s="892"/>
      <c r="B484" s="878"/>
      <c r="C484" s="886"/>
      <c r="D484" s="886"/>
      <c r="E484" s="868"/>
      <c r="F484" s="874"/>
      <c r="G484" s="867"/>
      <c r="H484" s="867"/>
      <c r="I484" s="867"/>
      <c r="J484" s="867"/>
      <c r="K484" s="867"/>
      <c r="L484" s="867"/>
      <c r="M484" s="867"/>
      <c r="N484" s="407"/>
    </row>
    <row r="485" spans="1:14" ht="18.95" customHeight="1">
      <c r="A485" s="869"/>
      <c r="B485" s="895"/>
      <c r="C485" s="876"/>
      <c r="D485" s="769"/>
      <c r="E485" s="752"/>
      <c r="F485" s="874"/>
      <c r="G485" s="867"/>
      <c r="H485" s="867"/>
      <c r="I485" s="867"/>
      <c r="J485" s="867"/>
      <c r="K485" s="867"/>
      <c r="L485" s="867"/>
      <c r="M485" s="867"/>
      <c r="N485" s="407"/>
    </row>
    <row r="486" spans="1:14" ht="18.95" customHeight="1">
      <c r="A486" s="871"/>
      <c r="B486" s="895"/>
      <c r="C486" s="762"/>
      <c r="D486" s="769"/>
      <c r="E486" s="752"/>
      <c r="F486" s="874"/>
      <c r="G486" s="867"/>
      <c r="H486" s="867"/>
      <c r="I486" s="867"/>
      <c r="J486" s="867"/>
      <c r="K486" s="867"/>
      <c r="L486" s="867"/>
      <c r="M486" s="867"/>
      <c r="N486" s="407"/>
    </row>
    <row r="487" spans="1:14" ht="18.95" customHeight="1">
      <c r="A487" s="871"/>
      <c r="B487" s="895"/>
      <c r="C487" s="762"/>
      <c r="D487" s="769"/>
      <c r="E487" s="752"/>
      <c r="F487" s="874"/>
      <c r="G487" s="867"/>
      <c r="H487" s="867"/>
      <c r="I487" s="867"/>
      <c r="J487" s="867"/>
      <c r="K487" s="867"/>
      <c r="L487" s="867"/>
      <c r="M487" s="867"/>
      <c r="N487" s="407"/>
    </row>
    <row r="488" spans="1:14" ht="18.95" customHeight="1">
      <c r="A488" s="871"/>
      <c r="B488" s="895"/>
      <c r="C488" s="762"/>
      <c r="D488" s="769"/>
      <c r="E488" s="752"/>
      <c r="F488" s="874"/>
      <c r="G488" s="867"/>
      <c r="H488" s="867"/>
      <c r="I488" s="867"/>
      <c r="J488" s="867"/>
      <c r="K488" s="867"/>
      <c r="L488" s="867"/>
      <c r="M488" s="867"/>
      <c r="N488" s="407"/>
    </row>
    <row r="489" spans="1:14" ht="18.95" customHeight="1">
      <c r="A489" s="871"/>
      <c r="B489" s="895"/>
      <c r="C489" s="762"/>
      <c r="D489" s="769"/>
      <c r="E489" s="752"/>
      <c r="F489" s="874"/>
      <c r="G489" s="867"/>
      <c r="H489" s="867"/>
      <c r="I489" s="867"/>
      <c r="J489" s="867"/>
      <c r="K489" s="867"/>
      <c r="L489" s="867"/>
      <c r="M489" s="867"/>
      <c r="N489" s="407"/>
    </row>
    <row r="490" spans="1:14" ht="18.95" customHeight="1">
      <c r="A490" s="871"/>
      <c r="B490" s="895"/>
      <c r="C490" s="876"/>
      <c r="D490" s="768"/>
      <c r="E490" s="752"/>
      <c r="F490" s="874"/>
      <c r="G490" s="867"/>
      <c r="H490" s="867"/>
      <c r="I490" s="867"/>
      <c r="J490" s="867"/>
      <c r="K490" s="867"/>
      <c r="L490" s="867"/>
      <c r="M490" s="867"/>
      <c r="N490" s="407"/>
    </row>
    <row r="491" spans="1:14" ht="18.95" customHeight="1">
      <c r="A491" s="893"/>
      <c r="B491" s="941"/>
      <c r="C491" s="942"/>
      <c r="D491" s="876"/>
      <c r="E491" s="752"/>
      <c r="F491" s="874"/>
      <c r="G491" s="867"/>
      <c r="H491" s="867"/>
      <c r="I491" s="867"/>
      <c r="J491" s="867"/>
      <c r="K491" s="867"/>
      <c r="L491" s="867"/>
      <c r="M491" s="867"/>
      <c r="N491" s="407"/>
    </row>
    <row r="492" spans="1:14" ht="18.95" customHeight="1">
      <c r="A492" s="893"/>
      <c r="B492" s="895"/>
      <c r="C492" s="896"/>
      <c r="D492" s="896"/>
      <c r="E492" s="752"/>
      <c r="F492" s="874"/>
      <c r="G492" s="867"/>
      <c r="H492" s="867"/>
      <c r="I492" s="867"/>
      <c r="J492" s="867"/>
      <c r="K492" s="867"/>
      <c r="L492" s="867"/>
      <c r="M492" s="867"/>
      <c r="N492" s="407"/>
    </row>
    <row r="493" spans="1:14" ht="18.95" customHeight="1">
      <c r="A493" s="893"/>
      <c r="B493" s="921"/>
      <c r="C493" s="919"/>
      <c r="D493" s="768"/>
      <c r="E493" s="868"/>
      <c r="F493" s="874"/>
      <c r="G493" s="867"/>
      <c r="H493" s="867"/>
      <c r="I493" s="867"/>
      <c r="J493" s="867"/>
      <c r="K493" s="867"/>
      <c r="L493" s="867"/>
      <c r="M493" s="867"/>
      <c r="N493" s="407"/>
    </row>
    <row r="494" spans="1:14" ht="18.95" customHeight="1">
      <c r="A494" s="871"/>
      <c r="B494" s="878"/>
      <c r="C494" s="877"/>
      <c r="D494" s="768"/>
      <c r="E494" s="868"/>
      <c r="F494" s="874"/>
      <c r="G494" s="867"/>
      <c r="H494" s="867"/>
      <c r="I494" s="867"/>
      <c r="J494" s="867"/>
      <c r="K494" s="867"/>
      <c r="L494" s="867"/>
      <c r="M494" s="867"/>
      <c r="N494" s="407"/>
    </row>
    <row r="495" spans="1:14" ht="18.95" customHeight="1">
      <c r="A495" s="871"/>
      <c r="B495" s="878"/>
      <c r="C495" s="877"/>
      <c r="D495" s="768"/>
      <c r="E495" s="868"/>
      <c r="F495" s="874"/>
      <c r="G495" s="867"/>
      <c r="H495" s="867"/>
      <c r="I495" s="867"/>
      <c r="J495" s="867"/>
      <c r="K495" s="867"/>
      <c r="L495" s="867"/>
      <c r="M495" s="867"/>
      <c r="N495" s="407"/>
    </row>
    <row r="496" spans="1:14" ht="18.95" customHeight="1">
      <c r="A496" s="871"/>
      <c r="B496" s="878"/>
      <c r="C496" s="877"/>
      <c r="D496" s="768"/>
      <c r="E496" s="868"/>
      <c r="F496" s="874"/>
      <c r="G496" s="867"/>
      <c r="H496" s="867"/>
      <c r="I496" s="867"/>
      <c r="J496" s="867"/>
      <c r="K496" s="867"/>
      <c r="L496" s="867"/>
      <c r="M496" s="867"/>
      <c r="N496" s="407"/>
    </row>
    <row r="497" spans="1:14" ht="18.95" customHeight="1">
      <c r="A497" s="893"/>
      <c r="B497" s="878"/>
      <c r="C497" s="762"/>
      <c r="D497" s="762"/>
      <c r="E497" s="868"/>
      <c r="F497" s="874"/>
      <c r="G497" s="867"/>
      <c r="H497" s="867"/>
      <c r="I497" s="867"/>
      <c r="J497" s="867"/>
      <c r="K497" s="867"/>
      <c r="L497" s="867"/>
      <c r="M497" s="867"/>
      <c r="N497" s="407"/>
    </row>
    <row r="498" spans="1:14" ht="18.95" customHeight="1">
      <c r="A498" s="893"/>
      <c r="B498" s="895"/>
      <c r="C498" s="762"/>
      <c r="D498" s="762"/>
      <c r="E498" s="868"/>
      <c r="F498" s="874"/>
      <c r="G498" s="867"/>
      <c r="H498" s="867"/>
      <c r="I498" s="867"/>
      <c r="J498" s="867"/>
      <c r="K498" s="867"/>
      <c r="L498" s="867"/>
      <c r="M498" s="867"/>
      <c r="N498" s="407"/>
    </row>
    <row r="499" spans="1:14" ht="18.95" customHeight="1">
      <c r="B499" s="895"/>
      <c r="C499" s="762"/>
      <c r="D499" s="762"/>
      <c r="E499" s="868"/>
      <c r="F499" s="874"/>
      <c r="G499" s="868"/>
      <c r="H499" s="868"/>
      <c r="I499" s="868"/>
      <c r="J499" s="868"/>
      <c r="K499" s="868"/>
      <c r="L499" s="868"/>
      <c r="M499" s="868"/>
      <c r="N499" s="407"/>
    </row>
    <row r="500" spans="1:14" ht="18.95" customHeight="1">
      <c r="A500" s="893"/>
      <c r="B500" s="878"/>
      <c r="C500" s="943"/>
      <c r="D500" s="944"/>
      <c r="E500" s="868"/>
      <c r="F500" s="874"/>
      <c r="G500" s="867"/>
      <c r="H500" s="867"/>
      <c r="I500" s="867"/>
      <c r="J500" s="867"/>
      <c r="K500" s="867"/>
      <c r="L500" s="867"/>
      <c r="M500" s="867"/>
      <c r="N500" s="407"/>
    </row>
    <row r="501" spans="1:14" ht="18.95" customHeight="1">
      <c r="A501" s="893"/>
      <c r="B501" s="895"/>
      <c r="C501" s="886"/>
      <c r="D501" s="876"/>
      <c r="E501" s="752"/>
      <c r="F501" s="939"/>
      <c r="G501" s="867"/>
      <c r="H501" s="867"/>
      <c r="I501" s="867"/>
      <c r="J501" s="867"/>
      <c r="K501" s="867"/>
      <c r="L501" s="867"/>
      <c r="M501" s="867"/>
      <c r="N501" s="868"/>
    </row>
    <row r="502" spans="1:14" ht="18.95" customHeight="1">
      <c r="A502" s="893"/>
      <c r="B502" s="895"/>
      <c r="C502" s="762"/>
      <c r="D502" s="876"/>
      <c r="E502" s="868"/>
      <c r="F502" s="874"/>
      <c r="G502" s="867"/>
      <c r="H502" s="867"/>
      <c r="I502" s="867"/>
      <c r="J502" s="867"/>
      <c r="K502" s="867"/>
      <c r="L502" s="867"/>
      <c r="M502" s="867"/>
      <c r="N502" s="868"/>
    </row>
    <row r="503" spans="1:14" ht="18.95" customHeight="1">
      <c r="A503" s="893"/>
      <c r="B503" s="895"/>
      <c r="C503" s="876"/>
      <c r="D503" s="768"/>
      <c r="E503" s="913"/>
      <c r="F503" s="874"/>
      <c r="G503" s="868"/>
      <c r="H503" s="868"/>
      <c r="I503" s="867"/>
      <c r="J503" s="868"/>
      <c r="K503" s="868"/>
      <c r="L503" s="867"/>
      <c r="M503" s="867"/>
      <c r="N503" s="868"/>
    </row>
    <row r="504" spans="1:14" ht="18.95" customHeight="1">
      <c r="A504" s="863"/>
      <c r="B504" s="895"/>
      <c r="C504" s="762"/>
      <c r="D504" s="876"/>
      <c r="E504" s="913"/>
      <c r="F504" s="936"/>
      <c r="G504" s="868"/>
      <c r="H504" s="868"/>
      <c r="I504" s="868"/>
      <c r="J504" s="868"/>
      <c r="K504" s="868"/>
      <c r="L504" s="868"/>
      <c r="M504" s="868"/>
      <c r="N504" s="868"/>
    </row>
    <row r="505" spans="1:14" ht="18.95" customHeight="1">
      <c r="A505" s="863"/>
      <c r="B505" s="1418"/>
      <c r="C505" s="1418"/>
      <c r="D505" s="1418"/>
      <c r="E505" s="868"/>
      <c r="F505" s="874"/>
      <c r="G505" s="867"/>
      <c r="H505" s="867"/>
      <c r="I505" s="752"/>
      <c r="J505" s="867"/>
      <c r="K505" s="867"/>
      <c r="L505" s="517"/>
      <c r="M505" s="934"/>
      <c r="N505" s="868"/>
    </row>
    <row r="506" spans="1:14" ht="18.95" customHeight="1">
      <c r="A506" s="893"/>
      <c r="B506" s="869"/>
      <c r="C506" s="762"/>
      <c r="D506" s="876"/>
      <c r="E506" s="913"/>
      <c r="F506" s="936"/>
      <c r="G506" s="560"/>
      <c r="H506" s="560"/>
      <c r="I506" s="868"/>
      <c r="J506" s="868"/>
      <c r="K506" s="868"/>
      <c r="L506" s="868"/>
      <c r="M506" s="868"/>
      <c r="N506" s="868"/>
    </row>
    <row r="507" spans="1:14" ht="18.95" customHeight="1">
      <c r="A507" s="893"/>
      <c r="B507" s="895"/>
      <c r="C507" s="762"/>
      <c r="D507" s="876"/>
      <c r="E507" s="913"/>
      <c r="F507" s="936"/>
      <c r="G507" s="560"/>
      <c r="H507" s="560"/>
      <c r="I507" s="868"/>
      <c r="J507" s="868"/>
      <c r="K507" s="868"/>
      <c r="L507" s="868"/>
      <c r="M507" s="868"/>
      <c r="N507" s="868"/>
    </row>
    <row r="508" spans="1:14" ht="18.95" customHeight="1">
      <c r="A508" s="863"/>
      <c r="B508" s="869"/>
      <c r="C508" s="762"/>
      <c r="D508" s="876"/>
      <c r="E508" s="868"/>
      <c r="F508" s="874"/>
      <c r="G508" s="867"/>
      <c r="H508" s="867"/>
      <c r="I508" s="752"/>
      <c r="J508" s="867"/>
      <c r="K508" s="867"/>
      <c r="L508" s="517"/>
      <c r="M508" s="867"/>
      <c r="N508" s="407"/>
    </row>
    <row r="509" spans="1:14" ht="18.95" customHeight="1">
      <c r="A509" s="863"/>
      <c r="B509" s="869"/>
      <c r="C509" s="762"/>
      <c r="D509" s="768"/>
      <c r="E509" s="913"/>
      <c r="F509" s="936"/>
      <c r="G509" s="560"/>
      <c r="H509" s="560"/>
      <c r="I509" s="868"/>
      <c r="J509" s="868"/>
      <c r="K509" s="868"/>
      <c r="L509" s="868"/>
      <c r="M509" s="868"/>
      <c r="N509" s="407"/>
    </row>
    <row r="510" spans="1:14" ht="18.95" customHeight="1">
      <c r="A510" s="863"/>
      <c r="B510" s="869"/>
      <c r="C510" s="762"/>
      <c r="D510" s="768"/>
      <c r="E510" s="913"/>
      <c r="F510" s="936"/>
      <c r="G510" s="560"/>
      <c r="H510" s="560"/>
      <c r="I510" s="868"/>
      <c r="J510" s="868"/>
      <c r="K510" s="868"/>
      <c r="L510" s="868"/>
      <c r="M510" s="868"/>
      <c r="N510" s="407"/>
    </row>
    <row r="511" spans="1:14" ht="18.95" customHeight="1">
      <c r="A511" s="893"/>
      <c r="B511" s="939"/>
      <c r="C511" s="762"/>
      <c r="D511" s="768"/>
      <c r="E511" s="868"/>
      <c r="F511" s="874"/>
      <c r="G511" s="867"/>
      <c r="H511" s="867"/>
      <c r="I511" s="752"/>
      <c r="J511" s="867"/>
      <c r="K511" s="867"/>
      <c r="L511" s="517"/>
      <c r="M511" s="867"/>
      <c r="N511" s="407"/>
    </row>
    <row r="512" spans="1:14" ht="18.95" customHeight="1">
      <c r="A512" s="863"/>
      <c r="B512" s="939"/>
      <c r="C512" s="762"/>
      <c r="D512" s="768"/>
      <c r="E512" s="913"/>
      <c r="F512" s="936"/>
      <c r="G512" s="560"/>
      <c r="H512" s="560"/>
      <c r="I512" s="868"/>
      <c r="J512" s="868"/>
      <c r="K512" s="868"/>
      <c r="L512" s="868"/>
      <c r="M512" s="868"/>
      <c r="N512" s="407"/>
    </row>
    <row r="513" spans="1:14" ht="18.95" customHeight="1">
      <c r="A513" s="863"/>
      <c r="B513" s="939"/>
      <c r="C513" s="762"/>
      <c r="D513" s="768"/>
      <c r="E513" s="913"/>
      <c r="F513" s="936"/>
      <c r="G513" s="560"/>
      <c r="H513" s="560"/>
      <c r="I513" s="868"/>
      <c r="J513" s="868"/>
      <c r="K513" s="868"/>
      <c r="L513" s="868"/>
      <c r="M513" s="868"/>
      <c r="N513" s="407"/>
    </row>
    <row r="514" spans="1:14" ht="18.95" customHeight="1">
      <c r="A514" s="863"/>
      <c r="B514" s="939"/>
      <c r="C514" s="876"/>
      <c r="D514" s="768"/>
      <c r="E514" s="913"/>
      <c r="F514" s="936"/>
      <c r="G514" s="560"/>
      <c r="H514" s="560"/>
      <c r="I514" s="868"/>
      <c r="J514" s="868"/>
      <c r="K514" s="868"/>
      <c r="L514" s="868"/>
      <c r="M514" s="868"/>
      <c r="N514" s="407"/>
    </row>
    <row r="515" spans="1:14" ht="18.95" customHeight="1">
      <c r="A515" s="863"/>
      <c r="B515" s="1418"/>
      <c r="C515" s="1418"/>
      <c r="D515" s="1418"/>
      <c r="E515" s="913"/>
      <c r="F515" s="936"/>
      <c r="G515" s="560"/>
      <c r="H515" s="560"/>
      <c r="I515" s="868"/>
      <c r="J515" s="868"/>
      <c r="K515" s="868"/>
      <c r="L515" s="868"/>
      <c r="M515" s="935"/>
      <c r="N515" s="407"/>
    </row>
    <row r="516" spans="1:14" ht="18.95" customHeight="1">
      <c r="A516" s="863"/>
      <c r="B516" s="1418"/>
      <c r="C516" s="1418"/>
      <c r="D516" s="1418"/>
      <c r="E516" s="913"/>
      <c r="F516" s="936"/>
      <c r="G516" s="560"/>
      <c r="H516" s="560"/>
      <c r="I516" s="898"/>
      <c r="J516" s="898"/>
      <c r="K516" s="898"/>
      <c r="L516" s="898"/>
      <c r="M516" s="945"/>
      <c r="N516" s="407"/>
    </row>
    <row r="517" spans="1:14" ht="18.95" customHeight="1">
      <c r="A517" s="933"/>
      <c r="B517" s="946"/>
      <c r="C517" s="886"/>
      <c r="D517" s="879"/>
      <c r="E517" s="868"/>
      <c r="F517" s="874"/>
      <c r="G517" s="868"/>
      <c r="H517" s="868"/>
      <c r="I517" s="867"/>
      <c r="J517" s="868"/>
      <c r="K517" s="868"/>
      <c r="L517" s="867"/>
      <c r="M517" s="867"/>
      <c r="N517" s="407"/>
    </row>
    <row r="518" spans="1:14" ht="18.95" customHeight="1">
      <c r="A518" s="863"/>
      <c r="B518" s="939"/>
      <c r="C518" s="876"/>
      <c r="D518" s="768"/>
      <c r="E518" s="868"/>
      <c r="F518" s="874"/>
      <c r="G518" s="868"/>
      <c r="H518" s="868"/>
      <c r="I518" s="867"/>
      <c r="J518" s="868"/>
      <c r="K518" s="868"/>
      <c r="L518" s="867"/>
      <c r="M518" s="867"/>
      <c r="N518" s="407"/>
    </row>
    <row r="519" spans="1:14" ht="18.95" customHeight="1">
      <c r="A519" s="863"/>
      <c r="B519" s="939"/>
      <c r="C519" s="876"/>
      <c r="D519" s="768"/>
      <c r="E519" s="868"/>
      <c r="F519" s="874"/>
      <c r="G519" s="868"/>
      <c r="H519" s="868"/>
      <c r="I519" s="867"/>
      <c r="J519" s="868"/>
      <c r="K519" s="868"/>
      <c r="L519" s="867"/>
      <c r="M519" s="867"/>
      <c r="N519" s="407"/>
    </row>
    <row r="520" spans="1:14" ht="18.95" customHeight="1">
      <c r="A520" s="863"/>
      <c r="B520" s="939"/>
      <c r="C520" s="876"/>
      <c r="D520" s="886"/>
      <c r="E520" s="868"/>
      <c r="F520" s="874"/>
      <c r="G520" s="868"/>
      <c r="H520" s="868"/>
      <c r="I520" s="867"/>
      <c r="J520" s="868"/>
      <c r="K520" s="868"/>
      <c r="L520" s="867"/>
      <c r="M520" s="867"/>
      <c r="N520" s="407"/>
    </row>
    <row r="521" spans="1:14" ht="18.95" customHeight="1">
      <c r="A521" s="863"/>
      <c r="B521" s="939"/>
      <c r="C521" s="876"/>
      <c r="D521" s="876"/>
      <c r="E521" s="868"/>
      <c r="F521" s="874"/>
      <c r="G521" s="868"/>
      <c r="H521" s="868"/>
      <c r="I521" s="867"/>
      <c r="J521" s="868"/>
      <c r="K521" s="868"/>
      <c r="L521" s="867"/>
      <c r="M521" s="867"/>
      <c r="N521" s="407"/>
    </row>
    <row r="522" spans="1:14" ht="18.95" customHeight="1">
      <c r="A522" s="863"/>
      <c r="B522" s="939"/>
      <c r="C522" s="876"/>
      <c r="D522" s="886"/>
      <c r="E522" s="752"/>
      <c r="F522" s="407"/>
      <c r="G522" s="867"/>
      <c r="H522" s="867"/>
      <c r="I522" s="867"/>
      <c r="J522" s="867"/>
      <c r="K522" s="867"/>
      <c r="L522" s="867"/>
      <c r="M522" s="867"/>
      <c r="N522" s="868"/>
    </row>
    <row r="523" spans="1:14" ht="18.95" customHeight="1">
      <c r="A523" s="863"/>
      <c r="B523" s="939"/>
      <c r="C523" s="876"/>
      <c r="D523" s="876"/>
      <c r="E523" s="868"/>
      <c r="F523" s="874"/>
      <c r="G523" s="868"/>
      <c r="H523" s="868"/>
      <c r="I523" s="867"/>
      <c r="J523" s="868"/>
      <c r="K523" s="868"/>
      <c r="L523" s="867"/>
      <c r="M523" s="867"/>
      <c r="N523" s="407"/>
    </row>
    <row r="524" spans="1:14" ht="18.95" customHeight="1">
      <c r="A524" s="863"/>
      <c r="B524" s="939"/>
      <c r="C524" s="876"/>
      <c r="D524" s="876"/>
      <c r="E524" s="868"/>
      <c r="F524" s="874"/>
      <c r="G524" s="868"/>
      <c r="H524" s="868"/>
      <c r="I524" s="867"/>
      <c r="J524" s="868"/>
      <c r="K524" s="868"/>
      <c r="L524" s="867"/>
      <c r="M524" s="867"/>
      <c r="N524" s="407"/>
    </row>
    <row r="525" spans="1:14" ht="18.95" customHeight="1">
      <c r="A525" s="863"/>
      <c r="B525" s="939"/>
      <c r="C525" s="876"/>
      <c r="D525" s="876"/>
      <c r="E525" s="868"/>
      <c r="F525" s="874"/>
      <c r="G525" s="867"/>
      <c r="H525" s="867"/>
      <c r="I525" s="752"/>
      <c r="J525" s="867"/>
      <c r="K525" s="867"/>
      <c r="L525" s="517"/>
      <c r="M525" s="867"/>
      <c r="N525" s="407"/>
    </row>
    <row r="526" spans="1:14" ht="18.95" customHeight="1">
      <c r="B526" s="1419"/>
      <c r="C526" s="1419"/>
      <c r="D526" s="1419"/>
      <c r="E526" s="868"/>
      <c r="F526" s="874"/>
      <c r="G526" s="868"/>
      <c r="H526" s="868"/>
      <c r="I526" s="868"/>
      <c r="J526" s="868"/>
      <c r="K526" s="868"/>
      <c r="L526" s="868"/>
      <c r="M526" s="935"/>
      <c r="N526" s="407"/>
    </row>
    <row r="527" spans="1:14" ht="18.95" customHeight="1">
      <c r="B527" s="895"/>
      <c r="C527" s="762"/>
      <c r="D527" s="762"/>
      <c r="E527" s="868"/>
      <c r="F527" s="874"/>
      <c r="G527" s="868"/>
      <c r="H527" s="868"/>
      <c r="I527" s="868"/>
      <c r="J527" s="868"/>
      <c r="K527" s="868"/>
      <c r="L527" s="868"/>
      <c r="M527" s="868"/>
      <c r="N527" s="407"/>
    </row>
    <row r="528" spans="1:14" ht="18.95" customHeight="1">
      <c r="A528" s="306"/>
      <c r="B528" s="884"/>
      <c r="C528" s="762"/>
      <c r="D528" s="762"/>
      <c r="E528" s="868"/>
      <c r="F528" s="874"/>
      <c r="G528" s="868"/>
      <c r="H528" s="868"/>
      <c r="I528" s="868"/>
      <c r="J528" s="868"/>
      <c r="K528" s="868"/>
      <c r="L528" s="868"/>
      <c r="M528" s="868"/>
      <c r="N528" s="407"/>
    </row>
    <row r="529" spans="1:14" ht="18.95" customHeight="1">
      <c r="A529" s="933"/>
      <c r="B529" s="946"/>
      <c r="C529" s="886"/>
      <c r="D529" s="768"/>
      <c r="E529" s="868"/>
      <c r="F529" s="874"/>
      <c r="G529" s="868"/>
      <c r="H529" s="868"/>
      <c r="I529" s="867"/>
      <c r="J529" s="868"/>
      <c r="K529" s="868"/>
      <c r="L529" s="867"/>
      <c r="M529" s="867"/>
      <c r="N529" s="407"/>
    </row>
    <row r="530" spans="1:14" ht="18.95" customHeight="1">
      <c r="A530" s="863"/>
      <c r="B530" s="888"/>
      <c r="C530" s="876"/>
      <c r="D530" s="886"/>
      <c r="E530" s="868"/>
      <c r="F530" s="874"/>
      <c r="G530" s="867"/>
      <c r="H530" s="867"/>
      <c r="I530" s="752"/>
      <c r="J530" s="868"/>
      <c r="K530" s="868"/>
      <c r="L530" s="517"/>
      <c r="M530" s="867"/>
      <c r="N530" s="407"/>
    </row>
    <row r="531" spans="1:14" ht="18.95" customHeight="1">
      <c r="A531" s="863"/>
      <c r="B531" s="939"/>
      <c r="C531" s="876"/>
      <c r="D531" s="876"/>
      <c r="E531" s="868"/>
      <c r="F531" s="874"/>
      <c r="G531" s="867"/>
      <c r="H531" s="867"/>
      <c r="I531" s="867"/>
      <c r="J531" s="867"/>
      <c r="K531" s="867"/>
      <c r="L531" s="867"/>
      <c r="M531" s="867"/>
      <c r="N531" s="407"/>
    </row>
    <row r="532" spans="1:14" ht="18.95" customHeight="1">
      <c r="A532" s="933"/>
      <c r="B532" s="939"/>
      <c r="C532" s="876"/>
      <c r="D532" s="876"/>
      <c r="E532" s="752"/>
      <c r="F532" s="874"/>
      <c r="G532" s="867"/>
      <c r="H532" s="867"/>
      <c r="I532" s="867"/>
      <c r="J532" s="867"/>
      <c r="K532" s="867"/>
      <c r="L532" s="867"/>
      <c r="M532" s="867"/>
      <c r="N532" s="407"/>
    </row>
    <row r="533" spans="1:14" ht="18.95" customHeight="1">
      <c r="A533" s="863"/>
      <c r="B533" s="939"/>
      <c r="C533" s="876"/>
      <c r="D533" s="768"/>
      <c r="E533" s="868"/>
      <c r="F533" s="874"/>
      <c r="G533" s="867"/>
      <c r="H533" s="867"/>
      <c r="I533" s="867"/>
      <c r="J533" s="947"/>
      <c r="K533" s="947"/>
      <c r="L533" s="867"/>
      <c r="M533" s="867"/>
      <c r="N533" s="407"/>
    </row>
    <row r="534" spans="1:14" ht="18.95" customHeight="1">
      <c r="A534" s="863"/>
      <c r="B534" s="939"/>
      <c r="C534" s="876"/>
      <c r="D534" s="769"/>
      <c r="E534" s="868"/>
      <c r="F534" s="874"/>
      <c r="G534" s="867"/>
      <c r="H534" s="867"/>
      <c r="I534" s="867"/>
      <c r="J534" s="867"/>
      <c r="K534" s="867"/>
      <c r="L534" s="867"/>
      <c r="M534" s="867"/>
      <c r="N534" s="407"/>
    </row>
    <row r="535" spans="1:14" ht="18.95" customHeight="1">
      <c r="A535" s="863"/>
      <c r="B535" s="888"/>
      <c r="C535" s="876"/>
      <c r="D535" s="886"/>
      <c r="E535" s="868"/>
      <c r="F535" s="874"/>
      <c r="G535" s="928"/>
      <c r="H535" s="928"/>
      <c r="I535" s="752"/>
      <c r="J535" s="928"/>
      <c r="K535" s="928"/>
      <c r="L535" s="517"/>
      <c r="M535" s="928"/>
      <c r="N535" s="407"/>
    </row>
    <row r="536" spans="1:14" ht="18.95" customHeight="1">
      <c r="A536" s="863"/>
      <c r="B536" s="939"/>
      <c r="C536" s="876"/>
      <c r="D536" s="876"/>
      <c r="E536" s="868"/>
      <c r="F536" s="874"/>
      <c r="G536" s="867"/>
      <c r="H536" s="867"/>
      <c r="I536" s="867"/>
      <c r="J536" s="867"/>
      <c r="K536" s="867"/>
      <c r="L536" s="867"/>
      <c r="M536" s="867"/>
      <c r="N536" s="407"/>
    </row>
    <row r="537" spans="1:14" ht="18.95" customHeight="1">
      <c r="A537" s="863"/>
      <c r="B537" s="939"/>
      <c r="C537" s="876"/>
      <c r="D537" s="876"/>
      <c r="E537" s="752"/>
      <c r="F537" s="874"/>
      <c r="G537" s="867"/>
      <c r="H537" s="867"/>
      <c r="I537" s="867"/>
      <c r="J537" s="867"/>
      <c r="K537" s="867"/>
      <c r="L537" s="867"/>
      <c r="M537" s="867"/>
      <c r="N537" s="407"/>
    </row>
    <row r="538" spans="1:14" ht="18.95" customHeight="1">
      <c r="A538" s="863"/>
      <c r="B538" s="939"/>
      <c r="C538" s="876"/>
      <c r="D538" s="768"/>
      <c r="E538" s="868"/>
      <c r="F538" s="874"/>
      <c r="G538" s="867"/>
      <c r="H538" s="867"/>
      <c r="I538" s="867"/>
      <c r="J538" s="867"/>
      <c r="K538" s="867"/>
      <c r="L538" s="867"/>
      <c r="M538" s="867"/>
      <c r="N538" s="407"/>
    </row>
    <row r="539" spans="1:14" ht="18.95" customHeight="1">
      <c r="A539" s="863"/>
      <c r="B539" s="939"/>
      <c r="C539" s="876"/>
      <c r="D539" s="769"/>
      <c r="E539" s="868"/>
      <c r="F539" s="874"/>
      <c r="G539" s="867"/>
      <c r="H539" s="867"/>
      <c r="I539" s="867"/>
      <c r="J539" s="867"/>
      <c r="K539" s="867"/>
      <c r="L539" s="867"/>
      <c r="M539" s="867"/>
      <c r="N539" s="407"/>
    </row>
    <row r="540" spans="1:14" ht="18.95" customHeight="1">
      <c r="A540" s="863"/>
      <c r="B540" s="888"/>
      <c r="C540" s="876"/>
      <c r="D540" s="886"/>
      <c r="E540" s="752"/>
      <c r="F540" s="874"/>
      <c r="G540" s="928"/>
      <c r="H540" s="928"/>
      <c r="I540" s="752"/>
      <c r="J540" s="928"/>
      <c r="K540" s="928"/>
      <c r="L540" s="517"/>
      <c r="M540" s="752"/>
      <c r="N540" s="407"/>
    </row>
    <row r="541" spans="1:14" ht="18.95" customHeight="1">
      <c r="A541" s="863"/>
      <c r="B541" s="939"/>
      <c r="C541" s="876"/>
      <c r="D541" s="876"/>
      <c r="E541" s="868"/>
      <c r="F541" s="874"/>
      <c r="G541" s="867"/>
      <c r="H541" s="867"/>
      <c r="I541" s="867"/>
      <c r="J541" s="867"/>
      <c r="K541" s="867"/>
      <c r="L541" s="867"/>
      <c r="M541" s="867"/>
      <c r="N541" s="407"/>
    </row>
    <row r="542" spans="1:14" ht="18.95" customHeight="1">
      <c r="A542" s="893"/>
      <c r="B542" s="939"/>
      <c r="C542" s="876"/>
      <c r="D542" s="876"/>
      <c r="E542" s="752"/>
      <c r="F542" s="874"/>
      <c r="G542" s="867"/>
      <c r="H542" s="867"/>
      <c r="I542" s="867"/>
      <c r="J542" s="867"/>
      <c r="K542" s="867"/>
      <c r="L542" s="867"/>
      <c r="M542" s="867"/>
      <c r="N542" s="407"/>
    </row>
    <row r="543" spans="1:14" ht="18.95" customHeight="1">
      <c r="A543" s="933"/>
      <c r="B543" s="939"/>
      <c r="C543" s="876"/>
      <c r="D543" s="768"/>
      <c r="E543" s="913"/>
      <c r="F543" s="874"/>
      <c r="G543" s="867"/>
      <c r="H543" s="867"/>
      <c r="I543" s="867"/>
      <c r="J543" s="867"/>
      <c r="K543" s="867"/>
      <c r="L543" s="867"/>
      <c r="M543" s="867"/>
      <c r="N543" s="407"/>
    </row>
    <row r="544" spans="1:14" ht="18.95" customHeight="1">
      <c r="A544" s="863"/>
      <c r="B544" s="939"/>
      <c r="C544" s="876"/>
      <c r="D544" s="769"/>
      <c r="E544" s="868"/>
      <c r="F544" s="874"/>
      <c r="G544" s="867"/>
      <c r="H544" s="867"/>
      <c r="I544" s="867"/>
      <c r="J544" s="867"/>
      <c r="K544" s="867"/>
      <c r="L544" s="867"/>
      <c r="M544" s="867"/>
      <c r="N544" s="407"/>
    </row>
    <row r="545" spans="1:14" ht="18.95" customHeight="1">
      <c r="A545" s="863"/>
      <c r="B545" s="888"/>
      <c r="C545" s="876"/>
      <c r="D545" s="886"/>
      <c r="E545" s="868"/>
      <c r="F545" s="874"/>
      <c r="G545" s="868"/>
      <c r="H545" s="868"/>
      <c r="I545" s="868"/>
      <c r="J545" s="868"/>
      <c r="K545" s="868"/>
      <c r="L545" s="868"/>
      <c r="M545" s="935"/>
      <c r="N545" s="407"/>
    </row>
    <row r="546" spans="1:14" ht="18.95" customHeight="1">
      <c r="B546" s="939"/>
      <c r="C546" s="876"/>
      <c r="D546" s="876"/>
      <c r="E546" s="868"/>
      <c r="F546" s="874"/>
      <c r="G546" s="867"/>
      <c r="H546" s="867"/>
      <c r="I546" s="867"/>
      <c r="J546" s="867"/>
      <c r="K546" s="867"/>
      <c r="L546" s="867"/>
      <c r="M546" s="867"/>
      <c r="N546" s="407"/>
    </row>
    <row r="547" spans="1:14" ht="18.95" customHeight="1">
      <c r="B547" s="939"/>
      <c r="C547" s="876"/>
      <c r="D547" s="876"/>
      <c r="E547" s="752"/>
      <c r="F547" s="874"/>
      <c r="G547" s="867"/>
      <c r="H547" s="867"/>
      <c r="I547" s="867"/>
      <c r="J547" s="867"/>
      <c r="K547" s="867"/>
      <c r="L547" s="867"/>
      <c r="M547" s="867"/>
      <c r="N547" s="407"/>
    </row>
    <row r="548" spans="1:14" ht="18.95" customHeight="1">
      <c r="B548" s="939"/>
      <c r="C548" s="876"/>
      <c r="D548" s="768"/>
      <c r="E548" s="868"/>
      <c r="F548" s="874"/>
      <c r="G548" s="867"/>
      <c r="H548" s="867"/>
      <c r="I548" s="867"/>
      <c r="J548" s="867"/>
      <c r="K548" s="867"/>
      <c r="L548" s="867"/>
      <c r="M548" s="867"/>
      <c r="N548" s="407"/>
    </row>
    <row r="549" spans="1:14" ht="18.95" customHeight="1">
      <c r="B549" s="939"/>
      <c r="C549" s="876"/>
      <c r="D549" s="769"/>
      <c r="E549" s="868"/>
      <c r="F549" s="874"/>
      <c r="G549" s="867"/>
      <c r="H549" s="867"/>
      <c r="I549" s="867"/>
      <c r="J549" s="867"/>
      <c r="K549" s="867"/>
      <c r="L549" s="867"/>
      <c r="M549" s="867"/>
      <c r="N549" s="407"/>
    </row>
    <row r="550" spans="1:14" ht="18.95" customHeight="1">
      <c r="A550" s="407"/>
      <c r="B550" s="888"/>
      <c r="C550" s="876"/>
      <c r="D550" s="769"/>
      <c r="E550" s="868"/>
      <c r="F550" s="874"/>
      <c r="G550" s="928"/>
      <c r="H550" s="928"/>
      <c r="I550" s="752"/>
      <c r="J550" s="928"/>
      <c r="K550" s="928"/>
      <c r="L550" s="517"/>
      <c r="M550" s="752"/>
      <c r="N550" s="407"/>
    </row>
    <row r="551" spans="1:14" ht="18.95" customHeight="1">
      <c r="B551" s="939"/>
      <c r="C551" s="876"/>
      <c r="D551" s="769"/>
      <c r="E551" s="752"/>
      <c r="F551" s="874"/>
      <c r="G551" s="867"/>
      <c r="H551" s="867"/>
      <c r="I551" s="867"/>
      <c r="J551" s="867"/>
      <c r="K551" s="867"/>
      <c r="L551" s="867"/>
      <c r="M551" s="867"/>
      <c r="N551" s="407"/>
    </row>
    <row r="552" spans="1:14" ht="18.95" customHeight="1">
      <c r="B552" s="939"/>
      <c r="C552" s="876"/>
      <c r="D552" s="948"/>
      <c r="E552" s="868"/>
      <c r="F552" s="874"/>
      <c r="G552" s="867"/>
      <c r="H552" s="867"/>
      <c r="I552" s="867"/>
      <c r="J552" s="867"/>
      <c r="K552" s="867"/>
      <c r="L552" s="867"/>
      <c r="M552" s="867"/>
      <c r="N552" s="407"/>
    </row>
    <row r="553" spans="1:14" ht="18.95" customHeight="1">
      <c r="B553" s="939"/>
      <c r="C553" s="876"/>
      <c r="D553" s="762"/>
      <c r="E553" s="868"/>
      <c r="F553" s="874"/>
      <c r="G553" s="867"/>
      <c r="H553" s="867"/>
      <c r="I553" s="867"/>
      <c r="J553" s="867"/>
      <c r="K553" s="867"/>
      <c r="L553" s="867"/>
      <c r="M553" s="867"/>
      <c r="N553" s="407"/>
    </row>
    <row r="554" spans="1:14" ht="18.95" customHeight="1">
      <c r="B554" s="939"/>
      <c r="C554" s="876"/>
      <c r="D554" s="762"/>
      <c r="E554" s="868"/>
      <c r="F554" s="874"/>
      <c r="G554" s="867"/>
      <c r="H554" s="867"/>
      <c r="I554" s="867"/>
      <c r="J554" s="867"/>
      <c r="K554" s="867"/>
      <c r="L554" s="867"/>
      <c r="M554" s="867"/>
      <c r="N554" s="407"/>
    </row>
    <row r="555" spans="1:14" ht="18.95" customHeight="1">
      <c r="B555" s="895"/>
      <c r="C555" s="762"/>
      <c r="D555" s="762"/>
      <c r="E555" s="868"/>
      <c r="F555" s="874"/>
      <c r="G555" s="868"/>
      <c r="H555" s="868"/>
      <c r="I555" s="868"/>
      <c r="J555" s="868"/>
      <c r="K555" s="868"/>
      <c r="L555" s="868"/>
      <c r="M555" s="868"/>
      <c r="N555" s="407"/>
    </row>
    <row r="556" spans="1:14" ht="18.95" customHeight="1">
      <c r="A556" s="863"/>
      <c r="B556" s="878"/>
      <c r="C556" s="885"/>
      <c r="D556" s="886"/>
      <c r="E556" s="752"/>
      <c r="F556" s="407"/>
      <c r="G556" s="752"/>
      <c r="H556" s="752"/>
      <c r="I556" s="752"/>
      <c r="J556" s="517"/>
      <c r="K556" s="517"/>
      <c r="L556" s="517"/>
      <c r="M556" s="752"/>
      <c r="N556" s="407"/>
    </row>
    <row r="557" spans="1:14" ht="18.95" customHeight="1">
      <c r="A557" s="933"/>
      <c r="B557" s="939"/>
      <c r="C557" s="876"/>
      <c r="D557" s="876"/>
      <c r="E557" s="868"/>
      <c r="F557" s="936"/>
      <c r="G557" s="867"/>
      <c r="H557" s="867"/>
      <c r="I557" s="867"/>
      <c r="J557" s="867"/>
      <c r="K557" s="867"/>
      <c r="L557" s="867"/>
      <c r="M557" s="867"/>
      <c r="N557" s="407"/>
    </row>
    <row r="558" spans="1:14" ht="18.95" customHeight="1">
      <c r="A558" s="893"/>
      <c r="B558" s="939"/>
      <c r="C558" s="876"/>
      <c r="D558" s="876"/>
      <c r="E558" s="868"/>
      <c r="F558" s="936"/>
      <c r="G558" s="867"/>
      <c r="H558" s="867"/>
      <c r="I558" s="867"/>
      <c r="J558" s="867"/>
      <c r="K558" s="867"/>
      <c r="L558" s="867"/>
      <c r="M558" s="867"/>
      <c r="N558" s="868"/>
    </row>
    <row r="559" spans="1:14" ht="18.95" customHeight="1">
      <c r="A559" s="863"/>
      <c r="B559" s="939"/>
      <c r="C559" s="876"/>
      <c r="D559" s="876"/>
      <c r="E559" s="868"/>
      <c r="F559" s="936"/>
      <c r="G559" s="867"/>
      <c r="H559" s="867"/>
      <c r="I559" s="867"/>
      <c r="J559" s="867"/>
      <c r="K559" s="867"/>
      <c r="L559" s="867"/>
      <c r="M559" s="867"/>
      <c r="N559" s="868"/>
    </row>
    <row r="560" spans="1:14" ht="18.95" customHeight="1">
      <c r="A560" s="863"/>
      <c r="B560" s="939"/>
      <c r="C560" s="876"/>
      <c r="D560" s="768"/>
      <c r="E560" s="868"/>
      <c r="F560" s="936"/>
      <c r="G560" s="867"/>
      <c r="H560" s="867"/>
      <c r="I560" s="867"/>
      <c r="J560" s="867"/>
      <c r="K560" s="867"/>
      <c r="L560" s="867"/>
      <c r="M560" s="867"/>
      <c r="N560" s="868"/>
    </row>
    <row r="561" spans="1:14" ht="18.95" customHeight="1">
      <c r="A561" s="863"/>
      <c r="B561" s="939"/>
      <c r="C561" s="876"/>
      <c r="D561" s="769"/>
      <c r="E561" s="868"/>
      <c r="F561" s="874"/>
      <c r="G561" s="867"/>
      <c r="H561" s="867"/>
      <c r="I561" s="867"/>
      <c r="J561" s="867"/>
      <c r="K561" s="867"/>
      <c r="L561" s="867"/>
      <c r="M561" s="867"/>
      <c r="N561" s="868"/>
    </row>
    <row r="562" spans="1:14" ht="18.95" customHeight="1">
      <c r="A562" s="863"/>
      <c r="B562" s="939"/>
      <c r="C562" s="876"/>
      <c r="D562" s="876"/>
      <c r="E562" s="868"/>
      <c r="F562" s="874"/>
      <c r="G562" s="867"/>
      <c r="H562" s="867"/>
      <c r="I562" s="867"/>
      <c r="J562" s="867"/>
      <c r="K562" s="867"/>
      <c r="L562" s="867"/>
      <c r="M562" s="867"/>
      <c r="N562" s="868"/>
    </row>
    <row r="563" spans="1:14" ht="18.95" customHeight="1">
      <c r="A563" s="863"/>
      <c r="B563" s="939"/>
      <c r="C563" s="876"/>
      <c r="D563" s="876"/>
      <c r="E563" s="868"/>
      <c r="F563" s="874"/>
      <c r="G563" s="867"/>
      <c r="H563" s="867"/>
      <c r="I563" s="867"/>
      <c r="J563" s="867"/>
      <c r="K563" s="867"/>
      <c r="L563" s="867"/>
      <c r="M563" s="867"/>
      <c r="N563" s="868"/>
    </row>
    <row r="564" spans="1:14" ht="18.95" customHeight="1">
      <c r="A564" s="863"/>
      <c r="B564" s="939"/>
      <c r="C564" s="876"/>
      <c r="D564" s="886"/>
      <c r="E564" s="560"/>
      <c r="F564" s="874"/>
      <c r="G564" s="867"/>
      <c r="H564" s="867"/>
      <c r="I564" s="867"/>
      <c r="J564" s="867"/>
      <c r="K564" s="867"/>
      <c r="L564" s="867"/>
      <c r="M564" s="867"/>
      <c r="N564" s="868"/>
    </row>
    <row r="565" spans="1:14" ht="18.95" customHeight="1">
      <c r="A565" s="863"/>
      <c r="B565" s="939"/>
      <c r="C565" s="876"/>
      <c r="D565" s="768"/>
      <c r="E565" s="560"/>
      <c r="F565" s="874"/>
      <c r="G565" s="867"/>
      <c r="H565" s="867"/>
      <c r="I565" s="867"/>
      <c r="J565" s="867"/>
      <c r="K565" s="867"/>
      <c r="L565" s="867"/>
      <c r="M565" s="867"/>
      <c r="N565" s="407"/>
    </row>
    <row r="566" spans="1:14" ht="18.95" customHeight="1">
      <c r="A566" s="863"/>
      <c r="B566" s="888"/>
      <c r="C566" s="886"/>
      <c r="D566" s="876"/>
      <c r="E566" s="913"/>
      <c r="F566" s="936"/>
      <c r="G566" s="560"/>
      <c r="H566" s="560"/>
      <c r="I566" s="867"/>
      <c r="J566" s="868"/>
      <c r="K566" s="868"/>
      <c r="L566" s="867"/>
      <c r="M566" s="867"/>
      <c r="N566" s="407"/>
    </row>
    <row r="567" spans="1:14" ht="18.95" customHeight="1">
      <c r="A567" s="893"/>
      <c r="B567" s="939"/>
      <c r="C567" s="876"/>
      <c r="D567" s="876"/>
      <c r="E567" s="868"/>
      <c r="F567" s="874"/>
      <c r="G567" s="867"/>
      <c r="H567" s="867"/>
      <c r="I567" s="867"/>
      <c r="J567" s="867"/>
      <c r="K567" s="867"/>
      <c r="L567" s="867"/>
      <c r="M567" s="867"/>
      <c r="N567" s="407"/>
    </row>
    <row r="568" spans="1:14" ht="18.95" customHeight="1">
      <c r="A568" s="893"/>
      <c r="B568" s="939"/>
      <c r="C568" s="876"/>
      <c r="D568" s="876"/>
      <c r="E568" s="868"/>
      <c r="F568" s="874"/>
      <c r="G568" s="867"/>
      <c r="H568" s="867"/>
      <c r="I568" s="867"/>
      <c r="J568" s="867"/>
      <c r="K568" s="867"/>
      <c r="L568" s="867"/>
      <c r="M568" s="867"/>
      <c r="N568" s="407"/>
    </row>
    <row r="569" spans="1:14" ht="18.95" customHeight="1">
      <c r="A569" s="863"/>
      <c r="B569" s="939"/>
      <c r="C569" s="876"/>
      <c r="D569" s="768"/>
      <c r="E569" s="868"/>
      <c r="F569" s="874"/>
      <c r="G569" s="867"/>
      <c r="H569" s="867"/>
      <c r="I569" s="867"/>
      <c r="J569" s="867"/>
      <c r="K569" s="867"/>
      <c r="L569" s="867"/>
      <c r="M569" s="867"/>
      <c r="N569" s="407"/>
    </row>
    <row r="570" spans="1:14" ht="18.95" customHeight="1">
      <c r="A570" s="863"/>
      <c r="B570" s="939"/>
      <c r="C570" s="876"/>
      <c r="D570" s="769"/>
      <c r="E570" s="868"/>
      <c r="F570" s="874"/>
      <c r="G570" s="867"/>
      <c r="H570" s="867"/>
      <c r="I570" s="867"/>
      <c r="J570" s="867"/>
      <c r="K570" s="867"/>
      <c r="L570" s="867"/>
      <c r="M570" s="867"/>
      <c r="N570" s="407"/>
    </row>
    <row r="571" spans="1:14" ht="18.95" customHeight="1">
      <c r="A571" s="863"/>
      <c r="B571" s="939"/>
      <c r="C571" s="876"/>
      <c r="D571" s="876"/>
      <c r="E571" s="868"/>
      <c r="F571" s="874"/>
      <c r="G571" s="867"/>
      <c r="H571" s="867"/>
      <c r="I571" s="867"/>
      <c r="J571" s="867"/>
      <c r="K571" s="867"/>
      <c r="L571" s="867"/>
      <c r="M571" s="867"/>
      <c r="N571" s="407"/>
    </row>
    <row r="572" spans="1:14" ht="18.95" customHeight="1">
      <c r="A572" s="863"/>
      <c r="B572" s="939"/>
      <c r="C572" s="876"/>
      <c r="D572" s="876"/>
      <c r="E572" s="868"/>
      <c r="F572" s="874"/>
      <c r="G572" s="867"/>
      <c r="H572" s="867"/>
      <c r="I572" s="867"/>
      <c r="J572" s="867"/>
      <c r="K572" s="867"/>
      <c r="L572" s="867"/>
      <c r="M572" s="867"/>
      <c r="N572" s="407"/>
    </row>
    <row r="573" spans="1:14" ht="18.95" customHeight="1">
      <c r="A573" s="863"/>
      <c r="B573" s="939"/>
      <c r="C573" s="876"/>
      <c r="D573" s="886"/>
      <c r="E573" s="560"/>
      <c r="F573" s="874"/>
      <c r="G573" s="867"/>
      <c r="H573" s="867"/>
      <c r="I573" s="867"/>
      <c r="J573" s="867"/>
      <c r="K573" s="867"/>
      <c r="L573" s="867"/>
      <c r="M573" s="867"/>
      <c r="N573" s="407"/>
    </row>
    <row r="574" spans="1:14" ht="18.95" customHeight="1">
      <c r="A574" s="949"/>
      <c r="B574" s="950"/>
      <c r="C574" s="767"/>
      <c r="D574" s="768"/>
      <c r="E574" s="560"/>
      <c r="F574" s="559"/>
      <c r="G574" s="560"/>
      <c r="H574" s="560"/>
      <c r="I574" s="560"/>
      <c r="J574" s="560"/>
      <c r="K574" s="560"/>
      <c r="L574" s="559"/>
      <c r="M574" s="560"/>
      <c r="N574" s="407"/>
    </row>
    <row r="575" spans="1:14" ht="18.95" customHeight="1">
      <c r="A575" s="933"/>
      <c r="B575" s="939"/>
      <c r="C575" s="876"/>
      <c r="D575" s="876"/>
      <c r="E575" s="913"/>
      <c r="F575" s="936"/>
      <c r="G575" s="867"/>
      <c r="H575" s="867"/>
      <c r="I575" s="867"/>
      <c r="J575" s="947"/>
      <c r="K575" s="947"/>
      <c r="L575" s="867"/>
      <c r="M575" s="867"/>
      <c r="N575" s="407"/>
    </row>
    <row r="576" spans="1:14" ht="18.95" customHeight="1">
      <c r="A576" s="863"/>
      <c r="B576" s="939"/>
      <c r="C576" s="876"/>
      <c r="D576" s="876"/>
      <c r="E576" s="913"/>
      <c r="F576" s="874"/>
      <c r="G576" s="867"/>
      <c r="H576" s="867"/>
      <c r="I576" s="867"/>
      <c r="J576" s="947"/>
      <c r="K576" s="947"/>
      <c r="L576" s="867"/>
      <c r="M576" s="867"/>
      <c r="N576" s="407"/>
    </row>
    <row r="577" spans="1:14" ht="18.95" customHeight="1">
      <c r="A577" s="863"/>
      <c r="B577" s="950"/>
      <c r="C577" s="876"/>
      <c r="D577" s="876"/>
      <c r="E577" s="913"/>
      <c r="F577" s="874"/>
      <c r="G577" s="868"/>
      <c r="H577" s="868"/>
      <c r="I577" s="867"/>
      <c r="J577" s="868"/>
      <c r="K577" s="868"/>
      <c r="L577" s="867"/>
      <c r="M577" s="867"/>
      <c r="N577" s="407"/>
    </row>
    <row r="578" spans="1:14" ht="18.95" customHeight="1">
      <c r="A578" s="933"/>
      <c r="B578" s="939"/>
      <c r="C578" s="876"/>
      <c r="D578" s="768"/>
      <c r="E578" s="913"/>
      <c r="F578" s="874"/>
      <c r="G578" s="867"/>
      <c r="H578" s="867"/>
      <c r="I578" s="867"/>
      <c r="J578" s="867"/>
      <c r="K578" s="867"/>
      <c r="L578" s="867"/>
      <c r="M578" s="867"/>
      <c r="N578" s="407"/>
    </row>
    <row r="579" spans="1:14" ht="18.95" customHeight="1">
      <c r="A579" s="893"/>
      <c r="B579" s="939"/>
      <c r="C579" s="876"/>
      <c r="D579" s="769"/>
      <c r="E579" s="913"/>
      <c r="F579" s="874"/>
      <c r="G579" s="867"/>
      <c r="H579" s="867"/>
      <c r="I579" s="867"/>
      <c r="J579" s="867"/>
      <c r="K579" s="867"/>
      <c r="L579" s="867"/>
      <c r="M579" s="867"/>
      <c r="N579" s="407"/>
    </row>
    <row r="580" spans="1:14" ht="18.95" customHeight="1">
      <c r="A580" s="893"/>
      <c r="B580" s="939"/>
      <c r="C580" s="876"/>
      <c r="D580" s="769"/>
      <c r="E580" s="913"/>
      <c r="F580" s="874"/>
      <c r="G580" s="867"/>
      <c r="H580" s="867"/>
      <c r="I580" s="867"/>
      <c r="J580" s="867"/>
      <c r="K580" s="867"/>
      <c r="L580" s="867"/>
      <c r="M580" s="867"/>
      <c r="N580" s="407"/>
    </row>
    <row r="581" spans="1:14" ht="18.95" customHeight="1">
      <c r="A581" s="863"/>
      <c r="B581" s="939"/>
      <c r="C581" s="876"/>
      <c r="D581" s="876"/>
      <c r="E581" s="868"/>
      <c r="F581" s="874"/>
      <c r="G581" s="867"/>
      <c r="H581" s="867"/>
      <c r="I581" s="867"/>
      <c r="J581" s="867"/>
      <c r="K581" s="867"/>
      <c r="L581" s="867"/>
      <c r="M581" s="867"/>
      <c r="N581" s="407"/>
    </row>
    <row r="582" spans="1:14" ht="18.95" customHeight="1">
      <c r="A582" s="863"/>
      <c r="B582" s="939"/>
      <c r="C582" s="876"/>
      <c r="D582" s="876"/>
      <c r="E582" s="868"/>
      <c r="F582" s="874"/>
      <c r="G582" s="867"/>
      <c r="H582" s="867"/>
      <c r="I582" s="867"/>
      <c r="J582" s="867"/>
      <c r="K582" s="867"/>
      <c r="L582" s="867"/>
      <c r="M582" s="867"/>
      <c r="N582" s="407"/>
    </row>
    <row r="583" spans="1:14" ht="18.95" customHeight="1">
      <c r="B583" s="895"/>
      <c r="C583" s="762"/>
      <c r="D583" s="762"/>
      <c r="E583" s="868"/>
      <c r="F583" s="874"/>
      <c r="G583" s="868"/>
      <c r="H583" s="868"/>
      <c r="I583" s="868"/>
      <c r="J583" s="868"/>
      <c r="K583" s="868"/>
      <c r="L583" s="868"/>
      <c r="M583" s="868"/>
      <c r="N583" s="407"/>
    </row>
    <row r="584" spans="1:14" ht="18.95" customHeight="1">
      <c r="B584" s="895"/>
      <c r="C584" s="762"/>
      <c r="D584" s="762"/>
      <c r="E584" s="868"/>
      <c r="F584" s="874"/>
      <c r="G584" s="868"/>
      <c r="H584" s="868"/>
      <c r="I584" s="868"/>
      <c r="J584" s="868"/>
      <c r="K584" s="868"/>
      <c r="L584" s="868"/>
      <c r="M584" s="868"/>
      <c r="N584" s="407"/>
    </row>
    <row r="585" spans="1:14" ht="18.95" customHeight="1">
      <c r="A585" s="863"/>
      <c r="B585" s="939"/>
      <c r="C585" s="876"/>
      <c r="D585" s="876"/>
      <c r="E585" s="868"/>
      <c r="F585" s="874"/>
      <c r="G585" s="867"/>
      <c r="H585" s="867"/>
      <c r="I585" s="867"/>
      <c r="J585" s="867"/>
      <c r="K585" s="867"/>
      <c r="L585" s="867"/>
      <c r="M585" s="867"/>
      <c r="N585" s="407"/>
    </row>
    <row r="586" spans="1:14" ht="18.95" customHeight="1">
      <c r="A586" s="863"/>
      <c r="B586" s="939"/>
      <c r="C586" s="876"/>
      <c r="D586" s="886"/>
      <c r="E586" s="868"/>
      <c r="F586" s="874"/>
      <c r="G586" s="867"/>
      <c r="H586" s="867"/>
      <c r="I586" s="867"/>
      <c r="J586" s="867"/>
      <c r="K586" s="867"/>
      <c r="L586" s="867"/>
      <c r="M586" s="867"/>
      <c r="N586" s="407"/>
    </row>
    <row r="587" spans="1:14" ht="18.95" customHeight="1">
      <c r="A587" s="883"/>
      <c r="B587" s="939"/>
      <c r="C587" s="897"/>
      <c r="D587" s="769"/>
      <c r="E587" s="752"/>
      <c r="F587" s="407"/>
      <c r="G587" s="752"/>
      <c r="H587" s="752"/>
      <c r="I587" s="867"/>
      <c r="J587" s="947"/>
      <c r="K587" s="947"/>
      <c r="L587" s="867"/>
      <c r="M587" s="867"/>
      <c r="N587" s="407"/>
    </row>
    <row r="588" spans="1:14" ht="18.95" customHeight="1">
      <c r="A588" s="933"/>
      <c r="B588" s="939"/>
      <c r="C588" s="876"/>
      <c r="D588" s="886"/>
      <c r="E588" s="868"/>
      <c r="F588" s="407"/>
      <c r="G588" s="867"/>
      <c r="H588" s="867"/>
      <c r="I588" s="867"/>
      <c r="J588" s="867"/>
      <c r="K588" s="867"/>
      <c r="L588" s="867"/>
      <c r="M588" s="867"/>
      <c r="N588" s="407"/>
    </row>
    <row r="589" spans="1:14" ht="18.95" customHeight="1">
      <c r="A589" s="893"/>
      <c r="B589" s="939"/>
      <c r="C589" s="876"/>
      <c r="D589" s="876"/>
      <c r="E589" s="868"/>
      <c r="F589" s="874"/>
      <c r="G589" s="560"/>
      <c r="H589" s="560"/>
      <c r="I589" s="867"/>
      <c r="J589" s="559"/>
      <c r="K589" s="559"/>
      <c r="L589" s="867"/>
      <c r="M589" s="867"/>
      <c r="N589" s="868"/>
    </row>
    <row r="590" spans="1:14" ht="18.95" customHeight="1">
      <c r="A590" s="863"/>
      <c r="B590" s="1418"/>
      <c r="C590" s="1418"/>
      <c r="D590" s="1418"/>
      <c r="E590" s="868"/>
      <c r="F590" s="874"/>
      <c r="G590" s="560"/>
      <c r="H590" s="560"/>
      <c r="I590" s="867"/>
      <c r="J590" s="560"/>
      <c r="K590" s="560"/>
      <c r="L590" s="867"/>
      <c r="M590" s="934"/>
      <c r="N590" s="868"/>
    </row>
    <row r="591" spans="1:14" ht="18.95" customHeight="1">
      <c r="A591" s="863"/>
      <c r="B591" s="939"/>
      <c r="C591" s="876"/>
      <c r="D591" s="876"/>
      <c r="E591" s="868"/>
      <c r="F591" s="874"/>
      <c r="G591" s="868"/>
      <c r="H591" s="868"/>
      <c r="I591" s="867"/>
      <c r="J591" s="868"/>
      <c r="K591" s="868"/>
      <c r="L591" s="867"/>
      <c r="M591" s="867"/>
      <c r="N591" s="868"/>
    </row>
    <row r="592" spans="1:14" ht="18.95" customHeight="1">
      <c r="A592" s="933"/>
      <c r="B592" s="939"/>
      <c r="C592" s="876"/>
      <c r="D592" s="876"/>
      <c r="E592" s="868"/>
      <c r="F592" s="874"/>
      <c r="G592" s="868"/>
      <c r="H592" s="868"/>
      <c r="I592" s="867"/>
      <c r="J592" s="560"/>
      <c r="K592" s="560"/>
      <c r="L592" s="867"/>
      <c r="M592" s="867"/>
      <c r="N592" s="868"/>
    </row>
    <row r="593" spans="1:14" ht="18.95" customHeight="1">
      <c r="A593" s="893"/>
      <c r="B593" s="939"/>
      <c r="C593" s="876"/>
      <c r="D593" s="876"/>
      <c r="E593" s="868"/>
      <c r="F593" s="874"/>
      <c r="G593" s="868"/>
      <c r="H593" s="868"/>
      <c r="I593" s="867"/>
      <c r="J593" s="868"/>
      <c r="K593" s="868"/>
      <c r="L593" s="867"/>
      <c r="M593" s="867"/>
      <c r="N593" s="868"/>
    </row>
    <row r="594" spans="1:14" ht="18.95" customHeight="1">
      <c r="A594" s="863"/>
      <c r="B594" s="939"/>
      <c r="C594" s="876"/>
      <c r="D594" s="876"/>
      <c r="E594" s="868"/>
      <c r="F594" s="874"/>
      <c r="G594" s="868"/>
      <c r="H594" s="868"/>
      <c r="I594" s="867"/>
      <c r="J594" s="868"/>
      <c r="K594" s="868"/>
      <c r="L594" s="867"/>
      <c r="M594" s="867"/>
      <c r="N594" s="868"/>
    </row>
    <row r="595" spans="1:14" ht="18.95" customHeight="1">
      <c r="A595" s="863"/>
      <c r="B595" s="939"/>
      <c r="C595" s="876"/>
      <c r="D595" s="769"/>
      <c r="E595" s="913"/>
      <c r="F595" s="874"/>
      <c r="G595" s="560"/>
      <c r="H595" s="560"/>
      <c r="I595" s="867"/>
      <c r="J595" s="560"/>
      <c r="K595" s="560"/>
      <c r="L595" s="867"/>
      <c r="M595" s="867"/>
      <c r="N595" s="407"/>
    </row>
    <row r="596" spans="1:14" ht="18.95" customHeight="1">
      <c r="A596" s="933"/>
      <c r="B596" s="884"/>
      <c r="C596" s="886"/>
      <c r="D596" s="876"/>
      <c r="E596" s="913"/>
      <c r="F596" s="936"/>
      <c r="G596" s="868"/>
      <c r="H596" s="868"/>
      <c r="I596" s="867"/>
      <c r="J596" s="868"/>
      <c r="K596" s="868"/>
      <c r="L596" s="867"/>
      <c r="M596" s="867"/>
      <c r="N596" s="407"/>
    </row>
    <row r="597" spans="1:14" ht="18.95" customHeight="1">
      <c r="A597" s="863"/>
      <c r="B597" s="939"/>
      <c r="C597" s="876"/>
      <c r="D597" s="876"/>
      <c r="E597" s="913"/>
      <c r="F597" s="874"/>
      <c r="G597" s="868"/>
      <c r="H597" s="868"/>
      <c r="I597" s="867"/>
      <c r="J597" s="868"/>
      <c r="K597" s="868"/>
      <c r="L597" s="867"/>
      <c r="M597" s="867"/>
      <c r="N597" s="407"/>
    </row>
    <row r="598" spans="1:14" ht="18.95" customHeight="1">
      <c r="A598" s="863"/>
      <c r="B598" s="939"/>
      <c r="C598" s="876"/>
      <c r="D598" s="876"/>
      <c r="E598" s="913"/>
      <c r="F598" s="874"/>
      <c r="G598" s="868"/>
      <c r="H598" s="868"/>
      <c r="I598" s="867"/>
      <c r="J598" s="868"/>
      <c r="K598" s="868"/>
      <c r="L598" s="867"/>
      <c r="M598" s="867"/>
      <c r="N598" s="407"/>
    </row>
    <row r="599" spans="1:14" ht="18.95" customHeight="1">
      <c r="A599" s="933"/>
      <c r="B599" s="939"/>
      <c r="C599" s="876"/>
      <c r="D599" s="768"/>
      <c r="E599" s="913"/>
      <c r="F599" s="874"/>
      <c r="G599" s="868"/>
      <c r="H599" s="868"/>
      <c r="I599" s="867"/>
      <c r="J599" s="868"/>
      <c r="K599" s="868"/>
      <c r="L599" s="867"/>
      <c r="M599" s="867"/>
      <c r="N599" s="407"/>
    </row>
    <row r="600" spans="1:14" ht="18.95" customHeight="1">
      <c r="A600" s="863"/>
      <c r="B600" s="939"/>
      <c r="C600" s="876"/>
      <c r="D600" s="769"/>
      <c r="E600" s="913"/>
      <c r="F600" s="874"/>
      <c r="G600" s="868"/>
      <c r="H600" s="868"/>
      <c r="I600" s="867"/>
      <c r="J600" s="868"/>
      <c r="K600" s="868"/>
      <c r="L600" s="867"/>
      <c r="M600" s="867"/>
      <c r="N600" s="407"/>
    </row>
    <row r="601" spans="1:14" ht="18.95" customHeight="1">
      <c r="A601" s="863"/>
      <c r="B601" s="939"/>
      <c r="C601" s="876"/>
      <c r="D601" s="876"/>
      <c r="E601" s="868"/>
      <c r="F601" s="874"/>
      <c r="G601" s="868"/>
      <c r="H601" s="868"/>
      <c r="I601" s="867"/>
      <c r="J601" s="868"/>
      <c r="K601" s="868"/>
      <c r="L601" s="867"/>
      <c r="M601" s="867"/>
      <c r="N601" s="407"/>
    </row>
    <row r="602" spans="1:14" ht="18.95" customHeight="1">
      <c r="A602" s="933"/>
      <c r="B602" s="939"/>
      <c r="C602" s="876"/>
      <c r="D602" s="876"/>
      <c r="E602" s="868"/>
      <c r="F602" s="874"/>
      <c r="G602" s="868"/>
      <c r="H602" s="868"/>
      <c r="I602" s="867"/>
      <c r="J602" s="868"/>
      <c r="K602" s="868"/>
      <c r="L602" s="867"/>
      <c r="M602" s="867"/>
      <c r="N602" s="407"/>
    </row>
    <row r="603" spans="1:14" ht="18.95" customHeight="1">
      <c r="A603" s="893"/>
      <c r="B603" s="1418"/>
      <c r="C603" s="1418"/>
      <c r="D603" s="1418"/>
      <c r="E603" s="868"/>
      <c r="F603" s="874"/>
      <c r="G603" s="898"/>
      <c r="H603" s="898"/>
      <c r="I603" s="867"/>
      <c r="J603" s="868"/>
      <c r="K603" s="868"/>
      <c r="L603" s="867"/>
      <c r="M603" s="934"/>
      <c r="N603" s="407"/>
    </row>
    <row r="604" spans="1:14" ht="18.95" customHeight="1">
      <c r="A604" s="863"/>
      <c r="B604" s="884"/>
      <c r="C604" s="876"/>
      <c r="D604" s="768"/>
      <c r="E604" s="560"/>
      <c r="F604" s="951"/>
      <c r="G604" s="560"/>
      <c r="H604" s="560"/>
      <c r="I604" s="560"/>
      <c r="J604" s="560"/>
      <c r="K604" s="560"/>
      <c r="L604" s="559"/>
      <c r="M604" s="560"/>
      <c r="N604" s="407"/>
    </row>
    <row r="605" spans="1:14" ht="18.95" customHeight="1">
      <c r="A605" s="933"/>
      <c r="B605" s="884"/>
      <c r="C605" s="886"/>
      <c r="D605" s="876"/>
      <c r="E605" s="868"/>
      <c r="F605" s="874"/>
      <c r="G605" s="868"/>
      <c r="H605" s="868"/>
      <c r="I605" s="867"/>
      <c r="J605" s="868"/>
      <c r="K605" s="868"/>
      <c r="L605" s="867"/>
      <c r="M605" s="867"/>
      <c r="N605" s="407"/>
    </row>
    <row r="606" spans="1:14" ht="18.95" customHeight="1">
      <c r="A606" s="893"/>
      <c r="B606" s="939"/>
      <c r="C606" s="876"/>
      <c r="D606" s="876"/>
      <c r="E606" s="868"/>
      <c r="F606" s="874"/>
      <c r="G606" s="560"/>
      <c r="H606" s="560"/>
      <c r="I606" s="867"/>
      <c r="J606" s="559"/>
      <c r="K606" s="559"/>
      <c r="L606" s="867"/>
      <c r="M606" s="867"/>
      <c r="N606" s="407"/>
    </row>
    <row r="607" spans="1:14" ht="18.95" customHeight="1">
      <c r="A607" s="863"/>
      <c r="B607" s="939"/>
      <c r="C607" s="876"/>
      <c r="D607" s="876"/>
      <c r="E607" s="868"/>
      <c r="F607" s="874"/>
      <c r="G607" s="560"/>
      <c r="H607" s="560"/>
      <c r="I607" s="867"/>
      <c r="J607" s="560"/>
      <c r="K607" s="560"/>
      <c r="L607" s="867"/>
      <c r="M607" s="867"/>
      <c r="N607" s="407"/>
    </row>
    <row r="608" spans="1:14" ht="18.95" customHeight="1">
      <c r="A608" s="863"/>
      <c r="B608" s="939"/>
      <c r="C608" s="876"/>
      <c r="D608" s="876"/>
      <c r="E608" s="868"/>
      <c r="F608" s="874"/>
      <c r="G608" s="868"/>
      <c r="H608" s="868"/>
      <c r="I608" s="867"/>
      <c r="J608" s="868"/>
      <c r="K608" s="868"/>
      <c r="L608" s="867"/>
      <c r="M608" s="867"/>
      <c r="N608" s="407"/>
    </row>
    <row r="609" spans="1:14" ht="18.95" customHeight="1">
      <c r="A609" s="933"/>
      <c r="B609" s="939"/>
      <c r="C609" s="876"/>
      <c r="D609" s="876"/>
      <c r="E609" s="868"/>
      <c r="F609" s="874"/>
      <c r="G609" s="868"/>
      <c r="H609" s="868"/>
      <c r="I609" s="867"/>
      <c r="J609" s="560"/>
      <c r="K609" s="560"/>
      <c r="L609" s="867"/>
      <c r="M609" s="867"/>
      <c r="N609" s="407"/>
    </row>
    <row r="610" spans="1:14" ht="18.95" customHeight="1">
      <c r="A610" s="863"/>
      <c r="B610" s="1418"/>
      <c r="C610" s="1418"/>
      <c r="D610" s="1418"/>
      <c r="E610" s="913"/>
      <c r="F610" s="874"/>
      <c r="G610" s="868"/>
      <c r="H610" s="868"/>
      <c r="I610" s="867"/>
      <c r="J610" s="868"/>
      <c r="K610" s="868"/>
      <c r="L610" s="867"/>
      <c r="M610" s="934"/>
      <c r="N610" s="407"/>
    </row>
    <row r="611" spans="1:14" ht="18.95" customHeight="1">
      <c r="B611" s="895"/>
      <c r="C611" s="762"/>
      <c r="D611" s="762"/>
      <c r="E611" s="868"/>
      <c r="F611" s="874"/>
      <c r="G611" s="868"/>
      <c r="H611" s="868"/>
      <c r="I611" s="868"/>
      <c r="J611" s="868"/>
      <c r="K611" s="868"/>
      <c r="L611" s="868"/>
      <c r="M611" s="868"/>
      <c r="N611" s="407"/>
    </row>
    <row r="612" spans="1:14" ht="18.95" customHeight="1">
      <c r="A612" s="883"/>
      <c r="B612" s="907"/>
      <c r="C612" s="885"/>
      <c r="D612" s="769"/>
      <c r="E612" s="752"/>
      <c r="F612" s="407"/>
      <c r="G612" s="752"/>
      <c r="H612" s="752"/>
      <c r="I612" s="752"/>
      <c r="J612" s="752"/>
      <c r="K612" s="752"/>
      <c r="L612" s="517"/>
      <c r="M612" s="906"/>
      <c r="N612" s="407"/>
    </row>
    <row r="613" spans="1:14" ht="18.95" customHeight="1">
      <c r="A613" s="863"/>
      <c r="B613" s="890"/>
      <c r="C613" s="876"/>
      <c r="D613" s="876"/>
      <c r="E613" s="868"/>
      <c r="F613" s="874"/>
      <c r="G613" s="868"/>
      <c r="H613" s="868"/>
      <c r="I613" s="952"/>
      <c r="J613" s="868"/>
      <c r="K613" s="868"/>
      <c r="L613" s="952"/>
      <c r="M613" s="953"/>
      <c r="N613" s="868"/>
    </row>
    <row r="614" spans="1:14" ht="18.95" customHeight="1">
      <c r="A614" s="863"/>
      <c r="B614" s="954"/>
      <c r="C614" s="876"/>
      <c r="D614" s="876"/>
      <c r="E614" s="868"/>
      <c r="F614" s="874"/>
      <c r="G614" s="867"/>
      <c r="H614" s="867"/>
      <c r="I614" s="867"/>
      <c r="J614" s="867"/>
      <c r="K614" s="867"/>
      <c r="L614" s="867"/>
      <c r="M614" s="867"/>
      <c r="N614" s="868"/>
    </row>
    <row r="615" spans="1:14" ht="18.95" customHeight="1">
      <c r="A615" s="863"/>
      <c r="B615" s="954"/>
      <c r="C615" s="876"/>
      <c r="D615" s="768"/>
      <c r="E615" s="868"/>
      <c r="F615" s="874"/>
      <c r="G615" s="867"/>
      <c r="H615" s="867"/>
      <c r="I615" s="867"/>
      <c r="J615" s="867"/>
      <c r="K615" s="867"/>
      <c r="L615" s="867"/>
      <c r="M615" s="867"/>
      <c r="N615" s="868"/>
    </row>
    <row r="616" spans="1:14" ht="18.95" customHeight="1">
      <c r="A616" s="863"/>
      <c r="B616" s="954"/>
      <c r="C616" s="876"/>
      <c r="D616" s="769"/>
      <c r="E616" s="868"/>
      <c r="F616" s="874"/>
      <c r="G616" s="868"/>
      <c r="H616" s="868"/>
      <c r="I616" s="952"/>
      <c r="J616" s="868"/>
      <c r="K616" s="868"/>
      <c r="L616" s="952"/>
      <c r="M616" s="953"/>
      <c r="N616" s="868"/>
    </row>
    <row r="617" spans="1:14" ht="18.95" customHeight="1">
      <c r="A617" s="863"/>
      <c r="B617" s="954"/>
      <c r="C617" s="876"/>
      <c r="D617" s="876"/>
      <c r="E617" s="868"/>
      <c r="F617" s="874"/>
      <c r="G617" s="867"/>
      <c r="H617" s="867"/>
      <c r="I617" s="867"/>
      <c r="J617" s="867"/>
      <c r="K617" s="867"/>
      <c r="L617" s="867"/>
      <c r="M617" s="867"/>
      <c r="N617" s="868"/>
    </row>
    <row r="618" spans="1:14" ht="18.95" customHeight="1">
      <c r="A618" s="863"/>
      <c r="B618" s="954"/>
      <c r="C618" s="876"/>
      <c r="D618" s="876"/>
      <c r="E618" s="868"/>
      <c r="F618" s="874"/>
      <c r="G618" s="867"/>
      <c r="H618" s="867"/>
      <c r="I618" s="867"/>
      <c r="J618" s="867"/>
      <c r="K618" s="867"/>
      <c r="L618" s="867"/>
      <c r="M618" s="867"/>
      <c r="N618" s="868"/>
    </row>
    <row r="619" spans="1:14" ht="18.95" customHeight="1">
      <c r="A619" s="863"/>
      <c r="B619" s="954"/>
      <c r="C619" s="876"/>
      <c r="D619" s="886"/>
      <c r="E619" s="913"/>
      <c r="F619" s="874"/>
      <c r="G619" s="867"/>
      <c r="H619" s="867"/>
      <c r="I619" s="867"/>
      <c r="J619" s="867"/>
      <c r="K619" s="867"/>
      <c r="L619" s="867"/>
      <c r="M619" s="867"/>
      <c r="N619" s="868"/>
    </row>
    <row r="620" spans="1:14" ht="18.95" customHeight="1">
      <c r="A620" s="863"/>
      <c r="B620" s="954"/>
      <c r="C620" s="876"/>
      <c r="D620" s="886"/>
      <c r="E620" s="913"/>
      <c r="F620" s="874"/>
      <c r="G620" s="867"/>
      <c r="H620" s="867"/>
      <c r="I620" s="867"/>
      <c r="J620" s="867"/>
      <c r="K620" s="867"/>
      <c r="L620" s="867"/>
      <c r="M620" s="867"/>
      <c r="N620" s="407"/>
    </row>
    <row r="621" spans="1:14" ht="18.95" customHeight="1">
      <c r="A621" s="933"/>
      <c r="B621" s="954"/>
      <c r="C621" s="876"/>
      <c r="D621" s="876"/>
      <c r="E621" s="560"/>
      <c r="F621" s="936"/>
      <c r="G621" s="560"/>
      <c r="H621" s="560"/>
      <c r="I621" s="867"/>
      <c r="J621" s="868"/>
      <c r="K621" s="868"/>
      <c r="L621" s="867"/>
      <c r="M621" s="867"/>
      <c r="N621" s="407"/>
    </row>
    <row r="622" spans="1:14" ht="18.95" customHeight="1">
      <c r="A622" s="933"/>
      <c r="B622" s="954"/>
      <c r="C622" s="876"/>
      <c r="D622" s="886"/>
      <c r="E622" s="868"/>
      <c r="F622" s="874"/>
      <c r="G622" s="868"/>
      <c r="H622" s="868"/>
      <c r="I622" s="867"/>
      <c r="J622" s="868"/>
      <c r="K622" s="868"/>
      <c r="L622" s="867"/>
      <c r="M622" s="867"/>
      <c r="N622" s="407"/>
    </row>
    <row r="623" spans="1:14" ht="18.95" customHeight="1">
      <c r="A623" s="863"/>
      <c r="B623" s="954"/>
      <c r="C623" s="876"/>
      <c r="D623" s="876"/>
      <c r="E623" s="560"/>
      <c r="F623" s="559"/>
      <c r="G623" s="868"/>
      <c r="H623" s="868"/>
      <c r="I623" s="952"/>
      <c r="J623" s="867"/>
      <c r="K623" s="867"/>
      <c r="L623" s="952"/>
      <c r="M623" s="953"/>
      <c r="N623" s="407"/>
    </row>
    <row r="624" spans="1:14" ht="18.95" customHeight="1">
      <c r="A624" s="863"/>
      <c r="B624" s="939"/>
      <c r="C624" s="876"/>
      <c r="D624" s="876"/>
      <c r="E624" s="560"/>
      <c r="F624" s="936"/>
      <c r="G624" s="868"/>
      <c r="H624" s="868"/>
      <c r="I624" s="952"/>
      <c r="J624" s="867"/>
      <c r="K624" s="867"/>
      <c r="L624" s="952"/>
      <c r="M624" s="953"/>
      <c r="N624" s="407"/>
    </row>
    <row r="625" spans="1:14" ht="18.95" customHeight="1">
      <c r="A625" s="863"/>
      <c r="B625" s="939"/>
      <c r="C625" s="876"/>
      <c r="D625" s="876"/>
      <c r="E625" s="913"/>
      <c r="F625" s="874"/>
      <c r="G625" s="867"/>
      <c r="H625" s="867"/>
      <c r="I625" s="867"/>
      <c r="J625" s="867"/>
      <c r="K625" s="867"/>
      <c r="L625" s="867"/>
      <c r="M625" s="867"/>
      <c r="N625" s="407"/>
    </row>
    <row r="626" spans="1:14" ht="18.95" customHeight="1">
      <c r="A626" s="863"/>
      <c r="B626" s="939"/>
      <c r="C626" s="876"/>
      <c r="D626" s="876"/>
      <c r="E626" s="913"/>
      <c r="F626" s="874"/>
      <c r="G626" s="867"/>
      <c r="H626" s="867"/>
      <c r="I626" s="867"/>
      <c r="J626" s="867"/>
      <c r="K626" s="867"/>
      <c r="L626" s="867"/>
      <c r="M626" s="867"/>
      <c r="N626" s="407"/>
    </row>
    <row r="627" spans="1:14" ht="18.95" customHeight="1">
      <c r="A627" s="863"/>
      <c r="B627" s="888"/>
      <c r="C627" s="876"/>
      <c r="D627" s="769"/>
      <c r="E627" s="868"/>
      <c r="F627" s="874"/>
      <c r="G627" s="868"/>
      <c r="H627" s="868"/>
      <c r="I627" s="867"/>
      <c r="J627" s="868"/>
      <c r="K627" s="868"/>
      <c r="L627" s="867"/>
      <c r="M627" s="867"/>
      <c r="N627" s="407"/>
    </row>
    <row r="628" spans="1:14" ht="18.95" customHeight="1">
      <c r="A628" s="933"/>
      <c r="B628" s="939"/>
      <c r="C628" s="876"/>
      <c r="D628" s="768"/>
      <c r="E628" s="913"/>
      <c r="F628" s="874"/>
      <c r="G628" s="867"/>
      <c r="H628" s="867"/>
      <c r="I628" s="867"/>
      <c r="J628" s="867"/>
      <c r="K628" s="867"/>
      <c r="L628" s="867"/>
      <c r="M628" s="867"/>
      <c r="N628" s="407"/>
    </row>
    <row r="629" spans="1:14" ht="18.95" customHeight="1">
      <c r="A629" s="893"/>
      <c r="B629" s="939"/>
      <c r="C629" s="876"/>
      <c r="D629" s="886"/>
      <c r="E629" s="913"/>
      <c r="F629" s="874"/>
      <c r="G629" s="867"/>
      <c r="H629" s="867"/>
      <c r="I629" s="867"/>
      <c r="J629" s="867"/>
      <c r="K629" s="867"/>
      <c r="L629" s="867"/>
      <c r="M629" s="867"/>
      <c r="N629" s="407"/>
    </row>
    <row r="630" spans="1:14" ht="18.95" customHeight="1">
      <c r="A630" s="863"/>
      <c r="B630" s="939"/>
      <c r="C630" s="762"/>
      <c r="D630" s="762"/>
      <c r="E630" s="868"/>
      <c r="F630" s="874"/>
      <c r="G630" s="867"/>
      <c r="H630" s="867"/>
      <c r="I630" s="867"/>
      <c r="J630" s="867"/>
      <c r="K630" s="867"/>
      <c r="L630" s="867"/>
      <c r="M630" s="867"/>
      <c r="N630" s="407"/>
    </row>
    <row r="631" spans="1:14" ht="18.95" customHeight="1">
      <c r="A631" s="863"/>
      <c r="B631" s="939"/>
      <c r="C631" s="762"/>
      <c r="D631" s="762"/>
      <c r="E631" s="868"/>
      <c r="F631" s="874"/>
      <c r="G631" s="867"/>
      <c r="H631" s="867"/>
      <c r="I631" s="867"/>
      <c r="J631" s="867"/>
      <c r="K631" s="867"/>
      <c r="L631" s="867"/>
      <c r="M631" s="867"/>
      <c r="N631" s="407"/>
    </row>
    <row r="632" spans="1:14" ht="18.95" customHeight="1">
      <c r="A632" s="933"/>
      <c r="B632" s="939"/>
      <c r="C632" s="762"/>
      <c r="D632" s="762"/>
      <c r="E632" s="868"/>
      <c r="F632" s="874"/>
      <c r="G632" s="867"/>
      <c r="H632" s="867"/>
      <c r="I632" s="867"/>
      <c r="J632" s="867"/>
      <c r="K632" s="867"/>
      <c r="L632" s="867"/>
      <c r="M632" s="867"/>
      <c r="N632" s="407"/>
    </row>
    <row r="633" spans="1:14" ht="18.95" customHeight="1">
      <c r="A633" s="933"/>
      <c r="B633" s="955"/>
      <c r="C633" s="897"/>
      <c r="D633" s="768"/>
      <c r="E633" s="752"/>
      <c r="F633" s="407"/>
      <c r="G633" s="867"/>
      <c r="H633" s="867"/>
      <c r="I633" s="867"/>
      <c r="J633" s="867"/>
      <c r="K633" s="867"/>
      <c r="L633" s="867"/>
      <c r="M633" s="867"/>
      <c r="N633" s="407"/>
    </row>
    <row r="634" spans="1:14" ht="18.95" customHeight="1">
      <c r="A634" s="863"/>
      <c r="B634" s="939"/>
      <c r="C634" s="897"/>
      <c r="D634" s="768"/>
      <c r="E634" s="752"/>
      <c r="F634" s="407"/>
      <c r="G634" s="867"/>
      <c r="H634" s="867"/>
      <c r="I634" s="867"/>
      <c r="J634" s="867"/>
      <c r="K634" s="867"/>
      <c r="L634" s="867"/>
      <c r="M634" s="867"/>
      <c r="N634" s="407"/>
    </row>
    <row r="635" spans="1:14" ht="18.95" customHeight="1">
      <c r="A635" s="863"/>
      <c r="B635" s="939"/>
      <c r="C635" s="897"/>
      <c r="D635" s="768"/>
      <c r="E635" s="752"/>
      <c r="F635" s="407"/>
      <c r="G635" s="867"/>
      <c r="H635" s="867"/>
      <c r="I635" s="867"/>
      <c r="J635" s="867"/>
      <c r="K635" s="867"/>
      <c r="L635" s="867"/>
      <c r="M635" s="867"/>
      <c r="N635" s="407"/>
    </row>
    <row r="636" spans="1:14" ht="18.95" customHeight="1">
      <c r="A636" s="863"/>
      <c r="B636" s="939"/>
      <c r="C636" s="762"/>
      <c r="D636" s="768"/>
      <c r="E636" s="752"/>
      <c r="F636" s="407"/>
      <c r="G636" s="867"/>
      <c r="H636" s="867"/>
      <c r="I636" s="867"/>
      <c r="J636" s="867"/>
      <c r="K636" s="867"/>
      <c r="L636" s="867"/>
      <c r="M636" s="867"/>
      <c r="N636" s="407"/>
    </row>
    <row r="637" spans="1:14" ht="18.95" customHeight="1">
      <c r="A637" s="933"/>
      <c r="B637" s="939"/>
      <c r="C637" s="762"/>
      <c r="D637" s="768"/>
      <c r="E637" s="752"/>
      <c r="F637" s="874"/>
      <c r="G637" s="867"/>
      <c r="H637" s="867"/>
      <c r="I637" s="867"/>
      <c r="J637" s="867"/>
      <c r="K637" s="867"/>
      <c r="L637" s="867"/>
      <c r="M637" s="867"/>
      <c r="N637" s="407"/>
    </row>
    <row r="638" spans="1:14" ht="18.95" customHeight="1">
      <c r="A638" s="893"/>
      <c r="B638" s="939"/>
      <c r="C638" s="762"/>
      <c r="D638" s="762"/>
      <c r="E638" s="752"/>
      <c r="F638" s="874"/>
      <c r="G638" s="867"/>
      <c r="H638" s="867"/>
      <c r="I638" s="867"/>
      <c r="J638" s="867"/>
      <c r="K638" s="867"/>
      <c r="L638" s="867"/>
      <c r="M638" s="867"/>
      <c r="N638" s="407"/>
    </row>
    <row r="639" spans="1:14" ht="18.95" customHeight="1">
      <c r="A639" s="863"/>
      <c r="B639" s="939"/>
      <c r="C639" s="876"/>
      <c r="D639" s="762"/>
      <c r="E639" s="752"/>
      <c r="F639" s="407"/>
      <c r="G639" s="867"/>
      <c r="H639" s="867"/>
      <c r="I639" s="867"/>
      <c r="J639" s="867"/>
      <c r="K639" s="867"/>
      <c r="L639" s="867"/>
      <c r="M639" s="867"/>
      <c r="N639" s="407"/>
    </row>
    <row r="640" spans="1:14" ht="18.95" customHeight="1">
      <c r="B640" s="939"/>
      <c r="C640" s="762"/>
      <c r="D640" s="762"/>
      <c r="E640" s="868"/>
      <c r="F640" s="874"/>
      <c r="G640" s="868"/>
      <c r="H640" s="868"/>
      <c r="I640" s="868"/>
      <c r="J640" s="868"/>
      <c r="K640" s="868"/>
      <c r="L640" s="868"/>
      <c r="M640" s="868"/>
      <c r="N640" s="407"/>
    </row>
    <row r="641" spans="1:16" ht="18.95" customHeight="1">
      <c r="A641" s="924"/>
      <c r="B641" s="895"/>
      <c r="C641" s="762"/>
      <c r="D641" s="762"/>
      <c r="E641" s="752"/>
      <c r="F641" s="407"/>
      <c r="G641" s="752"/>
      <c r="H641" s="752"/>
      <c r="I641" s="752"/>
      <c r="J641" s="752"/>
      <c r="K641" s="752"/>
      <c r="L641" s="517"/>
      <c r="M641" s="906"/>
      <c r="N641" s="407"/>
    </row>
    <row r="642" spans="1:16" ht="18.95" customHeight="1">
      <c r="A642" s="871"/>
      <c r="B642" s="939"/>
      <c r="C642" s="762"/>
      <c r="D642" s="762"/>
      <c r="E642" s="752"/>
      <c r="F642" s="874"/>
      <c r="G642" s="867"/>
      <c r="H642" s="867"/>
      <c r="I642" s="867"/>
      <c r="J642" s="867"/>
      <c r="K642" s="867"/>
      <c r="L642" s="867"/>
      <c r="M642" s="867"/>
      <c r="N642" s="407"/>
    </row>
    <row r="643" spans="1:16" ht="18.95" customHeight="1">
      <c r="A643" s="933"/>
      <c r="B643" s="939"/>
      <c r="C643" s="762"/>
      <c r="D643" s="762"/>
      <c r="E643" s="752"/>
      <c r="F643" s="874"/>
      <c r="G643" s="867"/>
      <c r="H643" s="867"/>
      <c r="I643" s="867"/>
      <c r="J643" s="867"/>
      <c r="K643" s="867"/>
      <c r="L643" s="867"/>
      <c r="M643" s="867"/>
      <c r="N643" s="868"/>
    </row>
    <row r="644" spans="1:16" ht="18.95" customHeight="1">
      <c r="A644" s="863"/>
      <c r="B644" s="939"/>
      <c r="C644" s="762"/>
      <c r="D644" s="762"/>
      <c r="E644" s="752"/>
      <c r="F644" s="874"/>
      <c r="G644" s="867"/>
      <c r="H644" s="867"/>
      <c r="I644" s="867"/>
      <c r="J644" s="867"/>
      <c r="K644" s="867"/>
      <c r="L644" s="867"/>
      <c r="M644" s="867"/>
      <c r="N644" s="868"/>
      <c r="P644" s="522"/>
    </row>
    <row r="645" spans="1:16" ht="18.95" customHeight="1">
      <c r="A645" s="863"/>
      <c r="B645" s="956"/>
      <c r="C645" s="762"/>
      <c r="D645" s="762"/>
      <c r="E645" s="752"/>
      <c r="F645" s="874"/>
      <c r="G645" s="868"/>
      <c r="H645" s="868"/>
      <c r="I645" s="868"/>
      <c r="J645" s="868"/>
      <c r="K645" s="868"/>
      <c r="L645" s="868"/>
      <c r="M645" s="935"/>
      <c r="N645" s="868"/>
    </row>
    <row r="646" spans="1:16" ht="18.95" customHeight="1">
      <c r="A646" s="871"/>
      <c r="B646" s="939"/>
      <c r="C646" s="762"/>
      <c r="D646" s="762"/>
      <c r="E646" s="752"/>
      <c r="F646" s="874"/>
      <c r="G646" s="867"/>
      <c r="H646" s="867"/>
      <c r="I646" s="867"/>
      <c r="J646" s="867"/>
      <c r="K646" s="867"/>
      <c r="L646" s="867"/>
      <c r="M646" s="867"/>
      <c r="N646" s="868"/>
    </row>
    <row r="647" spans="1:16" ht="18.95" customHeight="1">
      <c r="A647" s="871"/>
      <c r="B647" s="939"/>
      <c r="C647" s="762"/>
      <c r="D647" s="762"/>
      <c r="E647" s="752"/>
      <c r="F647" s="874"/>
      <c r="G647" s="867"/>
      <c r="H647" s="867"/>
      <c r="I647" s="867"/>
      <c r="J647" s="867"/>
      <c r="K647" s="867"/>
      <c r="L647" s="867"/>
      <c r="M647" s="867"/>
      <c r="N647" s="868"/>
    </row>
    <row r="648" spans="1:16" ht="18.95" customHeight="1">
      <c r="A648" s="871"/>
      <c r="B648" s="939"/>
      <c r="C648" s="876"/>
      <c r="D648" s="762"/>
      <c r="E648" s="752"/>
      <c r="F648" s="874"/>
      <c r="G648" s="867"/>
      <c r="H648" s="867"/>
      <c r="I648" s="867"/>
      <c r="J648" s="867"/>
      <c r="K648" s="867"/>
      <c r="L648" s="867"/>
      <c r="M648" s="867"/>
      <c r="N648" s="868"/>
    </row>
    <row r="649" spans="1:16" ht="18.95" customHeight="1">
      <c r="A649" s="924"/>
      <c r="B649" s="895"/>
      <c r="C649" s="762"/>
      <c r="D649" s="762"/>
      <c r="E649" s="752"/>
      <c r="F649" s="874"/>
      <c r="G649" s="867"/>
      <c r="H649" s="867"/>
      <c r="I649" s="867"/>
      <c r="J649" s="867"/>
      <c r="K649" s="867"/>
      <c r="L649" s="867"/>
      <c r="M649" s="867"/>
      <c r="N649" s="868"/>
    </row>
    <row r="650" spans="1:16" ht="18.95" customHeight="1">
      <c r="A650" s="871"/>
      <c r="B650" s="939"/>
      <c r="C650" s="762"/>
      <c r="D650" s="762"/>
      <c r="E650" s="752"/>
      <c r="F650" s="874"/>
      <c r="G650" s="867"/>
      <c r="H650" s="867"/>
      <c r="I650" s="867"/>
      <c r="J650" s="867"/>
      <c r="K650" s="867"/>
      <c r="L650" s="867"/>
      <c r="M650" s="867"/>
      <c r="N650" s="407"/>
    </row>
    <row r="651" spans="1:16" ht="18.95" customHeight="1">
      <c r="A651" s="933"/>
      <c r="B651" s="939"/>
      <c r="C651" s="762"/>
      <c r="D651" s="762"/>
      <c r="E651" s="752"/>
      <c r="F651" s="874"/>
      <c r="G651" s="867"/>
      <c r="H651" s="867"/>
      <c r="I651" s="867"/>
      <c r="J651" s="867"/>
      <c r="K651" s="867"/>
      <c r="L651" s="867"/>
      <c r="M651" s="867"/>
      <c r="N651" s="407"/>
    </row>
    <row r="652" spans="1:16" ht="18.95" customHeight="1">
      <c r="A652" s="863"/>
      <c r="B652" s="939"/>
      <c r="C652" s="762"/>
      <c r="D652" s="762"/>
      <c r="E652" s="752"/>
      <c r="F652" s="874"/>
      <c r="G652" s="867"/>
      <c r="H652" s="867"/>
      <c r="I652" s="867"/>
      <c r="J652" s="867"/>
      <c r="K652" s="867"/>
      <c r="L652" s="867"/>
      <c r="M652" s="867"/>
      <c r="N652" s="407"/>
    </row>
    <row r="653" spans="1:16" ht="18.95" customHeight="1">
      <c r="A653" s="863"/>
      <c r="B653" s="956"/>
      <c r="C653" s="762"/>
      <c r="D653" s="762"/>
      <c r="E653" s="752"/>
      <c r="F653" s="874"/>
      <c r="G653" s="868"/>
      <c r="H653" s="868"/>
      <c r="I653" s="868"/>
      <c r="J653" s="868"/>
      <c r="K653" s="868"/>
      <c r="L653" s="868"/>
      <c r="M653" s="935"/>
      <c r="N653" s="407"/>
    </row>
    <row r="654" spans="1:16" ht="18.95" customHeight="1">
      <c r="A654" s="871"/>
      <c r="B654" s="939"/>
      <c r="C654" s="762"/>
      <c r="D654" s="762"/>
      <c r="E654" s="752"/>
      <c r="F654" s="874"/>
      <c r="G654" s="867"/>
      <c r="H654" s="867"/>
      <c r="I654" s="867"/>
      <c r="J654" s="867"/>
      <c r="K654" s="867"/>
      <c r="L654" s="867"/>
      <c r="M654" s="867"/>
      <c r="N654" s="407"/>
    </row>
    <row r="655" spans="1:16" ht="18.95" customHeight="1">
      <c r="A655" s="871"/>
      <c r="B655" s="939"/>
      <c r="C655" s="762"/>
      <c r="D655" s="762"/>
      <c r="E655" s="752"/>
      <c r="F655" s="874"/>
      <c r="G655" s="867"/>
      <c r="H655" s="867"/>
      <c r="I655" s="867"/>
      <c r="J655" s="867"/>
      <c r="K655" s="867"/>
      <c r="L655" s="867"/>
      <c r="M655" s="867"/>
      <c r="N655" s="407"/>
    </row>
    <row r="656" spans="1:16" ht="18.95" customHeight="1">
      <c r="A656" s="871"/>
      <c r="B656" s="939"/>
      <c r="C656" s="762"/>
      <c r="D656" s="762"/>
      <c r="E656" s="752"/>
      <c r="F656" s="874"/>
      <c r="G656" s="867"/>
      <c r="H656" s="867"/>
      <c r="I656" s="867"/>
      <c r="J656" s="867"/>
      <c r="K656" s="867"/>
      <c r="L656" s="867"/>
      <c r="M656" s="867"/>
      <c r="N656" s="407"/>
    </row>
    <row r="657" spans="1:14" ht="18.95" customHeight="1">
      <c r="A657" s="924"/>
      <c r="B657" s="895"/>
      <c r="C657" s="762"/>
      <c r="D657" s="762"/>
      <c r="E657" s="752"/>
      <c r="F657" s="874"/>
      <c r="G657" s="867"/>
      <c r="H657" s="867"/>
      <c r="I657" s="867"/>
      <c r="J657" s="867"/>
      <c r="K657" s="867"/>
      <c r="L657" s="867"/>
      <c r="M657" s="867"/>
      <c r="N657" s="407"/>
    </row>
    <row r="658" spans="1:14" ht="18.95" customHeight="1">
      <c r="A658" s="871"/>
      <c r="B658" s="939"/>
      <c r="C658" s="762"/>
      <c r="D658" s="762"/>
      <c r="E658" s="752"/>
      <c r="F658" s="874"/>
      <c r="G658" s="867"/>
      <c r="H658" s="867"/>
      <c r="I658" s="867"/>
      <c r="J658" s="867"/>
      <c r="K658" s="867"/>
      <c r="L658" s="867"/>
      <c r="M658" s="867"/>
      <c r="N658" s="407"/>
    </row>
    <row r="659" spans="1:14" ht="18.95" customHeight="1">
      <c r="A659" s="933"/>
      <c r="B659" s="939"/>
      <c r="C659" s="762"/>
      <c r="D659" s="762"/>
      <c r="E659" s="752"/>
      <c r="F659" s="874"/>
      <c r="G659" s="867"/>
      <c r="H659" s="867"/>
      <c r="I659" s="867"/>
      <c r="J659" s="867"/>
      <c r="K659" s="867"/>
      <c r="L659" s="867"/>
      <c r="M659" s="867"/>
      <c r="N659" s="407"/>
    </row>
    <row r="660" spans="1:14" ht="18.95" customHeight="1">
      <c r="A660" s="863"/>
      <c r="B660" s="939"/>
      <c r="C660" s="762"/>
      <c r="D660" s="762"/>
      <c r="E660" s="752"/>
      <c r="F660" s="874"/>
      <c r="G660" s="867"/>
      <c r="H660" s="867"/>
      <c r="I660" s="867"/>
      <c r="J660" s="867"/>
      <c r="K660" s="867"/>
      <c r="L660" s="867"/>
      <c r="M660" s="867"/>
      <c r="N660" s="407"/>
    </row>
    <row r="661" spans="1:14" ht="18.95" customHeight="1">
      <c r="A661" s="871"/>
      <c r="B661" s="956"/>
      <c r="C661" s="762"/>
      <c r="D661" s="762"/>
      <c r="E661" s="752"/>
      <c r="F661" s="874"/>
      <c r="G661" s="868"/>
      <c r="H661" s="868"/>
      <c r="I661" s="868"/>
      <c r="J661" s="868"/>
      <c r="K661" s="868"/>
      <c r="L661" s="868"/>
      <c r="M661" s="935"/>
      <c r="N661" s="407"/>
    </row>
    <row r="662" spans="1:14" ht="18.95" customHeight="1">
      <c r="A662" s="871"/>
      <c r="B662" s="939"/>
      <c r="C662" s="762"/>
      <c r="D662" s="762"/>
      <c r="E662" s="752"/>
      <c r="F662" s="874"/>
      <c r="G662" s="867"/>
      <c r="H662" s="867"/>
      <c r="I662" s="867"/>
      <c r="J662" s="867"/>
      <c r="K662" s="867"/>
      <c r="L662" s="867"/>
      <c r="M662" s="867"/>
      <c r="N662" s="407"/>
    </row>
    <row r="663" spans="1:14" ht="18.95" customHeight="1">
      <c r="A663" s="871"/>
      <c r="B663" s="939"/>
      <c r="C663" s="762"/>
      <c r="D663" s="762"/>
      <c r="E663" s="752"/>
      <c r="F663" s="874"/>
      <c r="G663" s="867"/>
      <c r="H663" s="867"/>
      <c r="I663" s="867"/>
      <c r="J663" s="867"/>
      <c r="K663" s="867"/>
      <c r="L663" s="867"/>
      <c r="M663" s="867"/>
      <c r="N663" s="407"/>
    </row>
    <row r="664" spans="1:14" ht="18.95" customHeight="1">
      <c r="A664" s="924"/>
      <c r="B664" s="939"/>
      <c r="C664" s="762"/>
      <c r="D664" s="762"/>
      <c r="E664" s="752"/>
      <c r="F664" s="874"/>
      <c r="G664" s="867"/>
      <c r="H664" s="867"/>
      <c r="I664" s="867"/>
      <c r="J664" s="867"/>
      <c r="K664" s="867"/>
      <c r="L664" s="867"/>
      <c r="M664" s="867"/>
      <c r="N664" s="407"/>
    </row>
    <row r="665" spans="1:14" ht="18.95" customHeight="1">
      <c r="A665" s="924"/>
      <c r="B665" s="895"/>
      <c r="C665" s="762"/>
      <c r="D665" s="762"/>
      <c r="E665" s="868"/>
      <c r="F665" s="874"/>
      <c r="G665" s="867"/>
      <c r="H665" s="867"/>
      <c r="I665" s="867"/>
      <c r="J665" s="867"/>
      <c r="K665" s="867"/>
      <c r="L665" s="867"/>
      <c r="M665" s="867"/>
      <c r="N665" s="407"/>
    </row>
    <row r="666" spans="1:14" ht="18.95" customHeight="1">
      <c r="A666" s="924"/>
      <c r="B666" s="939"/>
      <c r="C666" s="876"/>
      <c r="D666" s="762"/>
      <c r="E666" s="752"/>
      <c r="F666" s="874"/>
      <c r="G666" s="867"/>
      <c r="H666" s="867"/>
      <c r="I666" s="867"/>
      <c r="J666" s="867"/>
      <c r="K666" s="867"/>
      <c r="L666" s="867"/>
      <c r="M666" s="867"/>
      <c r="N666" s="407"/>
    </row>
    <row r="667" spans="1:14" ht="18.95" customHeight="1">
      <c r="A667" s="863"/>
      <c r="B667" s="956"/>
      <c r="C667" s="762"/>
      <c r="D667" s="762"/>
      <c r="E667" s="868"/>
      <c r="F667" s="874"/>
      <c r="G667" s="868"/>
      <c r="H667" s="868"/>
      <c r="I667" s="868"/>
      <c r="J667" s="868"/>
      <c r="K667" s="868"/>
      <c r="L667" s="868"/>
      <c r="M667" s="868"/>
      <c r="N667" s="407"/>
    </row>
    <row r="668" spans="1:14" ht="18.95" customHeight="1">
      <c r="A668" s="883"/>
      <c r="B668" s="939"/>
      <c r="C668" s="762"/>
      <c r="D668" s="762"/>
      <c r="E668" s="752"/>
      <c r="F668" s="407"/>
      <c r="G668" s="752"/>
      <c r="H668" s="752"/>
      <c r="I668" s="752"/>
      <c r="J668" s="752"/>
      <c r="K668" s="752"/>
      <c r="L668" s="517"/>
      <c r="M668" s="906"/>
      <c r="N668" s="407"/>
    </row>
    <row r="669" spans="1:14" ht="18.95" customHeight="1">
      <c r="A669" s="924"/>
      <c r="B669" s="939"/>
      <c r="C669" s="762"/>
      <c r="D669" s="762"/>
      <c r="E669" s="752"/>
      <c r="F669" s="874"/>
      <c r="G669" s="867"/>
      <c r="H669" s="867"/>
      <c r="I669" s="867"/>
      <c r="J669" s="867"/>
      <c r="K669" s="867"/>
      <c r="L669" s="867"/>
      <c r="M669" s="867"/>
      <c r="N669" s="407"/>
    </row>
    <row r="670" spans="1:14" ht="18.95" customHeight="1">
      <c r="A670" s="924"/>
      <c r="B670" s="939"/>
      <c r="C670" s="762"/>
      <c r="D670" s="762"/>
      <c r="E670" s="752"/>
      <c r="F670" s="874"/>
      <c r="G670" s="867"/>
      <c r="H670" s="867"/>
      <c r="I670" s="867"/>
      <c r="J670" s="867"/>
      <c r="K670" s="867"/>
      <c r="L670" s="867"/>
      <c r="M670" s="867"/>
      <c r="N670" s="868"/>
    </row>
    <row r="671" spans="1:14" ht="18.95" customHeight="1">
      <c r="A671" s="933"/>
      <c r="B671" s="939"/>
      <c r="C671" s="876"/>
      <c r="D671" s="768"/>
      <c r="E671" s="752"/>
      <c r="F671" s="874"/>
      <c r="G671" s="867"/>
      <c r="H671" s="867"/>
      <c r="I671" s="867"/>
      <c r="J671" s="867"/>
      <c r="K671" s="867"/>
      <c r="L671" s="867"/>
      <c r="M671" s="867"/>
      <c r="N671" s="868"/>
    </row>
    <row r="672" spans="1:14" ht="18.95" customHeight="1">
      <c r="A672" s="863"/>
      <c r="B672" s="939"/>
      <c r="C672" s="762"/>
      <c r="D672" s="762"/>
      <c r="E672" s="752"/>
      <c r="F672" s="874"/>
      <c r="G672" s="867"/>
      <c r="H672" s="867"/>
      <c r="I672" s="867"/>
      <c r="J672" s="867"/>
      <c r="K672" s="867"/>
      <c r="L672" s="867"/>
      <c r="M672" s="867"/>
      <c r="N672" s="868"/>
    </row>
    <row r="673" spans="1:14" ht="18.95" customHeight="1">
      <c r="A673" s="863"/>
      <c r="B673" s="939"/>
      <c r="C673" s="876"/>
      <c r="D673" s="762"/>
      <c r="E673" s="752"/>
      <c r="F673" s="874"/>
      <c r="G673" s="867"/>
      <c r="H673" s="867"/>
      <c r="I673" s="867"/>
      <c r="J673" s="867"/>
      <c r="K673" s="867"/>
      <c r="L673" s="867"/>
      <c r="M673" s="867"/>
      <c r="N673" s="868"/>
    </row>
    <row r="674" spans="1:14" ht="18.95" customHeight="1">
      <c r="A674" s="924"/>
      <c r="B674" s="895"/>
      <c r="C674" s="762"/>
      <c r="D674" s="762"/>
      <c r="E674" s="752"/>
      <c r="F674" s="874"/>
      <c r="G674" s="867"/>
      <c r="H674" s="867"/>
      <c r="I674" s="867"/>
      <c r="J674" s="867"/>
      <c r="K674" s="867"/>
      <c r="L674" s="867"/>
      <c r="M674" s="867"/>
      <c r="N674" s="868"/>
    </row>
    <row r="675" spans="1:14" ht="18.95" customHeight="1">
      <c r="A675" s="924"/>
      <c r="B675" s="939"/>
      <c r="C675" s="876"/>
      <c r="D675" s="886"/>
      <c r="E675" s="868"/>
      <c r="F675" s="874"/>
      <c r="G675" s="867"/>
      <c r="H675" s="867"/>
      <c r="I675" s="867"/>
      <c r="J675" s="867"/>
      <c r="K675" s="867"/>
      <c r="L675" s="867"/>
      <c r="M675" s="867"/>
      <c r="N675" s="868"/>
    </row>
    <row r="676" spans="1:14" ht="18.95" customHeight="1">
      <c r="A676" s="924"/>
      <c r="B676" s="895"/>
      <c r="C676" s="762"/>
      <c r="D676" s="762"/>
      <c r="E676" s="752"/>
      <c r="F676" s="874"/>
      <c r="G676" s="867"/>
      <c r="H676" s="867"/>
      <c r="I676" s="867"/>
      <c r="J676" s="867"/>
      <c r="K676" s="867"/>
      <c r="L676" s="867"/>
      <c r="M676" s="867"/>
      <c r="N676" s="868"/>
    </row>
    <row r="677" spans="1:14" ht="18.95" customHeight="1">
      <c r="A677" s="924"/>
      <c r="B677" s="939"/>
      <c r="C677" s="762"/>
      <c r="D677" s="762"/>
      <c r="E677" s="868"/>
      <c r="F677" s="874"/>
      <c r="G677" s="867"/>
      <c r="H677" s="867"/>
      <c r="I677" s="867"/>
      <c r="J677" s="559"/>
      <c r="K677" s="559"/>
      <c r="L677" s="867"/>
      <c r="M677" s="867"/>
      <c r="N677" s="407"/>
    </row>
    <row r="678" spans="1:14" ht="18.95" customHeight="1">
      <c r="A678" s="863"/>
      <c r="B678" s="939"/>
      <c r="C678" s="762"/>
      <c r="D678" s="762"/>
      <c r="E678" s="868"/>
      <c r="F678" s="407"/>
      <c r="G678" s="867"/>
      <c r="H678" s="867"/>
      <c r="I678" s="867"/>
      <c r="J678" s="867"/>
      <c r="K678" s="867"/>
      <c r="L678" s="867"/>
      <c r="M678" s="867"/>
      <c r="N678" s="407"/>
    </row>
    <row r="679" spans="1:14" ht="18.95" customHeight="1">
      <c r="A679" s="863"/>
      <c r="B679" s="939"/>
      <c r="C679" s="762"/>
      <c r="D679" s="762"/>
      <c r="E679" s="868"/>
      <c r="F679" s="874"/>
      <c r="G679" s="867"/>
      <c r="H679" s="867"/>
      <c r="I679" s="868"/>
      <c r="J679" s="868"/>
      <c r="K679" s="868"/>
      <c r="L679" s="868"/>
      <c r="M679" s="935"/>
      <c r="N679" s="407"/>
    </row>
    <row r="680" spans="1:14" ht="18.95" customHeight="1">
      <c r="A680" s="863"/>
      <c r="B680" s="939"/>
      <c r="C680" s="762"/>
      <c r="D680" s="762"/>
      <c r="E680" s="868"/>
      <c r="F680" s="874"/>
      <c r="G680" s="867"/>
      <c r="H680" s="867"/>
      <c r="I680" s="867"/>
      <c r="J680" s="867"/>
      <c r="K680" s="867"/>
      <c r="L680" s="867"/>
      <c r="M680" s="867"/>
      <c r="N680" s="407"/>
    </row>
    <row r="681" spans="1:14" ht="18.95" customHeight="1">
      <c r="A681" s="924"/>
      <c r="B681" s="895"/>
      <c r="C681" s="886"/>
      <c r="D681" s="768"/>
      <c r="E681" s="752"/>
      <c r="F681" s="874"/>
      <c r="G681" s="867"/>
      <c r="H681" s="867"/>
      <c r="I681" s="867"/>
      <c r="J681" s="867"/>
      <c r="K681" s="867"/>
      <c r="L681" s="867"/>
      <c r="M681" s="867"/>
      <c r="N681" s="407"/>
    </row>
    <row r="682" spans="1:14" ht="18.95" customHeight="1">
      <c r="A682" s="871"/>
      <c r="B682" s="939"/>
      <c r="C682" s="876"/>
      <c r="D682" s="769"/>
      <c r="E682" s="868"/>
      <c r="F682" s="407"/>
      <c r="G682" s="867"/>
      <c r="H682" s="867"/>
      <c r="I682" s="867"/>
      <c r="J682" s="867"/>
      <c r="K682" s="867"/>
      <c r="L682" s="867"/>
      <c r="M682" s="867"/>
      <c r="N682" s="407"/>
    </row>
    <row r="683" spans="1:14" ht="18.95" customHeight="1">
      <c r="A683" s="871"/>
      <c r="B683" s="939"/>
      <c r="C683" s="762"/>
      <c r="D683" s="769"/>
      <c r="E683" s="868"/>
      <c r="F683" s="874"/>
      <c r="G683" s="867"/>
      <c r="H683" s="867"/>
      <c r="I683" s="867"/>
      <c r="J683" s="867"/>
      <c r="K683" s="867"/>
      <c r="L683" s="867"/>
      <c r="M683" s="867"/>
      <c r="N683" s="407"/>
    </row>
    <row r="684" spans="1:14" ht="18.95" customHeight="1">
      <c r="A684" s="871"/>
      <c r="B684" s="939"/>
      <c r="C684" s="762"/>
      <c r="D684" s="876"/>
      <c r="E684" s="752"/>
      <c r="F684" s="407"/>
      <c r="G684" s="867"/>
      <c r="H684" s="867"/>
      <c r="I684" s="867"/>
      <c r="J684" s="947"/>
      <c r="K684" s="947"/>
      <c r="L684" s="867"/>
      <c r="M684" s="867"/>
      <c r="N684" s="407"/>
    </row>
    <row r="685" spans="1:14" ht="18.95" customHeight="1">
      <c r="A685" s="871"/>
      <c r="B685" s="895"/>
      <c r="C685" s="762"/>
      <c r="D685" s="876"/>
      <c r="E685" s="752"/>
      <c r="F685" s="874"/>
      <c r="G685" s="867"/>
      <c r="H685" s="867"/>
      <c r="I685" s="867"/>
      <c r="J685" s="867"/>
      <c r="K685" s="867"/>
      <c r="L685" s="867"/>
      <c r="M685" s="867"/>
      <c r="N685" s="407"/>
    </row>
    <row r="686" spans="1:14" ht="18.95" customHeight="1">
      <c r="A686" s="871"/>
      <c r="B686" s="895"/>
      <c r="C686" s="762"/>
      <c r="D686" s="876"/>
      <c r="E686" s="752"/>
      <c r="F686" s="874"/>
      <c r="G686" s="867"/>
      <c r="H686" s="867"/>
      <c r="I686" s="867"/>
      <c r="J686" s="867"/>
      <c r="K686" s="867"/>
      <c r="L686" s="867"/>
      <c r="M686" s="867"/>
      <c r="N686" s="407"/>
    </row>
    <row r="687" spans="1:14" ht="18.95" customHeight="1">
      <c r="A687" s="871"/>
      <c r="B687" s="939"/>
      <c r="C687" s="762"/>
      <c r="D687" s="769"/>
      <c r="E687" s="752"/>
      <c r="F687" s="407"/>
      <c r="G687" s="867"/>
      <c r="H687" s="867"/>
      <c r="I687" s="867"/>
      <c r="J687" s="947"/>
      <c r="K687" s="947"/>
      <c r="L687" s="867"/>
      <c r="M687" s="867"/>
      <c r="N687" s="407"/>
    </row>
    <row r="688" spans="1:14" ht="18.95" customHeight="1">
      <c r="A688" s="924"/>
      <c r="B688" s="869"/>
      <c r="C688" s="762"/>
      <c r="D688" s="876"/>
      <c r="E688" s="752"/>
      <c r="F688" s="874"/>
      <c r="G688" s="867"/>
      <c r="H688" s="867"/>
      <c r="I688" s="867"/>
      <c r="J688" s="867"/>
      <c r="K688" s="867"/>
      <c r="L688" s="867"/>
      <c r="M688" s="867"/>
      <c r="N688" s="407"/>
    </row>
    <row r="689" spans="1:14" ht="18.95" customHeight="1">
      <c r="A689" s="871"/>
      <c r="B689" s="1417"/>
      <c r="C689" s="1417"/>
      <c r="D689" s="1417"/>
      <c r="E689" s="752"/>
      <c r="F689" s="874"/>
      <c r="G689" s="867"/>
      <c r="H689" s="867"/>
      <c r="I689" s="867"/>
      <c r="J689" s="867"/>
      <c r="K689" s="867"/>
      <c r="L689" s="867"/>
      <c r="M689" s="934"/>
      <c r="N689" s="407"/>
    </row>
    <row r="690" spans="1:14" ht="18.95" customHeight="1">
      <c r="A690" s="871"/>
      <c r="B690" s="939"/>
      <c r="C690" s="762"/>
      <c r="D690" s="768"/>
      <c r="E690" s="868"/>
      <c r="F690" s="874"/>
      <c r="G690" s="867"/>
      <c r="H690" s="867"/>
      <c r="I690" s="867"/>
      <c r="J690" s="867"/>
      <c r="K690" s="867"/>
      <c r="L690" s="867"/>
      <c r="M690" s="867"/>
      <c r="N690" s="407"/>
    </row>
    <row r="691" spans="1:14" ht="18.95" customHeight="1">
      <c r="A691" s="871"/>
      <c r="B691" s="939"/>
      <c r="C691" s="762"/>
      <c r="D691" s="768"/>
      <c r="E691" s="868"/>
      <c r="F691" s="874"/>
      <c r="G691" s="867"/>
      <c r="H691" s="867"/>
      <c r="I691" s="867"/>
      <c r="J691" s="867"/>
      <c r="K691" s="867"/>
      <c r="L691" s="867"/>
      <c r="M691" s="867"/>
      <c r="N691" s="407"/>
    </row>
    <row r="692" spans="1:14" ht="18.95" customHeight="1">
      <c r="A692" s="871"/>
      <c r="B692" s="939"/>
      <c r="C692" s="762"/>
      <c r="D692" s="768"/>
      <c r="E692" s="868"/>
      <c r="F692" s="874"/>
      <c r="G692" s="867"/>
      <c r="H692" s="867"/>
      <c r="I692" s="867"/>
      <c r="J692" s="867"/>
      <c r="K692" s="867"/>
      <c r="L692" s="867"/>
      <c r="M692" s="867"/>
      <c r="N692" s="407"/>
    </row>
    <row r="693" spans="1:14" ht="18.95" customHeight="1">
      <c r="A693" s="863"/>
      <c r="B693" s="939"/>
      <c r="C693" s="876"/>
      <c r="D693" s="768"/>
      <c r="E693" s="868"/>
      <c r="F693" s="874"/>
      <c r="G693" s="868"/>
      <c r="H693" s="868"/>
      <c r="I693" s="868"/>
      <c r="J693" s="868"/>
      <c r="K693" s="868"/>
      <c r="L693" s="868"/>
      <c r="M693" s="868"/>
      <c r="N693" s="407"/>
    </row>
    <row r="694" spans="1:14" ht="18.95" customHeight="1">
      <c r="B694" s="886"/>
      <c r="C694" s="886"/>
      <c r="D694" s="886"/>
      <c r="E694" s="868"/>
      <c r="F694" s="874"/>
      <c r="G694" s="868"/>
      <c r="H694" s="868"/>
      <c r="I694" s="868"/>
      <c r="J694" s="868"/>
      <c r="K694" s="868"/>
      <c r="L694" s="868"/>
      <c r="M694" s="868"/>
      <c r="N694" s="407"/>
    </row>
    <row r="695" spans="1:14" ht="18.95" customHeight="1">
      <c r="B695" s="1418"/>
      <c r="C695" s="1418"/>
      <c r="D695" s="1418"/>
      <c r="E695" s="868"/>
      <c r="F695" s="874"/>
      <c r="G695" s="868"/>
      <c r="H695" s="868"/>
      <c r="I695" s="868"/>
      <c r="J695" s="868"/>
      <c r="K695" s="868"/>
      <c r="L695" s="868"/>
      <c r="M695" s="868"/>
      <c r="N695" s="407"/>
    </row>
    <row r="696" spans="1:14" ht="18.95" customHeight="1">
      <c r="A696" s="883"/>
      <c r="B696" s="907"/>
      <c r="C696" s="885"/>
      <c r="D696" s="769"/>
      <c r="E696" s="752"/>
      <c r="F696" s="407"/>
      <c r="G696" s="752"/>
      <c r="H696" s="752"/>
      <c r="I696" s="752"/>
      <c r="J696" s="752"/>
      <c r="K696" s="752"/>
      <c r="L696" s="517"/>
      <c r="M696" s="906"/>
      <c r="N696" s="407"/>
    </row>
    <row r="697" spans="1:14" ht="18.95" customHeight="1">
      <c r="A697" s="871"/>
      <c r="B697" s="895"/>
      <c r="C697" s="885"/>
      <c r="D697" s="769"/>
      <c r="E697" s="752"/>
      <c r="F697" s="874"/>
      <c r="G697" s="867"/>
      <c r="H697" s="867"/>
      <c r="I697" s="867"/>
      <c r="J697" s="867"/>
      <c r="K697" s="867"/>
      <c r="L697" s="867"/>
      <c r="M697" s="867"/>
      <c r="N697" s="407"/>
    </row>
    <row r="698" spans="1:14" ht="18.95" customHeight="1">
      <c r="A698" s="871"/>
      <c r="B698" s="895"/>
      <c r="C698" s="885"/>
      <c r="D698" s="769"/>
      <c r="E698" s="752"/>
      <c r="F698" s="874"/>
      <c r="G698" s="867"/>
      <c r="H698" s="867"/>
      <c r="I698" s="867"/>
      <c r="J698" s="867"/>
      <c r="K698" s="867"/>
      <c r="L698" s="867"/>
      <c r="M698" s="867"/>
      <c r="N698" s="868"/>
    </row>
    <row r="699" spans="1:14" ht="18.95" customHeight="1">
      <c r="A699" s="871"/>
      <c r="B699" s="957"/>
      <c r="C699" s="762"/>
      <c r="D699" s="769"/>
      <c r="E699" s="752"/>
      <c r="F699" s="874"/>
      <c r="G699" s="867"/>
      <c r="H699" s="867"/>
      <c r="I699" s="867"/>
      <c r="J699" s="867"/>
      <c r="K699" s="867"/>
      <c r="L699" s="867"/>
      <c r="M699" s="867"/>
      <c r="N699" s="868"/>
    </row>
    <row r="700" spans="1:14" ht="18.95" customHeight="1">
      <c r="A700" s="871"/>
      <c r="B700" s="957"/>
      <c r="C700" s="762"/>
      <c r="D700" s="769"/>
      <c r="E700" s="752"/>
      <c r="F700" s="874"/>
      <c r="G700" s="867"/>
      <c r="H700" s="867"/>
      <c r="I700" s="867"/>
      <c r="J700" s="867"/>
      <c r="K700" s="867"/>
      <c r="L700" s="867"/>
      <c r="M700" s="867"/>
      <c r="N700" s="868"/>
    </row>
    <row r="701" spans="1:14" ht="18.95" customHeight="1">
      <c r="A701" s="871"/>
      <c r="B701" s="895"/>
      <c r="C701" s="762"/>
      <c r="D701" s="762"/>
      <c r="E701" s="752"/>
      <c r="F701" s="874"/>
      <c r="G701" s="867"/>
      <c r="H701" s="867"/>
      <c r="I701" s="867"/>
      <c r="J701" s="867"/>
      <c r="K701" s="867"/>
      <c r="L701" s="867"/>
      <c r="M701" s="867"/>
      <c r="N701" s="868"/>
    </row>
    <row r="702" spans="1:14" ht="18.95" customHeight="1">
      <c r="A702" s="871"/>
      <c r="B702" s="895"/>
      <c r="C702" s="762"/>
      <c r="D702" s="762"/>
      <c r="E702" s="752"/>
      <c r="F702" s="874"/>
      <c r="G702" s="867"/>
      <c r="H702" s="867"/>
      <c r="I702" s="867"/>
      <c r="J702" s="867"/>
      <c r="K702" s="867"/>
      <c r="L702" s="867"/>
      <c r="M702" s="867"/>
      <c r="N702" s="868"/>
    </row>
    <row r="703" spans="1:14" ht="18.95" customHeight="1">
      <c r="A703" s="871"/>
      <c r="B703" s="895"/>
      <c r="C703" s="762"/>
      <c r="D703" s="762"/>
      <c r="E703" s="752"/>
      <c r="F703" s="874"/>
      <c r="G703" s="867"/>
      <c r="H703" s="867"/>
      <c r="I703" s="867"/>
      <c r="J703" s="867"/>
      <c r="K703" s="867"/>
      <c r="L703" s="867"/>
      <c r="M703" s="867"/>
      <c r="N703" s="868"/>
    </row>
    <row r="704" spans="1:14" ht="18.95" customHeight="1">
      <c r="A704" s="871"/>
      <c r="B704" s="895"/>
      <c r="C704" s="762"/>
      <c r="D704" s="762"/>
      <c r="E704" s="752"/>
      <c r="F704" s="874"/>
      <c r="G704" s="867"/>
      <c r="H704" s="867"/>
      <c r="I704" s="867"/>
      <c r="J704" s="867"/>
      <c r="K704" s="867"/>
      <c r="L704" s="867"/>
      <c r="M704" s="867"/>
      <c r="N704" s="868"/>
    </row>
    <row r="705" spans="1:14" ht="18.95" customHeight="1">
      <c r="A705" s="933"/>
      <c r="B705" s="869"/>
      <c r="C705" s="762"/>
      <c r="D705" s="876"/>
      <c r="E705" s="913"/>
      <c r="F705" s="936"/>
      <c r="G705" s="560"/>
      <c r="H705" s="560"/>
      <c r="I705" s="937"/>
      <c r="J705" s="559"/>
      <c r="K705" s="559"/>
      <c r="L705" s="940"/>
      <c r="M705" s="958"/>
      <c r="N705" s="407"/>
    </row>
    <row r="706" spans="1:14" ht="18.95" customHeight="1">
      <c r="A706" s="863"/>
      <c r="B706" s="895"/>
      <c r="C706" s="762"/>
      <c r="D706" s="876"/>
      <c r="E706" s="868"/>
      <c r="F706" s="874"/>
      <c r="G706" s="867"/>
      <c r="H706" s="867"/>
      <c r="I706" s="752"/>
      <c r="J706" s="867"/>
      <c r="K706" s="867"/>
      <c r="L706" s="517"/>
      <c r="M706" s="867"/>
      <c r="N706" s="407"/>
    </row>
    <row r="707" spans="1:14" ht="18.95" customHeight="1">
      <c r="A707" s="863"/>
      <c r="B707" s="895"/>
      <c r="C707" s="762"/>
      <c r="D707" s="876"/>
      <c r="E707" s="868"/>
      <c r="F707" s="874"/>
      <c r="G707" s="868"/>
      <c r="H707" s="868"/>
      <c r="I707" s="868"/>
      <c r="J707" s="868"/>
      <c r="K707" s="868"/>
      <c r="L707" s="868"/>
      <c r="M707" s="935"/>
      <c r="N707" s="407"/>
    </row>
    <row r="708" spans="1:14" ht="18.95" customHeight="1">
      <c r="A708" s="871"/>
      <c r="B708" s="869"/>
      <c r="C708" s="762"/>
      <c r="D708" s="876"/>
      <c r="E708" s="752"/>
      <c r="F708" s="874"/>
      <c r="G708" s="867"/>
      <c r="H708" s="867"/>
      <c r="I708" s="867"/>
      <c r="J708" s="867"/>
      <c r="K708" s="867"/>
      <c r="L708" s="867"/>
      <c r="M708" s="867"/>
      <c r="N708" s="407"/>
    </row>
    <row r="709" spans="1:14" ht="18.95" customHeight="1">
      <c r="A709" s="871"/>
      <c r="B709" s="869"/>
      <c r="C709" s="762"/>
      <c r="D709" s="876"/>
      <c r="E709" s="752"/>
      <c r="F709" s="874"/>
      <c r="G709" s="867"/>
      <c r="H709" s="867"/>
      <c r="I709" s="867"/>
      <c r="J709" s="867"/>
      <c r="K709" s="867"/>
      <c r="L709" s="867"/>
      <c r="M709" s="867"/>
      <c r="N709" s="407"/>
    </row>
    <row r="710" spans="1:14" ht="18.95" customHeight="1">
      <c r="A710" s="871"/>
      <c r="B710" s="895"/>
      <c r="C710" s="762"/>
      <c r="D710" s="876"/>
      <c r="E710" s="752"/>
      <c r="F710" s="874"/>
      <c r="G710" s="867"/>
      <c r="H710" s="867"/>
      <c r="I710" s="867"/>
      <c r="J710" s="867"/>
      <c r="K710" s="867"/>
      <c r="L710" s="867"/>
      <c r="M710" s="867"/>
      <c r="N710" s="407"/>
    </row>
    <row r="711" spans="1:14" ht="18.95" customHeight="1">
      <c r="A711" s="871"/>
      <c r="B711" s="869"/>
      <c r="C711" s="762"/>
      <c r="D711" s="876"/>
      <c r="E711" s="752"/>
      <c r="F711" s="874"/>
      <c r="G711" s="867"/>
      <c r="H711" s="867"/>
      <c r="I711" s="867"/>
      <c r="J711" s="867"/>
      <c r="K711" s="867"/>
      <c r="L711" s="867"/>
      <c r="M711" s="867"/>
      <c r="N711" s="407"/>
    </row>
    <row r="712" spans="1:14" ht="18.95" customHeight="1">
      <c r="A712" s="871"/>
      <c r="B712" s="869"/>
      <c r="C712" s="762"/>
      <c r="D712" s="768"/>
      <c r="E712" s="752"/>
      <c r="F712" s="874"/>
      <c r="G712" s="867"/>
      <c r="H712" s="867"/>
      <c r="I712" s="867"/>
      <c r="J712" s="867"/>
      <c r="K712" s="867"/>
      <c r="L712" s="867"/>
      <c r="M712" s="867"/>
      <c r="N712" s="407"/>
    </row>
    <row r="713" spans="1:14" ht="18.95" customHeight="1">
      <c r="A713" s="871"/>
      <c r="B713" s="869"/>
      <c r="C713" s="762"/>
      <c r="D713" s="768"/>
      <c r="E713" s="752"/>
      <c r="F713" s="874"/>
      <c r="G713" s="867"/>
      <c r="H713" s="867"/>
      <c r="I713" s="867"/>
      <c r="J713" s="867"/>
      <c r="K713" s="867"/>
      <c r="L713" s="867"/>
      <c r="M713" s="867"/>
      <c r="N713" s="407"/>
    </row>
    <row r="714" spans="1:14" ht="18.95" customHeight="1">
      <c r="A714" s="871"/>
      <c r="B714" s="939"/>
      <c r="C714" s="762"/>
      <c r="D714" s="768"/>
      <c r="E714" s="752"/>
      <c r="F714" s="874"/>
      <c r="G714" s="867"/>
      <c r="H714" s="867"/>
      <c r="I714" s="752"/>
      <c r="J714" s="867"/>
      <c r="K714" s="867"/>
      <c r="L714" s="517"/>
      <c r="M714" s="867"/>
      <c r="N714" s="407"/>
    </row>
    <row r="715" spans="1:14" ht="18.95" customHeight="1">
      <c r="A715" s="883"/>
      <c r="B715" s="939"/>
      <c r="C715" s="762"/>
      <c r="D715" s="768"/>
      <c r="E715" s="752"/>
      <c r="F715" s="874"/>
      <c r="G715" s="867"/>
      <c r="H715" s="867"/>
      <c r="I715" s="867"/>
      <c r="J715" s="867"/>
      <c r="K715" s="867"/>
      <c r="L715" s="867"/>
      <c r="M715" s="867"/>
      <c r="N715" s="407"/>
    </row>
    <row r="716" spans="1:14" ht="18.95" customHeight="1">
      <c r="A716" s="883"/>
      <c r="B716" s="939"/>
      <c r="C716" s="762"/>
      <c r="D716" s="768"/>
      <c r="E716" s="752"/>
      <c r="F716" s="874"/>
      <c r="G716" s="867"/>
      <c r="H716" s="867"/>
      <c r="I716" s="867"/>
      <c r="J716" s="867"/>
      <c r="K716" s="867"/>
      <c r="L716" s="867"/>
      <c r="M716" s="934"/>
      <c r="N716" s="407"/>
    </row>
    <row r="717" spans="1:14" ht="18.95" customHeight="1">
      <c r="A717" s="863"/>
      <c r="B717" s="939"/>
      <c r="C717" s="876"/>
      <c r="D717" s="768"/>
      <c r="E717" s="868"/>
      <c r="F717" s="874"/>
      <c r="G717" s="867"/>
      <c r="H717" s="867"/>
      <c r="I717" s="867"/>
      <c r="J717" s="867"/>
      <c r="K717" s="867"/>
      <c r="L717" s="867"/>
      <c r="M717" s="867"/>
      <c r="N717" s="407"/>
    </row>
    <row r="718" spans="1:14" ht="18.95" customHeight="1">
      <c r="A718" s="863"/>
      <c r="B718" s="878"/>
      <c r="C718" s="877"/>
      <c r="D718" s="768"/>
      <c r="E718" s="868"/>
      <c r="F718" s="874"/>
      <c r="G718" s="867"/>
      <c r="H718" s="867"/>
      <c r="I718" s="867"/>
      <c r="J718" s="867"/>
      <c r="K718" s="867"/>
      <c r="L718" s="867"/>
      <c r="M718" s="867"/>
      <c r="N718" s="407"/>
    </row>
    <row r="719" spans="1:14" ht="18.95" customHeight="1">
      <c r="A719" s="863"/>
      <c r="B719" s="878"/>
      <c r="C719" s="877"/>
      <c r="D719" s="768"/>
      <c r="E719" s="868"/>
      <c r="F719" s="874"/>
      <c r="G719" s="867"/>
      <c r="H719" s="867"/>
      <c r="I719" s="867"/>
      <c r="J719" s="867"/>
      <c r="K719" s="867"/>
      <c r="L719" s="867"/>
      <c r="M719" s="867"/>
      <c r="N719" s="407"/>
    </row>
    <row r="720" spans="1:14" ht="18.95" customHeight="1">
      <c r="A720" s="863"/>
      <c r="B720" s="1418"/>
      <c r="C720" s="1418"/>
      <c r="D720" s="1418"/>
      <c r="E720" s="868"/>
      <c r="F720" s="874"/>
      <c r="G720" s="867"/>
      <c r="H720" s="867"/>
      <c r="I720" s="867"/>
      <c r="J720" s="867"/>
      <c r="K720" s="867"/>
      <c r="L720" s="867"/>
      <c r="M720" s="867"/>
      <c r="N720" s="407"/>
    </row>
    <row r="721" spans="1:14" ht="18.95" customHeight="1">
      <c r="A721" s="863"/>
      <c r="B721" s="895"/>
      <c r="C721" s="762"/>
      <c r="D721" s="762"/>
      <c r="E721" s="868"/>
      <c r="F721" s="874"/>
      <c r="G721" s="868"/>
      <c r="H721" s="868"/>
      <c r="I721" s="868"/>
      <c r="J721" s="868"/>
      <c r="K721" s="868"/>
      <c r="L721" s="868"/>
      <c r="M721" s="868"/>
      <c r="N721" s="407"/>
    </row>
    <row r="722" spans="1:14" ht="18.95" customHeight="1">
      <c r="B722" s="895"/>
      <c r="C722" s="762"/>
      <c r="D722" s="762"/>
      <c r="E722" s="868"/>
      <c r="F722" s="874"/>
      <c r="G722" s="868"/>
      <c r="H722" s="868"/>
      <c r="I722" s="868"/>
      <c r="J722" s="868"/>
      <c r="K722" s="868"/>
      <c r="L722" s="868"/>
      <c r="M722" s="868"/>
      <c r="N722" s="407"/>
    </row>
    <row r="723" spans="1:14" ht="18.95" customHeight="1">
      <c r="B723" s="895"/>
      <c r="C723" s="762"/>
      <c r="D723" s="762"/>
      <c r="E723" s="868"/>
      <c r="F723" s="874"/>
      <c r="G723" s="868"/>
      <c r="H723" s="868"/>
      <c r="I723" s="868"/>
      <c r="J723" s="868"/>
      <c r="K723" s="868"/>
      <c r="L723" s="868"/>
      <c r="M723" s="868"/>
      <c r="N723" s="407"/>
    </row>
    <row r="724" spans="1:14" ht="18.95" customHeight="1">
      <c r="A724" s="883"/>
      <c r="B724" s="907"/>
      <c r="C724" s="885"/>
      <c r="D724" s="769"/>
      <c r="E724" s="752"/>
      <c r="F724" s="407"/>
      <c r="G724" s="752"/>
      <c r="H724" s="752"/>
      <c r="I724" s="752"/>
      <c r="J724" s="752"/>
      <c r="K724" s="752"/>
      <c r="L724" s="517"/>
      <c r="M724" s="906"/>
      <c r="N724" s="407"/>
    </row>
    <row r="725" spans="1:14" ht="18.95" customHeight="1">
      <c r="A725" s="871"/>
      <c r="B725" s="895"/>
      <c r="C725" s="885"/>
      <c r="D725" s="769"/>
      <c r="E725" s="752"/>
      <c r="F725" s="874"/>
      <c r="G725" s="867"/>
      <c r="H725" s="867"/>
      <c r="I725" s="867"/>
      <c r="J725" s="867"/>
      <c r="K725" s="867"/>
      <c r="L725" s="867"/>
      <c r="M725" s="867"/>
      <c r="N725" s="407"/>
    </row>
    <row r="726" spans="1:14" ht="18.95" customHeight="1">
      <c r="A726" s="871"/>
      <c r="B726" s="895"/>
      <c r="C726" s="885"/>
      <c r="D726" s="769"/>
      <c r="E726" s="752"/>
      <c r="F726" s="874"/>
      <c r="G726" s="867"/>
      <c r="H726" s="867"/>
      <c r="I726" s="867"/>
      <c r="J726" s="867"/>
      <c r="K726" s="867"/>
      <c r="L726" s="867"/>
      <c r="M726" s="867"/>
      <c r="N726" s="868"/>
    </row>
    <row r="727" spans="1:14" ht="18.95" customHeight="1">
      <c r="A727" s="871"/>
      <c r="B727" s="895"/>
      <c r="C727" s="762"/>
      <c r="D727" s="769"/>
      <c r="E727" s="752"/>
      <c r="F727" s="874"/>
      <c r="G727" s="867"/>
      <c r="H727" s="867"/>
      <c r="I727" s="867"/>
      <c r="J727" s="867"/>
      <c r="K727" s="867"/>
      <c r="L727" s="867"/>
      <c r="M727" s="867"/>
      <c r="N727" s="868"/>
    </row>
    <row r="728" spans="1:14" ht="18.95" customHeight="1">
      <c r="A728" s="871"/>
      <c r="B728" s="895"/>
      <c r="C728" s="762"/>
      <c r="D728" s="769"/>
      <c r="E728" s="752"/>
      <c r="F728" s="874"/>
      <c r="G728" s="867"/>
      <c r="H728" s="867"/>
      <c r="I728" s="867"/>
      <c r="J728" s="867"/>
      <c r="K728" s="867"/>
      <c r="L728" s="867"/>
      <c r="M728" s="867"/>
      <c r="N728" s="868"/>
    </row>
    <row r="729" spans="1:14" ht="18.95" customHeight="1">
      <c r="A729" s="871"/>
      <c r="B729" s="895"/>
      <c r="C729" s="762"/>
      <c r="D729" s="762"/>
      <c r="E729" s="752"/>
      <c r="F729" s="874"/>
      <c r="G729" s="867"/>
      <c r="H729" s="867"/>
      <c r="I729" s="867"/>
      <c r="J729" s="867"/>
      <c r="K729" s="867"/>
      <c r="L729" s="867"/>
      <c r="M729" s="867"/>
      <c r="N729" s="868"/>
    </row>
    <row r="730" spans="1:14" ht="18.95" customHeight="1">
      <c r="A730" s="871"/>
      <c r="B730" s="895"/>
      <c r="C730" s="762"/>
      <c r="D730" s="762"/>
      <c r="E730" s="752"/>
      <c r="F730" s="874"/>
      <c r="G730" s="867"/>
      <c r="H730" s="867"/>
      <c r="I730" s="867"/>
      <c r="J730" s="867"/>
      <c r="K730" s="867"/>
      <c r="L730" s="867"/>
      <c r="M730" s="867"/>
      <c r="N730" s="868"/>
    </row>
    <row r="731" spans="1:14" ht="18.95" customHeight="1">
      <c r="A731" s="871"/>
      <c r="B731" s="895"/>
      <c r="C731" s="762"/>
      <c r="D731" s="762"/>
      <c r="E731" s="752"/>
      <c r="F731" s="874"/>
      <c r="G731" s="867"/>
      <c r="H731" s="867"/>
      <c r="I731" s="867"/>
      <c r="J731" s="867"/>
      <c r="K731" s="867"/>
      <c r="L731" s="867"/>
      <c r="M731" s="867"/>
      <c r="N731" s="868"/>
    </row>
    <row r="732" spans="1:14" ht="18.95" customHeight="1">
      <c r="A732" s="871"/>
      <c r="B732" s="895"/>
      <c r="C732" s="762"/>
      <c r="D732" s="762"/>
      <c r="E732" s="752"/>
      <c r="F732" s="874"/>
      <c r="G732" s="867"/>
      <c r="H732" s="867"/>
      <c r="I732" s="867"/>
      <c r="J732" s="867"/>
      <c r="K732" s="867"/>
      <c r="L732" s="867"/>
      <c r="M732" s="867"/>
      <c r="N732" s="868"/>
    </row>
    <row r="733" spans="1:14" ht="18.95" customHeight="1">
      <c r="A733" s="933"/>
      <c r="B733" s="959"/>
      <c r="C733" s="886"/>
      <c r="D733" s="768"/>
      <c r="E733" s="913"/>
      <c r="F733" s="936"/>
      <c r="G733" s="560"/>
      <c r="H733" s="560"/>
      <c r="I733" s="937"/>
      <c r="J733" s="559"/>
      <c r="K733" s="559"/>
      <c r="L733" s="940"/>
      <c r="M733" s="958"/>
      <c r="N733" s="407"/>
    </row>
    <row r="734" spans="1:14" ht="18.95" customHeight="1">
      <c r="A734" s="863"/>
      <c r="B734" s="960"/>
      <c r="C734" s="961"/>
      <c r="D734" s="768"/>
      <c r="E734" s="868"/>
      <c r="F734" s="874"/>
      <c r="G734" s="867"/>
      <c r="H734" s="867"/>
      <c r="I734" s="752"/>
      <c r="J734" s="867"/>
      <c r="K734" s="867"/>
      <c r="L734" s="517"/>
      <c r="M734" s="867"/>
      <c r="N734" s="407"/>
    </row>
    <row r="735" spans="1:14" ht="18.95" customHeight="1">
      <c r="A735" s="863"/>
      <c r="B735" s="1419"/>
      <c r="C735" s="1419"/>
      <c r="D735" s="1419"/>
      <c r="E735" s="868"/>
      <c r="F735" s="874"/>
      <c r="G735" s="868"/>
      <c r="H735" s="868"/>
      <c r="I735" s="868"/>
      <c r="J735" s="868"/>
      <c r="K735" s="868"/>
      <c r="L735" s="868"/>
      <c r="M735" s="935"/>
      <c r="N735" s="407"/>
    </row>
    <row r="736" spans="1:14" ht="18.95" customHeight="1">
      <c r="A736" s="871"/>
      <c r="B736" s="895"/>
      <c r="C736" s="762"/>
      <c r="D736" s="762"/>
      <c r="E736" s="752"/>
      <c r="F736" s="874"/>
      <c r="G736" s="867"/>
      <c r="H736" s="867"/>
      <c r="I736" s="867"/>
      <c r="J736" s="867"/>
      <c r="K736" s="867"/>
      <c r="L736" s="867"/>
      <c r="M736" s="867"/>
      <c r="N736" s="407"/>
    </row>
    <row r="737" spans="1:14" ht="18.95" customHeight="1">
      <c r="A737" s="871"/>
      <c r="B737" s="895"/>
      <c r="C737" s="876"/>
      <c r="D737" s="769"/>
      <c r="E737" s="752"/>
      <c r="F737" s="874"/>
      <c r="G737" s="867"/>
      <c r="H737" s="867"/>
      <c r="I737" s="867"/>
      <c r="J737" s="867"/>
      <c r="K737" s="867"/>
      <c r="L737" s="867"/>
      <c r="M737" s="867"/>
      <c r="N737" s="407"/>
    </row>
    <row r="738" spans="1:14" ht="18.95" customHeight="1">
      <c r="A738" s="871"/>
      <c r="B738" s="895"/>
      <c r="C738" s="762"/>
      <c r="D738" s="769"/>
      <c r="E738" s="752"/>
      <c r="F738" s="874"/>
      <c r="G738" s="867"/>
      <c r="H738" s="867"/>
      <c r="I738" s="867"/>
      <c r="J738" s="867"/>
      <c r="K738" s="867"/>
      <c r="L738" s="867"/>
      <c r="M738" s="867"/>
      <c r="N738" s="407"/>
    </row>
    <row r="739" spans="1:14" ht="18.95" customHeight="1">
      <c r="A739" s="871"/>
      <c r="B739" s="895"/>
      <c r="C739" s="762"/>
      <c r="D739" s="769"/>
      <c r="E739" s="752"/>
      <c r="F739" s="874"/>
      <c r="G739" s="867"/>
      <c r="H739" s="867"/>
      <c r="I739" s="867"/>
      <c r="J739" s="867"/>
      <c r="K739" s="867"/>
      <c r="L739" s="867"/>
      <c r="M739" s="867"/>
      <c r="N739" s="407"/>
    </row>
    <row r="740" spans="1:14" ht="18.95" customHeight="1">
      <c r="A740" s="871"/>
      <c r="B740" s="895"/>
      <c r="C740" s="762"/>
      <c r="D740" s="769"/>
      <c r="E740" s="752"/>
      <c r="F740" s="874"/>
      <c r="G740" s="867"/>
      <c r="H740" s="867"/>
      <c r="I740" s="867"/>
      <c r="J740" s="867"/>
      <c r="K740" s="867"/>
      <c r="L740" s="867"/>
      <c r="M740" s="867"/>
      <c r="N740" s="407"/>
    </row>
    <row r="741" spans="1:14" ht="18.95" customHeight="1">
      <c r="A741" s="871"/>
      <c r="B741" s="895"/>
      <c r="C741" s="762"/>
      <c r="D741" s="769"/>
      <c r="E741" s="752"/>
      <c r="F741" s="874"/>
      <c r="G741" s="867"/>
      <c r="H741" s="867"/>
      <c r="I741" s="867"/>
      <c r="J741" s="867"/>
      <c r="K741" s="867"/>
      <c r="L741" s="867"/>
      <c r="M741" s="867"/>
      <c r="N741" s="407"/>
    </row>
    <row r="742" spans="1:14" ht="18.95" customHeight="1">
      <c r="A742" s="871"/>
      <c r="B742" s="895"/>
      <c r="C742" s="876"/>
      <c r="D742" s="768"/>
      <c r="E742" s="752"/>
      <c r="F742" s="874"/>
      <c r="G742" s="867"/>
      <c r="H742" s="867"/>
      <c r="I742" s="752"/>
      <c r="J742" s="867"/>
      <c r="K742" s="867"/>
      <c r="L742" s="517"/>
      <c r="M742" s="867"/>
      <c r="N742" s="407"/>
    </row>
    <row r="743" spans="1:14" ht="18.95" customHeight="1">
      <c r="A743" s="883"/>
      <c r="B743" s="962"/>
      <c r="C743" s="942"/>
      <c r="D743" s="876"/>
      <c r="E743" s="752"/>
      <c r="F743" s="874"/>
      <c r="G743" s="867"/>
      <c r="H743" s="867"/>
      <c r="I743" s="867"/>
      <c r="J743" s="867"/>
      <c r="K743" s="867"/>
      <c r="L743" s="867"/>
      <c r="M743" s="867"/>
      <c r="N743" s="407"/>
    </row>
    <row r="744" spans="1:14" ht="18.95" customHeight="1">
      <c r="A744" s="883"/>
      <c r="B744" s="1420"/>
      <c r="C744" s="1420"/>
      <c r="D744" s="1420"/>
      <c r="E744" s="752"/>
      <c r="F744" s="874"/>
      <c r="G744" s="867"/>
      <c r="H744" s="867"/>
      <c r="I744" s="867"/>
      <c r="J744" s="867"/>
      <c r="K744" s="867"/>
      <c r="L744" s="867"/>
      <c r="M744" s="934"/>
      <c r="N744" s="407"/>
    </row>
    <row r="745" spans="1:14" ht="18.95" customHeight="1">
      <c r="A745" s="863"/>
      <c r="B745" s="921"/>
      <c r="C745" s="919"/>
      <c r="D745" s="768"/>
      <c r="E745" s="868"/>
      <c r="F745" s="874"/>
      <c r="G745" s="867"/>
      <c r="H745" s="867"/>
      <c r="I745" s="867"/>
      <c r="J745" s="867"/>
      <c r="K745" s="867"/>
      <c r="L745" s="867"/>
      <c r="M745" s="867"/>
      <c r="N745" s="407"/>
    </row>
    <row r="746" spans="1:14" ht="18.95" customHeight="1">
      <c r="A746" s="863"/>
      <c r="B746" s="878"/>
      <c r="C746" s="877"/>
      <c r="D746" s="768"/>
      <c r="E746" s="868"/>
      <c r="F746" s="874"/>
      <c r="G746" s="867"/>
      <c r="H746" s="867"/>
      <c r="I746" s="867"/>
      <c r="J746" s="867"/>
      <c r="K746" s="867"/>
      <c r="L746" s="867"/>
      <c r="M746" s="867"/>
      <c r="N746" s="407"/>
    </row>
    <row r="747" spans="1:14" ht="18.95" customHeight="1">
      <c r="A747" s="863"/>
      <c r="B747" s="878"/>
      <c r="C747" s="877"/>
      <c r="D747" s="768"/>
      <c r="E747" s="868"/>
      <c r="F747" s="874"/>
      <c r="G747" s="867"/>
      <c r="H747" s="867"/>
      <c r="I747" s="867"/>
      <c r="J747" s="867"/>
      <c r="K747" s="867"/>
      <c r="L747" s="867"/>
      <c r="M747" s="867"/>
      <c r="N747" s="407"/>
    </row>
    <row r="748" spans="1:14" ht="18.95" customHeight="1">
      <c r="A748" s="863"/>
      <c r="B748" s="878"/>
      <c r="C748" s="877"/>
      <c r="D748" s="768"/>
      <c r="E748" s="868"/>
      <c r="F748" s="874"/>
      <c r="G748" s="867"/>
      <c r="H748" s="867"/>
      <c r="I748" s="867"/>
      <c r="J748" s="867"/>
      <c r="K748" s="867"/>
      <c r="L748" s="867"/>
      <c r="M748" s="867"/>
      <c r="N748" s="407"/>
    </row>
    <row r="749" spans="1:14" ht="18.95" customHeight="1">
      <c r="A749" s="863"/>
      <c r="B749" s="895"/>
      <c r="C749" s="762"/>
      <c r="D749" s="762"/>
      <c r="E749" s="868"/>
      <c r="F749" s="874"/>
      <c r="G749" s="868"/>
      <c r="H749" s="868"/>
      <c r="I749" s="868"/>
      <c r="J749" s="868"/>
      <c r="K749" s="868"/>
      <c r="L749" s="868"/>
      <c r="M749" s="868"/>
      <c r="N749" s="407"/>
    </row>
    <row r="750" spans="1:14" ht="18.95" customHeight="1">
      <c r="B750" s="895"/>
      <c r="C750" s="762"/>
      <c r="D750" s="762"/>
      <c r="E750" s="868"/>
      <c r="F750" s="874"/>
      <c r="G750" s="868"/>
      <c r="H750" s="868"/>
      <c r="I750" s="868"/>
      <c r="J750" s="868"/>
      <c r="K750" s="868"/>
      <c r="L750" s="868"/>
      <c r="M750" s="868"/>
      <c r="N750" s="407"/>
    </row>
    <row r="751" spans="1:14" ht="18.95" customHeight="1">
      <c r="B751" s="895"/>
      <c r="C751" s="762"/>
      <c r="D751" s="762"/>
      <c r="E751" s="868"/>
      <c r="F751" s="874"/>
      <c r="G751" s="868"/>
      <c r="H751" s="868"/>
      <c r="I751" s="868"/>
      <c r="J751" s="868"/>
      <c r="K751" s="868"/>
      <c r="L751" s="868"/>
      <c r="M751" s="868"/>
      <c r="N751" s="407"/>
    </row>
  </sheetData>
  <mergeCells count="36">
    <mergeCell ref="A1:C1"/>
    <mergeCell ref="A2:C2"/>
    <mergeCell ref="A3:C3"/>
    <mergeCell ref="A5:A6"/>
    <mergeCell ref="B5:D6"/>
    <mergeCell ref="D1:I1"/>
    <mergeCell ref="B135:D135"/>
    <mergeCell ref="F5:F6"/>
    <mergeCell ref="G5:I5"/>
    <mergeCell ref="J5:L5"/>
    <mergeCell ref="N5:N6"/>
    <mergeCell ref="B15:D15"/>
    <mergeCell ref="B18:D18"/>
    <mergeCell ref="E5:E6"/>
    <mergeCell ref="B40:D40"/>
    <mergeCell ref="B44:D44"/>
    <mergeCell ref="B51:D51"/>
    <mergeCell ref="B55:D55"/>
    <mergeCell ref="B74:D74"/>
    <mergeCell ref="B610:D610"/>
    <mergeCell ref="B145:D145"/>
    <mergeCell ref="B191:D191"/>
    <mergeCell ref="B347:D347"/>
    <mergeCell ref="B442:D442"/>
    <mergeCell ref="B454:D454"/>
    <mergeCell ref="B505:D505"/>
    <mergeCell ref="B515:D515"/>
    <mergeCell ref="B516:D516"/>
    <mergeCell ref="B526:D526"/>
    <mergeCell ref="B590:D590"/>
    <mergeCell ref="B603:D603"/>
    <mergeCell ref="B689:D689"/>
    <mergeCell ref="B695:D695"/>
    <mergeCell ref="B720:D720"/>
    <mergeCell ref="B735:D735"/>
    <mergeCell ref="B744:D744"/>
  </mergeCells>
  <printOptions horizontalCentered="1"/>
  <pageMargins left="0.39370078740157483" right="0.39370078740157483" top="1.1811023622047245" bottom="0" header="0.78740157480314965" footer="0"/>
  <pageSetup paperSize="9" scale="83" firstPageNumber="102" orientation="landscape" useFirstPageNumber="1" r:id="rId1"/>
  <headerFooter alignWithMargins="0">
    <oddHeader xml:space="preserve">&amp;C&amp;"Cordia New,Regular"&amp;14แบบแสดงรายการ ปริมาณงาน และราคา&amp;R&amp;"Cordia New,Regular"&amp;14แบบปร.4(ก) แผ่นที่ &amp;P/103   </oddHeader>
  </headerFooter>
  <rowBreaks count="24" manualBreakCount="24">
    <brk id="30" max="11" man="1"/>
    <brk id="79" max="11" man="1"/>
    <brk id="107" max="11" man="1"/>
    <brk id="135" max="11" man="1"/>
    <brk id="163" max="11" man="1"/>
    <brk id="191" max="11" man="1"/>
    <brk id="219" max="11" man="1"/>
    <brk id="247" max="11" man="1"/>
    <brk id="275" max="11" man="1"/>
    <brk id="303" max="11" man="1"/>
    <brk id="331" max="11" man="1"/>
    <brk id="359" max="11" man="1"/>
    <brk id="387" max="11" man="1"/>
    <brk id="415" max="11" man="1"/>
    <brk id="443" max="11" man="1"/>
    <brk id="471" max="11" man="1"/>
    <brk id="499" max="11" man="1"/>
    <brk id="527" max="11" man="1"/>
    <brk id="555" max="11" man="1"/>
    <brk id="583" max="11" man="1"/>
    <brk id="611" max="11" man="1"/>
    <brk id="639" max="11" man="1"/>
    <brk id="667" max="11" man="1"/>
    <brk id="695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M79"/>
  <sheetViews>
    <sheetView view="pageBreakPreview" topLeftCell="A12" zoomScaleNormal="115" zoomScaleSheetLayoutView="100" workbookViewId="0">
      <selection activeCell="B19" sqref="B19"/>
    </sheetView>
  </sheetViews>
  <sheetFormatPr defaultColWidth="9.140625" defaultRowHeight="20.25" customHeight="1"/>
  <cols>
    <col min="1" max="1" width="8.7109375" style="1" customWidth="1"/>
    <col min="2" max="2" width="35.5703125" style="1" customWidth="1"/>
    <col min="3" max="3" width="39.28515625" style="1" customWidth="1"/>
    <col min="4" max="4" width="36.5703125" style="1" customWidth="1"/>
    <col min="5" max="5" width="20.5703125" style="1" customWidth="1"/>
    <col min="6" max="6" width="20.7109375" style="1" customWidth="1"/>
    <col min="7" max="7" width="20.7109375" style="99" customWidth="1"/>
    <col min="8" max="8" width="15.7109375" style="99" bestFit="1" customWidth="1"/>
    <col min="9" max="9" width="12.7109375" style="99" bestFit="1" customWidth="1"/>
    <col min="10" max="10" width="28.140625" style="99" bestFit="1" customWidth="1"/>
    <col min="11" max="11" width="9.140625" style="99"/>
    <col min="12" max="16384" width="9.140625" style="1"/>
  </cols>
  <sheetData>
    <row r="1" spans="1:13" ht="27" customHeight="1">
      <c r="E1" s="2"/>
      <c r="F1" s="2" t="s">
        <v>2220</v>
      </c>
      <c r="G1" s="105"/>
    </row>
    <row r="2" spans="1:13" s="4" customFormat="1" ht="27" customHeight="1">
      <c r="A2" s="1274" t="s">
        <v>2221</v>
      </c>
      <c r="B2" s="1274"/>
      <c r="C2" s="1274"/>
      <c r="D2" s="1274"/>
      <c r="E2" s="1274"/>
      <c r="F2" s="1274"/>
      <c r="G2" s="104"/>
      <c r="H2" s="102"/>
      <c r="I2" s="102"/>
      <c r="J2" s="102"/>
      <c r="K2" s="102"/>
    </row>
    <row r="3" spans="1:13" s="4" customFormat="1" ht="27" customHeight="1">
      <c r="A3" s="3"/>
      <c r="B3" s="3"/>
      <c r="C3" s="3"/>
      <c r="D3" s="3"/>
      <c r="E3" s="3"/>
      <c r="F3" s="3"/>
      <c r="G3" s="104"/>
      <c r="H3" s="102"/>
      <c r="I3" s="102"/>
      <c r="J3" s="102"/>
      <c r="K3" s="102"/>
    </row>
    <row r="4" spans="1:13" s="861" customFormat="1" ht="50.1" customHeight="1">
      <c r="A4" s="857" t="s">
        <v>2222</v>
      </c>
      <c r="B4" s="857"/>
      <c r="C4" s="1432" t="e">
        <f>+'RC2_ปร.5 (ก)'!#REF!</f>
        <v>#REF!</v>
      </c>
      <c r="D4" s="1432"/>
      <c r="E4" s="1432"/>
      <c r="F4" s="1432"/>
      <c r="G4" s="858"/>
      <c r="H4" s="859"/>
      <c r="I4" s="860"/>
      <c r="J4" s="860"/>
      <c r="K4" s="859"/>
    </row>
    <row r="5" spans="1:13" ht="27" customHeight="1">
      <c r="A5" s="8" t="s">
        <v>4</v>
      </c>
      <c r="B5" s="8"/>
      <c r="C5" s="9" t="e">
        <f>+'RC2_ปร.5 (ก)'!#REF!</f>
        <v>#REF!</v>
      </c>
      <c r="D5" s="9"/>
      <c r="E5" s="9"/>
      <c r="F5" s="9"/>
      <c r="G5" s="111"/>
    </row>
    <row r="6" spans="1:13" ht="27" customHeight="1">
      <c r="A6" s="8" t="s">
        <v>6</v>
      </c>
      <c r="B6" s="8"/>
      <c r="C6" s="9" t="s">
        <v>7</v>
      </c>
      <c r="D6" s="9"/>
      <c r="E6" s="9"/>
      <c r="F6" s="9"/>
      <c r="G6" s="111"/>
      <c r="I6" s="103"/>
      <c r="J6" s="103"/>
    </row>
    <row r="7" spans="1:13" ht="27" customHeight="1">
      <c r="A7" s="8" t="s">
        <v>8</v>
      </c>
      <c r="B7" s="8"/>
      <c r="C7" s="1428" t="s">
        <v>2223</v>
      </c>
      <c r="D7" s="1428"/>
      <c r="E7" s="1428"/>
      <c r="F7" s="1428"/>
      <c r="G7" s="111"/>
      <c r="I7" s="1429"/>
      <c r="J7" s="1429"/>
      <c r="K7" s="1429"/>
      <c r="L7" s="1274"/>
      <c r="M7" s="1274"/>
    </row>
    <row r="8" spans="1:13" ht="27" customHeight="1">
      <c r="A8" s="8" t="s">
        <v>2224</v>
      </c>
      <c r="B8" s="8"/>
      <c r="C8" s="9" t="s">
        <v>2225</v>
      </c>
      <c r="D8" s="9"/>
      <c r="E8" s="9"/>
      <c r="F8" s="9"/>
      <c r="G8" s="111"/>
      <c r="I8" s="1429"/>
      <c r="J8" s="1429"/>
      <c r="K8" s="1429"/>
      <c r="L8" s="1274"/>
      <c r="M8" s="1274"/>
    </row>
    <row r="9" spans="1:13" ht="27" customHeight="1">
      <c r="A9" s="8" t="s">
        <v>12</v>
      </c>
      <c r="B9" s="8"/>
      <c r="C9" s="9" t="e">
        <f>+'RC2_ปร.5 (ก)'!#REF!</f>
        <v>#REF!</v>
      </c>
      <c r="D9" s="11"/>
      <c r="E9" s="58"/>
      <c r="F9" s="12"/>
      <c r="G9" s="111"/>
      <c r="I9" s="104"/>
      <c r="J9" s="104"/>
      <c r="K9" s="104"/>
      <c r="L9" s="104"/>
      <c r="M9" s="3"/>
    </row>
    <row r="10" spans="1:13" ht="27" customHeight="1">
      <c r="A10" s="58" t="s">
        <v>14</v>
      </c>
      <c r="B10" s="57"/>
      <c r="C10" s="9" t="e">
        <f>+'RC2_ปร.5 (ก)'!#REF!</f>
        <v>#REF!</v>
      </c>
      <c r="D10" s="57"/>
      <c r="E10" s="57"/>
      <c r="F10" s="57"/>
      <c r="G10" s="111"/>
    </row>
    <row r="11" spans="1:13" ht="27" customHeight="1">
      <c r="B11" s="50"/>
      <c r="G11" s="111"/>
    </row>
    <row r="12" spans="1:13" s="4" customFormat="1" ht="27" customHeight="1">
      <c r="A12" s="1275" t="s">
        <v>16</v>
      </c>
      <c r="B12" s="1426" t="s">
        <v>17</v>
      </c>
      <c r="C12" s="14" t="s">
        <v>2226</v>
      </c>
      <c r="D12" s="1279" t="s">
        <v>2227</v>
      </c>
      <c r="E12" s="14" t="s">
        <v>18</v>
      </c>
      <c r="F12" s="1277" t="s">
        <v>19</v>
      </c>
      <c r="G12" s="1430"/>
      <c r="H12" s="102"/>
      <c r="I12" s="102"/>
      <c r="J12" s="99"/>
      <c r="K12" s="102"/>
    </row>
    <row r="13" spans="1:13" s="4" customFormat="1" ht="27" customHeight="1">
      <c r="A13" s="1276"/>
      <c r="B13" s="1427"/>
      <c r="C13" s="16" t="s">
        <v>20</v>
      </c>
      <c r="D13" s="1280"/>
      <c r="E13" s="16" t="s">
        <v>20</v>
      </c>
      <c r="F13" s="1278"/>
      <c r="G13" s="1431"/>
      <c r="H13" s="102"/>
      <c r="I13" s="102"/>
      <c r="J13" s="102"/>
      <c r="K13" s="102"/>
    </row>
    <row r="14" spans="1:13" ht="27" customHeight="1">
      <c r="A14" s="18"/>
      <c r="B14" s="77" t="s">
        <v>2228</v>
      </c>
      <c r="C14" s="62"/>
      <c r="D14" s="19"/>
      <c r="E14" s="20"/>
      <c r="F14" s="20"/>
      <c r="G14" s="24"/>
      <c r="H14" s="102"/>
      <c r="I14" s="102"/>
    </row>
    <row r="15" spans="1:13" ht="27" customHeight="1">
      <c r="A15" s="21"/>
      <c r="B15" s="59" t="s">
        <v>22</v>
      </c>
      <c r="C15" s="27"/>
      <c r="D15" s="22"/>
      <c r="E15" s="23"/>
      <c r="F15" s="23"/>
      <c r="G15" s="24"/>
    </row>
    <row r="16" spans="1:13" ht="27" customHeight="1">
      <c r="A16" s="25">
        <v>1</v>
      </c>
      <c r="B16" s="22" t="s">
        <v>2229</v>
      </c>
      <c r="C16" s="63">
        <f>EQ!L14</f>
        <v>10154357.906835165</v>
      </c>
      <c r="D16" s="66">
        <f>SUM(C16*7/100)</f>
        <v>710805.05347846146</v>
      </c>
      <c r="E16" s="28">
        <f>SUM(C16:D16)</f>
        <v>10865162.960313626</v>
      </c>
      <c r="F16" s="23"/>
      <c r="G16" s="24"/>
    </row>
    <row r="17" spans="1:7" ht="27" customHeight="1">
      <c r="A17" s="25">
        <v>2</v>
      </c>
      <c r="B17" s="64" t="s">
        <v>2230</v>
      </c>
      <c r="C17" s="56">
        <f>Loose!L18</f>
        <v>13071078.328926679</v>
      </c>
      <c r="D17" s="66">
        <f>SUM(C17*7/100)</f>
        <v>914975.48302486748</v>
      </c>
      <c r="E17" s="28">
        <f>SUM(C17:D17)</f>
        <v>13986053.811951546</v>
      </c>
      <c r="F17" s="23"/>
      <c r="G17" s="24"/>
    </row>
    <row r="18" spans="1:7" ht="27" customHeight="1">
      <c r="A18" s="25">
        <v>3</v>
      </c>
      <c r="B18" s="64" t="s">
        <v>2231</v>
      </c>
      <c r="C18" s="65">
        <f>AV!M24</f>
        <v>7099177.5094921477</v>
      </c>
      <c r="D18" s="66">
        <f>SUM(C18*7/100)</f>
        <v>496942.42566445039</v>
      </c>
      <c r="E18" s="28">
        <f>SUM(C18:D18)</f>
        <v>7596119.9351565978</v>
      </c>
      <c r="F18" s="26"/>
      <c r="G18" s="24"/>
    </row>
    <row r="19" spans="1:7" ht="27" customHeight="1">
      <c r="A19" s="25">
        <v>4</v>
      </c>
      <c r="B19" s="64" t="s">
        <v>2232</v>
      </c>
      <c r="C19" s="55">
        <f>HC_SC!M13</f>
        <v>710726.49315527221</v>
      </c>
      <c r="D19" s="66">
        <f>SUM(C19*7/100)</f>
        <v>49750.854520869048</v>
      </c>
      <c r="E19" s="28">
        <f>SUM(C19:D19)</f>
        <v>760477.3476761413</v>
      </c>
      <c r="F19" s="26"/>
      <c r="G19" s="24"/>
    </row>
    <row r="20" spans="1:7" ht="27" customHeight="1">
      <c r="A20" s="25"/>
      <c r="B20" s="64"/>
      <c r="C20" s="69"/>
      <c r="D20" s="66"/>
      <c r="E20" s="56"/>
      <c r="F20" s="23"/>
      <c r="G20" s="24"/>
    </row>
    <row r="21" spans="1:7" ht="27" customHeight="1">
      <c r="A21" s="25"/>
      <c r="B21" s="68"/>
      <c r="C21" s="69"/>
      <c r="D21" s="25"/>
      <c r="E21" s="67"/>
      <c r="F21" s="23"/>
      <c r="G21" s="24"/>
    </row>
    <row r="22" spans="1:7" ht="27" customHeight="1">
      <c r="A22" s="14" t="s">
        <v>25</v>
      </c>
      <c r="B22" s="1200" t="s">
        <v>2233</v>
      </c>
      <c r="C22" s="1201">
        <f>SUM(C16:C21)</f>
        <v>31035340.238409262</v>
      </c>
      <c r="D22" s="1202"/>
      <c r="E22" s="98">
        <f>SUM(E14:E21)</f>
        <v>33207814.055097915</v>
      </c>
      <c r="F22" s="70"/>
      <c r="G22" s="24"/>
    </row>
    <row r="23" spans="1:7" ht="27" customHeight="1">
      <c r="A23" s="92"/>
      <c r="B23" s="94" t="str">
        <f>"("&amp;BAHTTEXT(E22)&amp;")"</f>
        <v>(สามสิบสามล้านสองแสนเจ็ดพันแปดร้อยสิบสี่บาทหกสตางค์)</v>
      </c>
      <c r="C23" s="85"/>
      <c r="D23" s="86"/>
      <c r="E23" s="97"/>
      <c r="F23" s="71"/>
      <c r="G23" s="24"/>
    </row>
    <row r="24" spans="1:7" ht="27" customHeight="1">
      <c r="A24" s="10"/>
      <c r="B24" s="108" t="s">
        <v>201</v>
      </c>
      <c r="C24" s="104">
        <f>+'RC2_ปร.5 (ก)'!G20</f>
        <v>5825</v>
      </c>
      <c r="D24" s="1" t="s">
        <v>202</v>
      </c>
      <c r="G24" s="24"/>
    </row>
    <row r="25" spans="1:7" ht="27" customHeight="1">
      <c r="B25" s="108" t="s">
        <v>27</v>
      </c>
      <c r="C25" s="104">
        <f>+E22/C24</f>
        <v>5700.9122841369808</v>
      </c>
      <c r="D25" s="1" t="s">
        <v>28</v>
      </c>
      <c r="G25" s="24"/>
    </row>
    <row r="26" spans="1:7" ht="27" customHeight="1">
      <c r="B26" s="4"/>
      <c r="C26" s="110"/>
      <c r="G26" s="24"/>
    </row>
    <row r="27" spans="1:7" ht="27" customHeight="1">
      <c r="A27" s="2"/>
      <c r="B27" s="4"/>
      <c r="C27" s="103"/>
      <c r="D27" s="103"/>
      <c r="G27" s="24"/>
    </row>
    <row r="28" spans="1:7" ht="27" customHeight="1">
      <c r="B28" s="4"/>
      <c r="C28" s="104"/>
      <c r="D28" s="103"/>
      <c r="G28" s="24"/>
    </row>
    <row r="29" spans="1:7" ht="27" customHeight="1">
      <c r="B29" s="4"/>
      <c r="C29" s="112"/>
      <c r="G29" s="24"/>
    </row>
    <row r="30" spans="1:7" ht="27" customHeight="1">
      <c r="A30" s="2"/>
      <c r="B30" s="4"/>
      <c r="G30" s="24"/>
    </row>
    <row r="31" spans="1:7" ht="27" customHeight="1">
      <c r="B31" s="4"/>
      <c r="C31" s="42"/>
      <c r="G31" s="24"/>
    </row>
    <row r="32" spans="1:7" ht="27" customHeight="1">
      <c r="B32" s="4"/>
      <c r="C32" s="72"/>
      <c r="G32" s="24"/>
    </row>
    <row r="33" spans="1:3" ht="27" customHeight="1">
      <c r="A33" s="2"/>
      <c r="B33" s="4"/>
    </row>
    <row r="34" spans="1:3" ht="27" customHeight="1">
      <c r="B34" s="4"/>
      <c r="C34" s="42"/>
    </row>
    <row r="35" spans="1:3" ht="27" customHeight="1">
      <c r="B35" s="4"/>
      <c r="C35" s="72"/>
    </row>
    <row r="36" spans="1:3" ht="27" customHeight="1">
      <c r="A36" s="2"/>
      <c r="B36" s="4"/>
    </row>
    <row r="37" spans="1:3" ht="27" customHeight="1">
      <c r="B37" s="4"/>
      <c r="C37" s="42"/>
    </row>
    <row r="38" spans="1:3" ht="27" customHeight="1">
      <c r="B38" s="4"/>
      <c r="C38" s="72"/>
    </row>
    <row r="39" spans="1:3" ht="27" customHeight="1">
      <c r="A39" s="2"/>
      <c r="B39" s="4"/>
    </row>
    <row r="40" spans="1:3" ht="27" customHeight="1">
      <c r="B40" s="4"/>
      <c r="C40" s="42"/>
    </row>
    <row r="41" spans="1:3" ht="27" customHeight="1">
      <c r="B41" s="4"/>
      <c r="C41" s="72"/>
    </row>
    <row r="42" spans="1:3" ht="27" customHeight="1">
      <c r="A42" s="2"/>
      <c r="B42" s="4"/>
    </row>
    <row r="43" spans="1:3" ht="27" customHeight="1">
      <c r="B43" s="4"/>
      <c r="C43" s="42"/>
    </row>
    <row r="44" spans="1:3" ht="27" customHeight="1">
      <c r="B44" s="4"/>
      <c r="C44" s="72"/>
    </row>
    <row r="45" spans="1:3" ht="27" customHeight="1">
      <c r="A45" s="2"/>
      <c r="B45" s="4"/>
    </row>
    <row r="46" spans="1:3" ht="27" customHeight="1">
      <c r="B46" s="4"/>
      <c r="C46" s="42"/>
    </row>
    <row r="47" spans="1:3" ht="27" customHeight="1">
      <c r="B47" s="4"/>
      <c r="C47" s="72"/>
    </row>
    <row r="48" spans="1:3" ht="27" customHeight="1">
      <c r="A48" s="2"/>
      <c r="B48" s="4"/>
    </row>
    <row r="49" spans="1:3" ht="27" customHeight="1">
      <c r="B49" s="4"/>
      <c r="C49" s="42"/>
    </row>
    <row r="50" spans="1:3" ht="27" customHeight="1">
      <c r="B50" s="4"/>
      <c r="C50" s="72"/>
    </row>
    <row r="51" spans="1:3" ht="27" customHeight="1">
      <c r="A51" s="2"/>
      <c r="B51" s="4"/>
    </row>
    <row r="52" spans="1:3" ht="27" customHeight="1">
      <c r="B52" s="4"/>
      <c r="C52" s="42"/>
    </row>
    <row r="53" spans="1:3" ht="27" customHeight="1">
      <c r="B53" s="4"/>
      <c r="C53" s="72"/>
    </row>
    <row r="54" spans="1:3" ht="27" customHeight="1">
      <c r="A54" s="2"/>
      <c r="B54" s="4"/>
    </row>
    <row r="55" spans="1:3" ht="27" customHeight="1">
      <c r="B55" s="4"/>
      <c r="C55" s="42"/>
    </row>
    <row r="56" spans="1:3" ht="27" customHeight="1">
      <c r="B56" s="4"/>
      <c r="C56" s="72"/>
    </row>
    <row r="57" spans="1:3" ht="27" customHeight="1">
      <c r="A57" s="2"/>
      <c r="B57" s="4"/>
    </row>
    <row r="58" spans="1:3" ht="27" customHeight="1">
      <c r="B58" s="4"/>
      <c r="C58" s="42"/>
    </row>
    <row r="59" spans="1:3" ht="27" customHeight="1">
      <c r="B59" s="4"/>
      <c r="C59" s="72"/>
    </row>
    <row r="60" spans="1:3" ht="27" customHeight="1">
      <c r="A60" s="2"/>
      <c r="B60" s="4"/>
    </row>
    <row r="61" spans="1:3" ht="27" customHeight="1">
      <c r="B61" s="4"/>
      <c r="C61" s="42"/>
    </row>
    <row r="62" spans="1:3" ht="27" customHeight="1">
      <c r="B62" s="4"/>
      <c r="C62" s="72"/>
    </row>
    <row r="63" spans="1:3" ht="27" customHeight="1">
      <c r="A63" s="2"/>
      <c r="B63" s="4"/>
    </row>
    <row r="64" spans="1:3" ht="27" customHeight="1">
      <c r="B64" s="4"/>
      <c r="C64" s="42"/>
    </row>
    <row r="65" spans="1:3" ht="27" customHeight="1">
      <c r="B65" s="4"/>
      <c r="C65" s="72"/>
    </row>
    <row r="66" spans="1:3" ht="27" customHeight="1">
      <c r="A66" s="2"/>
      <c r="B66" s="4"/>
    </row>
    <row r="67" spans="1:3" ht="27" customHeight="1">
      <c r="B67" s="4"/>
      <c r="C67" s="42"/>
    </row>
    <row r="68" spans="1:3" ht="27" customHeight="1">
      <c r="B68" s="4"/>
      <c r="C68" s="72"/>
    </row>
    <row r="69" spans="1:3" ht="20.25" customHeight="1">
      <c r="A69" s="2"/>
      <c r="B69" s="4"/>
    </row>
    <row r="70" spans="1:3" ht="20.25" customHeight="1">
      <c r="B70" s="4"/>
      <c r="C70" s="42"/>
    </row>
    <row r="71" spans="1:3" ht="39.950000000000003" customHeight="1">
      <c r="B71" s="4"/>
      <c r="C71" s="72"/>
    </row>
    <row r="72" spans="1:3" ht="20.25" customHeight="1">
      <c r="A72" s="2"/>
      <c r="B72" s="4"/>
    </row>
    <row r="73" spans="1:3" ht="20.25" customHeight="1">
      <c r="B73" s="4"/>
      <c r="C73" s="42"/>
    </row>
    <row r="74" spans="1:3" ht="39.950000000000003" customHeight="1">
      <c r="B74" s="4"/>
      <c r="C74" s="72"/>
    </row>
    <row r="75" spans="1:3" ht="20.25" customHeight="1">
      <c r="A75" s="2"/>
      <c r="B75" s="4"/>
    </row>
    <row r="76" spans="1:3" ht="20.25" customHeight="1">
      <c r="B76" s="4"/>
      <c r="C76" s="42"/>
    </row>
    <row r="77" spans="1:3" ht="39.950000000000003" customHeight="1">
      <c r="B77" s="4"/>
      <c r="C77" s="72"/>
    </row>
    <row r="78" spans="1:3" ht="20.25" customHeight="1">
      <c r="A78" s="2"/>
      <c r="B78" s="4"/>
    </row>
    <row r="79" spans="1:3" ht="20.25" customHeight="1">
      <c r="B79" s="4"/>
      <c r="C79" s="42"/>
    </row>
  </sheetData>
  <mergeCells count="12">
    <mergeCell ref="A2:F2"/>
    <mergeCell ref="I7:I8"/>
    <mergeCell ref="J7:K8"/>
    <mergeCell ref="L7:L8"/>
    <mergeCell ref="G12:G13"/>
    <mergeCell ref="C4:F4"/>
    <mergeCell ref="M7:M8"/>
    <mergeCell ref="A12:A13"/>
    <mergeCell ref="B12:B13"/>
    <mergeCell ref="D12:D13"/>
    <mergeCell ref="F12:F13"/>
    <mergeCell ref="C7:F7"/>
  </mergeCells>
  <printOptions horizontalCentered="1"/>
  <pageMargins left="0.59055118110236227" right="0.39370078740157483" top="0.59055118110236227" bottom="0.59055118110236227" header="0.39370078740157483" footer="0.39370078740157483"/>
  <pageSetup paperSize="9" scale="84" orientation="portrait" r:id="rId1"/>
  <headerFooter differentFirst="1" alignWithMargins="0">
    <oddHeader>&amp;C&amp;"TH SarabunPSK,Regular"&amp;14&amp;P</oddHeader>
  </headerFooter>
  <rowBreaks count="1" manualBreakCount="1">
    <brk id="52" max="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A167"/>
  <sheetViews>
    <sheetView showGridLines="0" view="pageBreakPreview" zoomScaleNormal="100" zoomScaleSheetLayoutView="100" workbookViewId="0">
      <selection activeCell="B14" sqref="B14:D14"/>
    </sheetView>
  </sheetViews>
  <sheetFormatPr defaultColWidth="10.42578125" defaultRowHeight="18.95" customHeight="1"/>
  <cols>
    <col min="1" max="1" width="6.7109375" style="250" customWidth="1"/>
    <col min="2" max="2" width="6.42578125" style="407" customWidth="1"/>
    <col min="3" max="3" width="24.42578125" style="407" customWidth="1"/>
    <col min="4" max="4" width="37.140625" style="250" customWidth="1"/>
    <col min="5" max="5" width="11.42578125" style="293" customWidth="1"/>
    <col min="6" max="6" width="9.5703125" style="293" customWidth="1"/>
    <col min="7" max="7" width="15.7109375" style="293" hidden="1" customWidth="1"/>
    <col min="8" max="8" width="14.5703125" style="293" customWidth="1"/>
    <col min="9" max="12" width="15.7109375" style="293" customWidth="1"/>
    <col min="13" max="13" width="18" style="293" customWidth="1"/>
    <col min="14" max="14" width="15.5703125" style="293" customWidth="1"/>
    <col min="15" max="15" width="16.28515625" style="250" customWidth="1"/>
    <col min="16" max="16" width="10.42578125" style="250"/>
    <col min="17" max="17" width="13.7109375" style="250" bestFit="1" customWidth="1"/>
    <col min="18" max="18" width="10.42578125" style="250"/>
    <col min="19" max="19" width="24.7109375" style="250" bestFit="1" customWidth="1"/>
    <col min="20" max="20" width="11.140625" style="250" bestFit="1" customWidth="1"/>
    <col min="21" max="21" width="12.140625" style="250" bestFit="1" customWidth="1"/>
    <col min="22" max="22" width="10.42578125" style="250"/>
    <col min="23" max="23" width="13.7109375" style="250" bestFit="1" customWidth="1"/>
    <col min="24" max="24" width="10.42578125" style="250"/>
    <col min="25" max="25" width="27.42578125" style="250" bestFit="1" customWidth="1"/>
    <col min="26" max="26" width="15.140625" style="250" bestFit="1" customWidth="1"/>
    <col min="27" max="27" width="12.140625" style="250" bestFit="1" customWidth="1"/>
    <col min="28" max="16384" width="10.42578125" style="250"/>
  </cols>
  <sheetData>
    <row r="1" spans="1:27" s="116" customFormat="1" ht="18.95" customHeight="1">
      <c r="A1" s="1368" t="s">
        <v>1168</v>
      </c>
      <c r="B1" s="1368"/>
      <c r="C1" s="1368"/>
      <c r="D1" s="1425" t="e">
        <f>+'แบบ ปร.5(ข)'!C4</f>
        <v>#REF!</v>
      </c>
      <c r="E1" s="1425"/>
      <c r="F1" s="1425"/>
      <c r="G1" s="1425"/>
      <c r="H1" s="1425"/>
      <c r="I1" s="1425"/>
      <c r="J1" s="255" t="s">
        <v>1169</v>
      </c>
      <c r="K1" s="1434" t="s">
        <v>2229</v>
      </c>
      <c r="L1" s="1434"/>
      <c r="M1" s="253"/>
      <c r="N1" s="977"/>
    </row>
    <row r="2" spans="1:27" s="116" customFormat="1" ht="18.95" customHeight="1">
      <c r="A2" s="1369" t="s">
        <v>4</v>
      </c>
      <c r="B2" s="1369"/>
      <c r="C2" s="1369"/>
      <c r="D2" s="115" t="e">
        <f>+'แบบ ปร.5(ข)'!C5</f>
        <v>#REF!</v>
      </c>
      <c r="E2" s="256"/>
      <c r="F2" s="256"/>
      <c r="G2" s="256"/>
      <c r="H2" s="256"/>
      <c r="I2" s="256"/>
      <c r="J2" s="257" t="s">
        <v>1171</v>
      </c>
      <c r="K2" s="258" t="e">
        <f>+'RC2_ปร.5 (ก)'!#REF!</f>
        <v>#REF!</v>
      </c>
      <c r="L2" s="259"/>
      <c r="M2" s="256"/>
      <c r="N2" s="977"/>
    </row>
    <row r="3" spans="1:27" s="116" customFormat="1" ht="18.95" customHeight="1">
      <c r="A3" s="1369" t="s">
        <v>1172</v>
      </c>
      <c r="B3" s="1369"/>
      <c r="C3" s="1369"/>
      <c r="D3" s="115" t="e">
        <f>+'RC2_ปร.5 (ก)'!#REF!</f>
        <v>#REF!</v>
      </c>
      <c r="E3" s="256"/>
      <c r="F3" s="256"/>
      <c r="G3" s="256"/>
      <c r="H3" s="256"/>
      <c r="I3" s="257"/>
      <c r="J3" s="257"/>
      <c r="K3" s="258"/>
      <c r="L3" s="256"/>
      <c r="M3" s="256"/>
      <c r="N3" s="977"/>
    </row>
    <row r="4" spans="1:27" s="116" customFormat="1" ht="18.95" customHeight="1">
      <c r="B4" s="306"/>
      <c r="C4" s="306"/>
      <c r="E4" s="260"/>
      <c r="F4" s="260"/>
      <c r="G4" s="260"/>
      <c r="H4" s="260"/>
      <c r="I4" s="260"/>
      <c r="J4" s="260"/>
      <c r="K4" s="260"/>
      <c r="L4" s="260"/>
      <c r="M4" s="260"/>
      <c r="N4" s="260"/>
    </row>
    <row r="5" spans="1:27" ht="18.95" customHeight="1">
      <c r="A5" s="1360" t="s">
        <v>1007</v>
      </c>
      <c r="B5" s="1370" t="s">
        <v>17</v>
      </c>
      <c r="C5" s="1371"/>
      <c r="D5" s="1372"/>
      <c r="E5" s="1409" t="s">
        <v>1173</v>
      </c>
      <c r="F5" s="1409" t="s">
        <v>1174</v>
      </c>
      <c r="G5" s="1406" t="s">
        <v>1008</v>
      </c>
      <c r="H5" s="1407"/>
      <c r="I5" s="1408"/>
      <c r="J5" s="1406" t="s">
        <v>1010</v>
      </c>
      <c r="K5" s="1408"/>
      <c r="L5" s="261" t="s">
        <v>1175</v>
      </c>
      <c r="M5" s="1409" t="s">
        <v>19</v>
      </c>
      <c r="N5" s="978"/>
      <c r="P5" s="1394"/>
      <c r="Q5" s="1395"/>
      <c r="R5" s="1395"/>
      <c r="S5" s="1395"/>
      <c r="T5" s="1395"/>
      <c r="U5" s="1395"/>
      <c r="V5" s="583"/>
      <c r="W5" s="1395"/>
      <c r="X5" s="1395"/>
      <c r="Y5" s="1395"/>
      <c r="Z5" s="1395"/>
      <c r="AA5" s="1395"/>
    </row>
    <row r="6" spans="1:27" ht="18.95" customHeight="1">
      <c r="A6" s="1361"/>
      <c r="B6" s="1373"/>
      <c r="C6" s="1374"/>
      <c r="D6" s="1375"/>
      <c r="E6" s="1410"/>
      <c r="F6" s="1410"/>
      <c r="G6" s="262" t="s">
        <v>203</v>
      </c>
      <c r="H6" s="262" t="s">
        <v>203</v>
      </c>
      <c r="I6" s="262" t="s">
        <v>1176</v>
      </c>
      <c r="J6" s="262" t="s">
        <v>203</v>
      </c>
      <c r="K6" s="262" t="s">
        <v>1176</v>
      </c>
      <c r="L6" s="262" t="s">
        <v>1177</v>
      </c>
      <c r="M6" s="1410"/>
      <c r="N6" s="978"/>
      <c r="P6" s="1394"/>
      <c r="Q6" s="1396"/>
      <c r="R6" s="1396"/>
      <c r="S6" s="1395"/>
      <c r="T6" s="1395"/>
      <c r="U6" s="1397"/>
      <c r="V6" s="583"/>
      <c r="W6" s="1396"/>
      <c r="X6" s="1396"/>
      <c r="Y6" s="1395"/>
      <c r="Z6" s="1395"/>
      <c r="AA6" s="1397"/>
    </row>
    <row r="7" spans="1:27" ht="18.95" customHeight="1">
      <c r="A7" s="312"/>
      <c r="B7" s="313" t="s">
        <v>2234</v>
      </c>
      <c r="C7" s="313"/>
      <c r="D7" s="197"/>
      <c r="E7" s="263"/>
      <c r="F7" s="265"/>
      <c r="G7" s="263"/>
      <c r="H7" s="263"/>
      <c r="I7" s="263"/>
      <c r="J7" s="265"/>
      <c r="K7" s="266"/>
      <c r="L7" s="265"/>
      <c r="M7" s="265"/>
      <c r="N7" s="764"/>
      <c r="P7" s="1394"/>
      <c r="Q7" s="1433"/>
      <c r="R7" s="1396"/>
      <c r="S7" s="1395"/>
      <c r="T7" s="1395"/>
      <c r="U7" s="1398"/>
      <c r="V7" s="583"/>
      <c r="W7" s="1433"/>
      <c r="X7" s="1396"/>
      <c r="Y7" s="1395"/>
      <c r="Z7" s="1395"/>
      <c r="AA7" s="1398"/>
    </row>
    <row r="8" spans="1:27" ht="18.95" customHeight="1">
      <c r="A8" s="314"/>
      <c r="B8" s="315" t="s">
        <v>22</v>
      </c>
      <c r="C8" s="316"/>
      <c r="D8" s="167"/>
      <c r="E8" s="267"/>
      <c r="F8" s="269"/>
      <c r="G8" s="267"/>
      <c r="H8" s="267"/>
      <c r="I8" s="267"/>
      <c r="J8" s="269"/>
      <c r="K8" s="269"/>
      <c r="L8" s="267"/>
      <c r="M8" s="269"/>
      <c r="N8" s="764"/>
      <c r="P8" s="1394"/>
      <c r="Q8" s="1433"/>
      <c r="R8" s="1396"/>
      <c r="S8" s="1395"/>
      <c r="T8" s="1395"/>
      <c r="U8" s="1398"/>
      <c r="V8" s="583"/>
      <c r="W8" s="1433"/>
      <c r="X8" s="1396"/>
      <c r="Y8" s="1395"/>
      <c r="Z8" s="1395"/>
      <c r="AA8" s="1398"/>
    </row>
    <row r="9" spans="1:27" ht="18.95" customHeight="1">
      <c r="A9" s="314"/>
      <c r="B9" s="317"/>
      <c r="C9" s="318"/>
      <c r="D9" s="167"/>
      <c r="E9" s="267"/>
      <c r="F9" s="269"/>
      <c r="G9" s="267"/>
      <c r="H9" s="267"/>
      <c r="I9" s="267"/>
      <c r="J9" s="269"/>
      <c r="K9" s="269"/>
      <c r="L9" s="267"/>
      <c r="M9" s="269"/>
      <c r="N9" s="764"/>
      <c r="P9" s="583"/>
      <c r="Q9" s="583"/>
      <c r="R9" s="583"/>
      <c r="S9" s="583"/>
      <c r="T9" s="583"/>
      <c r="U9" s="583"/>
      <c r="V9" s="583"/>
      <c r="W9" s="583"/>
      <c r="X9" s="583"/>
      <c r="Y9" s="583"/>
      <c r="Z9" s="583"/>
      <c r="AA9" s="583"/>
    </row>
    <row r="10" spans="1:27" ht="18.95" customHeight="1">
      <c r="A10" s="314">
        <v>1</v>
      </c>
      <c r="B10" s="317" t="s">
        <v>2235</v>
      </c>
      <c r="C10" s="318"/>
      <c r="D10" s="167"/>
      <c r="E10" s="267"/>
      <c r="F10" s="269"/>
      <c r="G10" s="267"/>
      <c r="H10" s="267"/>
      <c r="I10" s="267"/>
      <c r="J10" s="269"/>
      <c r="K10" s="269"/>
      <c r="L10" s="267">
        <f>L33</f>
        <v>1262125.8634500001</v>
      </c>
      <c r="M10" s="269"/>
      <c r="N10" s="764">
        <f>O10*0.934908047</f>
        <v>1262125.8634500001</v>
      </c>
      <c r="O10" s="293">
        <v>1350000</v>
      </c>
      <c r="P10" s="583"/>
      <c r="Q10" s="583"/>
      <c r="R10" s="583"/>
      <c r="S10" s="583"/>
      <c r="T10" s="583"/>
      <c r="U10" s="583"/>
      <c r="V10" s="583"/>
      <c r="W10" s="583"/>
      <c r="X10" s="583"/>
      <c r="Y10" s="583"/>
      <c r="Z10" s="583"/>
      <c r="AA10" s="583"/>
    </row>
    <row r="11" spans="1:27" ht="18.95" customHeight="1">
      <c r="A11" s="314">
        <v>2</v>
      </c>
      <c r="B11" s="319" t="s">
        <v>2236</v>
      </c>
      <c r="C11" s="318"/>
      <c r="D11" s="167"/>
      <c r="E11" s="267"/>
      <c r="F11" s="269"/>
      <c r="G11" s="267"/>
      <c r="H11" s="267"/>
      <c r="I11" s="267"/>
      <c r="J11" s="269"/>
      <c r="K11" s="269"/>
      <c r="L11" s="267">
        <f>L37</f>
        <v>820849.26526599994</v>
      </c>
      <c r="M11" s="269"/>
      <c r="N11" s="764">
        <f t="shared" ref="N11:N12" si="0">O11*0.934908047</f>
        <v>820849.26526599994</v>
      </c>
      <c r="O11" s="293">
        <v>878000</v>
      </c>
      <c r="P11" s="583"/>
      <c r="R11" s="583"/>
      <c r="S11" s="583"/>
      <c r="T11" s="583"/>
      <c r="U11" s="583"/>
      <c r="V11" s="583"/>
      <c r="W11" s="583"/>
      <c r="X11" s="583"/>
      <c r="Y11" s="583"/>
      <c r="Z11" s="583"/>
      <c r="AA11" s="583"/>
    </row>
    <row r="12" spans="1:27" ht="18.95" customHeight="1">
      <c r="A12" s="314">
        <v>3</v>
      </c>
      <c r="B12" s="319" t="s">
        <v>2237</v>
      </c>
      <c r="C12" s="318"/>
      <c r="D12" s="167"/>
      <c r="E12" s="267"/>
      <c r="F12" s="269"/>
      <c r="G12" s="267"/>
      <c r="H12" s="267"/>
      <c r="I12" s="267"/>
      <c r="J12" s="269"/>
      <c r="K12" s="269"/>
      <c r="L12" s="267">
        <f>+L167</f>
        <v>8071382.7781191645</v>
      </c>
      <c r="M12" s="269"/>
      <c r="N12" s="764">
        <f t="shared" si="0"/>
        <v>8071382.7781191673</v>
      </c>
      <c r="O12" s="293">
        <v>8633344</v>
      </c>
      <c r="P12" s="583"/>
      <c r="Q12" s="583"/>
      <c r="R12" s="583"/>
      <c r="S12" s="583"/>
      <c r="T12" s="583"/>
      <c r="U12" s="583"/>
      <c r="V12" s="583"/>
      <c r="W12" s="583"/>
      <c r="X12" s="583"/>
      <c r="Y12" s="583"/>
      <c r="Z12" s="583"/>
      <c r="AA12" s="583"/>
    </row>
    <row r="13" spans="1:27" ht="18.95" customHeight="1">
      <c r="A13" s="314"/>
      <c r="B13" s="319"/>
      <c r="C13" s="318"/>
      <c r="D13" s="167"/>
      <c r="E13" s="267"/>
      <c r="F13" s="269"/>
      <c r="G13" s="269"/>
      <c r="H13" s="269"/>
      <c r="I13" s="269"/>
      <c r="J13" s="269"/>
      <c r="K13" s="267"/>
      <c r="L13" s="267"/>
      <c r="M13" s="269"/>
      <c r="N13" s="764">
        <f t="shared" ref="N13" si="1">O13*0.934899332</f>
        <v>0</v>
      </c>
      <c r="O13" s="293"/>
      <c r="P13" s="583"/>
      <c r="Q13" s="583"/>
      <c r="R13" s="583"/>
      <c r="S13" s="583"/>
      <c r="T13" s="583"/>
      <c r="U13" s="583"/>
      <c r="V13" s="583"/>
      <c r="W13" s="583"/>
      <c r="X13" s="583"/>
      <c r="Y13" s="583"/>
      <c r="Z13" s="583"/>
      <c r="AA13" s="583"/>
    </row>
    <row r="14" spans="1:27" ht="18.95" customHeight="1">
      <c r="A14" s="314"/>
      <c r="B14" s="1301" t="s">
        <v>2238</v>
      </c>
      <c r="C14" s="1302"/>
      <c r="D14" s="1303"/>
      <c r="E14" s="267"/>
      <c r="F14" s="269"/>
      <c r="G14" s="267"/>
      <c r="H14" s="267"/>
      <c r="I14" s="267"/>
      <c r="J14" s="269"/>
      <c r="K14" s="269"/>
      <c r="L14" s="271">
        <f>SUM(L10:L13)</f>
        <v>10154357.906835165</v>
      </c>
      <c r="M14" s="269"/>
      <c r="N14" s="764">
        <f>SUM(N10:N13)</f>
        <v>10154357.906835167</v>
      </c>
      <c r="O14" s="293">
        <f>SUM(O10:O13)</f>
        <v>10861344</v>
      </c>
      <c r="P14" s="583"/>
      <c r="Q14" s="583"/>
      <c r="R14" s="583"/>
      <c r="S14" s="583"/>
      <c r="T14" s="583"/>
      <c r="U14" s="583"/>
      <c r="V14" s="583"/>
      <c r="W14" s="583"/>
      <c r="X14" s="583"/>
      <c r="Y14" s="583"/>
      <c r="Z14" s="583"/>
      <c r="AA14" s="583"/>
    </row>
    <row r="15" spans="1:27" ht="18.95" customHeight="1">
      <c r="A15" s="314"/>
      <c r="B15" s="319"/>
      <c r="C15" s="235"/>
      <c r="D15" s="167"/>
      <c r="E15" s="267"/>
      <c r="F15" s="269"/>
      <c r="G15" s="269"/>
      <c r="H15" s="269"/>
      <c r="I15" s="269"/>
      <c r="J15" s="269"/>
      <c r="K15" s="267"/>
      <c r="L15" s="267"/>
      <c r="M15" s="269"/>
      <c r="N15" s="764"/>
      <c r="P15" s="583"/>
      <c r="Q15" s="583"/>
      <c r="R15" s="583"/>
      <c r="S15" s="583"/>
      <c r="T15" s="583"/>
      <c r="U15" s="583"/>
      <c r="V15" s="583"/>
      <c r="W15" s="583"/>
      <c r="X15" s="583"/>
      <c r="Y15" s="583"/>
      <c r="Z15" s="583"/>
      <c r="AA15" s="583"/>
    </row>
    <row r="16" spans="1:27" ht="18.95" customHeight="1">
      <c r="A16" s="314"/>
      <c r="B16" s="319"/>
      <c r="C16" s="235"/>
      <c r="D16" s="167"/>
      <c r="E16" s="267"/>
      <c r="F16" s="269"/>
      <c r="G16" s="269"/>
      <c r="H16" s="269"/>
      <c r="I16" s="269"/>
      <c r="J16" s="269"/>
      <c r="K16" s="267"/>
      <c r="L16" s="267"/>
      <c r="M16" s="269"/>
      <c r="N16" s="764"/>
      <c r="P16" s="583"/>
      <c r="Q16" s="583"/>
      <c r="R16" s="583"/>
      <c r="S16" s="583"/>
      <c r="T16" s="583"/>
      <c r="U16" s="583"/>
      <c r="V16" s="583"/>
      <c r="W16" s="583"/>
      <c r="X16" s="583"/>
      <c r="Y16" s="583"/>
      <c r="Z16" s="583"/>
      <c r="AA16" s="583"/>
    </row>
    <row r="17" spans="1:27" ht="18.95" customHeight="1">
      <c r="A17" s="314"/>
      <c r="B17" s="322"/>
      <c r="C17" s="316"/>
      <c r="D17" s="167"/>
      <c r="E17" s="267"/>
      <c r="F17" s="269"/>
      <c r="G17" s="269"/>
      <c r="H17" s="269"/>
      <c r="I17" s="269"/>
      <c r="J17" s="269"/>
      <c r="K17" s="267"/>
      <c r="L17" s="267"/>
      <c r="M17" s="269"/>
      <c r="N17" s="764"/>
      <c r="P17" s="583"/>
      <c r="Q17" s="583"/>
      <c r="R17" s="583"/>
      <c r="S17" s="583"/>
      <c r="T17" s="583"/>
      <c r="U17" s="583"/>
      <c r="V17" s="583"/>
      <c r="W17" s="583"/>
      <c r="X17" s="583"/>
      <c r="Y17" s="583"/>
      <c r="Z17" s="583"/>
      <c r="AA17" s="583"/>
    </row>
    <row r="18" spans="1:27" ht="18.95" customHeight="1">
      <c r="A18" s="314"/>
      <c r="B18" s="1301"/>
      <c r="C18" s="1302"/>
      <c r="D18" s="1303"/>
      <c r="E18" s="267"/>
      <c r="F18" s="269"/>
      <c r="G18" s="269"/>
      <c r="H18" s="269"/>
      <c r="I18" s="269"/>
      <c r="J18" s="269"/>
      <c r="K18" s="267"/>
      <c r="L18" s="271"/>
      <c r="M18" s="269"/>
      <c r="N18" s="764"/>
      <c r="P18" s="583"/>
      <c r="Q18" s="583"/>
      <c r="R18" s="583"/>
      <c r="S18" s="583"/>
      <c r="T18" s="583"/>
      <c r="U18" s="583"/>
      <c r="V18" s="583"/>
      <c r="W18" s="583"/>
      <c r="X18" s="583"/>
      <c r="Y18" s="583"/>
      <c r="Z18" s="583"/>
      <c r="AA18" s="583"/>
    </row>
    <row r="19" spans="1:27" ht="18.95" customHeight="1">
      <c r="A19" s="314"/>
      <c r="B19" s="325"/>
      <c r="C19" s="316"/>
      <c r="D19" s="164"/>
      <c r="E19" s="267"/>
      <c r="F19" s="269"/>
      <c r="G19" s="267"/>
      <c r="H19" s="267"/>
      <c r="I19" s="267"/>
      <c r="J19" s="267"/>
      <c r="K19" s="267"/>
      <c r="L19" s="269"/>
      <c r="M19" s="269"/>
      <c r="N19" s="764"/>
      <c r="P19" s="583"/>
      <c r="Q19" s="583"/>
      <c r="R19" s="583"/>
      <c r="S19" s="583"/>
      <c r="T19" s="583"/>
      <c r="U19" s="583"/>
      <c r="V19" s="583"/>
      <c r="W19" s="583"/>
      <c r="X19" s="583"/>
      <c r="Y19" s="583"/>
      <c r="Z19" s="583"/>
      <c r="AA19" s="583"/>
    </row>
    <row r="20" spans="1:27" ht="18.95" customHeight="1">
      <c r="A20" s="314"/>
      <c r="B20" s="325"/>
      <c r="C20" s="326"/>
      <c r="D20" s="164"/>
      <c r="E20" s="267"/>
      <c r="F20" s="269"/>
      <c r="G20" s="269"/>
      <c r="H20" s="269"/>
      <c r="I20" s="269"/>
      <c r="J20" s="269"/>
      <c r="K20" s="267"/>
      <c r="L20" s="269"/>
      <c r="M20" s="269"/>
      <c r="N20" s="764"/>
      <c r="P20" s="583"/>
      <c r="Q20" s="583"/>
      <c r="R20" s="583"/>
      <c r="S20" s="583"/>
      <c r="T20" s="583"/>
      <c r="U20" s="583"/>
      <c r="V20" s="583"/>
      <c r="W20" s="583"/>
      <c r="X20" s="583"/>
      <c r="Y20" s="583"/>
      <c r="Z20" s="583"/>
      <c r="AA20" s="583"/>
    </row>
    <row r="21" spans="1:27" ht="18.95" customHeight="1">
      <c r="A21" s="314"/>
      <c r="B21" s="327"/>
      <c r="C21" s="321"/>
      <c r="D21" s="328"/>
      <c r="E21" s="267"/>
      <c r="F21" s="269"/>
      <c r="G21" s="267"/>
      <c r="H21" s="267"/>
      <c r="I21" s="267"/>
      <c r="J21" s="267"/>
      <c r="K21" s="269"/>
      <c r="L21" s="267"/>
      <c r="M21" s="269"/>
      <c r="N21" s="764"/>
      <c r="P21" s="583"/>
      <c r="Q21" s="583"/>
      <c r="R21" s="583"/>
      <c r="S21" s="583"/>
      <c r="T21" s="583"/>
      <c r="U21" s="583"/>
      <c r="V21" s="583"/>
      <c r="W21" s="583"/>
      <c r="X21" s="583"/>
      <c r="Y21" s="583"/>
      <c r="Z21" s="583"/>
      <c r="AA21" s="583"/>
    </row>
    <row r="22" spans="1:27" ht="18.95" customHeight="1">
      <c r="A22" s="314"/>
      <c r="B22" s="327"/>
      <c r="C22" s="321"/>
      <c r="D22" s="328"/>
      <c r="E22" s="267"/>
      <c r="F22" s="269"/>
      <c r="G22" s="267"/>
      <c r="H22" s="267"/>
      <c r="I22" s="267"/>
      <c r="J22" s="267"/>
      <c r="K22" s="269"/>
      <c r="L22" s="267"/>
      <c r="M22" s="269"/>
      <c r="N22" s="764"/>
      <c r="P22" s="583"/>
      <c r="Q22" s="583"/>
      <c r="R22" s="583"/>
      <c r="S22" s="583"/>
      <c r="T22" s="583"/>
      <c r="U22" s="583"/>
      <c r="V22" s="583"/>
      <c r="W22" s="583"/>
      <c r="X22" s="583"/>
      <c r="Y22" s="583"/>
      <c r="Z22" s="583"/>
      <c r="AA22" s="583"/>
    </row>
    <row r="23" spans="1:27" ht="18.95" customHeight="1">
      <c r="A23" s="314"/>
      <c r="B23" s="325"/>
      <c r="C23" s="316"/>
      <c r="D23" s="167"/>
      <c r="E23" s="267"/>
      <c r="F23" s="269"/>
      <c r="G23" s="267"/>
      <c r="H23" s="267"/>
      <c r="I23" s="267"/>
      <c r="J23" s="267"/>
      <c r="K23" s="269"/>
      <c r="L23" s="267"/>
      <c r="M23" s="269"/>
      <c r="N23" s="764"/>
      <c r="P23" s="583"/>
      <c r="Q23" s="583"/>
      <c r="R23" s="583"/>
      <c r="S23" s="583"/>
      <c r="T23" s="583"/>
      <c r="U23" s="583"/>
      <c r="V23" s="583"/>
      <c r="W23" s="583"/>
      <c r="X23" s="583"/>
      <c r="Y23" s="583"/>
      <c r="Z23" s="583"/>
      <c r="AA23" s="583"/>
    </row>
    <row r="24" spans="1:27" ht="18.95" customHeight="1">
      <c r="A24" s="314"/>
      <c r="B24" s="327"/>
      <c r="C24" s="321"/>
      <c r="D24" s="328"/>
      <c r="E24" s="267"/>
      <c r="F24" s="269"/>
      <c r="G24" s="267"/>
      <c r="H24" s="267"/>
      <c r="I24" s="267"/>
      <c r="J24" s="267"/>
      <c r="K24" s="269"/>
      <c r="L24" s="267"/>
      <c r="M24" s="269"/>
      <c r="N24" s="764"/>
      <c r="P24" s="583"/>
      <c r="Q24" s="583"/>
      <c r="R24" s="583"/>
      <c r="S24" s="583"/>
      <c r="T24" s="583"/>
      <c r="U24" s="583"/>
      <c r="V24" s="583"/>
      <c r="W24" s="583"/>
      <c r="X24" s="583"/>
      <c r="Y24" s="583"/>
      <c r="Z24" s="583"/>
      <c r="AA24" s="583"/>
    </row>
    <row r="25" spans="1:27" ht="18.95" customHeight="1">
      <c r="A25" s="314"/>
      <c r="B25" s="327"/>
      <c r="C25" s="321"/>
      <c r="D25" s="328"/>
      <c r="E25" s="267"/>
      <c r="F25" s="269"/>
      <c r="G25" s="267"/>
      <c r="H25" s="267"/>
      <c r="I25" s="267"/>
      <c r="J25" s="267"/>
      <c r="K25" s="269"/>
      <c r="L25" s="267"/>
      <c r="M25" s="269"/>
      <c r="N25" s="764"/>
      <c r="P25" s="583"/>
      <c r="Q25" s="583"/>
      <c r="R25" s="583"/>
      <c r="S25" s="583"/>
      <c r="T25" s="583"/>
      <c r="U25" s="583"/>
      <c r="V25" s="583"/>
      <c r="W25" s="583"/>
      <c r="X25" s="583"/>
      <c r="Y25" s="583"/>
      <c r="Z25" s="583"/>
      <c r="AA25" s="583"/>
    </row>
    <row r="26" spans="1:27" ht="18.95" customHeight="1">
      <c r="A26" s="314"/>
      <c r="B26" s="327"/>
      <c r="C26" s="321"/>
      <c r="D26" s="328"/>
      <c r="E26" s="267"/>
      <c r="F26" s="269"/>
      <c r="G26" s="267"/>
      <c r="H26" s="267"/>
      <c r="I26" s="267"/>
      <c r="J26" s="267"/>
      <c r="K26" s="269"/>
      <c r="L26" s="267"/>
      <c r="M26" s="269"/>
      <c r="N26" s="764"/>
      <c r="P26" s="583"/>
      <c r="Q26" s="583"/>
      <c r="R26" s="583"/>
      <c r="S26" s="583"/>
      <c r="T26" s="583"/>
      <c r="U26" s="583"/>
      <c r="V26" s="583"/>
      <c r="W26" s="583"/>
      <c r="X26" s="583"/>
      <c r="Y26" s="583"/>
      <c r="Z26" s="583"/>
      <c r="AA26" s="583"/>
    </row>
    <row r="27" spans="1:27" ht="18.95" customHeight="1">
      <c r="A27" s="314"/>
      <c r="B27" s="327"/>
      <c r="C27" s="321"/>
      <c r="D27" s="328"/>
      <c r="E27" s="267"/>
      <c r="F27" s="269"/>
      <c r="G27" s="267"/>
      <c r="H27" s="267"/>
      <c r="I27" s="267"/>
      <c r="J27" s="267"/>
      <c r="K27" s="269"/>
      <c r="L27" s="267"/>
      <c r="M27" s="269"/>
      <c r="N27" s="764"/>
      <c r="P27" s="583"/>
      <c r="Q27" s="583"/>
      <c r="R27" s="583"/>
      <c r="S27" s="583"/>
      <c r="T27" s="583"/>
      <c r="U27" s="583"/>
      <c r="V27" s="583"/>
      <c r="W27" s="583"/>
      <c r="X27" s="583"/>
      <c r="Y27" s="583"/>
      <c r="Z27" s="583"/>
      <c r="AA27" s="583"/>
    </row>
    <row r="28" spans="1:27" ht="18.95" customHeight="1">
      <c r="A28" s="314"/>
      <c r="B28" s="327"/>
      <c r="C28" s="321"/>
      <c r="D28" s="328"/>
      <c r="E28" s="267"/>
      <c r="F28" s="269"/>
      <c r="G28" s="267"/>
      <c r="H28" s="267"/>
      <c r="I28" s="267"/>
      <c r="J28" s="267"/>
      <c r="K28" s="269"/>
      <c r="L28" s="267"/>
      <c r="M28" s="269"/>
      <c r="N28" s="764"/>
      <c r="P28" s="583"/>
      <c r="Q28" s="583"/>
      <c r="R28" s="583"/>
      <c r="S28" s="583"/>
      <c r="T28" s="583"/>
      <c r="U28" s="583"/>
      <c r="V28" s="583"/>
      <c r="W28" s="583"/>
      <c r="X28" s="583"/>
      <c r="Y28" s="583"/>
      <c r="Z28" s="583"/>
      <c r="AA28" s="583"/>
    </row>
    <row r="29" spans="1:27" ht="18.95" customHeight="1">
      <c r="A29" s="314"/>
      <c r="B29" s="331"/>
      <c r="C29" s="115"/>
      <c r="D29" s="332"/>
      <c r="E29" s="267"/>
      <c r="F29" s="269"/>
      <c r="G29" s="267"/>
      <c r="H29" s="267"/>
      <c r="I29" s="267"/>
      <c r="J29" s="267"/>
      <c r="K29" s="269"/>
      <c r="L29" s="267"/>
      <c r="M29" s="269"/>
      <c r="N29" s="764"/>
      <c r="P29" s="583"/>
      <c r="Q29" s="583"/>
      <c r="R29" s="583"/>
      <c r="S29" s="583"/>
      <c r="T29" s="583"/>
      <c r="U29" s="583"/>
      <c r="V29" s="583"/>
      <c r="W29" s="583"/>
      <c r="X29" s="583"/>
      <c r="Y29" s="583"/>
      <c r="Z29" s="583"/>
      <c r="AA29" s="583"/>
    </row>
    <row r="30" spans="1:27" ht="18.95" customHeight="1">
      <c r="A30" s="224"/>
      <c r="B30" s="122"/>
      <c r="C30" s="329"/>
      <c r="D30" s="328"/>
      <c r="E30" s="267"/>
      <c r="F30" s="269"/>
      <c r="G30" s="267"/>
      <c r="H30" s="267"/>
      <c r="I30" s="267"/>
      <c r="J30" s="267"/>
      <c r="K30" s="269"/>
      <c r="L30" s="267"/>
      <c r="M30" s="269"/>
      <c r="N30" s="764"/>
      <c r="P30" s="583"/>
      <c r="Q30" s="583"/>
      <c r="R30" s="583"/>
      <c r="S30" s="583"/>
      <c r="T30" s="583"/>
      <c r="U30" s="583"/>
      <c r="V30" s="583"/>
      <c r="W30" s="583"/>
      <c r="X30" s="583"/>
      <c r="Y30" s="583"/>
      <c r="Z30" s="583"/>
      <c r="AA30" s="583"/>
    </row>
    <row r="31" spans="1:27" ht="18.95" customHeight="1">
      <c r="A31" s="336">
        <v>1</v>
      </c>
      <c r="B31" s="751" t="s">
        <v>2235</v>
      </c>
      <c r="C31" s="318"/>
      <c r="D31" s="164"/>
      <c r="E31" s="267"/>
      <c r="F31" s="269"/>
      <c r="G31" s="267"/>
      <c r="H31" s="267"/>
      <c r="I31" s="267"/>
      <c r="J31" s="269"/>
      <c r="K31" s="267"/>
      <c r="L31" s="269"/>
      <c r="M31" s="269"/>
      <c r="N31" s="764"/>
      <c r="P31" s="583"/>
      <c r="Q31" s="583"/>
      <c r="R31" s="583"/>
      <c r="S31" s="583"/>
      <c r="T31" s="583"/>
      <c r="U31" s="583"/>
      <c r="V31" s="583"/>
      <c r="W31" s="583"/>
      <c r="X31" s="583"/>
      <c r="Y31" s="583"/>
      <c r="Z31" s="583"/>
      <c r="AA31" s="583"/>
    </row>
    <row r="32" spans="1:27" ht="18.75" customHeight="1">
      <c r="A32" s="340"/>
      <c r="B32" s="341" t="s">
        <v>2239</v>
      </c>
      <c r="C32" s="318"/>
      <c r="D32" s="164"/>
      <c r="E32" s="267">
        <v>1</v>
      </c>
      <c r="F32" s="268" t="s">
        <v>402</v>
      </c>
      <c r="G32" s="267">
        <v>1350000</v>
      </c>
      <c r="H32" s="267">
        <f>G32*N32</f>
        <v>1262125.8634500001</v>
      </c>
      <c r="I32" s="267">
        <f>E32*H32</f>
        <v>1262125.8634500001</v>
      </c>
      <c r="J32" s="269">
        <v>0</v>
      </c>
      <c r="K32" s="269">
        <v>0</v>
      </c>
      <c r="L32" s="270">
        <f>SUM(I32)</f>
        <v>1262125.8634500001</v>
      </c>
      <c r="M32" s="268"/>
      <c r="N32" s="1163">
        <v>0.93490804699999996</v>
      </c>
      <c r="P32" s="577"/>
      <c r="Q32" s="586"/>
      <c r="R32" s="583"/>
      <c r="S32" s="577"/>
      <c r="T32" s="577"/>
      <c r="U32" s="642"/>
      <c r="V32" s="583"/>
      <c r="W32" s="586"/>
      <c r="X32" s="583"/>
      <c r="Y32" s="577"/>
      <c r="Z32" s="739"/>
      <c r="AA32" s="642"/>
    </row>
    <row r="33" spans="1:27" ht="18.95" customHeight="1">
      <c r="A33" s="340"/>
      <c r="B33" s="1301" t="s">
        <v>2240</v>
      </c>
      <c r="C33" s="1302"/>
      <c r="D33" s="1303"/>
      <c r="E33" s="267"/>
      <c r="F33" s="269"/>
      <c r="G33" s="267"/>
      <c r="H33" s="267"/>
      <c r="I33" s="267"/>
      <c r="J33" s="269"/>
      <c r="K33" s="269"/>
      <c r="L33" s="271">
        <f>SUM(L32:L32)</f>
        <v>1262125.8634500001</v>
      </c>
      <c r="M33" s="267"/>
      <c r="N33" s="1163">
        <v>0.93490804699999996</v>
      </c>
      <c r="P33" s="583"/>
      <c r="Q33" s="583"/>
      <c r="R33" s="583"/>
      <c r="S33" s="583"/>
      <c r="T33" s="583"/>
      <c r="U33" s="583"/>
      <c r="V33" s="583"/>
      <c r="W33" s="583"/>
      <c r="X33" s="583"/>
      <c r="Y33" s="583"/>
      <c r="Z33" s="583"/>
      <c r="AA33" s="583"/>
    </row>
    <row r="34" spans="1:27" ht="18.95" customHeight="1">
      <c r="A34" s="336">
        <v>2</v>
      </c>
      <c r="B34" s="740" t="s">
        <v>2236</v>
      </c>
      <c r="C34" s="318"/>
      <c r="D34" s="164"/>
      <c r="E34" s="267"/>
      <c r="F34" s="269"/>
      <c r="G34" s="267"/>
      <c r="H34" s="267"/>
      <c r="I34" s="267"/>
      <c r="J34" s="269"/>
      <c r="K34" s="269"/>
      <c r="L34" s="267"/>
      <c r="M34" s="267"/>
      <c r="N34" s="1163">
        <v>0.93490804699999996</v>
      </c>
      <c r="P34" s="583"/>
      <c r="Q34" s="583"/>
      <c r="R34" s="583"/>
      <c r="S34" s="583"/>
      <c r="T34" s="583"/>
      <c r="U34" s="583"/>
      <c r="V34" s="583"/>
      <c r="W34" s="583"/>
      <c r="X34" s="583"/>
      <c r="Y34" s="583"/>
      <c r="Z34" s="583"/>
      <c r="AA34" s="583"/>
    </row>
    <row r="35" spans="1:27" ht="18.95" customHeight="1">
      <c r="A35" s="340">
        <v>2.1</v>
      </c>
      <c r="B35" s="322" t="s">
        <v>2241</v>
      </c>
      <c r="C35" s="318"/>
      <c r="D35" s="164"/>
      <c r="E35" s="267"/>
      <c r="F35" s="269"/>
      <c r="G35" s="267"/>
      <c r="H35" s="267"/>
      <c r="I35" s="267"/>
      <c r="J35" s="269"/>
      <c r="K35" s="269"/>
      <c r="L35" s="267"/>
      <c r="M35" s="267"/>
      <c r="N35" s="1163">
        <v>0.93490804699999996</v>
      </c>
      <c r="P35" s="583"/>
      <c r="Q35" s="583"/>
      <c r="R35" s="583"/>
      <c r="S35" s="583"/>
      <c r="T35" s="583"/>
      <c r="U35" s="583"/>
      <c r="V35" s="583"/>
      <c r="W35" s="583"/>
      <c r="X35" s="583"/>
      <c r="Y35" s="583"/>
      <c r="Z35" s="583"/>
      <c r="AA35" s="583"/>
    </row>
    <row r="36" spans="1:27" ht="18.95" customHeight="1">
      <c r="A36" s="340"/>
      <c r="B36" s="343" t="s">
        <v>245</v>
      </c>
      <c r="C36" s="510" t="s">
        <v>1212</v>
      </c>
      <c r="D36" s="741"/>
      <c r="E36" s="513">
        <v>1</v>
      </c>
      <c r="F36" s="269" t="s">
        <v>402</v>
      </c>
      <c r="G36" s="269">
        <v>878000</v>
      </c>
      <c r="H36" s="267">
        <f>G36*N36</f>
        <v>820849.26526599994</v>
      </c>
      <c r="I36" s="267">
        <f>E36*H36</f>
        <v>820849.26526599994</v>
      </c>
      <c r="J36" s="267"/>
      <c r="K36" s="267">
        <f>ROUNDDOWN(E36*J36,2)</f>
        <v>0</v>
      </c>
      <c r="L36" s="267">
        <f>I36+K36</f>
        <v>820849.26526599994</v>
      </c>
      <c r="M36" s="267"/>
      <c r="N36" s="1163">
        <v>0.93490804699999996</v>
      </c>
      <c r="P36" s="600"/>
      <c r="Q36" s="583"/>
      <c r="R36" s="583"/>
      <c r="S36" s="583"/>
      <c r="T36" s="583"/>
      <c r="U36" s="583"/>
      <c r="V36" s="583"/>
      <c r="W36" s="583"/>
      <c r="X36" s="583"/>
      <c r="Y36" s="583"/>
      <c r="Z36" s="583"/>
      <c r="AA36" s="583"/>
    </row>
    <row r="37" spans="1:27" ht="18.95" customHeight="1">
      <c r="A37" s="340"/>
      <c r="B37" s="1301" t="s">
        <v>2242</v>
      </c>
      <c r="C37" s="1302"/>
      <c r="D37" s="1303"/>
      <c r="E37" s="267"/>
      <c r="F37" s="269"/>
      <c r="G37" s="267"/>
      <c r="H37" s="267"/>
      <c r="I37" s="267"/>
      <c r="J37" s="269"/>
      <c r="K37" s="269"/>
      <c r="L37" s="271">
        <f>SUM(L36)</f>
        <v>820849.26526599994</v>
      </c>
      <c r="M37" s="267"/>
      <c r="N37" s="1163">
        <v>0.93490804699999996</v>
      </c>
      <c r="P37" s="583"/>
      <c r="Q37" s="583"/>
      <c r="R37" s="583"/>
      <c r="S37" s="583"/>
      <c r="T37" s="583"/>
      <c r="U37" s="583"/>
      <c r="V37" s="583"/>
      <c r="W37" s="583"/>
      <c r="X37" s="583"/>
      <c r="Y37" s="583"/>
      <c r="Z37" s="583"/>
      <c r="AA37" s="583"/>
    </row>
    <row r="38" spans="1:27" ht="18.95" customHeight="1">
      <c r="A38" s="336">
        <v>2</v>
      </c>
      <c r="B38" s="740" t="s">
        <v>2237</v>
      </c>
      <c r="C38" s="318"/>
      <c r="D38" s="164"/>
      <c r="E38" s="267"/>
      <c r="F38" s="268"/>
      <c r="G38" s="267"/>
      <c r="H38" s="267"/>
      <c r="I38" s="267"/>
      <c r="J38" s="269"/>
      <c r="K38" s="269"/>
      <c r="L38" s="270"/>
      <c r="M38" s="268"/>
      <c r="N38" s="1163">
        <v>0.93490804699999996</v>
      </c>
      <c r="P38" s="583"/>
      <c r="Q38" s="641"/>
      <c r="R38" s="583"/>
      <c r="S38" s="583"/>
      <c r="T38" s="583"/>
      <c r="U38" s="583"/>
      <c r="V38" s="583"/>
      <c r="W38" s="641"/>
      <c r="X38" s="583"/>
      <c r="Y38" s="583"/>
      <c r="Z38" s="583"/>
      <c r="AA38" s="583"/>
    </row>
    <row r="39" spans="1:27" ht="18.95" customHeight="1">
      <c r="A39" s="346"/>
      <c r="B39" s="330" t="s">
        <v>1873</v>
      </c>
      <c r="C39" s="631"/>
      <c r="D39" s="230"/>
      <c r="E39" s="267"/>
      <c r="F39" s="268"/>
      <c r="G39" s="267"/>
      <c r="H39" s="267"/>
      <c r="I39" s="267"/>
      <c r="J39" s="269"/>
      <c r="K39" s="269"/>
      <c r="L39" s="270"/>
      <c r="M39" s="268"/>
      <c r="N39" s="1163">
        <v>0.93490804699999996</v>
      </c>
      <c r="P39" s="583"/>
      <c r="Q39" s="641"/>
      <c r="R39" s="583"/>
      <c r="S39" s="583"/>
      <c r="T39" s="583"/>
      <c r="U39" s="583"/>
      <c r="V39" s="583"/>
      <c r="W39" s="641"/>
      <c r="X39" s="583"/>
      <c r="Y39" s="583"/>
      <c r="Z39" s="583"/>
      <c r="AA39" s="583"/>
    </row>
    <row r="40" spans="1:27" ht="18.95" customHeight="1">
      <c r="A40" s="621"/>
      <c r="B40" s="622" t="s">
        <v>1882</v>
      </c>
      <c r="C40" s="318"/>
      <c r="D40" s="235"/>
      <c r="E40" s="267"/>
      <c r="F40" s="268"/>
      <c r="G40" s="267"/>
      <c r="H40" s="267"/>
      <c r="I40" s="267"/>
      <c r="J40" s="269"/>
      <c r="K40" s="269"/>
      <c r="L40" s="270"/>
      <c r="M40" s="268"/>
      <c r="N40" s="1163">
        <v>0.93490804699999996</v>
      </c>
      <c r="P40" s="583"/>
      <c r="Q40" s="586"/>
      <c r="R40" s="583"/>
      <c r="S40" s="583"/>
      <c r="T40" s="583"/>
      <c r="U40" s="583"/>
      <c r="V40" s="583"/>
      <c r="W40" s="641"/>
      <c r="X40" s="583"/>
      <c r="Y40" s="583"/>
      <c r="Z40" s="583"/>
      <c r="AA40" s="583"/>
    </row>
    <row r="41" spans="1:27" ht="18.95" customHeight="1">
      <c r="A41" s="632"/>
      <c r="B41" s="603"/>
      <c r="C41" s="316" t="s">
        <v>1883</v>
      </c>
      <c r="D41" s="328" t="s">
        <v>1884</v>
      </c>
      <c r="E41" s="267">
        <v>1</v>
      </c>
      <c r="F41" s="356" t="s">
        <v>402</v>
      </c>
      <c r="G41" s="267">
        <v>65016</v>
      </c>
      <c r="H41" s="267">
        <f>G41*N41</f>
        <v>60783.981583752</v>
      </c>
      <c r="I41" s="267">
        <f>E41*H41</f>
        <v>60783.981583752</v>
      </c>
      <c r="J41" s="270"/>
      <c r="K41" s="270">
        <f t="shared" ref="K41:K48" si="2">ROUNDDOWN(E41*J41,2)</f>
        <v>0</v>
      </c>
      <c r="L41" s="270">
        <f t="shared" ref="L41:L48" si="3">I41+K41</f>
        <v>60783.981583752</v>
      </c>
      <c r="M41" s="268"/>
      <c r="N41" s="1163">
        <v>0.93490804699999996</v>
      </c>
      <c r="P41" s="577"/>
      <c r="Q41" s="586"/>
      <c r="R41" s="583"/>
      <c r="S41" s="577"/>
      <c r="T41" s="577"/>
      <c r="U41" s="642"/>
      <c r="V41" s="583"/>
      <c r="W41" s="641"/>
      <c r="X41" s="583"/>
      <c r="Y41" s="577"/>
      <c r="Z41" s="743"/>
      <c r="AA41" s="642"/>
    </row>
    <row r="42" spans="1:27" ht="18.95" customHeight="1">
      <c r="A42" s="632"/>
      <c r="B42" s="603"/>
      <c r="C42" s="316" t="s">
        <v>1885</v>
      </c>
      <c r="D42" s="328" t="s">
        <v>1886</v>
      </c>
      <c r="E42" s="267">
        <v>1</v>
      </c>
      <c r="F42" s="356" t="s">
        <v>402</v>
      </c>
      <c r="G42" s="267">
        <v>30240</v>
      </c>
      <c r="H42" s="267">
        <f t="shared" ref="H42:H48" si="4">G42*N42</f>
        <v>28271.619341279998</v>
      </c>
      <c r="I42" s="267">
        <f t="shared" ref="I42:I48" si="5">E42*H42</f>
        <v>28271.619341279998</v>
      </c>
      <c r="J42" s="270"/>
      <c r="K42" s="270">
        <f t="shared" si="2"/>
        <v>0</v>
      </c>
      <c r="L42" s="270">
        <f t="shared" si="3"/>
        <v>28271.619341279998</v>
      </c>
      <c r="M42" s="268"/>
      <c r="N42" s="1163">
        <v>0.93490804699999996</v>
      </c>
      <c r="P42" s="577"/>
      <c r="Q42" s="586"/>
      <c r="R42" s="583"/>
      <c r="S42" s="577"/>
      <c r="T42" s="577"/>
      <c r="U42" s="642"/>
      <c r="V42" s="583"/>
      <c r="W42" s="641"/>
      <c r="X42" s="583"/>
      <c r="Y42" s="577"/>
      <c r="Z42" s="743"/>
      <c r="AA42" s="642"/>
    </row>
    <row r="43" spans="1:27" ht="18.95" customHeight="1">
      <c r="A43" s="632"/>
      <c r="B43" s="603"/>
      <c r="C43" s="316" t="s">
        <v>1887</v>
      </c>
      <c r="D43" s="328" t="s">
        <v>1886</v>
      </c>
      <c r="E43" s="267">
        <v>1</v>
      </c>
      <c r="F43" s="356" t="s">
        <v>402</v>
      </c>
      <c r="G43" s="267">
        <v>30240</v>
      </c>
      <c r="H43" s="267">
        <f t="shared" si="4"/>
        <v>28271.619341279998</v>
      </c>
      <c r="I43" s="267">
        <f t="shared" si="5"/>
        <v>28271.619341279998</v>
      </c>
      <c r="J43" s="270"/>
      <c r="K43" s="270">
        <f t="shared" si="2"/>
        <v>0</v>
      </c>
      <c r="L43" s="270">
        <f t="shared" si="3"/>
        <v>28271.619341279998</v>
      </c>
      <c r="M43" s="268"/>
      <c r="N43" s="1163">
        <v>0.93490804699999996</v>
      </c>
      <c r="P43" s="577"/>
      <c r="Q43" s="586"/>
      <c r="R43" s="583"/>
      <c r="S43" s="577"/>
      <c r="T43" s="577"/>
      <c r="U43" s="642"/>
      <c r="V43" s="583"/>
      <c r="W43" s="641"/>
      <c r="X43" s="583"/>
      <c r="Y43" s="577"/>
      <c r="Z43" s="743"/>
      <c r="AA43" s="642"/>
    </row>
    <row r="44" spans="1:27" ht="18.95" customHeight="1">
      <c r="A44" s="632"/>
      <c r="B44" s="603"/>
      <c r="C44" s="316" t="s">
        <v>1888</v>
      </c>
      <c r="D44" s="328" t="s">
        <v>1886</v>
      </c>
      <c r="E44" s="267">
        <v>1</v>
      </c>
      <c r="F44" s="356" t="s">
        <v>402</v>
      </c>
      <c r="G44" s="267">
        <v>30240</v>
      </c>
      <c r="H44" s="267">
        <f t="shared" si="4"/>
        <v>28271.619341279998</v>
      </c>
      <c r="I44" s="267">
        <f t="shared" si="5"/>
        <v>28271.619341279998</v>
      </c>
      <c r="J44" s="270"/>
      <c r="K44" s="270">
        <f t="shared" si="2"/>
        <v>0</v>
      </c>
      <c r="L44" s="270">
        <f t="shared" si="3"/>
        <v>28271.619341279998</v>
      </c>
      <c r="M44" s="268"/>
      <c r="N44" s="1163">
        <v>0.93490804699999996</v>
      </c>
      <c r="P44" s="577"/>
      <c r="Q44" s="586"/>
      <c r="R44" s="583"/>
      <c r="S44" s="577"/>
      <c r="T44" s="577"/>
      <c r="U44" s="642"/>
      <c r="V44" s="583"/>
      <c r="W44" s="641"/>
      <c r="X44" s="583"/>
      <c r="Y44" s="577"/>
      <c r="Z44" s="743"/>
      <c r="AA44" s="642"/>
    </row>
    <row r="45" spans="1:27" ht="18.95" customHeight="1">
      <c r="A45" s="632"/>
      <c r="B45" s="603"/>
      <c r="C45" s="316" t="s">
        <v>1889</v>
      </c>
      <c r="D45" s="328" t="s">
        <v>1886</v>
      </c>
      <c r="E45" s="267">
        <v>1</v>
      </c>
      <c r="F45" s="356" t="s">
        <v>402</v>
      </c>
      <c r="G45" s="267">
        <v>30240</v>
      </c>
      <c r="H45" s="267">
        <f t="shared" si="4"/>
        <v>28271.619341279998</v>
      </c>
      <c r="I45" s="267">
        <f t="shared" si="5"/>
        <v>28271.619341279998</v>
      </c>
      <c r="J45" s="270"/>
      <c r="K45" s="270">
        <f t="shared" si="2"/>
        <v>0</v>
      </c>
      <c r="L45" s="270">
        <f t="shared" si="3"/>
        <v>28271.619341279998</v>
      </c>
      <c r="M45" s="268"/>
      <c r="N45" s="1163">
        <v>0.93490804699999996</v>
      </c>
      <c r="P45" s="577"/>
      <c r="Q45" s="586"/>
      <c r="R45" s="583"/>
      <c r="S45" s="577"/>
      <c r="T45" s="577"/>
      <c r="U45" s="642"/>
      <c r="V45" s="583"/>
      <c r="W45" s="641"/>
      <c r="X45" s="583"/>
      <c r="Y45" s="577"/>
      <c r="Z45" s="743"/>
      <c r="AA45" s="642"/>
    </row>
    <row r="46" spans="1:27" ht="18.95" customHeight="1">
      <c r="A46" s="632"/>
      <c r="B46" s="603"/>
      <c r="C46" s="316" t="s">
        <v>1890</v>
      </c>
      <c r="D46" s="328" t="s">
        <v>1891</v>
      </c>
      <c r="E46" s="267">
        <v>1</v>
      </c>
      <c r="F46" s="356" t="s">
        <v>402</v>
      </c>
      <c r="G46" s="267">
        <v>28000</v>
      </c>
      <c r="H46" s="267">
        <f t="shared" si="4"/>
        <v>26177.425316000001</v>
      </c>
      <c r="I46" s="267">
        <f t="shared" si="5"/>
        <v>26177.425316000001</v>
      </c>
      <c r="J46" s="270"/>
      <c r="K46" s="270">
        <f t="shared" si="2"/>
        <v>0</v>
      </c>
      <c r="L46" s="270">
        <f t="shared" si="3"/>
        <v>26177.425316000001</v>
      </c>
      <c r="M46" s="268"/>
      <c r="N46" s="1163">
        <v>0.93490804699999996</v>
      </c>
      <c r="P46" s="577"/>
      <c r="Q46" s="586"/>
      <c r="R46" s="583"/>
      <c r="S46" s="577"/>
      <c r="T46" s="577"/>
      <c r="U46" s="642"/>
      <c r="V46" s="583"/>
      <c r="W46" s="641"/>
      <c r="X46" s="583"/>
      <c r="Y46" s="577"/>
      <c r="Z46" s="743"/>
      <c r="AA46" s="642"/>
    </row>
    <row r="47" spans="1:27" ht="18.95" customHeight="1">
      <c r="A47" s="632"/>
      <c r="B47" s="603"/>
      <c r="C47" s="316" t="s">
        <v>1892</v>
      </c>
      <c r="D47" s="328" t="s">
        <v>1891</v>
      </c>
      <c r="E47" s="267">
        <v>1</v>
      </c>
      <c r="F47" s="356" t="s">
        <v>402</v>
      </c>
      <c r="G47" s="267">
        <v>28000</v>
      </c>
      <c r="H47" s="267">
        <f t="shared" si="4"/>
        <v>26177.425316000001</v>
      </c>
      <c r="I47" s="267">
        <f t="shared" si="5"/>
        <v>26177.425316000001</v>
      </c>
      <c r="J47" s="270"/>
      <c r="K47" s="270">
        <f t="shared" si="2"/>
        <v>0</v>
      </c>
      <c r="L47" s="270">
        <f t="shared" si="3"/>
        <v>26177.425316000001</v>
      </c>
      <c r="M47" s="268"/>
      <c r="N47" s="1163">
        <v>0.93490804699999996</v>
      </c>
      <c r="P47" s="577"/>
      <c r="Q47" s="586"/>
      <c r="R47" s="583"/>
      <c r="S47" s="577"/>
      <c r="T47" s="577"/>
      <c r="U47" s="642"/>
      <c r="V47" s="583"/>
      <c r="W47" s="641"/>
      <c r="X47" s="583"/>
      <c r="Y47" s="577"/>
      <c r="Z47" s="743"/>
      <c r="AA47" s="642"/>
    </row>
    <row r="48" spans="1:27" ht="18.95" customHeight="1">
      <c r="A48" s="632"/>
      <c r="B48" s="603"/>
      <c r="C48" s="316" t="s">
        <v>1893</v>
      </c>
      <c r="D48" s="328" t="s">
        <v>1891</v>
      </c>
      <c r="E48" s="267">
        <v>1</v>
      </c>
      <c r="F48" s="356" t="s">
        <v>402</v>
      </c>
      <c r="G48" s="267">
        <v>28000</v>
      </c>
      <c r="H48" s="267">
        <f t="shared" si="4"/>
        <v>26177.425316000001</v>
      </c>
      <c r="I48" s="267">
        <f t="shared" si="5"/>
        <v>26177.425316000001</v>
      </c>
      <c r="J48" s="270"/>
      <c r="K48" s="270">
        <f t="shared" si="2"/>
        <v>0</v>
      </c>
      <c r="L48" s="270">
        <f t="shared" si="3"/>
        <v>26177.425316000001</v>
      </c>
      <c r="M48" s="268"/>
      <c r="N48" s="1163">
        <v>0.93490804699999996</v>
      </c>
      <c r="P48" s="577"/>
      <c r="Q48" s="586"/>
      <c r="R48" s="583"/>
      <c r="S48" s="577"/>
      <c r="T48" s="577"/>
      <c r="U48" s="642"/>
      <c r="V48" s="583"/>
      <c r="W48" s="641"/>
      <c r="X48" s="583"/>
      <c r="Y48" s="577"/>
      <c r="Z48" s="743"/>
      <c r="AA48" s="642"/>
    </row>
    <row r="49" spans="1:27" ht="18.95" customHeight="1">
      <c r="A49" s="632"/>
      <c r="B49" s="603" t="s">
        <v>1894</v>
      </c>
      <c r="C49" s="633"/>
      <c r="D49" s="633"/>
      <c r="E49" s="267"/>
      <c r="F49" s="356"/>
      <c r="G49" s="267"/>
      <c r="H49" s="267"/>
      <c r="I49" s="269"/>
      <c r="J49" s="270"/>
      <c r="K49" s="270"/>
      <c r="L49" s="270"/>
      <c r="M49" s="268"/>
      <c r="N49" s="1163">
        <v>0.93490804699999996</v>
      </c>
      <c r="P49" s="583"/>
      <c r="Q49" s="586"/>
      <c r="R49" s="583"/>
      <c r="S49" s="577"/>
      <c r="T49" s="577"/>
      <c r="U49" s="642"/>
      <c r="V49" s="583"/>
      <c r="W49" s="641"/>
      <c r="X49" s="583"/>
      <c r="Y49" s="577"/>
      <c r="Z49" s="743"/>
      <c r="AA49" s="642"/>
    </row>
    <row r="50" spans="1:27" ht="18.95" customHeight="1">
      <c r="A50" s="632"/>
      <c r="B50" s="603"/>
      <c r="C50" s="316" t="s">
        <v>1895</v>
      </c>
      <c r="D50" s="634" t="s">
        <v>1896</v>
      </c>
      <c r="E50" s="267">
        <v>1</v>
      </c>
      <c r="F50" s="356" t="s">
        <v>402</v>
      </c>
      <c r="G50" s="267">
        <v>212800</v>
      </c>
      <c r="H50" s="267">
        <f>G50*N50</f>
        <v>198948.4324016</v>
      </c>
      <c r="I50" s="267">
        <f>E50*H50</f>
        <v>198948.4324016</v>
      </c>
      <c r="J50" s="270"/>
      <c r="K50" s="270">
        <f t="shared" ref="K50:K62" si="6">ROUNDDOWN(E50*J50,2)</f>
        <v>0</v>
      </c>
      <c r="L50" s="270">
        <f t="shared" ref="L50:L62" si="7">I50+K50</f>
        <v>198948.4324016</v>
      </c>
      <c r="M50" s="268"/>
      <c r="N50" s="1163">
        <v>0.93490804699999996</v>
      </c>
      <c r="P50" s="577"/>
      <c r="Q50" s="586"/>
      <c r="R50" s="583"/>
      <c r="S50" s="577"/>
      <c r="T50" s="577"/>
      <c r="U50" s="642"/>
      <c r="V50" s="583"/>
      <c r="W50" s="641"/>
      <c r="X50" s="583"/>
      <c r="Y50" s="577"/>
      <c r="Z50" s="743"/>
      <c r="AA50" s="642"/>
    </row>
    <row r="51" spans="1:27" ht="18.95" customHeight="1">
      <c r="A51" s="632"/>
      <c r="B51" s="603"/>
      <c r="C51" s="316" t="s">
        <v>1897</v>
      </c>
      <c r="D51" s="328" t="s">
        <v>1898</v>
      </c>
      <c r="E51" s="267">
        <v>1</v>
      </c>
      <c r="F51" s="356" t="s">
        <v>402</v>
      </c>
      <c r="G51" s="267">
        <v>30296</v>
      </c>
      <c r="H51" s="267">
        <f t="shared" ref="H51:H62" si="8">G51*N51</f>
        <v>28323.974191911999</v>
      </c>
      <c r="I51" s="267">
        <f t="shared" ref="I51:I62" si="9">E51*H51</f>
        <v>28323.974191911999</v>
      </c>
      <c r="J51" s="270"/>
      <c r="K51" s="270">
        <f t="shared" si="6"/>
        <v>0</v>
      </c>
      <c r="L51" s="270">
        <f t="shared" si="7"/>
        <v>28323.974191911999</v>
      </c>
      <c r="M51" s="268"/>
      <c r="N51" s="1163">
        <v>0.93490804699999996</v>
      </c>
      <c r="P51" s="577"/>
      <c r="Q51" s="586"/>
      <c r="R51" s="583"/>
      <c r="S51" s="577"/>
      <c r="T51" s="577"/>
      <c r="U51" s="642"/>
      <c r="V51" s="583"/>
      <c r="W51" s="641"/>
      <c r="X51" s="583"/>
      <c r="Y51" s="577"/>
      <c r="Z51" s="743"/>
      <c r="AA51" s="642"/>
    </row>
    <row r="52" spans="1:27" ht="18.95" customHeight="1">
      <c r="A52" s="632"/>
      <c r="B52" s="603"/>
      <c r="C52" s="316" t="s">
        <v>1899</v>
      </c>
      <c r="D52" s="328" t="s">
        <v>1900</v>
      </c>
      <c r="E52" s="267">
        <v>1</v>
      </c>
      <c r="F52" s="356" t="s">
        <v>402</v>
      </c>
      <c r="G52" s="267">
        <v>27496</v>
      </c>
      <c r="H52" s="267">
        <f t="shared" si="8"/>
        <v>25706.231660311998</v>
      </c>
      <c r="I52" s="267">
        <f t="shared" si="9"/>
        <v>25706.231660311998</v>
      </c>
      <c r="J52" s="270"/>
      <c r="K52" s="270">
        <f t="shared" si="6"/>
        <v>0</v>
      </c>
      <c r="L52" s="270">
        <f t="shared" si="7"/>
        <v>25706.231660311998</v>
      </c>
      <c r="M52" s="268"/>
      <c r="N52" s="1163">
        <v>0.93490804699999996</v>
      </c>
      <c r="P52" s="577"/>
      <c r="Q52" s="586"/>
      <c r="R52" s="583"/>
      <c r="S52" s="577"/>
      <c r="T52" s="577"/>
      <c r="U52" s="642"/>
      <c r="V52" s="583"/>
      <c r="W52" s="641"/>
      <c r="X52" s="583"/>
      <c r="Y52" s="577"/>
      <c r="Z52" s="743"/>
      <c r="AA52" s="642"/>
    </row>
    <row r="53" spans="1:27" ht="18.95" customHeight="1">
      <c r="A53" s="632"/>
      <c r="B53" s="603"/>
      <c r="C53" s="316" t="s">
        <v>1901</v>
      </c>
      <c r="D53" s="328" t="s">
        <v>1900</v>
      </c>
      <c r="E53" s="267">
        <v>1</v>
      </c>
      <c r="F53" s="356" t="s">
        <v>402</v>
      </c>
      <c r="G53" s="267">
        <v>27496</v>
      </c>
      <c r="H53" s="267">
        <f t="shared" si="8"/>
        <v>25706.231660311998</v>
      </c>
      <c r="I53" s="267">
        <f t="shared" si="9"/>
        <v>25706.231660311998</v>
      </c>
      <c r="J53" s="270"/>
      <c r="K53" s="270">
        <f t="shared" si="6"/>
        <v>0</v>
      </c>
      <c r="L53" s="270">
        <f t="shared" si="7"/>
        <v>25706.231660311998</v>
      </c>
      <c r="M53" s="268"/>
      <c r="N53" s="1163">
        <v>0.93490804699999996</v>
      </c>
      <c r="P53" s="577"/>
      <c r="Q53" s="586"/>
      <c r="R53" s="583"/>
      <c r="S53" s="577"/>
      <c r="T53" s="577"/>
      <c r="U53" s="642"/>
      <c r="V53" s="583"/>
      <c r="W53" s="641"/>
      <c r="X53" s="583"/>
      <c r="Y53" s="577"/>
      <c r="Z53" s="743"/>
      <c r="AA53" s="642"/>
    </row>
    <row r="54" spans="1:27" ht="18.95" customHeight="1">
      <c r="A54" s="632"/>
      <c r="B54" s="603"/>
      <c r="C54" s="316" t="s">
        <v>1902</v>
      </c>
      <c r="D54" s="328" t="s">
        <v>1900</v>
      </c>
      <c r="E54" s="267">
        <v>1</v>
      </c>
      <c r="F54" s="356" t="s">
        <v>402</v>
      </c>
      <c r="G54" s="267">
        <v>27496</v>
      </c>
      <c r="H54" s="267">
        <f t="shared" si="8"/>
        <v>25706.231660311998</v>
      </c>
      <c r="I54" s="267">
        <f t="shared" si="9"/>
        <v>25706.231660311998</v>
      </c>
      <c r="J54" s="270"/>
      <c r="K54" s="270">
        <f t="shared" si="6"/>
        <v>0</v>
      </c>
      <c r="L54" s="270">
        <f t="shared" si="7"/>
        <v>25706.231660311998</v>
      </c>
      <c r="M54" s="268"/>
      <c r="N54" s="1163">
        <v>0.93490804699999996</v>
      </c>
      <c r="P54" s="577"/>
      <c r="Q54" s="586"/>
      <c r="R54" s="583"/>
      <c r="S54" s="577"/>
      <c r="T54" s="577"/>
      <c r="U54" s="642"/>
      <c r="V54" s="583"/>
      <c r="W54" s="641"/>
      <c r="X54" s="583"/>
      <c r="Y54" s="577"/>
      <c r="Z54" s="743"/>
      <c r="AA54" s="642"/>
    </row>
    <row r="55" spans="1:27" ht="18.95" customHeight="1">
      <c r="A55" s="635"/>
      <c r="B55" s="603"/>
      <c r="C55" s="316" t="s">
        <v>1903</v>
      </c>
      <c r="D55" s="328" t="s">
        <v>1884</v>
      </c>
      <c r="E55" s="267">
        <v>1</v>
      </c>
      <c r="F55" s="356" t="s">
        <v>402</v>
      </c>
      <c r="G55" s="267">
        <v>65016</v>
      </c>
      <c r="H55" s="267">
        <f t="shared" si="8"/>
        <v>60783.981583752</v>
      </c>
      <c r="I55" s="267">
        <f t="shared" si="9"/>
        <v>60783.981583752</v>
      </c>
      <c r="J55" s="270"/>
      <c r="K55" s="270">
        <f t="shared" si="6"/>
        <v>0</v>
      </c>
      <c r="L55" s="270">
        <f t="shared" si="7"/>
        <v>60783.981583752</v>
      </c>
      <c r="M55" s="268"/>
      <c r="N55" s="1163">
        <v>0.93490804699999996</v>
      </c>
      <c r="P55" s="577"/>
      <c r="Q55" s="586"/>
      <c r="R55" s="583"/>
      <c r="S55" s="577"/>
      <c r="T55" s="577"/>
      <c r="U55" s="642"/>
      <c r="V55" s="583"/>
      <c r="W55" s="641"/>
      <c r="X55" s="583"/>
      <c r="Y55" s="577"/>
      <c r="Z55" s="743"/>
      <c r="AA55" s="642"/>
    </row>
    <row r="56" spans="1:27" ht="18.95" customHeight="1">
      <c r="A56" s="632"/>
      <c r="B56" s="603"/>
      <c r="C56" s="316" t="s">
        <v>1904</v>
      </c>
      <c r="D56" s="328" t="s">
        <v>1905</v>
      </c>
      <c r="E56" s="267">
        <v>1</v>
      </c>
      <c r="F56" s="356" t="s">
        <v>402</v>
      </c>
      <c r="G56" s="267">
        <v>33600</v>
      </c>
      <c r="H56" s="267">
        <f t="shared" si="8"/>
        <v>31412.910379199999</v>
      </c>
      <c r="I56" s="267">
        <f t="shared" si="9"/>
        <v>31412.910379199999</v>
      </c>
      <c r="J56" s="270"/>
      <c r="K56" s="270">
        <f t="shared" si="6"/>
        <v>0</v>
      </c>
      <c r="L56" s="270">
        <f t="shared" si="7"/>
        <v>31412.910379199999</v>
      </c>
      <c r="M56" s="268"/>
      <c r="N56" s="1163">
        <v>0.93490804699999996</v>
      </c>
      <c r="P56" s="577"/>
      <c r="Q56" s="586"/>
      <c r="R56" s="583"/>
      <c r="S56" s="577"/>
      <c r="T56" s="577"/>
      <c r="U56" s="642"/>
      <c r="V56" s="583"/>
      <c r="W56" s="641"/>
      <c r="X56" s="583"/>
      <c r="Y56" s="577"/>
      <c r="Z56" s="743"/>
      <c r="AA56" s="642"/>
    </row>
    <row r="57" spans="1:27" ht="18.95" customHeight="1">
      <c r="A57" s="632"/>
      <c r="B57" s="603"/>
      <c r="C57" s="316" t="s">
        <v>1906</v>
      </c>
      <c r="D57" s="328" t="s">
        <v>1905</v>
      </c>
      <c r="E57" s="267">
        <v>1</v>
      </c>
      <c r="F57" s="356" t="s">
        <v>402</v>
      </c>
      <c r="G57" s="267">
        <v>33600</v>
      </c>
      <c r="H57" s="267">
        <f t="shared" si="8"/>
        <v>31412.910379199999</v>
      </c>
      <c r="I57" s="267">
        <f t="shared" si="9"/>
        <v>31412.910379199999</v>
      </c>
      <c r="J57" s="270"/>
      <c r="K57" s="270">
        <f t="shared" si="6"/>
        <v>0</v>
      </c>
      <c r="L57" s="270">
        <f t="shared" si="7"/>
        <v>31412.910379199999</v>
      </c>
      <c r="M57" s="268"/>
      <c r="N57" s="1163">
        <v>0.93490804699999996</v>
      </c>
      <c r="P57" s="577"/>
      <c r="Q57" s="586"/>
      <c r="R57" s="583"/>
      <c r="S57" s="577"/>
      <c r="T57" s="577"/>
      <c r="U57" s="642"/>
      <c r="V57" s="583"/>
      <c r="W57" s="641"/>
      <c r="X57" s="583"/>
      <c r="Y57" s="577"/>
      <c r="Z57" s="743"/>
      <c r="AA57" s="642"/>
    </row>
    <row r="58" spans="1:27" ht="18.95" customHeight="1">
      <c r="A58" s="632"/>
      <c r="B58" s="603"/>
      <c r="C58" s="316" t="s">
        <v>1907</v>
      </c>
      <c r="D58" s="328" t="s">
        <v>1905</v>
      </c>
      <c r="E58" s="267">
        <v>1</v>
      </c>
      <c r="F58" s="356" t="s">
        <v>402</v>
      </c>
      <c r="G58" s="267">
        <v>33600</v>
      </c>
      <c r="H58" s="267">
        <f>G58*N58</f>
        <v>31412.910379199999</v>
      </c>
      <c r="I58" s="267">
        <f>E58*H58</f>
        <v>31412.910379199999</v>
      </c>
      <c r="J58" s="270"/>
      <c r="K58" s="270">
        <f t="shared" si="6"/>
        <v>0</v>
      </c>
      <c r="L58" s="270">
        <f t="shared" si="7"/>
        <v>31412.910379199999</v>
      </c>
      <c r="M58" s="268"/>
      <c r="N58" s="1163">
        <v>0.93490804699999996</v>
      </c>
      <c r="P58" s="577"/>
      <c r="Q58" s="586"/>
      <c r="R58" s="583"/>
      <c r="S58" s="577"/>
      <c r="T58" s="577"/>
      <c r="U58" s="642"/>
      <c r="V58" s="583"/>
      <c r="W58" s="641"/>
      <c r="X58" s="583"/>
      <c r="Y58" s="577"/>
      <c r="Z58" s="743"/>
      <c r="AA58" s="642"/>
    </row>
    <row r="59" spans="1:27" ht="18.95" customHeight="1">
      <c r="A59" s="632"/>
      <c r="B59" s="603"/>
      <c r="C59" s="316" t="s">
        <v>1908</v>
      </c>
      <c r="D59" s="328" t="s">
        <v>1905</v>
      </c>
      <c r="E59" s="267">
        <v>1</v>
      </c>
      <c r="F59" s="356" t="s">
        <v>402</v>
      </c>
      <c r="G59" s="267">
        <v>33600</v>
      </c>
      <c r="H59" s="267">
        <f t="shared" si="8"/>
        <v>31412.910379199999</v>
      </c>
      <c r="I59" s="267">
        <f t="shared" si="9"/>
        <v>31412.910379199999</v>
      </c>
      <c r="J59" s="270"/>
      <c r="K59" s="270">
        <f t="shared" si="6"/>
        <v>0</v>
      </c>
      <c r="L59" s="270">
        <f t="shared" si="7"/>
        <v>31412.910379199999</v>
      </c>
      <c r="M59" s="268"/>
      <c r="N59" s="1163">
        <v>0.93490804699999996</v>
      </c>
      <c r="P59" s="577"/>
      <c r="Q59" s="586"/>
      <c r="R59" s="583"/>
      <c r="S59" s="577"/>
      <c r="T59" s="577"/>
      <c r="U59" s="642"/>
      <c r="V59" s="583"/>
      <c r="W59" s="641"/>
      <c r="X59" s="583"/>
      <c r="Y59" s="577"/>
      <c r="Z59" s="743"/>
      <c r="AA59" s="642"/>
    </row>
    <row r="60" spans="1:27" ht="18.95" customHeight="1">
      <c r="A60" s="632"/>
      <c r="B60" s="603"/>
      <c r="C60" s="316" t="s">
        <v>1909</v>
      </c>
      <c r="D60" s="328" t="s">
        <v>1910</v>
      </c>
      <c r="E60" s="267">
        <v>1</v>
      </c>
      <c r="F60" s="356" t="s">
        <v>402</v>
      </c>
      <c r="G60" s="267">
        <v>30800</v>
      </c>
      <c r="H60" s="267">
        <f t="shared" si="8"/>
        <v>28795.167847599998</v>
      </c>
      <c r="I60" s="267">
        <f t="shared" si="9"/>
        <v>28795.167847599998</v>
      </c>
      <c r="J60" s="270"/>
      <c r="K60" s="270">
        <f t="shared" si="6"/>
        <v>0</v>
      </c>
      <c r="L60" s="270">
        <f t="shared" si="7"/>
        <v>28795.167847599998</v>
      </c>
      <c r="M60" s="268"/>
      <c r="N60" s="1163">
        <v>0.93490804699999996</v>
      </c>
      <c r="P60" s="577"/>
      <c r="Q60" s="586"/>
      <c r="R60" s="583"/>
      <c r="S60" s="577"/>
      <c r="T60" s="577"/>
      <c r="U60" s="642"/>
      <c r="V60" s="583"/>
      <c r="W60" s="641"/>
      <c r="X60" s="583"/>
      <c r="Y60" s="577"/>
      <c r="Z60" s="743"/>
      <c r="AA60" s="642"/>
    </row>
    <row r="61" spans="1:27" ht="18.95" customHeight="1">
      <c r="A61" s="632"/>
      <c r="B61" s="603"/>
      <c r="C61" s="316" t="s">
        <v>1911</v>
      </c>
      <c r="D61" s="328" t="s">
        <v>1884</v>
      </c>
      <c r="E61" s="267">
        <v>1</v>
      </c>
      <c r="F61" s="356" t="s">
        <v>402</v>
      </c>
      <c r="G61" s="267">
        <v>65016</v>
      </c>
      <c r="H61" s="267">
        <f t="shared" si="8"/>
        <v>60783.981583752</v>
      </c>
      <c r="I61" s="267">
        <f t="shared" si="9"/>
        <v>60783.981583752</v>
      </c>
      <c r="J61" s="270"/>
      <c r="K61" s="270">
        <f t="shared" si="6"/>
        <v>0</v>
      </c>
      <c r="L61" s="270">
        <f t="shared" si="7"/>
        <v>60783.981583752</v>
      </c>
      <c r="M61" s="268"/>
      <c r="N61" s="1163">
        <v>0.93490804699999996</v>
      </c>
      <c r="P61" s="577"/>
      <c r="Q61" s="586"/>
      <c r="R61" s="583"/>
      <c r="S61" s="577"/>
      <c r="T61" s="577"/>
      <c r="U61" s="642"/>
      <c r="V61" s="583"/>
      <c r="W61" s="641"/>
      <c r="X61" s="583"/>
      <c r="Y61" s="577"/>
      <c r="Z61" s="743"/>
      <c r="AA61" s="642"/>
    </row>
    <row r="62" spans="1:27" ht="18.95" customHeight="1">
      <c r="A62" s="632"/>
      <c r="B62" s="603"/>
      <c r="C62" s="316" t="s">
        <v>1912</v>
      </c>
      <c r="D62" s="328" t="s">
        <v>1900</v>
      </c>
      <c r="E62" s="267">
        <v>1</v>
      </c>
      <c r="F62" s="356" t="s">
        <v>402</v>
      </c>
      <c r="G62" s="267">
        <v>27496</v>
      </c>
      <c r="H62" s="267">
        <f t="shared" si="8"/>
        <v>25706.231660311998</v>
      </c>
      <c r="I62" s="267">
        <f t="shared" si="9"/>
        <v>25706.231660311998</v>
      </c>
      <c r="J62" s="270"/>
      <c r="K62" s="270">
        <f t="shared" si="6"/>
        <v>0</v>
      </c>
      <c r="L62" s="270">
        <f t="shared" si="7"/>
        <v>25706.231660311998</v>
      </c>
      <c r="M62" s="268"/>
      <c r="N62" s="1163">
        <v>0.93490804699999996</v>
      </c>
      <c r="P62" s="577"/>
      <c r="Q62" s="586"/>
      <c r="R62" s="583"/>
      <c r="S62" s="577"/>
      <c r="T62" s="577"/>
      <c r="U62" s="642"/>
      <c r="V62" s="583"/>
      <c r="W62" s="641"/>
      <c r="X62" s="583"/>
      <c r="Y62" s="577"/>
      <c r="Z62" s="743"/>
      <c r="AA62" s="642"/>
    </row>
    <row r="63" spans="1:27" ht="18.95" customHeight="1">
      <c r="A63" s="632"/>
      <c r="B63" s="603" t="s">
        <v>1913</v>
      </c>
      <c r="C63" s="633"/>
      <c r="D63" s="633"/>
      <c r="E63" s="267"/>
      <c r="F63" s="356"/>
      <c r="G63" s="267"/>
      <c r="H63" s="267"/>
      <c r="I63" s="269"/>
      <c r="J63" s="270"/>
      <c r="K63" s="270"/>
      <c r="L63" s="270"/>
      <c r="M63" s="268"/>
      <c r="N63" s="1163">
        <v>0.93490804699999996</v>
      </c>
      <c r="P63" s="583"/>
      <c r="Q63" s="586"/>
      <c r="R63" s="583"/>
      <c r="S63" s="577"/>
      <c r="T63" s="577"/>
      <c r="U63" s="642"/>
      <c r="V63" s="583"/>
      <c r="W63" s="641"/>
      <c r="X63" s="583"/>
      <c r="Y63" s="577"/>
      <c r="Z63" s="743"/>
      <c r="AA63" s="642"/>
    </row>
    <row r="64" spans="1:27" ht="18.95" customHeight="1">
      <c r="A64" s="632"/>
      <c r="B64" s="603"/>
      <c r="C64" s="316" t="s">
        <v>1914</v>
      </c>
      <c r="D64" s="328" t="s">
        <v>1915</v>
      </c>
      <c r="E64" s="267">
        <v>1</v>
      </c>
      <c r="F64" s="356" t="s">
        <v>402</v>
      </c>
      <c r="G64" s="267">
        <v>83496</v>
      </c>
      <c r="H64" s="267">
        <f>G64*N64</f>
        <v>78061.082292311999</v>
      </c>
      <c r="I64" s="267">
        <f>E64*H64</f>
        <v>78061.082292311999</v>
      </c>
      <c r="J64" s="270"/>
      <c r="K64" s="270">
        <f t="shared" ref="K64:K101" si="10">ROUNDDOWN(E64*J64,2)</f>
        <v>0</v>
      </c>
      <c r="L64" s="270">
        <f t="shared" ref="L64:L101" si="11">I64+K64</f>
        <v>78061.082292311999</v>
      </c>
      <c r="M64" s="268"/>
      <c r="N64" s="1163">
        <v>0.93490804699999996</v>
      </c>
      <c r="P64" s="577"/>
      <c r="Q64" s="586"/>
      <c r="R64" s="583"/>
      <c r="S64" s="577"/>
      <c r="T64" s="577"/>
      <c r="U64" s="642"/>
      <c r="V64" s="583"/>
      <c r="W64" s="641"/>
      <c r="X64" s="583"/>
      <c r="Y64" s="577"/>
      <c r="Z64" s="743"/>
      <c r="AA64" s="642"/>
    </row>
    <row r="65" spans="1:27" ht="18.95" customHeight="1">
      <c r="A65" s="632"/>
      <c r="B65" s="603"/>
      <c r="C65" s="316" t="s">
        <v>1916</v>
      </c>
      <c r="D65" s="328" t="s">
        <v>1917</v>
      </c>
      <c r="E65" s="267">
        <v>1</v>
      </c>
      <c r="F65" s="356" t="s">
        <v>402</v>
      </c>
      <c r="G65" s="267">
        <v>212800</v>
      </c>
      <c r="H65" s="267">
        <f t="shared" ref="H65:H101" si="12">G65*N65</f>
        <v>198948.4324016</v>
      </c>
      <c r="I65" s="267">
        <f t="shared" ref="I65:I101" si="13">E65*H65</f>
        <v>198948.4324016</v>
      </c>
      <c r="J65" s="270"/>
      <c r="K65" s="270">
        <f t="shared" si="10"/>
        <v>0</v>
      </c>
      <c r="L65" s="270">
        <f t="shared" si="11"/>
        <v>198948.4324016</v>
      </c>
      <c r="M65" s="268"/>
      <c r="N65" s="1163">
        <v>0.93490804699999996</v>
      </c>
      <c r="P65" s="577"/>
      <c r="Q65" s="586"/>
      <c r="R65" s="583"/>
      <c r="S65" s="577"/>
      <c r="T65" s="577"/>
      <c r="U65" s="642"/>
      <c r="V65" s="583"/>
      <c r="W65" s="641"/>
      <c r="X65" s="583"/>
      <c r="Y65" s="577"/>
      <c r="Z65" s="743"/>
      <c r="AA65" s="642"/>
    </row>
    <row r="66" spans="1:27" ht="18.95" customHeight="1">
      <c r="A66" s="632"/>
      <c r="B66" s="603"/>
      <c r="C66" s="316" t="s">
        <v>1918</v>
      </c>
      <c r="D66" s="328" t="s">
        <v>1919</v>
      </c>
      <c r="E66" s="267">
        <v>1</v>
      </c>
      <c r="F66" s="356" t="s">
        <v>402</v>
      </c>
      <c r="G66" s="267">
        <v>18984</v>
      </c>
      <c r="H66" s="267">
        <f t="shared" si="12"/>
        <v>17748.294364247999</v>
      </c>
      <c r="I66" s="267">
        <f t="shared" si="13"/>
        <v>17748.294364247999</v>
      </c>
      <c r="J66" s="270"/>
      <c r="K66" s="270">
        <f t="shared" si="10"/>
        <v>0</v>
      </c>
      <c r="L66" s="270">
        <f t="shared" si="11"/>
        <v>17748.294364247999</v>
      </c>
      <c r="M66" s="268"/>
      <c r="N66" s="1163">
        <v>0.93490804699999996</v>
      </c>
      <c r="P66" s="577"/>
      <c r="Q66" s="586"/>
      <c r="R66" s="583"/>
      <c r="S66" s="577"/>
      <c r="T66" s="577"/>
      <c r="U66" s="642"/>
      <c r="V66" s="583"/>
      <c r="W66" s="641"/>
      <c r="X66" s="583"/>
      <c r="Y66" s="577"/>
      <c r="Z66" s="743"/>
      <c r="AA66" s="642"/>
    </row>
    <row r="67" spans="1:27" ht="18.95" customHeight="1">
      <c r="A67" s="632"/>
      <c r="B67" s="603"/>
      <c r="C67" s="316" t="s">
        <v>1920</v>
      </c>
      <c r="D67" s="328" t="s">
        <v>1919</v>
      </c>
      <c r="E67" s="267">
        <v>1</v>
      </c>
      <c r="F67" s="356" t="s">
        <v>402</v>
      </c>
      <c r="G67" s="267">
        <v>18984</v>
      </c>
      <c r="H67" s="267">
        <f t="shared" si="12"/>
        <v>17748.294364247999</v>
      </c>
      <c r="I67" s="267">
        <f t="shared" si="13"/>
        <v>17748.294364247999</v>
      </c>
      <c r="J67" s="270"/>
      <c r="K67" s="270">
        <f t="shared" si="10"/>
        <v>0</v>
      </c>
      <c r="L67" s="270">
        <f t="shared" si="11"/>
        <v>17748.294364247999</v>
      </c>
      <c r="M67" s="268"/>
      <c r="N67" s="1163">
        <v>0.93490804699999996</v>
      </c>
      <c r="P67" s="577"/>
      <c r="Q67" s="586"/>
      <c r="R67" s="583"/>
      <c r="S67" s="577"/>
      <c r="T67" s="577"/>
      <c r="U67" s="642"/>
      <c r="V67" s="583"/>
      <c r="W67" s="641"/>
      <c r="X67" s="583"/>
      <c r="Y67" s="577"/>
      <c r="Z67" s="743"/>
      <c r="AA67" s="642"/>
    </row>
    <row r="68" spans="1:27" ht="18.95" customHeight="1">
      <c r="A68" s="632"/>
      <c r="B68" s="603"/>
      <c r="C68" s="316" t="s">
        <v>1921</v>
      </c>
      <c r="D68" s="328" t="s">
        <v>1919</v>
      </c>
      <c r="E68" s="267">
        <v>1</v>
      </c>
      <c r="F68" s="356" t="s">
        <v>402</v>
      </c>
      <c r="G68" s="267">
        <v>18984</v>
      </c>
      <c r="H68" s="267">
        <f t="shared" si="12"/>
        <v>17748.294364247999</v>
      </c>
      <c r="I68" s="267">
        <f t="shared" si="13"/>
        <v>17748.294364247999</v>
      </c>
      <c r="J68" s="270"/>
      <c r="K68" s="270">
        <f t="shared" si="10"/>
        <v>0</v>
      </c>
      <c r="L68" s="270">
        <f t="shared" si="11"/>
        <v>17748.294364247999</v>
      </c>
      <c r="M68" s="268"/>
      <c r="N68" s="1163">
        <v>0.93490804699999996</v>
      </c>
      <c r="P68" s="577"/>
      <c r="Q68" s="586"/>
      <c r="R68" s="583"/>
      <c r="S68" s="577"/>
      <c r="T68" s="577"/>
      <c r="U68" s="642"/>
      <c r="V68" s="583"/>
      <c r="W68" s="641"/>
      <c r="X68" s="583"/>
      <c r="Y68" s="577"/>
      <c r="Z68" s="743"/>
      <c r="AA68" s="642"/>
    </row>
    <row r="69" spans="1:27" ht="18.95" customHeight="1">
      <c r="A69" s="632"/>
      <c r="B69" s="603"/>
      <c r="C69" s="316" t="s">
        <v>1922</v>
      </c>
      <c r="D69" s="328" t="s">
        <v>1919</v>
      </c>
      <c r="E69" s="267">
        <v>1</v>
      </c>
      <c r="F69" s="356" t="s">
        <v>402</v>
      </c>
      <c r="G69" s="267">
        <v>18984</v>
      </c>
      <c r="H69" s="267">
        <f t="shared" si="12"/>
        <v>17748.294364247999</v>
      </c>
      <c r="I69" s="267">
        <f t="shared" si="13"/>
        <v>17748.294364247999</v>
      </c>
      <c r="J69" s="270"/>
      <c r="K69" s="270">
        <f t="shared" si="10"/>
        <v>0</v>
      </c>
      <c r="L69" s="270">
        <f t="shared" si="11"/>
        <v>17748.294364247999</v>
      </c>
      <c r="M69" s="268"/>
      <c r="N69" s="1163">
        <v>0.93490804699999996</v>
      </c>
      <c r="P69" s="577"/>
      <c r="Q69" s="586"/>
      <c r="R69" s="583"/>
      <c r="S69" s="577"/>
      <c r="T69" s="577"/>
      <c r="U69" s="642"/>
      <c r="V69" s="583"/>
      <c r="W69" s="641"/>
      <c r="X69" s="583"/>
      <c r="Y69" s="577"/>
      <c r="Z69" s="743"/>
      <c r="AA69" s="642"/>
    </row>
    <row r="70" spans="1:27" ht="18.95" customHeight="1">
      <c r="A70" s="632"/>
      <c r="B70" s="603"/>
      <c r="C70" s="316" t="s">
        <v>1923</v>
      </c>
      <c r="D70" s="328" t="s">
        <v>1905</v>
      </c>
      <c r="E70" s="267">
        <v>1</v>
      </c>
      <c r="F70" s="356" t="s">
        <v>402</v>
      </c>
      <c r="G70" s="267">
        <v>33600</v>
      </c>
      <c r="H70" s="267">
        <f t="shared" si="12"/>
        <v>31412.910379199999</v>
      </c>
      <c r="I70" s="267">
        <f t="shared" si="13"/>
        <v>31412.910379199999</v>
      </c>
      <c r="J70" s="270"/>
      <c r="K70" s="270">
        <f t="shared" si="10"/>
        <v>0</v>
      </c>
      <c r="L70" s="270">
        <f t="shared" si="11"/>
        <v>31412.910379199999</v>
      </c>
      <c r="M70" s="268"/>
      <c r="N70" s="1163">
        <v>0.93490804699999996</v>
      </c>
      <c r="P70" s="577"/>
      <c r="Q70" s="586"/>
      <c r="R70" s="583"/>
      <c r="S70" s="577"/>
      <c r="T70" s="577"/>
      <c r="U70" s="642"/>
      <c r="V70" s="583"/>
      <c r="W70" s="641"/>
      <c r="X70" s="583"/>
      <c r="Y70" s="577"/>
      <c r="Z70" s="743"/>
      <c r="AA70" s="642"/>
    </row>
    <row r="71" spans="1:27" ht="18.95" customHeight="1">
      <c r="A71" s="632"/>
      <c r="B71" s="603"/>
      <c r="C71" s="316" t="s">
        <v>1924</v>
      </c>
      <c r="D71" s="328" t="s">
        <v>1905</v>
      </c>
      <c r="E71" s="267">
        <v>1</v>
      </c>
      <c r="F71" s="356" t="s">
        <v>402</v>
      </c>
      <c r="G71" s="267">
        <v>33600</v>
      </c>
      <c r="H71" s="267">
        <f t="shared" si="12"/>
        <v>31412.910379199999</v>
      </c>
      <c r="I71" s="267">
        <f t="shared" si="13"/>
        <v>31412.910379199999</v>
      </c>
      <c r="J71" s="270"/>
      <c r="K71" s="270">
        <f t="shared" si="10"/>
        <v>0</v>
      </c>
      <c r="L71" s="270">
        <f t="shared" si="11"/>
        <v>31412.910379199999</v>
      </c>
      <c r="M71" s="268"/>
      <c r="N71" s="1163">
        <v>0.93490804699999996</v>
      </c>
      <c r="P71" s="577"/>
      <c r="Q71" s="586"/>
      <c r="R71" s="583"/>
      <c r="S71" s="577"/>
      <c r="T71" s="577"/>
      <c r="U71" s="642"/>
      <c r="V71" s="583"/>
      <c r="W71" s="641"/>
      <c r="X71" s="583"/>
      <c r="Y71" s="577"/>
      <c r="Z71" s="743"/>
      <c r="AA71" s="642"/>
    </row>
    <row r="72" spans="1:27" ht="18.95" customHeight="1">
      <c r="A72" s="632"/>
      <c r="B72" s="603"/>
      <c r="C72" s="316" t="s">
        <v>1925</v>
      </c>
      <c r="D72" s="328" t="s">
        <v>1905</v>
      </c>
      <c r="E72" s="267">
        <v>1</v>
      </c>
      <c r="F72" s="356" t="s">
        <v>402</v>
      </c>
      <c r="G72" s="267">
        <v>33600</v>
      </c>
      <c r="H72" s="267">
        <f>G72*N72</f>
        <v>31412.910379199999</v>
      </c>
      <c r="I72" s="267">
        <f>E72*H72</f>
        <v>31412.910379199999</v>
      </c>
      <c r="J72" s="270"/>
      <c r="K72" s="270">
        <f t="shared" si="10"/>
        <v>0</v>
      </c>
      <c r="L72" s="270">
        <f t="shared" si="11"/>
        <v>31412.910379199999</v>
      </c>
      <c r="M72" s="268"/>
      <c r="N72" s="1163">
        <v>0.93490804699999996</v>
      </c>
      <c r="P72" s="577"/>
      <c r="Q72" s="586"/>
      <c r="R72" s="583"/>
      <c r="S72" s="577"/>
      <c r="T72" s="577"/>
      <c r="U72" s="642"/>
      <c r="V72" s="583"/>
      <c r="W72" s="641"/>
      <c r="X72" s="583"/>
      <c r="Y72" s="577"/>
      <c r="Z72" s="743"/>
      <c r="AA72" s="642"/>
    </row>
    <row r="73" spans="1:27" ht="18.95" customHeight="1">
      <c r="A73" s="632"/>
      <c r="B73" s="603"/>
      <c r="C73" s="316" t="s">
        <v>1926</v>
      </c>
      <c r="D73" s="328" t="s">
        <v>1905</v>
      </c>
      <c r="E73" s="267">
        <v>1</v>
      </c>
      <c r="F73" s="356" t="s">
        <v>402</v>
      </c>
      <c r="G73" s="267">
        <v>33600</v>
      </c>
      <c r="H73" s="267">
        <f t="shared" si="12"/>
        <v>31412.910379199999</v>
      </c>
      <c r="I73" s="267">
        <f t="shared" si="13"/>
        <v>31412.910379199999</v>
      </c>
      <c r="J73" s="270"/>
      <c r="K73" s="270">
        <f t="shared" si="10"/>
        <v>0</v>
      </c>
      <c r="L73" s="270">
        <f t="shared" si="11"/>
        <v>31412.910379199999</v>
      </c>
      <c r="M73" s="268"/>
      <c r="N73" s="1163">
        <v>0.93490804699999996</v>
      </c>
      <c r="P73" s="577"/>
      <c r="Q73" s="586"/>
      <c r="R73" s="583"/>
      <c r="S73" s="577"/>
      <c r="T73" s="577"/>
      <c r="U73" s="642"/>
      <c r="V73" s="583"/>
      <c r="W73" s="641"/>
      <c r="X73" s="583"/>
      <c r="Y73" s="577"/>
      <c r="Z73" s="743"/>
      <c r="AA73" s="642"/>
    </row>
    <row r="74" spans="1:27" ht="18.95" customHeight="1">
      <c r="A74" s="632"/>
      <c r="B74" s="603"/>
      <c r="C74" s="316" t="s">
        <v>1927</v>
      </c>
      <c r="D74" s="328" t="s">
        <v>1905</v>
      </c>
      <c r="E74" s="267">
        <v>1</v>
      </c>
      <c r="F74" s="356" t="s">
        <v>402</v>
      </c>
      <c r="G74" s="267">
        <v>33600</v>
      </c>
      <c r="H74" s="267">
        <f t="shared" si="12"/>
        <v>31412.910379199999</v>
      </c>
      <c r="I74" s="267">
        <f t="shared" si="13"/>
        <v>31412.910379199999</v>
      </c>
      <c r="J74" s="270"/>
      <c r="K74" s="270">
        <f t="shared" si="10"/>
        <v>0</v>
      </c>
      <c r="L74" s="270">
        <f t="shared" si="11"/>
        <v>31412.910379199999</v>
      </c>
      <c r="M74" s="268"/>
      <c r="N74" s="1163">
        <v>0.93490804699999996</v>
      </c>
      <c r="P74" s="577"/>
      <c r="Q74" s="586"/>
      <c r="R74" s="583"/>
      <c r="S74" s="577"/>
      <c r="T74" s="577"/>
      <c r="U74" s="642"/>
      <c r="V74" s="583"/>
      <c r="W74" s="641"/>
      <c r="X74" s="583"/>
      <c r="Y74" s="577"/>
      <c r="Z74" s="743"/>
      <c r="AA74" s="642"/>
    </row>
    <row r="75" spans="1:27" ht="18.95" customHeight="1">
      <c r="A75" s="632"/>
      <c r="B75" s="603"/>
      <c r="C75" s="316" t="s">
        <v>1928</v>
      </c>
      <c r="D75" s="328" t="s">
        <v>1905</v>
      </c>
      <c r="E75" s="267">
        <v>1</v>
      </c>
      <c r="F75" s="356" t="s">
        <v>402</v>
      </c>
      <c r="G75" s="267">
        <v>33600</v>
      </c>
      <c r="H75" s="267">
        <f t="shared" si="12"/>
        <v>31412.910379199999</v>
      </c>
      <c r="I75" s="267">
        <f t="shared" si="13"/>
        <v>31412.910379199999</v>
      </c>
      <c r="J75" s="270"/>
      <c r="K75" s="270">
        <f t="shared" si="10"/>
        <v>0</v>
      </c>
      <c r="L75" s="270">
        <f t="shared" si="11"/>
        <v>31412.910379199999</v>
      </c>
      <c r="M75" s="268"/>
      <c r="N75" s="1163">
        <v>0.93490804699999996</v>
      </c>
      <c r="P75" s="577"/>
      <c r="Q75" s="586"/>
      <c r="R75" s="583"/>
      <c r="S75" s="577"/>
      <c r="T75" s="577"/>
      <c r="U75" s="642"/>
      <c r="V75" s="583"/>
      <c r="W75" s="641"/>
      <c r="X75" s="583"/>
      <c r="Y75" s="577"/>
      <c r="Z75" s="743"/>
      <c r="AA75" s="642"/>
    </row>
    <row r="76" spans="1:27" ht="18.95" customHeight="1">
      <c r="A76" s="632"/>
      <c r="B76" s="603"/>
      <c r="C76" s="316" t="s">
        <v>1929</v>
      </c>
      <c r="D76" s="328" t="s">
        <v>1905</v>
      </c>
      <c r="E76" s="267">
        <v>1</v>
      </c>
      <c r="F76" s="356" t="s">
        <v>402</v>
      </c>
      <c r="G76" s="267">
        <v>33600</v>
      </c>
      <c r="H76" s="267">
        <f t="shared" si="12"/>
        <v>31412.910379199999</v>
      </c>
      <c r="I76" s="267">
        <f t="shared" si="13"/>
        <v>31412.910379199999</v>
      </c>
      <c r="J76" s="270"/>
      <c r="K76" s="270">
        <f t="shared" si="10"/>
        <v>0</v>
      </c>
      <c r="L76" s="270">
        <f t="shared" si="11"/>
        <v>31412.910379199999</v>
      </c>
      <c r="M76" s="268"/>
      <c r="N76" s="1163">
        <v>0.93490804699999996</v>
      </c>
      <c r="P76" s="577"/>
      <c r="Q76" s="586"/>
      <c r="R76" s="583"/>
      <c r="S76" s="577"/>
      <c r="T76" s="577"/>
      <c r="U76" s="642"/>
      <c r="V76" s="583"/>
      <c r="W76" s="641"/>
      <c r="X76" s="583"/>
      <c r="Y76" s="577"/>
      <c r="Z76" s="743"/>
      <c r="AA76" s="642"/>
    </row>
    <row r="77" spans="1:27" ht="18.95" customHeight="1">
      <c r="A77" s="632"/>
      <c r="B77" s="603"/>
      <c r="C77" s="316" t="s">
        <v>1930</v>
      </c>
      <c r="D77" s="328" t="s">
        <v>1905</v>
      </c>
      <c r="E77" s="267">
        <v>1</v>
      </c>
      <c r="F77" s="356" t="s">
        <v>402</v>
      </c>
      <c r="G77" s="267">
        <v>33600</v>
      </c>
      <c r="H77" s="267">
        <f t="shared" si="12"/>
        <v>31412.910379199999</v>
      </c>
      <c r="I77" s="267">
        <f t="shared" si="13"/>
        <v>31412.910379199999</v>
      </c>
      <c r="J77" s="270"/>
      <c r="K77" s="270">
        <f t="shared" si="10"/>
        <v>0</v>
      </c>
      <c r="L77" s="270">
        <f t="shared" si="11"/>
        <v>31412.910379199999</v>
      </c>
      <c r="M77" s="268"/>
      <c r="N77" s="1163">
        <v>0.93490804699999996</v>
      </c>
      <c r="P77" s="577"/>
      <c r="Q77" s="586"/>
      <c r="R77" s="583"/>
      <c r="S77" s="577"/>
      <c r="T77" s="577"/>
      <c r="U77" s="642"/>
      <c r="V77" s="583"/>
      <c r="W77" s="641"/>
      <c r="X77" s="583"/>
      <c r="Y77" s="577"/>
      <c r="Z77" s="743"/>
      <c r="AA77" s="642"/>
    </row>
    <row r="78" spans="1:27" ht="18.95" customHeight="1">
      <c r="A78" s="632"/>
      <c r="B78" s="603"/>
      <c r="C78" s="316" t="s">
        <v>1931</v>
      </c>
      <c r="D78" s="328" t="s">
        <v>1905</v>
      </c>
      <c r="E78" s="267">
        <v>1</v>
      </c>
      <c r="F78" s="356" t="s">
        <v>402</v>
      </c>
      <c r="G78" s="267">
        <v>33600</v>
      </c>
      <c r="H78" s="267">
        <f t="shared" si="12"/>
        <v>31412.910379199999</v>
      </c>
      <c r="I78" s="267">
        <f t="shared" si="13"/>
        <v>31412.910379199999</v>
      </c>
      <c r="J78" s="270"/>
      <c r="K78" s="270">
        <f t="shared" si="10"/>
        <v>0</v>
      </c>
      <c r="L78" s="270">
        <f t="shared" si="11"/>
        <v>31412.910379199999</v>
      </c>
      <c r="M78" s="268"/>
      <c r="N78" s="1163">
        <v>0.93490804699999996</v>
      </c>
      <c r="P78" s="577"/>
      <c r="Q78" s="586"/>
      <c r="R78" s="583"/>
      <c r="S78" s="577"/>
      <c r="T78" s="577"/>
      <c r="U78" s="642"/>
      <c r="V78" s="583"/>
      <c r="W78" s="641"/>
      <c r="X78" s="583"/>
      <c r="Y78" s="577"/>
      <c r="Z78" s="743"/>
      <c r="AA78" s="642"/>
    </row>
    <row r="79" spans="1:27" ht="18.95" customHeight="1">
      <c r="A79" s="632"/>
      <c r="B79" s="603"/>
      <c r="C79" s="316" t="s">
        <v>1932</v>
      </c>
      <c r="D79" s="328" t="s">
        <v>1884</v>
      </c>
      <c r="E79" s="267">
        <v>1</v>
      </c>
      <c r="F79" s="356" t="s">
        <v>402</v>
      </c>
      <c r="G79" s="267">
        <v>65016</v>
      </c>
      <c r="H79" s="267">
        <f t="shared" si="12"/>
        <v>60783.981583752</v>
      </c>
      <c r="I79" s="267">
        <f t="shared" si="13"/>
        <v>60783.981583752</v>
      </c>
      <c r="J79" s="270"/>
      <c r="K79" s="270">
        <f t="shared" si="10"/>
        <v>0</v>
      </c>
      <c r="L79" s="270">
        <f t="shared" si="11"/>
        <v>60783.981583752</v>
      </c>
      <c r="M79" s="268"/>
      <c r="N79" s="1163">
        <v>0.93490804699999996</v>
      </c>
      <c r="P79" s="577"/>
      <c r="Q79" s="586"/>
      <c r="R79" s="583"/>
      <c r="S79" s="577"/>
      <c r="T79" s="577"/>
      <c r="U79" s="642"/>
      <c r="V79" s="583"/>
      <c r="W79" s="641"/>
      <c r="X79" s="583"/>
      <c r="Y79" s="577"/>
      <c r="Z79" s="743"/>
      <c r="AA79" s="642"/>
    </row>
    <row r="80" spans="1:27" ht="18.95" customHeight="1">
      <c r="A80" s="632"/>
      <c r="B80" s="603"/>
      <c r="C80" s="316" t="s">
        <v>1933</v>
      </c>
      <c r="D80" s="328" t="s">
        <v>1898</v>
      </c>
      <c r="E80" s="267">
        <v>1</v>
      </c>
      <c r="F80" s="356" t="s">
        <v>402</v>
      </c>
      <c r="G80" s="267">
        <v>30296</v>
      </c>
      <c r="H80" s="267">
        <f t="shared" si="12"/>
        <v>28323.974191911999</v>
      </c>
      <c r="I80" s="267">
        <f t="shared" si="13"/>
        <v>28323.974191911999</v>
      </c>
      <c r="J80" s="270"/>
      <c r="K80" s="270">
        <f t="shared" si="10"/>
        <v>0</v>
      </c>
      <c r="L80" s="270">
        <f t="shared" si="11"/>
        <v>28323.974191911999</v>
      </c>
      <c r="M80" s="268"/>
      <c r="N80" s="1163">
        <v>0.93490804699999996</v>
      </c>
      <c r="P80" s="577"/>
      <c r="Q80" s="586"/>
      <c r="R80" s="583"/>
      <c r="S80" s="577"/>
      <c r="T80" s="577"/>
      <c r="U80" s="642"/>
      <c r="V80" s="583"/>
      <c r="W80" s="641"/>
      <c r="X80" s="583"/>
      <c r="Y80" s="577"/>
      <c r="Z80" s="743"/>
      <c r="AA80" s="642"/>
    </row>
    <row r="81" spans="1:27" ht="18.95" customHeight="1">
      <c r="A81" s="632"/>
      <c r="B81" s="603"/>
      <c r="C81" s="316" t="s">
        <v>1934</v>
      </c>
      <c r="D81" s="328" t="s">
        <v>1886</v>
      </c>
      <c r="E81" s="267">
        <v>1</v>
      </c>
      <c r="F81" s="356" t="s">
        <v>402</v>
      </c>
      <c r="G81" s="267">
        <v>30240</v>
      </c>
      <c r="H81" s="267">
        <f t="shared" si="12"/>
        <v>28271.619341279998</v>
      </c>
      <c r="I81" s="267">
        <f t="shared" si="13"/>
        <v>28271.619341279998</v>
      </c>
      <c r="J81" s="270"/>
      <c r="K81" s="270">
        <f t="shared" si="10"/>
        <v>0</v>
      </c>
      <c r="L81" s="270">
        <f t="shared" si="11"/>
        <v>28271.619341279998</v>
      </c>
      <c r="M81" s="268"/>
      <c r="N81" s="1163">
        <v>0.93490804699999996</v>
      </c>
      <c r="P81" s="577"/>
      <c r="Q81" s="586"/>
      <c r="R81" s="583"/>
      <c r="S81" s="577"/>
      <c r="T81" s="577"/>
      <c r="U81" s="642"/>
      <c r="V81" s="583"/>
      <c r="W81" s="641"/>
      <c r="X81" s="583"/>
      <c r="Y81" s="577"/>
      <c r="Z81" s="743"/>
      <c r="AA81" s="642"/>
    </row>
    <row r="82" spans="1:27" ht="18.95" customHeight="1">
      <c r="A82" s="632"/>
      <c r="B82" s="603"/>
      <c r="C82" s="316" t="s">
        <v>1935</v>
      </c>
      <c r="D82" s="328" t="s">
        <v>1886</v>
      </c>
      <c r="E82" s="267">
        <v>1</v>
      </c>
      <c r="F82" s="356" t="s">
        <v>402</v>
      </c>
      <c r="G82" s="267">
        <v>30240</v>
      </c>
      <c r="H82" s="267">
        <f t="shared" si="12"/>
        <v>28271.619341279998</v>
      </c>
      <c r="I82" s="267">
        <f t="shared" si="13"/>
        <v>28271.619341279998</v>
      </c>
      <c r="J82" s="270"/>
      <c r="K82" s="270">
        <f t="shared" si="10"/>
        <v>0</v>
      </c>
      <c r="L82" s="270">
        <f t="shared" si="11"/>
        <v>28271.619341279998</v>
      </c>
      <c r="M82" s="268"/>
      <c r="N82" s="1163">
        <v>0.93490804699999996</v>
      </c>
      <c r="P82" s="577"/>
      <c r="Q82" s="586"/>
      <c r="R82" s="583"/>
      <c r="S82" s="577"/>
      <c r="T82" s="577"/>
      <c r="U82" s="642"/>
      <c r="V82" s="583"/>
      <c r="W82" s="641"/>
      <c r="X82" s="583"/>
      <c r="Y82" s="577"/>
      <c r="Z82" s="743"/>
      <c r="AA82" s="642"/>
    </row>
    <row r="83" spans="1:27" ht="18.95" customHeight="1">
      <c r="A83" s="632"/>
      <c r="B83" s="603"/>
      <c r="C83" s="316" t="s">
        <v>1936</v>
      </c>
      <c r="D83" s="328" t="s">
        <v>1886</v>
      </c>
      <c r="E83" s="267">
        <v>1</v>
      </c>
      <c r="F83" s="356" t="s">
        <v>402</v>
      </c>
      <c r="G83" s="267">
        <v>30240</v>
      </c>
      <c r="H83" s="267">
        <f t="shared" si="12"/>
        <v>28271.619341279998</v>
      </c>
      <c r="I83" s="267">
        <f t="shared" si="13"/>
        <v>28271.619341279998</v>
      </c>
      <c r="J83" s="270"/>
      <c r="K83" s="270">
        <f t="shared" si="10"/>
        <v>0</v>
      </c>
      <c r="L83" s="270">
        <f t="shared" si="11"/>
        <v>28271.619341279998</v>
      </c>
      <c r="M83" s="268"/>
      <c r="N83" s="1163">
        <v>0.93490804699999996</v>
      </c>
      <c r="P83" s="577"/>
      <c r="Q83" s="586"/>
      <c r="R83" s="583"/>
      <c r="S83" s="577"/>
      <c r="T83" s="577"/>
      <c r="U83" s="642"/>
      <c r="V83" s="583"/>
      <c r="W83" s="641"/>
      <c r="X83" s="583"/>
      <c r="Y83" s="577"/>
      <c r="Z83" s="743"/>
      <c r="AA83" s="642"/>
    </row>
    <row r="84" spans="1:27" ht="18.95" customHeight="1">
      <c r="A84" s="632"/>
      <c r="B84" s="603"/>
      <c r="C84" s="316" t="s">
        <v>1937</v>
      </c>
      <c r="D84" s="328" t="s">
        <v>1886</v>
      </c>
      <c r="E84" s="267">
        <v>1</v>
      </c>
      <c r="F84" s="356" t="s">
        <v>402</v>
      </c>
      <c r="G84" s="267">
        <v>30240</v>
      </c>
      <c r="H84" s="267">
        <f t="shared" si="12"/>
        <v>28271.619341279998</v>
      </c>
      <c r="I84" s="267">
        <f t="shared" si="13"/>
        <v>28271.619341279998</v>
      </c>
      <c r="J84" s="270"/>
      <c r="K84" s="270">
        <f t="shared" si="10"/>
        <v>0</v>
      </c>
      <c r="L84" s="270">
        <f t="shared" si="11"/>
        <v>28271.619341279998</v>
      </c>
      <c r="M84" s="268"/>
      <c r="N84" s="1163">
        <v>0.93490804699999996</v>
      </c>
      <c r="P84" s="577"/>
      <c r="Q84" s="586"/>
      <c r="R84" s="583"/>
      <c r="S84" s="577"/>
      <c r="T84" s="577"/>
      <c r="U84" s="642"/>
      <c r="V84" s="583"/>
      <c r="W84" s="641"/>
      <c r="X84" s="583"/>
      <c r="Y84" s="577"/>
      <c r="Z84" s="743"/>
      <c r="AA84" s="642"/>
    </row>
    <row r="85" spans="1:27" ht="18.95" customHeight="1">
      <c r="A85" s="632"/>
      <c r="B85" s="603"/>
      <c r="C85" s="316" t="s">
        <v>1938</v>
      </c>
      <c r="D85" s="328" t="s">
        <v>1919</v>
      </c>
      <c r="E85" s="267">
        <v>1</v>
      </c>
      <c r="F85" s="356" t="s">
        <v>402</v>
      </c>
      <c r="G85" s="267">
        <v>18984</v>
      </c>
      <c r="H85" s="267">
        <f t="shared" si="12"/>
        <v>17748.294364247999</v>
      </c>
      <c r="I85" s="267">
        <f t="shared" si="13"/>
        <v>17748.294364247999</v>
      </c>
      <c r="J85" s="270"/>
      <c r="K85" s="270">
        <f t="shared" si="10"/>
        <v>0</v>
      </c>
      <c r="L85" s="270">
        <f t="shared" si="11"/>
        <v>17748.294364247999</v>
      </c>
      <c r="M85" s="268"/>
      <c r="N85" s="1163">
        <v>0.93490804699999996</v>
      </c>
      <c r="P85" s="577"/>
      <c r="Q85" s="586"/>
      <c r="R85" s="583"/>
      <c r="S85" s="577"/>
      <c r="T85" s="577"/>
      <c r="U85" s="642"/>
      <c r="V85" s="583"/>
      <c r="W85" s="641"/>
      <c r="X85" s="583"/>
      <c r="Y85" s="577"/>
      <c r="Z85" s="743"/>
      <c r="AA85" s="642"/>
    </row>
    <row r="86" spans="1:27" ht="18.95" customHeight="1">
      <c r="A86" s="632"/>
      <c r="B86" s="603"/>
      <c r="C86" s="316" t="s">
        <v>1939</v>
      </c>
      <c r="D86" s="328" t="s">
        <v>1919</v>
      </c>
      <c r="E86" s="267">
        <v>1</v>
      </c>
      <c r="F86" s="356" t="s">
        <v>402</v>
      </c>
      <c r="G86" s="267">
        <v>18984</v>
      </c>
      <c r="H86" s="267">
        <f t="shared" si="12"/>
        <v>17748.294364247999</v>
      </c>
      <c r="I86" s="267">
        <f t="shared" si="13"/>
        <v>17748.294364247999</v>
      </c>
      <c r="J86" s="270"/>
      <c r="K86" s="270">
        <f t="shared" si="10"/>
        <v>0</v>
      </c>
      <c r="L86" s="270">
        <f t="shared" si="11"/>
        <v>17748.294364247999</v>
      </c>
      <c r="M86" s="268"/>
      <c r="N86" s="1163">
        <v>0.93490804699999996</v>
      </c>
      <c r="P86" s="577"/>
      <c r="Q86" s="586"/>
      <c r="R86" s="583"/>
      <c r="S86" s="577"/>
      <c r="T86" s="577"/>
      <c r="U86" s="642"/>
      <c r="V86" s="583"/>
      <c r="W86" s="641"/>
      <c r="X86" s="583"/>
      <c r="Y86" s="577"/>
      <c r="Z86" s="743"/>
      <c r="AA86" s="642"/>
    </row>
    <row r="87" spans="1:27" ht="18.95" customHeight="1">
      <c r="A87" s="632"/>
      <c r="B87" s="603"/>
      <c r="C87" s="316" t="s">
        <v>1940</v>
      </c>
      <c r="D87" s="328" t="s">
        <v>1919</v>
      </c>
      <c r="E87" s="267">
        <v>1</v>
      </c>
      <c r="F87" s="356" t="s">
        <v>402</v>
      </c>
      <c r="G87" s="267">
        <v>18984</v>
      </c>
      <c r="H87" s="267">
        <f t="shared" si="12"/>
        <v>17748.294364247999</v>
      </c>
      <c r="I87" s="267">
        <f t="shared" si="13"/>
        <v>17748.294364247999</v>
      </c>
      <c r="J87" s="270"/>
      <c r="K87" s="270">
        <f t="shared" si="10"/>
        <v>0</v>
      </c>
      <c r="L87" s="270">
        <f t="shared" si="11"/>
        <v>17748.294364247999</v>
      </c>
      <c r="M87" s="268"/>
      <c r="N87" s="1163">
        <v>0.93490804699999996</v>
      </c>
      <c r="P87" s="577"/>
      <c r="Q87" s="586"/>
      <c r="R87" s="583"/>
      <c r="S87" s="577"/>
      <c r="T87" s="577"/>
      <c r="U87" s="642"/>
      <c r="V87" s="583"/>
      <c r="W87" s="641"/>
      <c r="X87" s="583"/>
      <c r="Y87" s="577"/>
      <c r="Z87" s="743"/>
      <c r="AA87" s="642"/>
    </row>
    <row r="88" spans="1:27" ht="18.95" customHeight="1">
      <c r="A88" s="632"/>
      <c r="B88" s="603"/>
      <c r="C88" s="316" t="s">
        <v>1941</v>
      </c>
      <c r="D88" s="328" t="s">
        <v>1919</v>
      </c>
      <c r="E88" s="267">
        <v>1</v>
      </c>
      <c r="F88" s="356" t="s">
        <v>402</v>
      </c>
      <c r="G88" s="267">
        <v>18984</v>
      </c>
      <c r="H88" s="267">
        <f t="shared" si="12"/>
        <v>17748.294364247999</v>
      </c>
      <c r="I88" s="267">
        <f t="shared" si="13"/>
        <v>17748.294364247999</v>
      </c>
      <c r="J88" s="270"/>
      <c r="K88" s="270">
        <f t="shared" si="10"/>
        <v>0</v>
      </c>
      <c r="L88" s="270">
        <f t="shared" si="11"/>
        <v>17748.294364247999</v>
      </c>
      <c r="M88" s="268"/>
      <c r="N88" s="1163">
        <v>0.93490804699999996</v>
      </c>
      <c r="P88" s="577"/>
      <c r="Q88" s="586"/>
      <c r="R88" s="583"/>
      <c r="S88" s="577"/>
      <c r="T88" s="577"/>
      <c r="U88" s="642"/>
      <c r="V88" s="583"/>
      <c r="W88" s="641"/>
      <c r="X88" s="583"/>
      <c r="Y88" s="577"/>
      <c r="Z88" s="743"/>
      <c r="AA88" s="642"/>
    </row>
    <row r="89" spans="1:27" ht="18.95" customHeight="1">
      <c r="A89" s="632"/>
      <c r="B89" s="603"/>
      <c r="C89" s="316" t="s">
        <v>1942</v>
      </c>
      <c r="D89" s="328" t="s">
        <v>1905</v>
      </c>
      <c r="E89" s="267">
        <v>1</v>
      </c>
      <c r="F89" s="356" t="s">
        <v>402</v>
      </c>
      <c r="G89" s="267">
        <v>33600</v>
      </c>
      <c r="H89" s="267">
        <f t="shared" si="12"/>
        <v>31412.910379199999</v>
      </c>
      <c r="I89" s="267">
        <f t="shared" si="13"/>
        <v>31412.910379199999</v>
      </c>
      <c r="J89" s="270"/>
      <c r="K89" s="270">
        <f t="shared" si="10"/>
        <v>0</v>
      </c>
      <c r="L89" s="270">
        <f t="shared" si="11"/>
        <v>31412.910379199999</v>
      </c>
      <c r="M89" s="268"/>
      <c r="N89" s="1163">
        <v>0.93490804699999996</v>
      </c>
      <c r="P89" s="577"/>
      <c r="Q89" s="586"/>
      <c r="R89" s="583"/>
      <c r="S89" s="577"/>
      <c r="T89" s="577"/>
      <c r="U89" s="642"/>
      <c r="V89" s="583"/>
      <c r="W89" s="641"/>
      <c r="X89" s="583"/>
      <c r="Y89" s="577"/>
      <c r="Z89" s="743"/>
      <c r="AA89" s="642"/>
    </row>
    <row r="90" spans="1:27" ht="18.95" customHeight="1">
      <c r="A90" s="632"/>
      <c r="B90" s="603"/>
      <c r="C90" s="316" t="s">
        <v>1943</v>
      </c>
      <c r="D90" s="328" t="s">
        <v>1905</v>
      </c>
      <c r="E90" s="267">
        <v>1</v>
      </c>
      <c r="F90" s="356" t="s">
        <v>402</v>
      </c>
      <c r="G90" s="267">
        <v>33600</v>
      </c>
      <c r="H90" s="267">
        <f t="shared" si="12"/>
        <v>31412.910379199999</v>
      </c>
      <c r="I90" s="267">
        <f t="shared" si="13"/>
        <v>31412.910379199999</v>
      </c>
      <c r="J90" s="270"/>
      <c r="K90" s="270">
        <f t="shared" si="10"/>
        <v>0</v>
      </c>
      <c r="L90" s="270">
        <f t="shared" si="11"/>
        <v>31412.910379199999</v>
      </c>
      <c r="M90" s="268"/>
      <c r="N90" s="1163">
        <v>0.93490804699999996</v>
      </c>
      <c r="P90" s="577"/>
      <c r="Q90" s="586"/>
      <c r="R90" s="583"/>
      <c r="S90" s="577"/>
      <c r="T90" s="577"/>
      <c r="U90" s="642"/>
      <c r="V90" s="583"/>
      <c r="W90" s="641"/>
      <c r="X90" s="583"/>
      <c r="Y90" s="577"/>
      <c r="Z90" s="743"/>
      <c r="AA90" s="642"/>
    </row>
    <row r="91" spans="1:27" ht="18.95" customHeight="1">
      <c r="A91" s="632"/>
      <c r="B91" s="603"/>
      <c r="C91" s="316" t="s">
        <v>1944</v>
      </c>
      <c r="D91" s="328" t="s">
        <v>1905</v>
      </c>
      <c r="E91" s="267">
        <v>1</v>
      </c>
      <c r="F91" s="356" t="s">
        <v>402</v>
      </c>
      <c r="G91" s="267">
        <v>33600</v>
      </c>
      <c r="H91" s="267">
        <f t="shared" si="12"/>
        <v>31412.910379199999</v>
      </c>
      <c r="I91" s="267">
        <f t="shared" si="13"/>
        <v>31412.910379199999</v>
      </c>
      <c r="J91" s="270"/>
      <c r="K91" s="270">
        <f t="shared" si="10"/>
        <v>0</v>
      </c>
      <c r="L91" s="270">
        <f t="shared" si="11"/>
        <v>31412.910379199999</v>
      </c>
      <c r="M91" s="268"/>
      <c r="N91" s="1163">
        <v>0.93490804699999996</v>
      </c>
      <c r="P91" s="577"/>
      <c r="Q91" s="586"/>
      <c r="R91" s="583"/>
      <c r="S91" s="577"/>
      <c r="T91" s="577"/>
      <c r="U91" s="642"/>
      <c r="V91" s="583"/>
      <c r="W91" s="641"/>
      <c r="X91" s="583"/>
      <c r="Y91" s="577"/>
      <c r="Z91" s="743"/>
      <c r="AA91" s="642"/>
    </row>
    <row r="92" spans="1:27" ht="18.95" customHeight="1">
      <c r="A92" s="632"/>
      <c r="B92" s="603"/>
      <c r="C92" s="316" t="s">
        <v>1945</v>
      </c>
      <c r="D92" s="328" t="s">
        <v>1905</v>
      </c>
      <c r="E92" s="267">
        <v>1</v>
      </c>
      <c r="F92" s="356" t="s">
        <v>402</v>
      </c>
      <c r="G92" s="267">
        <v>33600</v>
      </c>
      <c r="H92" s="267">
        <f t="shared" si="12"/>
        <v>31412.910379199999</v>
      </c>
      <c r="I92" s="267">
        <f t="shared" si="13"/>
        <v>31412.910379199999</v>
      </c>
      <c r="J92" s="270"/>
      <c r="K92" s="270">
        <f t="shared" si="10"/>
        <v>0</v>
      </c>
      <c r="L92" s="270">
        <f t="shared" si="11"/>
        <v>31412.910379199999</v>
      </c>
      <c r="M92" s="268"/>
      <c r="N92" s="1163">
        <v>0.93490804699999996</v>
      </c>
      <c r="P92" s="577"/>
      <c r="Q92" s="586"/>
      <c r="R92" s="583"/>
      <c r="S92" s="577"/>
      <c r="T92" s="577"/>
      <c r="U92" s="642"/>
      <c r="V92" s="583"/>
      <c r="W92" s="641"/>
      <c r="X92" s="583"/>
      <c r="Y92" s="577"/>
      <c r="Z92" s="743"/>
      <c r="AA92" s="642"/>
    </row>
    <row r="93" spans="1:27" ht="18.95" customHeight="1">
      <c r="A93" s="632"/>
      <c r="B93" s="603"/>
      <c r="C93" s="316" t="s">
        <v>1946</v>
      </c>
      <c r="D93" s="328" t="s">
        <v>1905</v>
      </c>
      <c r="E93" s="267">
        <v>1</v>
      </c>
      <c r="F93" s="356" t="s">
        <v>402</v>
      </c>
      <c r="G93" s="267">
        <v>33600</v>
      </c>
      <c r="H93" s="267">
        <f t="shared" si="12"/>
        <v>31412.910379199999</v>
      </c>
      <c r="I93" s="267">
        <f t="shared" si="13"/>
        <v>31412.910379199999</v>
      </c>
      <c r="J93" s="270"/>
      <c r="K93" s="270">
        <f t="shared" si="10"/>
        <v>0</v>
      </c>
      <c r="L93" s="270">
        <f t="shared" si="11"/>
        <v>31412.910379199999</v>
      </c>
      <c r="M93" s="268"/>
      <c r="N93" s="1163">
        <v>0.93490804699999996</v>
      </c>
      <c r="P93" s="577"/>
      <c r="Q93" s="586"/>
      <c r="R93" s="583"/>
      <c r="S93" s="577"/>
      <c r="T93" s="577"/>
      <c r="U93" s="642"/>
      <c r="V93" s="583"/>
      <c r="W93" s="641"/>
      <c r="X93" s="583"/>
      <c r="Y93" s="577"/>
      <c r="Z93" s="743"/>
      <c r="AA93" s="642"/>
    </row>
    <row r="94" spans="1:27" ht="18.95" customHeight="1">
      <c r="A94" s="632"/>
      <c r="B94" s="603"/>
      <c r="C94" s="316" t="s">
        <v>1947</v>
      </c>
      <c r="D94" s="328" t="s">
        <v>1905</v>
      </c>
      <c r="E94" s="267">
        <v>1</v>
      </c>
      <c r="F94" s="356" t="s">
        <v>402</v>
      </c>
      <c r="G94" s="267">
        <v>33600</v>
      </c>
      <c r="H94" s="267">
        <f t="shared" si="12"/>
        <v>31412.910379199999</v>
      </c>
      <c r="I94" s="267">
        <f t="shared" si="13"/>
        <v>31412.910379199999</v>
      </c>
      <c r="J94" s="270"/>
      <c r="K94" s="270">
        <f t="shared" si="10"/>
        <v>0</v>
      </c>
      <c r="L94" s="270">
        <f t="shared" si="11"/>
        <v>31412.910379199999</v>
      </c>
      <c r="M94" s="268"/>
      <c r="N94" s="1163">
        <v>0.93490804699999996</v>
      </c>
      <c r="P94" s="577"/>
      <c r="Q94" s="586"/>
      <c r="R94" s="583"/>
      <c r="S94" s="577"/>
      <c r="T94" s="577"/>
      <c r="U94" s="642"/>
      <c r="V94" s="583"/>
      <c r="W94" s="641"/>
      <c r="X94" s="583"/>
      <c r="Y94" s="577"/>
      <c r="Z94" s="743"/>
      <c r="AA94" s="642"/>
    </row>
    <row r="95" spans="1:27" ht="18.95" customHeight="1">
      <c r="A95" s="632"/>
      <c r="B95" s="603"/>
      <c r="C95" s="316" t="s">
        <v>1948</v>
      </c>
      <c r="D95" s="328" t="s">
        <v>1905</v>
      </c>
      <c r="E95" s="267">
        <v>1</v>
      </c>
      <c r="F95" s="356" t="s">
        <v>402</v>
      </c>
      <c r="G95" s="267">
        <v>33600</v>
      </c>
      <c r="H95" s="267">
        <f t="shared" si="12"/>
        <v>31412.910379199999</v>
      </c>
      <c r="I95" s="267">
        <f t="shared" si="13"/>
        <v>31412.910379199999</v>
      </c>
      <c r="J95" s="270"/>
      <c r="K95" s="270">
        <f t="shared" si="10"/>
        <v>0</v>
      </c>
      <c r="L95" s="270">
        <f t="shared" si="11"/>
        <v>31412.910379199999</v>
      </c>
      <c r="M95" s="268"/>
      <c r="N95" s="1163">
        <v>0.93490804699999996</v>
      </c>
      <c r="P95" s="577"/>
      <c r="Q95" s="586"/>
      <c r="R95" s="583"/>
      <c r="S95" s="577"/>
      <c r="T95" s="577"/>
      <c r="U95" s="642"/>
      <c r="V95" s="583"/>
      <c r="W95" s="641"/>
      <c r="X95" s="583"/>
      <c r="Y95" s="577"/>
      <c r="Z95" s="743"/>
      <c r="AA95" s="642"/>
    </row>
    <row r="96" spans="1:27" ht="18.95" customHeight="1">
      <c r="A96" s="632"/>
      <c r="B96" s="603"/>
      <c r="C96" s="316" t="s">
        <v>1949</v>
      </c>
      <c r="D96" s="328" t="s">
        <v>1905</v>
      </c>
      <c r="E96" s="267">
        <v>1</v>
      </c>
      <c r="F96" s="356" t="s">
        <v>402</v>
      </c>
      <c r="G96" s="267">
        <v>33600</v>
      </c>
      <c r="H96" s="267">
        <f t="shared" si="12"/>
        <v>31412.910379199999</v>
      </c>
      <c r="I96" s="267">
        <f t="shared" si="13"/>
        <v>31412.910379199999</v>
      </c>
      <c r="J96" s="270"/>
      <c r="K96" s="270">
        <f t="shared" si="10"/>
        <v>0</v>
      </c>
      <c r="L96" s="270">
        <f t="shared" si="11"/>
        <v>31412.910379199999</v>
      </c>
      <c r="M96" s="268"/>
      <c r="N96" s="1163">
        <v>0.93490804699999996</v>
      </c>
      <c r="P96" s="577"/>
      <c r="Q96" s="586"/>
      <c r="R96" s="583"/>
      <c r="S96" s="577"/>
      <c r="T96" s="577"/>
      <c r="U96" s="642"/>
      <c r="V96" s="583"/>
      <c r="W96" s="641"/>
      <c r="X96" s="583"/>
      <c r="Y96" s="577"/>
      <c r="Z96" s="743"/>
      <c r="AA96" s="642"/>
    </row>
    <row r="97" spans="1:27" ht="18.95" customHeight="1">
      <c r="A97" s="632"/>
      <c r="B97" s="603"/>
      <c r="C97" s="316" t="s">
        <v>1950</v>
      </c>
      <c r="D97" s="328" t="s">
        <v>1905</v>
      </c>
      <c r="E97" s="267">
        <v>1</v>
      </c>
      <c r="F97" s="356" t="s">
        <v>402</v>
      </c>
      <c r="G97" s="267">
        <v>33600</v>
      </c>
      <c r="H97" s="267">
        <f t="shared" si="12"/>
        <v>31412.910379199999</v>
      </c>
      <c r="I97" s="267">
        <f t="shared" si="13"/>
        <v>31412.910379199999</v>
      </c>
      <c r="J97" s="270"/>
      <c r="K97" s="270">
        <f t="shared" si="10"/>
        <v>0</v>
      </c>
      <c r="L97" s="270">
        <f t="shared" si="11"/>
        <v>31412.910379199999</v>
      </c>
      <c r="M97" s="268"/>
      <c r="N97" s="1163">
        <v>0.93490804699999996</v>
      </c>
      <c r="P97" s="577"/>
      <c r="Q97" s="586"/>
      <c r="R97" s="583"/>
      <c r="S97" s="577"/>
      <c r="T97" s="577"/>
      <c r="U97" s="642"/>
      <c r="V97" s="583"/>
      <c r="W97" s="641"/>
      <c r="X97" s="583"/>
      <c r="Y97" s="577"/>
      <c r="Z97" s="743"/>
      <c r="AA97" s="642"/>
    </row>
    <row r="98" spans="1:27" ht="18.95" customHeight="1">
      <c r="A98" s="632"/>
      <c r="B98" s="603"/>
      <c r="C98" s="316" t="s">
        <v>1951</v>
      </c>
      <c r="D98" s="328" t="s">
        <v>1905</v>
      </c>
      <c r="E98" s="267">
        <v>1</v>
      </c>
      <c r="F98" s="356" t="s">
        <v>402</v>
      </c>
      <c r="G98" s="267">
        <v>33600</v>
      </c>
      <c r="H98" s="267">
        <f t="shared" si="12"/>
        <v>31412.910379199999</v>
      </c>
      <c r="I98" s="267">
        <f t="shared" si="13"/>
        <v>31412.910379199999</v>
      </c>
      <c r="J98" s="270"/>
      <c r="K98" s="270">
        <f t="shared" si="10"/>
        <v>0</v>
      </c>
      <c r="L98" s="270">
        <f t="shared" si="11"/>
        <v>31412.910379199999</v>
      </c>
      <c r="M98" s="268"/>
      <c r="N98" s="1163">
        <v>0.93490804699999996</v>
      </c>
      <c r="P98" s="577"/>
      <c r="Q98" s="586"/>
      <c r="R98" s="583"/>
      <c r="S98" s="577"/>
      <c r="T98" s="577"/>
      <c r="U98" s="642"/>
      <c r="V98" s="583"/>
      <c r="W98" s="641"/>
      <c r="X98" s="583"/>
      <c r="Y98" s="577"/>
      <c r="Z98" s="743"/>
      <c r="AA98" s="642"/>
    </row>
    <row r="99" spans="1:27" ht="18.95" customHeight="1">
      <c r="A99" s="632"/>
      <c r="B99" s="603"/>
      <c r="C99" s="316" t="s">
        <v>1952</v>
      </c>
      <c r="D99" s="328" t="s">
        <v>1905</v>
      </c>
      <c r="E99" s="267">
        <v>1</v>
      </c>
      <c r="F99" s="356" t="s">
        <v>402</v>
      </c>
      <c r="G99" s="267">
        <v>33600</v>
      </c>
      <c r="H99" s="267">
        <f t="shared" si="12"/>
        <v>31412.910379199999</v>
      </c>
      <c r="I99" s="267">
        <f t="shared" si="13"/>
        <v>31412.910379199999</v>
      </c>
      <c r="J99" s="270"/>
      <c r="K99" s="270">
        <f t="shared" si="10"/>
        <v>0</v>
      </c>
      <c r="L99" s="270">
        <f t="shared" si="11"/>
        <v>31412.910379199999</v>
      </c>
      <c r="M99" s="268"/>
      <c r="N99" s="1163">
        <v>0.93490804699999996</v>
      </c>
      <c r="P99" s="577"/>
      <c r="Q99" s="586"/>
      <c r="R99" s="583"/>
      <c r="S99" s="577"/>
      <c r="T99" s="577"/>
      <c r="U99" s="642"/>
      <c r="V99" s="583"/>
      <c r="W99" s="641"/>
      <c r="X99" s="583"/>
      <c r="Y99" s="577"/>
      <c r="Z99" s="743"/>
      <c r="AA99" s="642"/>
    </row>
    <row r="100" spans="1:27" ht="18.95" customHeight="1">
      <c r="A100" s="632"/>
      <c r="B100" s="603"/>
      <c r="C100" s="316" t="s">
        <v>1953</v>
      </c>
      <c r="D100" s="328" t="s">
        <v>1905</v>
      </c>
      <c r="E100" s="267">
        <v>1</v>
      </c>
      <c r="F100" s="356" t="s">
        <v>402</v>
      </c>
      <c r="G100" s="267">
        <v>33600</v>
      </c>
      <c r="H100" s="267">
        <f t="shared" si="12"/>
        <v>31412.910379199999</v>
      </c>
      <c r="I100" s="267">
        <f t="shared" si="13"/>
        <v>31412.910379199999</v>
      </c>
      <c r="J100" s="270"/>
      <c r="K100" s="270">
        <f t="shared" si="10"/>
        <v>0</v>
      </c>
      <c r="L100" s="270">
        <f t="shared" si="11"/>
        <v>31412.910379199999</v>
      </c>
      <c r="M100" s="268"/>
      <c r="N100" s="1163">
        <v>0.93490804699999996</v>
      </c>
      <c r="P100" s="577"/>
      <c r="Q100" s="586"/>
      <c r="R100" s="583"/>
      <c r="S100" s="577"/>
      <c r="T100" s="577"/>
      <c r="U100" s="642"/>
      <c r="V100" s="583"/>
      <c r="W100" s="641"/>
      <c r="X100" s="583"/>
      <c r="Y100" s="577"/>
      <c r="Z100" s="743"/>
      <c r="AA100" s="642"/>
    </row>
    <row r="101" spans="1:27" ht="18.95" customHeight="1">
      <c r="A101" s="632"/>
      <c r="B101" s="603"/>
      <c r="C101" s="316" t="s">
        <v>1954</v>
      </c>
      <c r="D101" s="328" t="s">
        <v>1905</v>
      </c>
      <c r="E101" s="267">
        <v>1</v>
      </c>
      <c r="F101" s="356" t="s">
        <v>402</v>
      </c>
      <c r="G101" s="267">
        <v>33600</v>
      </c>
      <c r="H101" s="267">
        <f t="shared" si="12"/>
        <v>31412.910379199999</v>
      </c>
      <c r="I101" s="267">
        <f t="shared" si="13"/>
        <v>31412.910379199999</v>
      </c>
      <c r="J101" s="270"/>
      <c r="K101" s="270">
        <f t="shared" si="10"/>
        <v>0</v>
      </c>
      <c r="L101" s="270">
        <f t="shared" si="11"/>
        <v>31412.910379199999</v>
      </c>
      <c r="M101" s="268"/>
      <c r="N101" s="1163">
        <v>0.93490804699999996</v>
      </c>
      <c r="P101" s="577"/>
      <c r="Q101" s="586"/>
      <c r="R101" s="583"/>
      <c r="S101" s="577"/>
      <c r="T101" s="577"/>
      <c r="U101" s="642"/>
      <c r="V101" s="583"/>
      <c r="W101" s="641"/>
      <c r="X101" s="583"/>
      <c r="Y101" s="577"/>
      <c r="Z101" s="743"/>
      <c r="AA101" s="642"/>
    </row>
    <row r="102" spans="1:27" ht="18.95" customHeight="1">
      <c r="A102" s="632"/>
      <c r="B102" s="603" t="s">
        <v>1955</v>
      </c>
      <c r="C102" s="633"/>
      <c r="D102" s="633"/>
      <c r="E102" s="267"/>
      <c r="F102" s="356"/>
      <c r="G102" s="267"/>
      <c r="H102" s="267"/>
      <c r="I102" s="269"/>
      <c r="J102" s="270"/>
      <c r="K102" s="270"/>
      <c r="L102" s="270"/>
      <c r="M102" s="268"/>
      <c r="N102" s="1163">
        <v>0.93490804699999996</v>
      </c>
      <c r="P102" s="583"/>
      <c r="Q102" s="586"/>
      <c r="R102" s="583"/>
      <c r="S102" s="577"/>
      <c r="T102" s="577"/>
      <c r="U102" s="642"/>
      <c r="V102" s="583"/>
      <c r="W102" s="641"/>
      <c r="X102" s="583"/>
      <c r="Y102" s="577"/>
      <c r="Z102" s="743"/>
      <c r="AA102" s="642"/>
    </row>
    <row r="103" spans="1:27" ht="18.95" customHeight="1">
      <c r="A103" s="632"/>
      <c r="B103" s="603"/>
      <c r="C103" s="316" t="s">
        <v>1956</v>
      </c>
      <c r="D103" s="328" t="s">
        <v>2243</v>
      </c>
      <c r="E103" s="267">
        <v>1</v>
      </c>
      <c r="F103" s="356" t="s">
        <v>402</v>
      </c>
      <c r="G103" s="267">
        <v>18984</v>
      </c>
      <c r="H103" s="267">
        <f t="shared" ref="H103" si="14">G103*N103</f>
        <v>17748.294364247999</v>
      </c>
      <c r="I103" s="267">
        <f t="shared" ref="I103" si="15">E103*H103</f>
        <v>17748.294364247999</v>
      </c>
      <c r="J103" s="270"/>
      <c r="K103" s="270">
        <f t="shared" ref="K103:K140" si="16">ROUNDDOWN(E103*J103,2)</f>
        <v>0</v>
      </c>
      <c r="L103" s="270">
        <f t="shared" ref="L103:L131" si="17">I103+K103</f>
        <v>17748.294364247999</v>
      </c>
      <c r="M103" s="268"/>
      <c r="N103" s="1163">
        <v>0.93490804699999996</v>
      </c>
      <c r="P103" s="577"/>
      <c r="Q103" s="586"/>
      <c r="R103" s="583"/>
      <c r="S103" s="577"/>
      <c r="T103" s="577"/>
      <c r="U103" s="642"/>
      <c r="V103" s="583"/>
      <c r="W103" s="641"/>
      <c r="X103" s="583"/>
      <c r="Y103" s="577"/>
      <c r="Z103" s="743"/>
      <c r="AA103" s="642"/>
    </row>
    <row r="104" spans="1:27" ht="18.95" customHeight="1">
      <c r="A104" s="632"/>
      <c r="B104" s="603"/>
      <c r="C104" s="316" t="s">
        <v>1958</v>
      </c>
      <c r="D104" s="165" t="s">
        <v>1905</v>
      </c>
      <c r="E104" s="267">
        <v>1</v>
      </c>
      <c r="F104" s="356" t="s">
        <v>402</v>
      </c>
      <c r="G104" s="267">
        <v>33600</v>
      </c>
      <c r="H104" s="267">
        <f t="shared" ref="H104:H166" si="18">G104*N104</f>
        <v>31412.910379199999</v>
      </c>
      <c r="I104" s="267">
        <f t="shared" ref="I104:I166" si="19">E104*H104</f>
        <v>31412.910379199999</v>
      </c>
      <c r="J104" s="270"/>
      <c r="K104" s="270">
        <f t="shared" si="16"/>
        <v>0</v>
      </c>
      <c r="L104" s="270">
        <f t="shared" si="17"/>
        <v>31412.910379199999</v>
      </c>
      <c r="M104" s="268"/>
      <c r="N104" s="1163">
        <v>0.93490804699999996</v>
      </c>
      <c r="P104" s="577"/>
      <c r="Q104" s="586"/>
      <c r="R104" s="583"/>
      <c r="S104" s="577"/>
      <c r="T104" s="577"/>
      <c r="U104" s="642"/>
      <c r="V104" s="583"/>
      <c r="W104" s="641"/>
      <c r="X104" s="583"/>
      <c r="Y104" s="577"/>
      <c r="Z104" s="743"/>
      <c r="AA104" s="642"/>
    </row>
    <row r="105" spans="1:27" ht="18.95" customHeight="1">
      <c r="A105" s="632"/>
      <c r="B105" s="603"/>
      <c r="C105" s="316" t="s">
        <v>1959</v>
      </c>
      <c r="D105" s="165" t="s">
        <v>1905</v>
      </c>
      <c r="E105" s="267">
        <v>1</v>
      </c>
      <c r="F105" s="356" t="s">
        <v>402</v>
      </c>
      <c r="G105" s="267">
        <v>33600</v>
      </c>
      <c r="H105" s="267">
        <f t="shared" si="18"/>
        <v>31412.910379199999</v>
      </c>
      <c r="I105" s="267">
        <f t="shared" si="19"/>
        <v>31412.910379199999</v>
      </c>
      <c r="J105" s="270"/>
      <c r="K105" s="270">
        <f t="shared" si="16"/>
        <v>0</v>
      </c>
      <c r="L105" s="270">
        <f t="shared" si="17"/>
        <v>31412.910379199999</v>
      </c>
      <c r="M105" s="268"/>
      <c r="N105" s="1163">
        <v>0.93490804699999996</v>
      </c>
      <c r="P105" s="577"/>
      <c r="Q105" s="586"/>
      <c r="R105" s="583"/>
      <c r="S105" s="577"/>
      <c r="T105" s="577"/>
      <c r="U105" s="642"/>
      <c r="V105" s="583"/>
      <c r="W105" s="641"/>
      <c r="X105" s="583"/>
      <c r="Y105" s="577"/>
      <c r="Z105" s="743"/>
      <c r="AA105" s="642"/>
    </row>
    <row r="106" spans="1:27" ht="18.95" customHeight="1">
      <c r="A106" s="632"/>
      <c r="B106" s="603"/>
      <c r="C106" s="316" t="s">
        <v>1960</v>
      </c>
      <c r="D106" s="165" t="s">
        <v>1905</v>
      </c>
      <c r="E106" s="267">
        <v>1</v>
      </c>
      <c r="F106" s="356" t="s">
        <v>402</v>
      </c>
      <c r="G106" s="267">
        <v>33600</v>
      </c>
      <c r="H106" s="267">
        <f t="shared" si="18"/>
        <v>31412.910379199999</v>
      </c>
      <c r="I106" s="267">
        <f t="shared" si="19"/>
        <v>31412.910379199999</v>
      </c>
      <c r="J106" s="270"/>
      <c r="K106" s="270">
        <f t="shared" si="16"/>
        <v>0</v>
      </c>
      <c r="L106" s="270">
        <f t="shared" si="17"/>
        <v>31412.910379199999</v>
      </c>
      <c r="M106" s="268"/>
      <c r="N106" s="1163">
        <v>0.93490804699999996</v>
      </c>
      <c r="P106" s="577"/>
      <c r="Q106" s="586"/>
      <c r="R106" s="583"/>
      <c r="S106" s="577"/>
      <c r="T106" s="577"/>
      <c r="U106" s="642"/>
      <c r="V106" s="583"/>
      <c r="W106" s="641"/>
      <c r="X106" s="583"/>
      <c r="Y106" s="577"/>
      <c r="Z106" s="743"/>
      <c r="AA106" s="642"/>
    </row>
    <row r="107" spans="1:27" ht="18.95" customHeight="1">
      <c r="A107" s="632"/>
      <c r="B107" s="603"/>
      <c r="C107" s="316" t="s">
        <v>1961</v>
      </c>
      <c r="D107" s="165" t="s">
        <v>1905</v>
      </c>
      <c r="E107" s="267">
        <v>1</v>
      </c>
      <c r="F107" s="356" t="s">
        <v>402</v>
      </c>
      <c r="G107" s="267">
        <v>33600</v>
      </c>
      <c r="H107" s="267">
        <f t="shared" si="18"/>
        <v>31412.910379199999</v>
      </c>
      <c r="I107" s="267">
        <f t="shared" si="19"/>
        <v>31412.910379199999</v>
      </c>
      <c r="J107" s="270"/>
      <c r="K107" s="270">
        <f t="shared" si="16"/>
        <v>0</v>
      </c>
      <c r="L107" s="270">
        <f t="shared" si="17"/>
        <v>31412.910379199999</v>
      </c>
      <c r="M107" s="268"/>
      <c r="N107" s="1163">
        <v>0.93490804699999996</v>
      </c>
      <c r="P107" s="577"/>
      <c r="Q107" s="586"/>
      <c r="R107" s="583"/>
      <c r="S107" s="577"/>
      <c r="T107" s="577"/>
      <c r="U107" s="642"/>
      <c r="V107" s="583"/>
      <c r="W107" s="641"/>
      <c r="X107" s="583"/>
      <c r="Y107" s="577"/>
      <c r="Z107" s="743"/>
      <c r="AA107" s="642"/>
    </row>
    <row r="108" spans="1:27" ht="18.95" customHeight="1">
      <c r="A108" s="632"/>
      <c r="B108" s="603"/>
      <c r="C108" s="316" t="s">
        <v>1962</v>
      </c>
      <c r="D108" s="165" t="s">
        <v>1900</v>
      </c>
      <c r="E108" s="267">
        <v>1</v>
      </c>
      <c r="F108" s="356" t="s">
        <v>402</v>
      </c>
      <c r="G108" s="267">
        <v>27496</v>
      </c>
      <c r="H108" s="267">
        <f t="shared" si="18"/>
        <v>25706.231660311998</v>
      </c>
      <c r="I108" s="267">
        <f t="shared" si="19"/>
        <v>25706.231660311998</v>
      </c>
      <c r="J108" s="270"/>
      <c r="K108" s="270">
        <f t="shared" si="16"/>
        <v>0</v>
      </c>
      <c r="L108" s="270">
        <f t="shared" si="17"/>
        <v>25706.231660311998</v>
      </c>
      <c r="M108" s="268"/>
      <c r="N108" s="1163">
        <v>0.93490804699999996</v>
      </c>
      <c r="P108" s="577"/>
      <c r="Q108" s="586"/>
      <c r="R108" s="583"/>
      <c r="S108" s="577"/>
      <c r="T108" s="577"/>
      <c r="U108" s="642"/>
      <c r="V108" s="583"/>
      <c r="W108" s="641"/>
      <c r="X108" s="583"/>
      <c r="Y108" s="577"/>
      <c r="Z108" s="743"/>
      <c r="AA108" s="642"/>
    </row>
    <row r="109" spans="1:27" ht="18.95" customHeight="1">
      <c r="A109" s="632"/>
      <c r="B109" s="603"/>
      <c r="C109" s="316" t="s">
        <v>1963</v>
      </c>
      <c r="D109" s="165" t="s">
        <v>1900</v>
      </c>
      <c r="E109" s="267">
        <v>1</v>
      </c>
      <c r="F109" s="356" t="s">
        <v>402</v>
      </c>
      <c r="G109" s="267">
        <v>27496</v>
      </c>
      <c r="H109" s="267">
        <f t="shared" si="18"/>
        <v>25706.231660311998</v>
      </c>
      <c r="I109" s="267">
        <f t="shared" si="19"/>
        <v>25706.231660311998</v>
      </c>
      <c r="J109" s="270"/>
      <c r="K109" s="270">
        <f t="shared" si="16"/>
        <v>0</v>
      </c>
      <c r="L109" s="270">
        <f t="shared" si="17"/>
        <v>25706.231660311998</v>
      </c>
      <c r="M109" s="268"/>
      <c r="N109" s="1163">
        <v>0.93490804699999996</v>
      </c>
      <c r="P109" s="577"/>
      <c r="Q109" s="586"/>
      <c r="R109" s="583"/>
      <c r="S109" s="577"/>
      <c r="T109" s="577"/>
      <c r="U109" s="642"/>
      <c r="V109" s="583"/>
      <c r="W109" s="641"/>
      <c r="X109" s="583"/>
      <c r="Y109" s="577"/>
      <c r="Z109" s="743"/>
      <c r="AA109" s="642"/>
    </row>
    <row r="110" spans="1:27" ht="18.95" customHeight="1">
      <c r="A110" s="632"/>
      <c r="B110" s="603"/>
      <c r="C110" s="316" t="s">
        <v>1964</v>
      </c>
      <c r="D110" s="165" t="s">
        <v>1900</v>
      </c>
      <c r="E110" s="267">
        <v>1</v>
      </c>
      <c r="F110" s="356" t="s">
        <v>402</v>
      </c>
      <c r="G110" s="267">
        <v>27496</v>
      </c>
      <c r="H110" s="267">
        <f t="shared" si="18"/>
        <v>25706.231660311998</v>
      </c>
      <c r="I110" s="267">
        <f t="shared" si="19"/>
        <v>25706.231660311998</v>
      </c>
      <c r="J110" s="270"/>
      <c r="K110" s="270">
        <f t="shared" si="16"/>
        <v>0</v>
      </c>
      <c r="L110" s="270">
        <f t="shared" si="17"/>
        <v>25706.231660311998</v>
      </c>
      <c r="M110" s="268"/>
      <c r="N110" s="1163">
        <v>0.93490804699999996</v>
      </c>
      <c r="P110" s="577"/>
      <c r="Q110" s="586"/>
      <c r="R110" s="583"/>
      <c r="S110" s="577"/>
      <c r="T110" s="577"/>
      <c r="U110" s="642"/>
      <c r="V110" s="583"/>
      <c r="W110" s="641"/>
      <c r="X110" s="583"/>
      <c r="Y110" s="577"/>
      <c r="Z110" s="743"/>
      <c r="AA110" s="642"/>
    </row>
    <row r="111" spans="1:27" ht="18.95" customHeight="1">
      <c r="A111" s="632"/>
      <c r="B111" s="603"/>
      <c r="C111" s="316" t="s">
        <v>1965</v>
      </c>
      <c r="D111" s="165" t="s">
        <v>1900</v>
      </c>
      <c r="E111" s="267">
        <v>1</v>
      </c>
      <c r="F111" s="356" t="s">
        <v>402</v>
      </c>
      <c r="G111" s="267">
        <v>27496</v>
      </c>
      <c r="H111" s="267">
        <f t="shared" si="18"/>
        <v>25706.231660311998</v>
      </c>
      <c r="I111" s="267">
        <f t="shared" si="19"/>
        <v>25706.231660311998</v>
      </c>
      <c r="J111" s="270"/>
      <c r="K111" s="270">
        <f t="shared" si="16"/>
        <v>0</v>
      </c>
      <c r="L111" s="270">
        <f t="shared" si="17"/>
        <v>25706.231660311998</v>
      </c>
      <c r="M111" s="268"/>
      <c r="N111" s="1163">
        <v>0.93490804699999996</v>
      </c>
      <c r="P111" s="577"/>
      <c r="Q111" s="586"/>
      <c r="R111" s="583"/>
      <c r="S111" s="577"/>
      <c r="T111" s="577"/>
      <c r="U111" s="642"/>
      <c r="V111" s="583"/>
      <c r="W111" s="641"/>
      <c r="X111" s="583"/>
      <c r="Y111" s="577"/>
      <c r="Z111" s="743"/>
      <c r="AA111" s="642"/>
    </row>
    <row r="112" spans="1:27" ht="18.95" customHeight="1">
      <c r="A112" s="635"/>
      <c r="B112" s="603"/>
      <c r="C112" s="316" t="s">
        <v>1966</v>
      </c>
      <c r="D112" s="165" t="s">
        <v>1900</v>
      </c>
      <c r="E112" s="267">
        <v>1</v>
      </c>
      <c r="F112" s="356" t="s">
        <v>402</v>
      </c>
      <c r="G112" s="267">
        <v>27496</v>
      </c>
      <c r="H112" s="267">
        <f t="shared" si="18"/>
        <v>25706.231660311998</v>
      </c>
      <c r="I112" s="267">
        <f t="shared" si="19"/>
        <v>25706.231660311998</v>
      </c>
      <c r="J112" s="270"/>
      <c r="K112" s="270">
        <f t="shared" si="16"/>
        <v>0</v>
      </c>
      <c r="L112" s="270">
        <f t="shared" si="17"/>
        <v>25706.231660311998</v>
      </c>
      <c r="M112" s="268"/>
      <c r="N112" s="1163">
        <v>0.93490804699999996</v>
      </c>
      <c r="P112" s="577"/>
      <c r="Q112" s="586"/>
      <c r="R112" s="583"/>
      <c r="S112" s="577"/>
      <c r="T112" s="577"/>
      <c r="U112" s="642"/>
      <c r="V112" s="583"/>
      <c r="W112" s="641"/>
      <c r="X112" s="583"/>
      <c r="Y112" s="577"/>
      <c r="Z112" s="743"/>
      <c r="AA112" s="642"/>
    </row>
    <row r="113" spans="1:27" ht="18.95" customHeight="1">
      <c r="A113" s="632"/>
      <c r="B113" s="603"/>
      <c r="C113" s="316" t="s">
        <v>1967</v>
      </c>
      <c r="D113" s="328" t="s">
        <v>1968</v>
      </c>
      <c r="E113" s="267">
        <v>1</v>
      </c>
      <c r="F113" s="356" t="s">
        <v>402</v>
      </c>
      <c r="G113" s="267">
        <v>20776</v>
      </c>
      <c r="H113" s="267">
        <f t="shared" si="18"/>
        <v>19423.649584471998</v>
      </c>
      <c r="I113" s="267">
        <f t="shared" si="19"/>
        <v>19423.649584471998</v>
      </c>
      <c r="J113" s="270"/>
      <c r="K113" s="270">
        <f t="shared" si="16"/>
        <v>0</v>
      </c>
      <c r="L113" s="270">
        <f t="shared" si="17"/>
        <v>19423.649584471998</v>
      </c>
      <c r="M113" s="268"/>
      <c r="N113" s="1163">
        <v>0.93490804699999996</v>
      </c>
      <c r="P113" s="577"/>
      <c r="Q113" s="586"/>
      <c r="R113" s="583"/>
      <c r="S113" s="577"/>
      <c r="T113" s="577"/>
      <c r="U113" s="642"/>
      <c r="V113" s="583"/>
      <c r="W113" s="641"/>
      <c r="X113" s="583"/>
      <c r="Y113" s="577"/>
      <c r="Z113" s="743"/>
      <c r="AA113" s="642"/>
    </row>
    <row r="114" spans="1:27" ht="18.95" customHeight="1">
      <c r="A114" s="632"/>
      <c r="B114" s="603"/>
      <c r="C114" s="316" t="s">
        <v>1969</v>
      </c>
      <c r="D114" s="328" t="s">
        <v>1968</v>
      </c>
      <c r="E114" s="267">
        <v>1</v>
      </c>
      <c r="F114" s="356" t="s">
        <v>402</v>
      </c>
      <c r="G114" s="267">
        <v>20776</v>
      </c>
      <c r="H114" s="267">
        <f t="shared" si="18"/>
        <v>19423.649584471998</v>
      </c>
      <c r="I114" s="267">
        <f t="shared" si="19"/>
        <v>19423.649584471998</v>
      </c>
      <c r="J114" s="270"/>
      <c r="K114" s="270">
        <f t="shared" si="16"/>
        <v>0</v>
      </c>
      <c r="L114" s="270">
        <f t="shared" si="17"/>
        <v>19423.649584471998</v>
      </c>
      <c r="M114" s="268"/>
      <c r="N114" s="1163">
        <v>0.93490804699999996</v>
      </c>
      <c r="P114" s="577"/>
      <c r="Q114" s="586"/>
      <c r="R114" s="583"/>
      <c r="S114" s="577"/>
      <c r="T114" s="577"/>
      <c r="U114" s="642"/>
      <c r="V114" s="583"/>
      <c r="W114" s="641"/>
      <c r="X114" s="583"/>
      <c r="Y114" s="577"/>
      <c r="Z114" s="743"/>
      <c r="AA114" s="642"/>
    </row>
    <row r="115" spans="1:27" ht="18.95" customHeight="1">
      <c r="A115" s="632"/>
      <c r="B115" s="603"/>
      <c r="C115" s="316" t="s">
        <v>1970</v>
      </c>
      <c r="D115" s="328" t="s">
        <v>1968</v>
      </c>
      <c r="E115" s="267">
        <v>1</v>
      </c>
      <c r="F115" s="356" t="s">
        <v>402</v>
      </c>
      <c r="G115" s="267">
        <v>20776</v>
      </c>
      <c r="H115" s="267">
        <f t="shared" si="18"/>
        <v>19423.649584471998</v>
      </c>
      <c r="I115" s="267">
        <f t="shared" si="19"/>
        <v>19423.649584471998</v>
      </c>
      <c r="J115" s="270"/>
      <c r="K115" s="270">
        <f t="shared" si="16"/>
        <v>0</v>
      </c>
      <c r="L115" s="270">
        <f t="shared" si="17"/>
        <v>19423.649584471998</v>
      </c>
      <c r="M115" s="268"/>
      <c r="N115" s="1163">
        <v>0.93490804699999996</v>
      </c>
      <c r="P115" s="577"/>
      <c r="Q115" s="586"/>
      <c r="R115" s="583"/>
      <c r="S115" s="577"/>
      <c r="T115" s="577"/>
      <c r="U115" s="642"/>
      <c r="V115" s="583"/>
      <c r="W115" s="641"/>
      <c r="X115" s="583"/>
      <c r="Y115" s="577"/>
      <c r="Z115" s="743"/>
      <c r="AA115" s="642"/>
    </row>
    <row r="116" spans="1:27" ht="18.95" customHeight="1">
      <c r="A116" s="632"/>
      <c r="B116" s="603"/>
      <c r="C116" s="316" t="s">
        <v>1971</v>
      </c>
      <c r="D116" s="328" t="s">
        <v>1968</v>
      </c>
      <c r="E116" s="267">
        <v>1</v>
      </c>
      <c r="F116" s="356" t="s">
        <v>402</v>
      </c>
      <c r="G116" s="267">
        <v>20776</v>
      </c>
      <c r="H116" s="267">
        <f t="shared" si="18"/>
        <v>19423.649584471998</v>
      </c>
      <c r="I116" s="267">
        <f t="shared" si="19"/>
        <v>19423.649584471998</v>
      </c>
      <c r="J116" s="270"/>
      <c r="K116" s="270">
        <f t="shared" si="16"/>
        <v>0</v>
      </c>
      <c r="L116" s="270">
        <f t="shared" si="17"/>
        <v>19423.649584471998</v>
      </c>
      <c r="M116" s="268"/>
      <c r="N116" s="1163">
        <v>0.93490804699999996</v>
      </c>
      <c r="P116" s="577"/>
      <c r="Q116" s="586"/>
      <c r="R116" s="583"/>
      <c r="S116" s="577"/>
      <c r="T116" s="577"/>
      <c r="U116" s="642"/>
      <c r="V116" s="583"/>
      <c r="W116" s="641"/>
      <c r="X116" s="583"/>
      <c r="Y116" s="577"/>
      <c r="Z116" s="743"/>
      <c r="AA116" s="642"/>
    </row>
    <row r="117" spans="1:27" ht="18.95" customHeight="1">
      <c r="A117" s="632"/>
      <c r="B117" s="603"/>
      <c r="C117" s="316" t="s">
        <v>1972</v>
      </c>
      <c r="D117" s="374" t="s">
        <v>1884</v>
      </c>
      <c r="E117" s="267">
        <v>1</v>
      </c>
      <c r="F117" s="356" t="s">
        <v>402</v>
      </c>
      <c r="G117" s="267">
        <v>65016</v>
      </c>
      <c r="H117" s="267">
        <f t="shared" si="18"/>
        <v>60783.981583752</v>
      </c>
      <c r="I117" s="267">
        <f t="shared" si="19"/>
        <v>60783.981583752</v>
      </c>
      <c r="J117" s="270"/>
      <c r="K117" s="270">
        <f t="shared" si="16"/>
        <v>0</v>
      </c>
      <c r="L117" s="270">
        <f t="shared" si="17"/>
        <v>60783.981583752</v>
      </c>
      <c r="M117" s="268"/>
      <c r="N117" s="1163">
        <v>0.93490804699999996</v>
      </c>
      <c r="P117" s="577"/>
      <c r="Q117" s="586"/>
      <c r="R117" s="583"/>
      <c r="S117" s="577"/>
      <c r="T117" s="577"/>
      <c r="U117" s="642"/>
      <c r="V117" s="583"/>
      <c r="W117" s="641"/>
      <c r="X117" s="583"/>
      <c r="Y117" s="577"/>
      <c r="Z117" s="743"/>
      <c r="AA117" s="642"/>
    </row>
    <row r="118" spans="1:27" ht="18.95" customHeight="1">
      <c r="A118" s="632"/>
      <c r="B118" s="603"/>
      <c r="C118" s="316" t="s">
        <v>1973</v>
      </c>
      <c r="D118" s="374" t="s">
        <v>1884</v>
      </c>
      <c r="E118" s="267">
        <v>1</v>
      </c>
      <c r="F118" s="356" t="s">
        <v>402</v>
      </c>
      <c r="G118" s="267">
        <v>65016</v>
      </c>
      <c r="H118" s="267">
        <f t="shared" si="18"/>
        <v>60783.981583752</v>
      </c>
      <c r="I118" s="267">
        <f t="shared" si="19"/>
        <v>60783.981583752</v>
      </c>
      <c r="J118" s="270"/>
      <c r="K118" s="270">
        <f t="shared" si="16"/>
        <v>0</v>
      </c>
      <c r="L118" s="270">
        <f t="shared" si="17"/>
        <v>60783.981583752</v>
      </c>
      <c r="M118" s="268"/>
      <c r="N118" s="1163">
        <v>0.93490804699999996</v>
      </c>
      <c r="P118" s="577"/>
      <c r="Q118" s="586"/>
      <c r="R118" s="583"/>
      <c r="S118" s="577"/>
      <c r="T118" s="577"/>
      <c r="U118" s="642"/>
      <c r="V118" s="583"/>
      <c r="W118" s="641"/>
      <c r="X118" s="583"/>
      <c r="Y118" s="577"/>
      <c r="Z118" s="743"/>
      <c r="AA118" s="642"/>
    </row>
    <row r="119" spans="1:27" ht="18.95" customHeight="1">
      <c r="A119" s="632"/>
      <c r="B119" s="603"/>
      <c r="C119" s="316" t="s">
        <v>1974</v>
      </c>
      <c r="D119" s="374" t="s">
        <v>1898</v>
      </c>
      <c r="E119" s="267">
        <v>1</v>
      </c>
      <c r="F119" s="356" t="s">
        <v>402</v>
      </c>
      <c r="G119" s="267">
        <v>30296</v>
      </c>
      <c r="H119" s="267">
        <f t="shared" si="18"/>
        <v>28323.974191911999</v>
      </c>
      <c r="I119" s="267">
        <f t="shared" si="19"/>
        <v>28323.974191911999</v>
      </c>
      <c r="J119" s="270"/>
      <c r="K119" s="270">
        <f t="shared" si="16"/>
        <v>0</v>
      </c>
      <c r="L119" s="270">
        <f t="shared" si="17"/>
        <v>28323.974191911999</v>
      </c>
      <c r="M119" s="268"/>
      <c r="N119" s="1163">
        <v>0.93490804699999996</v>
      </c>
      <c r="P119" s="577"/>
      <c r="Q119" s="586"/>
      <c r="R119" s="583"/>
      <c r="S119" s="577"/>
      <c r="T119" s="577"/>
      <c r="U119" s="642"/>
      <c r="V119" s="583"/>
      <c r="W119" s="641"/>
      <c r="X119" s="583"/>
      <c r="Y119" s="577"/>
      <c r="Z119" s="743"/>
      <c r="AA119" s="642"/>
    </row>
    <row r="120" spans="1:27" ht="18.95" customHeight="1">
      <c r="A120" s="632"/>
      <c r="B120" s="603"/>
      <c r="C120" s="316" t="s">
        <v>1975</v>
      </c>
      <c r="D120" s="374" t="s">
        <v>1898</v>
      </c>
      <c r="E120" s="267">
        <v>1</v>
      </c>
      <c r="F120" s="356" t="s">
        <v>402</v>
      </c>
      <c r="G120" s="267">
        <v>30296</v>
      </c>
      <c r="H120" s="267">
        <f t="shared" si="18"/>
        <v>28323.974191911999</v>
      </c>
      <c r="I120" s="267">
        <f t="shared" si="19"/>
        <v>28323.974191911999</v>
      </c>
      <c r="J120" s="270"/>
      <c r="K120" s="270">
        <f t="shared" si="16"/>
        <v>0</v>
      </c>
      <c r="L120" s="270">
        <f t="shared" si="17"/>
        <v>28323.974191911999</v>
      </c>
      <c r="M120" s="268"/>
      <c r="N120" s="1163">
        <v>0.93490804699999996</v>
      </c>
      <c r="P120" s="577"/>
      <c r="Q120" s="586"/>
      <c r="R120" s="583"/>
      <c r="S120" s="577"/>
      <c r="T120" s="577"/>
      <c r="U120" s="642"/>
      <c r="V120" s="583"/>
      <c r="W120" s="641"/>
      <c r="X120" s="583"/>
      <c r="Y120" s="577"/>
      <c r="Z120" s="743"/>
      <c r="AA120" s="642"/>
    </row>
    <row r="121" spans="1:27" ht="18.95" customHeight="1">
      <c r="A121" s="632"/>
      <c r="B121" s="603"/>
      <c r="C121" s="316" t="s">
        <v>1976</v>
      </c>
      <c r="D121" s="374" t="s">
        <v>1891</v>
      </c>
      <c r="E121" s="267">
        <v>1</v>
      </c>
      <c r="F121" s="356" t="s">
        <v>402</v>
      </c>
      <c r="G121" s="267">
        <v>28000</v>
      </c>
      <c r="H121" s="267">
        <f t="shared" si="18"/>
        <v>26177.425316000001</v>
      </c>
      <c r="I121" s="267">
        <f t="shared" si="19"/>
        <v>26177.425316000001</v>
      </c>
      <c r="J121" s="270"/>
      <c r="K121" s="270">
        <f t="shared" si="16"/>
        <v>0</v>
      </c>
      <c r="L121" s="270">
        <f t="shared" si="17"/>
        <v>26177.425316000001</v>
      </c>
      <c r="M121" s="268"/>
      <c r="N121" s="1163">
        <v>0.93490804699999996</v>
      </c>
      <c r="P121" s="577"/>
      <c r="Q121" s="586"/>
      <c r="R121" s="583"/>
      <c r="S121" s="577"/>
      <c r="T121" s="577"/>
      <c r="U121" s="642"/>
      <c r="V121" s="583"/>
      <c r="W121" s="641"/>
      <c r="X121" s="583"/>
      <c r="Y121" s="577"/>
      <c r="Z121" s="743"/>
      <c r="AA121" s="642"/>
    </row>
    <row r="122" spans="1:27" ht="18.95" customHeight="1">
      <c r="A122" s="632"/>
      <c r="B122" s="603"/>
      <c r="C122" s="316" t="s">
        <v>1977</v>
      </c>
      <c r="D122" s="636" t="s">
        <v>1891</v>
      </c>
      <c r="E122" s="267">
        <v>1</v>
      </c>
      <c r="F122" s="356" t="s">
        <v>402</v>
      </c>
      <c r="G122" s="267">
        <v>28000</v>
      </c>
      <c r="H122" s="267">
        <f t="shared" si="18"/>
        <v>26177.425316000001</v>
      </c>
      <c r="I122" s="267">
        <f t="shared" si="19"/>
        <v>26177.425316000001</v>
      </c>
      <c r="J122" s="270"/>
      <c r="K122" s="270">
        <f t="shared" si="16"/>
        <v>0</v>
      </c>
      <c r="L122" s="270">
        <f t="shared" si="17"/>
        <v>26177.425316000001</v>
      </c>
      <c r="M122" s="268"/>
      <c r="N122" s="1163">
        <v>0.93490804699999996</v>
      </c>
      <c r="P122" s="577"/>
      <c r="Q122" s="586"/>
      <c r="R122" s="583"/>
      <c r="S122" s="577"/>
      <c r="T122" s="577"/>
      <c r="U122" s="642"/>
      <c r="V122" s="583"/>
      <c r="W122" s="641"/>
      <c r="X122" s="583"/>
      <c r="Y122" s="577"/>
      <c r="Z122" s="743"/>
      <c r="AA122" s="642"/>
    </row>
    <row r="123" spans="1:27" ht="18.95" customHeight="1">
      <c r="A123" s="632"/>
      <c r="B123" s="603"/>
      <c r="C123" s="316" t="s">
        <v>1978</v>
      </c>
      <c r="D123" s="636" t="s">
        <v>1891</v>
      </c>
      <c r="E123" s="267">
        <v>1</v>
      </c>
      <c r="F123" s="356" t="s">
        <v>402</v>
      </c>
      <c r="G123" s="267">
        <v>28000</v>
      </c>
      <c r="H123" s="267">
        <f t="shared" si="18"/>
        <v>26177.425316000001</v>
      </c>
      <c r="I123" s="267">
        <f t="shared" si="19"/>
        <v>26177.425316000001</v>
      </c>
      <c r="J123" s="270"/>
      <c r="K123" s="270">
        <f t="shared" si="16"/>
        <v>0</v>
      </c>
      <c r="L123" s="270">
        <f t="shared" si="17"/>
        <v>26177.425316000001</v>
      </c>
      <c r="M123" s="268"/>
      <c r="N123" s="1163">
        <v>0.93490804699999996</v>
      </c>
      <c r="P123" s="577"/>
      <c r="Q123" s="586"/>
      <c r="R123" s="583"/>
      <c r="S123" s="577"/>
      <c r="T123" s="577"/>
      <c r="U123" s="642"/>
      <c r="V123" s="583"/>
      <c r="W123" s="641"/>
      <c r="X123" s="583"/>
      <c r="Y123" s="577"/>
      <c r="Z123" s="743"/>
      <c r="AA123" s="642"/>
    </row>
    <row r="124" spans="1:27" ht="18.95" customHeight="1">
      <c r="A124" s="632"/>
      <c r="B124" s="603"/>
      <c r="C124" s="316" t="s">
        <v>1979</v>
      </c>
      <c r="D124" s="636" t="s">
        <v>1980</v>
      </c>
      <c r="E124" s="267">
        <v>1</v>
      </c>
      <c r="F124" s="356" t="s">
        <v>402</v>
      </c>
      <c r="G124" s="267">
        <v>20776</v>
      </c>
      <c r="H124" s="267">
        <f t="shared" si="18"/>
        <v>19423.649584471998</v>
      </c>
      <c r="I124" s="267">
        <f t="shared" si="19"/>
        <v>19423.649584471998</v>
      </c>
      <c r="J124" s="270"/>
      <c r="K124" s="270">
        <f t="shared" si="16"/>
        <v>0</v>
      </c>
      <c r="L124" s="270">
        <f t="shared" si="17"/>
        <v>19423.649584471998</v>
      </c>
      <c r="M124" s="268"/>
      <c r="N124" s="1163">
        <v>0.93490804699999996</v>
      </c>
      <c r="P124" s="577"/>
      <c r="Q124" s="586"/>
      <c r="R124" s="583"/>
      <c r="S124" s="577"/>
      <c r="T124" s="577"/>
      <c r="U124" s="642"/>
      <c r="V124" s="583"/>
      <c r="W124" s="641"/>
      <c r="X124" s="583"/>
      <c r="Y124" s="577"/>
      <c r="Z124" s="743"/>
      <c r="AA124" s="642"/>
    </row>
    <row r="125" spans="1:27" ht="18.95" customHeight="1">
      <c r="A125" s="632"/>
      <c r="B125" s="603"/>
      <c r="C125" s="316" t="s">
        <v>1981</v>
      </c>
      <c r="D125" s="374" t="s">
        <v>1980</v>
      </c>
      <c r="E125" s="267">
        <v>1</v>
      </c>
      <c r="F125" s="356" t="s">
        <v>402</v>
      </c>
      <c r="G125" s="267">
        <v>20776</v>
      </c>
      <c r="H125" s="267">
        <f t="shared" si="18"/>
        <v>19423.649584471998</v>
      </c>
      <c r="I125" s="267">
        <f t="shared" si="19"/>
        <v>19423.649584471998</v>
      </c>
      <c r="J125" s="270"/>
      <c r="K125" s="270">
        <f t="shared" si="16"/>
        <v>0</v>
      </c>
      <c r="L125" s="270">
        <f t="shared" si="17"/>
        <v>19423.649584471998</v>
      </c>
      <c r="M125" s="268"/>
      <c r="N125" s="1163">
        <v>0.93490804699999996</v>
      </c>
      <c r="P125" s="577"/>
      <c r="Q125" s="586"/>
      <c r="R125" s="583"/>
      <c r="S125" s="577"/>
      <c r="T125" s="577"/>
      <c r="U125" s="642"/>
      <c r="V125" s="583"/>
      <c r="W125" s="641"/>
      <c r="X125" s="583"/>
      <c r="Y125" s="577"/>
      <c r="Z125" s="743"/>
      <c r="AA125" s="642"/>
    </row>
    <row r="126" spans="1:27" ht="18.95" customHeight="1">
      <c r="A126" s="632"/>
      <c r="B126" s="603"/>
      <c r="C126" s="316" t="s">
        <v>1982</v>
      </c>
      <c r="D126" s="636" t="s">
        <v>1980</v>
      </c>
      <c r="E126" s="267">
        <v>1</v>
      </c>
      <c r="F126" s="356" t="s">
        <v>402</v>
      </c>
      <c r="G126" s="267">
        <v>20776</v>
      </c>
      <c r="H126" s="267">
        <f t="shared" si="18"/>
        <v>19423.649584471998</v>
      </c>
      <c r="I126" s="267">
        <f t="shared" si="19"/>
        <v>19423.649584471998</v>
      </c>
      <c r="J126" s="270"/>
      <c r="K126" s="270">
        <f t="shared" si="16"/>
        <v>0</v>
      </c>
      <c r="L126" s="270">
        <f t="shared" si="17"/>
        <v>19423.649584471998</v>
      </c>
      <c r="M126" s="268"/>
      <c r="N126" s="1163">
        <v>0.93490804699999996</v>
      </c>
      <c r="P126" s="577"/>
      <c r="Q126" s="586"/>
      <c r="R126" s="583"/>
      <c r="S126" s="577"/>
      <c r="T126" s="577"/>
      <c r="U126" s="642"/>
      <c r="V126" s="583"/>
      <c r="W126" s="641"/>
      <c r="X126" s="583"/>
      <c r="Y126" s="577"/>
      <c r="Z126" s="743"/>
      <c r="AA126" s="642"/>
    </row>
    <row r="127" spans="1:27" ht="18.95" customHeight="1">
      <c r="A127" s="632"/>
      <c r="B127" s="603"/>
      <c r="C127" s="316" t="s">
        <v>1983</v>
      </c>
      <c r="D127" s="636" t="s">
        <v>1980</v>
      </c>
      <c r="E127" s="267">
        <v>1</v>
      </c>
      <c r="F127" s="356" t="s">
        <v>402</v>
      </c>
      <c r="G127" s="267">
        <v>20776</v>
      </c>
      <c r="H127" s="267">
        <f t="shared" si="18"/>
        <v>19423.649584471998</v>
      </c>
      <c r="I127" s="267">
        <f t="shared" si="19"/>
        <v>19423.649584471998</v>
      </c>
      <c r="J127" s="270"/>
      <c r="K127" s="270">
        <f t="shared" si="16"/>
        <v>0</v>
      </c>
      <c r="L127" s="270">
        <f t="shared" si="17"/>
        <v>19423.649584471998</v>
      </c>
      <c r="M127" s="268"/>
      <c r="N127" s="1163">
        <v>0.93490804699999996</v>
      </c>
      <c r="P127" s="577"/>
      <c r="Q127" s="586"/>
      <c r="R127" s="583"/>
      <c r="S127" s="577"/>
      <c r="T127" s="577"/>
      <c r="U127" s="642"/>
      <c r="V127" s="583"/>
      <c r="W127" s="641"/>
      <c r="X127" s="583"/>
      <c r="Y127" s="577"/>
      <c r="Z127" s="743"/>
      <c r="AA127" s="642"/>
    </row>
    <row r="128" spans="1:27" ht="18.95" customHeight="1">
      <c r="A128" s="632"/>
      <c r="B128" s="603"/>
      <c r="C128" s="316" t="s">
        <v>1984</v>
      </c>
      <c r="D128" s="636" t="s">
        <v>1905</v>
      </c>
      <c r="E128" s="267">
        <v>1</v>
      </c>
      <c r="F128" s="356" t="s">
        <v>402</v>
      </c>
      <c r="G128" s="267">
        <v>33600</v>
      </c>
      <c r="H128" s="267">
        <f t="shared" si="18"/>
        <v>31412.910379199999</v>
      </c>
      <c r="I128" s="267">
        <f t="shared" si="19"/>
        <v>31412.910379199999</v>
      </c>
      <c r="J128" s="270"/>
      <c r="K128" s="270">
        <f t="shared" si="16"/>
        <v>0</v>
      </c>
      <c r="L128" s="270">
        <f t="shared" si="17"/>
        <v>31412.910379199999</v>
      </c>
      <c r="M128" s="268"/>
      <c r="N128" s="1163">
        <v>0.93490804699999996</v>
      </c>
      <c r="P128" s="577"/>
      <c r="Q128" s="586"/>
      <c r="R128" s="583"/>
      <c r="S128" s="577"/>
      <c r="T128" s="577"/>
      <c r="U128" s="642"/>
      <c r="V128" s="583"/>
      <c r="W128" s="641"/>
      <c r="X128" s="583"/>
      <c r="Y128" s="577"/>
      <c r="Z128" s="743"/>
      <c r="AA128" s="642"/>
    </row>
    <row r="129" spans="1:27" ht="18.95" customHeight="1">
      <c r="A129" s="632"/>
      <c r="B129" s="603"/>
      <c r="C129" s="316" t="s">
        <v>1985</v>
      </c>
      <c r="D129" s="374" t="s">
        <v>1905</v>
      </c>
      <c r="E129" s="267">
        <v>1</v>
      </c>
      <c r="F129" s="356" t="s">
        <v>402</v>
      </c>
      <c r="G129" s="267">
        <v>33600</v>
      </c>
      <c r="H129" s="267">
        <f t="shared" si="18"/>
        <v>31412.910379199999</v>
      </c>
      <c r="I129" s="267">
        <f t="shared" si="19"/>
        <v>31412.910379199999</v>
      </c>
      <c r="J129" s="270"/>
      <c r="K129" s="270">
        <f t="shared" si="16"/>
        <v>0</v>
      </c>
      <c r="L129" s="270">
        <f t="shared" si="17"/>
        <v>31412.910379199999</v>
      </c>
      <c r="M129" s="268"/>
      <c r="N129" s="1163">
        <v>0.93490804699999996</v>
      </c>
      <c r="P129" s="577"/>
      <c r="Q129" s="586"/>
      <c r="R129" s="583"/>
      <c r="S129" s="577"/>
      <c r="T129" s="577"/>
      <c r="U129" s="642"/>
      <c r="V129" s="583"/>
      <c r="W129" s="641"/>
      <c r="X129" s="583"/>
      <c r="Y129" s="577"/>
      <c r="Z129" s="743"/>
      <c r="AA129" s="642"/>
    </row>
    <row r="130" spans="1:27" ht="18.95" customHeight="1">
      <c r="A130" s="632"/>
      <c r="B130" s="603"/>
      <c r="C130" s="316" t="s">
        <v>1986</v>
      </c>
      <c r="D130" s="374" t="s">
        <v>1905</v>
      </c>
      <c r="E130" s="267">
        <v>1</v>
      </c>
      <c r="F130" s="356" t="s">
        <v>402</v>
      </c>
      <c r="G130" s="267">
        <v>33600</v>
      </c>
      <c r="H130" s="267">
        <f t="shared" si="18"/>
        <v>31412.910379199999</v>
      </c>
      <c r="I130" s="267">
        <f t="shared" si="19"/>
        <v>31412.910379199999</v>
      </c>
      <c r="J130" s="270"/>
      <c r="K130" s="270">
        <f t="shared" si="16"/>
        <v>0</v>
      </c>
      <c r="L130" s="270">
        <f t="shared" si="17"/>
        <v>31412.910379199999</v>
      </c>
      <c r="M130" s="268"/>
      <c r="N130" s="1163">
        <v>0.93490804699999996</v>
      </c>
      <c r="P130" s="577"/>
      <c r="Q130" s="586"/>
      <c r="R130" s="583"/>
      <c r="S130" s="577"/>
      <c r="T130" s="577"/>
      <c r="U130" s="642"/>
      <c r="V130" s="583"/>
      <c r="W130" s="641"/>
      <c r="X130" s="583"/>
      <c r="Y130" s="577"/>
      <c r="Z130" s="743"/>
      <c r="AA130" s="642"/>
    </row>
    <row r="131" spans="1:27" ht="18.95" customHeight="1">
      <c r="A131" s="632"/>
      <c r="B131" s="603"/>
      <c r="C131" s="316" t="s">
        <v>1987</v>
      </c>
      <c r="D131" s="374" t="s">
        <v>1905</v>
      </c>
      <c r="E131" s="267">
        <v>1</v>
      </c>
      <c r="F131" s="356" t="s">
        <v>402</v>
      </c>
      <c r="G131" s="267">
        <v>33600</v>
      </c>
      <c r="H131" s="267">
        <f t="shared" si="18"/>
        <v>31412.910379199999</v>
      </c>
      <c r="I131" s="267">
        <f t="shared" si="19"/>
        <v>31412.910379199999</v>
      </c>
      <c r="J131" s="270"/>
      <c r="K131" s="270">
        <f t="shared" si="16"/>
        <v>0</v>
      </c>
      <c r="L131" s="270">
        <f t="shared" si="17"/>
        <v>31412.910379199999</v>
      </c>
      <c r="M131" s="268"/>
      <c r="N131" s="1163">
        <v>0.93490804699999996</v>
      </c>
      <c r="P131" s="577"/>
      <c r="Q131" s="586"/>
      <c r="R131" s="583"/>
      <c r="S131" s="577"/>
      <c r="T131" s="577"/>
      <c r="U131" s="642"/>
      <c r="V131" s="583"/>
      <c r="W131" s="641"/>
      <c r="X131" s="583"/>
      <c r="Y131" s="577"/>
      <c r="Z131" s="743"/>
      <c r="AA131" s="642"/>
    </row>
    <row r="132" spans="1:27" ht="18.95" customHeight="1">
      <c r="A132" s="632"/>
      <c r="B132" s="603"/>
      <c r="C132" s="316" t="s">
        <v>1988</v>
      </c>
      <c r="D132" s="374" t="s">
        <v>1905</v>
      </c>
      <c r="E132" s="267">
        <v>1</v>
      </c>
      <c r="F132" s="356" t="s">
        <v>402</v>
      </c>
      <c r="G132" s="267">
        <v>33600</v>
      </c>
      <c r="H132" s="267">
        <f t="shared" si="18"/>
        <v>31412.910379199999</v>
      </c>
      <c r="I132" s="267">
        <f t="shared" si="19"/>
        <v>31412.910379199999</v>
      </c>
      <c r="J132" s="270"/>
      <c r="K132" s="270">
        <f t="shared" si="16"/>
        <v>0</v>
      </c>
      <c r="L132" s="270">
        <f>I132+K132</f>
        <v>31412.910379199999</v>
      </c>
      <c r="M132" s="268"/>
      <c r="N132" s="1163">
        <v>0.93490804699999996</v>
      </c>
      <c r="P132" s="577"/>
      <c r="Q132" s="586"/>
      <c r="R132" s="583"/>
      <c r="S132" s="577"/>
      <c r="T132" s="577"/>
      <c r="U132" s="642"/>
      <c r="V132" s="583"/>
      <c r="W132" s="641"/>
      <c r="X132" s="583"/>
      <c r="Y132" s="577"/>
      <c r="Z132" s="743"/>
      <c r="AA132" s="642"/>
    </row>
    <row r="133" spans="1:27" ht="18.95" customHeight="1">
      <c r="A133" s="632"/>
      <c r="B133" s="603"/>
      <c r="C133" s="316" t="s">
        <v>1989</v>
      </c>
      <c r="D133" s="374" t="s">
        <v>1905</v>
      </c>
      <c r="E133" s="267">
        <v>1</v>
      </c>
      <c r="F133" s="356" t="s">
        <v>402</v>
      </c>
      <c r="G133" s="267">
        <v>33600</v>
      </c>
      <c r="H133" s="267">
        <f t="shared" si="18"/>
        <v>31412.910379199999</v>
      </c>
      <c r="I133" s="267">
        <f t="shared" si="19"/>
        <v>31412.910379199999</v>
      </c>
      <c r="J133" s="270"/>
      <c r="K133" s="270">
        <f t="shared" si="16"/>
        <v>0</v>
      </c>
      <c r="L133" s="270">
        <f t="shared" ref="L133:L140" si="20">I133+K133</f>
        <v>31412.910379199999</v>
      </c>
      <c r="M133" s="268"/>
      <c r="N133" s="1163">
        <v>0.93490804699999996</v>
      </c>
      <c r="P133" s="577"/>
      <c r="Q133" s="586"/>
      <c r="R133" s="583"/>
      <c r="S133" s="577"/>
      <c r="T133" s="577"/>
      <c r="U133" s="642"/>
      <c r="V133" s="583"/>
      <c r="W133" s="641"/>
      <c r="X133" s="583"/>
      <c r="Y133" s="577"/>
      <c r="Z133" s="743"/>
      <c r="AA133" s="642"/>
    </row>
    <row r="134" spans="1:27" ht="18.95" customHeight="1">
      <c r="A134" s="632"/>
      <c r="B134" s="603"/>
      <c r="C134" s="316" t="s">
        <v>1990</v>
      </c>
      <c r="D134" s="374" t="s">
        <v>1905</v>
      </c>
      <c r="E134" s="267">
        <v>1</v>
      </c>
      <c r="F134" s="356" t="s">
        <v>402</v>
      </c>
      <c r="G134" s="267">
        <v>33600</v>
      </c>
      <c r="H134" s="267">
        <f t="shared" si="18"/>
        <v>31412.910379199999</v>
      </c>
      <c r="I134" s="267">
        <f t="shared" si="19"/>
        <v>31412.910379199999</v>
      </c>
      <c r="J134" s="270"/>
      <c r="K134" s="270">
        <f t="shared" si="16"/>
        <v>0</v>
      </c>
      <c r="L134" s="270">
        <f t="shared" si="20"/>
        <v>31412.910379199999</v>
      </c>
      <c r="M134" s="268"/>
      <c r="N134" s="1163">
        <v>0.93490804699999996</v>
      </c>
      <c r="P134" s="577"/>
      <c r="Q134" s="586"/>
      <c r="R134" s="583"/>
      <c r="S134" s="577"/>
      <c r="T134" s="577"/>
      <c r="U134" s="642"/>
      <c r="V134" s="583"/>
      <c r="W134" s="641"/>
      <c r="X134" s="583"/>
      <c r="Y134" s="577"/>
      <c r="Z134" s="743"/>
      <c r="AA134" s="642"/>
    </row>
    <row r="135" spans="1:27" ht="18.95" customHeight="1">
      <c r="A135" s="632"/>
      <c r="B135" s="603"/>
      <c r="C135" s="316" t="s">
        <v>1991</v>
      </c>
      <c r="D135" s="374" t="s">
        <v>1905</v>
      </c>
      <c r="E135" s="267">
        <v>1</v>
      </c>
      <c r="F135" s="356" t="s">
        <v>402</v>
      </c>
      <c r="G135" s="267">
        <v>33600</v>
      </c>
      <c r="H135" s="267">
        <f t="shared" si="18"/>
        <v>31412.910379199999</v>
      </c>
      <c r="I135" s="267">
        <f t="shared" si="19"/>
        <v>31412.910379199999</v>
      </c>
      <c r="J135" s="270"/>
      <c r="K135" s="270">
        <f t="shared" si="16"/>
        <v>0</v>
      </c>
      <c r="L135" s="270">
        <f t="shared" si="20"/>
        <v>31412.910379199999</v>
      </c>
      <c r="M135" s="268"/>
      <c r="N135" s="1163">
        <v>0.93490804699999996</v>
      </c>
      <c r="P135" s="577"/>
      <c r="Q135" s="586"/>
      <c r="R135" s="583"/>
      <c r="S135" s="577"/>
      <c r="T135" s="577"/>
      <c r="U135" s="642"/>
      <c r="V135" s="583"/>
      <c r="W135" s="641"/>
      <c r="X135" s="583"/>
      <c r="Y135" s="577"/>
      <c r="Z135" s="743"/>
      <c r="AA135" s="642"/>
    </row>
    <row r="136" spans="1:27" ht="18.95" customHeight="1">
      <c r="A136" s="632"/>
      <c r="B136" s="603"/>
      <c r="C136" s="316" t="s">
        <v>1992</v>
      </c>
      <c r="D136" s="374" t="s">
        <v>1993</v>
      </c>
      <c r="E136" s="267">
        <v>1</v>
      </c>
      <c r="F136" s="356" t="s">
        <v>402</v>
      </c>
      <c r="G136" s="267">
        <v>18424</v>
      </c>
      <c r="H136" s="267">
        <f t="shared" si="18"/>
        <v>17224.745857927999</v>
      </c>
      <c r="I136" s="267">
        <f t="shared" si="19"/>
        <v>17224.745857927999</v>
      </c>
      <c r="J136" s="270"/>
      <c r="K136" s="270">
        <f t="shared" si="16"/>
        <v>0</v>
      </c>
      <c r="L136" s="270">
        <f t="shared" si="20"/>
        <v>17224.745857927999</v>
      </c>
      <c r="M136" s="268"/>
      <c r="N136" s="1163">
        <v>0.93490804699999996</v>
      </c>
      <c r="P136" s="577"/>
      <c r="Q136" s="586"/>
      <c r="R136" s="583"/>
      <c r="S136" s="577"/>
      <c r="T136" s="577"/>
      <c r="U136" s="642"/>
      <c r="V136" s="583"/>
      <c r="W136" s="641"/>
      <c r="X136" s="583"/>
      <c r="Y136" s="577"/>
      <c r="Z136" s="743"/>
      <c r="AA136" s="642"/>
    </row>
    <row r="137" spans="1:27" ht="18.95" customHeight="1">
      <c r="A137" s="632"/>
      <c r="B137" s="603"/>
      <c r="C137" s="316" t="s">
        <v>1994</v>
      </c>
      <c r="D137" s="374" t="s">
        <v>1905</v>
      </c>
      <c r="E137" s="267">
        <v>1</v>
      </c>
      <c r="F137" s="356" t="s">
        <v>402</v>
      </c>
      <c r="G137" s="267">
        <v>33600</v>
      </c>
      <c r="H137" s="267">
        <f t="shared" si="18"/>
        <v>31412.910379199999</v>
      </c>
      <c r="I137" s="267">
        <f t="shared" si="19"/>
        <v>31412.910379199999</v>
      </c>
      <c r="J137" s="270"/>
      <c r="K137" s="270">
        <f t="shared" si="16"/>
        <v>0</v>
      </c>
      <c r="L137" s="270">
        <f t="shared" si="20"/>
        <v>31412.910379199999</v>
      </c>
      <c r="M137" s="268"/>
      <c r="N137" s="1163">
        <v>0.93490804699999996</v>
      </c>
      <c r="P137" s="577"/>
      <c r="Q137" s="586"/>
      <c r="R137" s="583"/>
      <c r="S137" s="577"/>
      <c r="T137" s="577"/>
      <c r="U137" s="642"/>
      <c r="V137" s="583"/>
      <c r="W137" s="641"/>
      <c r="X137" s="583"/>
      <c r="Y137" s="577"/>
      <c r="Z137" s="743"/>
      <c r="AA137" s="642"/>
    </row>
    <row r="138" spans="1:27" ht="18.95" customHeight="1">
      <c r="A138" s="632"/>
      <c r="B138" s="603"/>
      <c r="C138" s="316" t="s">
        <v>1995</v>
      </c>
      <c r="D138" s="374" t="s">
        <v>1886</v>
      </c>
      <c r="E138" s="267">
        <v>1</v>
      </c>
      <c r="F138" s="356" t="s">
        <v>402</v>
      </c>
      <c r="G138" s="267">
        <v>30240</v>
      </c>
      <c r="H138" s="267">
        <f t="shared" si="18"/>
        <v>28271.619341279998</v>
      </c>
      <c r="I138" s="267">
        <f t="shared" si="19"/>
        <v>28271.619341279998</v>
      </c>
      <c r="J138" s="270"/>
      <c r="K138" s="270">
        <f t="shared" si="16"/>
        <v>0</v>
      </c>
      <c r="L138" s="270">
        <f t="shared" si="20"/>
        <v>28271.619341279998</v>
      </c>
      <c r="M138" s="268"/>
      <c r="N138" s="1163">
        <v>0.93490804699999996</v>
      </c>
      <c r="P138" s="577"/>
      <c r="Q138" s="586"/>
      <c r="R138" s="583"/>
      <c r="S138" s="577"/>
      <c r="T138" s="577"/>
      <c r="U138" s="642"/>
      <c r="V138" s="583"/>
      <c r="W138" s="641"/>
      <c r="X138" s="583"/>
      <c r="Y138" s="577"/>
      <c r="Z138" s="743"/>
      <c r="AA138" s="642"/>
    </row>
    <row r="139" spans="1:27" ht="18.95" customHeight="1">
      <c r="A139" s="632"/>
      <c r="B139" s="603"/>
      <c r="C139" s="316" t="s">
        <v>1996</v>
      </c>
      <c r="D139" s="374" t="s">
        <v>1886</v>
      </c>
      <c r="E139" s="267">
        <v>1</v>
      </c>
      <c r="F139" s="356" t="s">
        <v>402</v>
      </c>
      <c r="G139" s="291">
        <v>30240</v>
      </c>
      <c r="H139" s="267">
        <f t="shared" si="18"/>
        <v>28271.619341279998</v>
      </c>
      <c r="I139" s="267">
        <f t="shared" si="19"/>
        <v>28271.619341279998</v>
      </c>
      <c r="J139" s="270"/>
      <c r="K139" s="270">
        <f t="shared" si="16"/>
        <v>0</v>
      </c>
      <c r="L139" s="270">
        <f t="shared" si="20"/>
        <v>28271.619341279998</v>
      </c>
      <c r="M139" s="268"/>
      <c r="N139" s="1163">
        <v>0.93490804699999996</v>
      </c>
      <c r="P139" s="577"/>
      <c r="Q139" s="586"/>
      <c r="R139" s="583"/>
      <c r="S139" s="577"/>
      <c r="T139" s="577"/>
      <c r="U139" s="642"/>
      <c r="V139" s="583"/>
      <c r="W139" s="641"/>
      <c r="X139" s="583"/>
      <c r="Y139" s="577"/>
      <c r="Z139" s="743"/>
      <c r="AA139" s="642"/>
    </row>
    <row r="140" spans="1:27" ht="18.95" customHeight="1">
      <c r="A140" s="632"/>
      <c r="B140" s="603"/>
      <c r="C140" s="316" t="s">
        <v>1997</v>
      </c>
      <c r="D140" s="374" t="s">
        <v>1998</v>
      </c>
      <c r="E140" s="267">
        <v>1</v>
      </c>
      <c r="F140" s="356" t="s">
        <v>402</v>
      </c>
      <c r="G140" s="436">
        <v>33600</v>
      </c>
      <c r="H140" s="267">
        <f t="shared" si="18"/>
        <v>31412.910379199999</v>
      </c>
      <c r="I140" s="267">
        <f t="shared" si="19"/>
        <v>31412.910379199999</v>
      </c>
      <c r="J140" s="270"/>
      <c r="K140" s="270">
        <f t="shared" si="16"/>
        <v>0</v>
      </c>
      <c r="L140" s="270">
        <f t="shared" si="20"/>
        <v>31412.910379199999</v>
      </c>
      <c r="M140" s="268"/>
      <c r="N140" s="1163">
        <v>0.93490804699999996</v>
      </c>
      <c r="P140" s="577"/>
      <c r="Q140" s="586"/>
      <c r="R140" s="583"/>
      <c r="S140" s="577"/>
      <c r="T140" s="577"/>
      <c r="U140" s="642"/>
      <c r="V140" s="583"/>
      <c r="W140" s="641"/>
      <c r="X140" s="583"/>
      <c r="Y140" s="577"/>
      <c r="Z140" s="743"/>
      <c r="AA140" s="642"/>
    </row>
    <row r="141" spans="1:27" ht="18.95" customHeight="1">
      <c r="A141" s="632"/>
      <c r="B141" s="603" t="s">
        <v>2244</v>
      </c>
      <c r="C141" s="633"/>
      <c r="D141" s="633"/>
      <c r="E141" s="267"/>
      <c r="F141" s="356"/>
      <c r="G141" s="267"/>
      <c r="H141" s="267"/>
      <c r="I141" s="267"/>
      <c r="J141" s="270"/>
      <c r="K141" s="270"/>
      <c r="L141" s="270"/>
      <c r="M141" s="268"/>
      <c r="N141" s="1163">
        <v>0.93490804699999996</v>
      </c>
      <c r="P141" s="583"/>
      <c r="Q141" s="586"/>
      <c r="R141" s="583"/>
      <c r="S141" s="577"/>
      <c r="T141" s="577"/>
      <c r="U141" s="642"/>
      <c r="V141" s="583"/>
      <c r="W141" s="641"/>
      <c r="X141" s="583"/>
      <c r="Y141" s="577"/>
      <c r="Z141" s="743"/>
      <c r="AA141" s="642"/>
    </row>
    <row r="142" spans="1:27" ht="18.95" customHeight="1">
      <c r="A142" s="632"/>
      <c r="B142" s="603"/>
      <c r="C142" s="633" t="s">
        <v>2000</v>
      </c>
      <c r="D142" s="633" t="s">
        <v>2001</v>
      </c>
      <c r="E142" s="267">
        <v>1</v>
      </c>
      <c r="F142" s="356" t="s">
        <v>402</v>
      </c>
      <c r="G142" s="267">
        <v>78344</v>
      </c>
      <c r="H142" s="267">
        <f t="shared" si="18"/>
        <v>73244.436034168</v>
      </c>
      <c r="I142" s="267">
        <f t="shared" si="19"/>
        <v>73244.436034168</v>
      </c>
      <c r="J142" s="270"/>
      <c r="K142" s="270">
        <f t="shared" ref="K142:K153" si="21">ROUNDDOWN(E142*J142,2)</f>
        <v>0</v>
      </c>
      <c r="L142" s="270">
        <f t="shared" ref="L142:L153" si="22">I142+K142</f>
        <v>73244.436034168</v>
      </c>
      <c r="M142" s="268"/>
      <c r="N142" s="1163">
        <v>0.93490804699999996</v>
      </c>
      <c r="P142" s="577"/>
      <c r="Q142" s="586"/>
      <c r="R142" s="583"/>
      <c r="S142" s="577"/>
      <c r="T142" s="577"/>
      <c r="U142" s="642"/>
      <c r="V142" s="583"/>
      <c r="W142" s="641"/>
      <c r="X142" s="583"/>
      <c r="Y142" s="577"/>
      <c r="Z142" s="743"/>
      <c r="AA142" s="642"/>
    </row>
    <row r="143" spans="1:27" ht="18.95" customHeight="1">
      <c r="A143" s="632"/>
      <c r="B143" s="603"/>
      <c r="C143" s="633" t="s">
        <v>2002</v>
      </c>
      <c r="D143" s="633" t="s">
        <v>1900</v>
      </c>
      <c r="E143" s="267">
        <v>1</v>
      </c>
      <c r="F143" s="356" t="s">
        <v>402</v>
      </c>
      <c r="G143" s="267">
        <v>27496</v>
      </c>
      <c r="H143" s="267">
        <f t="shared" si="18"/>
        <v>25706.231660311998</v>
      </c>
      <c r="I143" s="267">
        <f t="shared" si="19"/>
        <v>25706.231660311998</v>
      </c>
      <c r="J143" s="270"/>
      <c r="K143" s="270">
        <f t="shared" si="21"/>
        <v>0</v>
      </c>
      <c r="L143" s="270">
        <f t="shared" si="22"/>
        <v>25706.231660311998</v>
      </c>
      <c r="M143" s="268"/>
      <c r="N143" s="1163">
        <v>0.93490804699999996</v>
      </c>
      <c r="P143" s="577"/>
      <c r="Q143" s="586"/>
      <c r="R143" s="583"/>
      <c r="S143" s="577"/>
      <c r="T143" s="577"/>
      <c r="U143" s="642"/>
      <c r="V143" s="583"/>
      <c r="W143" s="641"/>
      <c r="X143" s="583"/>
      <c r="Y143" s="577"/>
      <c r="Z143" s="743"/>
      <c r="AA143" s="642"/>
    </row>
    <row r="144" spans="1:27" ht="18.95" customHeight="1">
      <c r="A144" s="632"/>
      <c r="B144" s="603"/>
      <c r="C144" s="633" t="s">
        <v>2003</v>
      </c>
      <c r="D144" s="633" t="s">
        <v>1900</v>
      </c>
      <c r="E144" s="267">
        <v>1</v>
      </c>
      <c r="F144" s="356" t="s">
        <v>402</v>
      </c>
      <c r="G144" s="267">
        <v>27496</v>
      </c>
      <c r="H144" s="267">
        <f t="shared" si="18"/>
        <v>25706.231660311998</v>
      </c>
      <c r="I144" s="267">
        <f t="shared" si="19"/>
        <v>25706.231660311998</v>
      </c>
      <c r="J144" s="270"/>
      <c r="K144" s="270">
        <f t="shared" si="21"/>
        <v>0</v>
      </c>
      <c r="L144" s="270">
        <f t="shared" si="22"/>
        <v>25706.231660311998</v>
      </c>
      <c r="M144" s="268"/>
      <c r="N144" s="1163">
        <v>0.93490804699999996</v>
      </c>
      <c r="P144" s="577"/>
      <c r="Q144" s="586"/>
      <c r="R144" s="583"/>
      <c r="S144" s="577"/>
      <c r="T144" s="577"/>
      <c r="U144" s="642"/>
      <c r="V144" s="583"/>
      <c r="W144" s="641"/>
      <c r="X144" s="583"/>
      <c r="Y144" s="577"/>
      <c r="Z144" s="743"/>
      <c r="AA144" s="642"/>
    </row>
    <row r="145" spans="1:27" ht="18.95" customHeight="1">
      <c r="A145" s="632"/>
      <c r="B145" s="603"/>
      <c r="C145" s="633" t="s">
        <v>2004</v>
      </c>
      <c r="D145" s="633" t="s">
        <v>1900</v>
      </c>
      <c r="E145" s="267">
        <v>1</v>
      </c>
      <c r="F145" s="356" t="s">
        <v>402</v>
      </c>
      <c r="G145" s="267">
        <v>27496</v>
      </c>
      <c r="H145" s="267">
        <f t="shared" si="18"/>
        <v>25706.231660311998</v>
      </c>
      <c r="I145" s="267">
        <f t="shared" si="19"/>
        <v>25706.231660311998</v>
      </c>
      <c r="J145" s="270"/>
      <c r="K145" s="270">
        <f t="shared" si="21"/>
        <v>0</v>
      </c>
      <c r="L145" s="270">
        <f t="shared" si="22"/>
        <v>25706.231660311998</v>
      </c>
      <c r="M145" s="268"/>
      <c r="N145" s="1163">
        <v>0.93490804699999996</v>
      </c>
      <c r="P145" s="577"/>
      <c r="Q145" s="586"/>
      <c r="R145" s="583"/>
      <c r="S145" s="577"/>
      <c r="T145" s="577"/>
      <c r="U145" s="642"/>
      <c r="V145" s="583"/>
      <c r="W145" s="641"/>
      <c r="X145" s="583"/>
      <c r="Y145" s="577"/>
      <c r="Z145" s="743"/>
      <c r="AA145" s="642"/>
    </row>
    <row r="146" spans="1:27" ht="18.95" customHeight="1">
      <c r="A146" s="632"/>
      <c r="B146" s="603"/>
      <c r="C146" s="633" t="s">
        <v>2005</v>
      </c>
      <c r="D146" s="633" t="s">
        <v>1910</v>
      </c>
      <c r="E146" s="267">
        <v>1</v>
      </c>
      <c r="F146" s="356" t="s">
        <v>402</v>
      </c>
      <c r="G146" s="267">
        <v>30800</v>
      </c>
      <c r="H146" s="267">
        <f t="shared" si="18"/>
        <v>28795.167847599998</v>
      </c>
      <c r="I146" s="267">
        <f t="shared" si="19"/>
        <v>28795.167847599998</v>
      </c>
      <c r="J146" s="270"/>
      <c r="K146" s="270">
        <f t="shared" si="21"/>
        <v>0</v>
      </c>
      <c r="L146" s="270">
        <f t="shared" si="22"/>
        <v>28795.167847599998</v>
      </c>
      <c r="M146" s="268"/>
      <c r="N146" s="1163">
        <v>0.93490804699999996</v>
      </c>
      <c r="P146" s="577"/>
      <c r="Q146" s="586"/>
      <c r="R146" s="583"/>
      <c r="S146" s="577"/>
      <c r="T146" s="577"/>
      <c r="U146" s="642"/>
      <c r="V146" s="583"/>
      <c r="W146" s="641"/>
      <c r="X146" s="583"/>
      <c r="Y146" s="577"/>
      <c r="Z146" s="743"/>
      <c r="AA146" s="642"/>
    </row>
    <row r="147" spans="1:27" ht="18.95" customHeight="1">
      <c r="A147" s="632"/>
      <c r="B147" s="603"/>
      <c r="C147" s="633" t="s">
        <v>2006</v>
      </c>
      <c r="D147" s="633" t="s">
        <v>1993</v>
      </c>
      <c r="E147" s="267">
        <v>1</v>
      </c>
      <c r="F147" s="356" t="s">
        <v>402</v>
      </c>
      <c r="G147" s="267">
        <v>18424</v>
      </c>
      <c r="H147" s="267">
        <f t="shared" si="18"/>
        <v>17224.745857927999</v>
      </c>
      <c r="I147" s="267">
        <f t="shared" si="19"/>
        <v>17224.745857927999</v>
      </c>
      <c r="J147" s="270"/>
      <c r="K147" s="270">
        <f t="shared" si="21"/>
        <v>0</v>
      </c>
      <c r="L147" s="270">
        <f t="shared" si="22"/>
        <v>17224.745857927999</v>
      </c>
      <c r="M147" s="268"/>
      <c r="N147" s="1163">
        <v>0.93490804699999996</v>
      </c>
      <c r="P147" s="577"/>
      <c r="Q147" s="586"/>
      <c r="R147" s="583"/>
      <c r="S147" s="577"/>
      <c r="T147" s="577"/>
      <c r="U147" s="642"/>
      <c r="V147" s="583"/>
      <c r="W147" s="641"/>
      <c r="X147" s="583"/>
      <c r="Y147" s="577"/>
      <c r="Z147" s="743"/>
      <c r="AA147" s="642"/>
    </row>
    <row r="148" spans="1:27" ht="18.95" customHeight="1">
      <c r="A148" s="632"/>
      <c r="B148" s="603"/>
      <c r="C148" s="633" t="s">
        <v>2007</v>
      </c>
      <c r="D148" s="633" t="s">
        <v>2008</v>
      </c>
      <c r="E148" s="267">
        <v>1</v>
      </c>
      <c r="F148" s="356" t="s">
        <v>402</v>
      </c>
      <c r="G148" s="267">
        <v>25256</v>
      </c>
      <c r="H148" s="267">
        <f t="shared" si="18"/>
        <v>23612.037635032</v>
      </c>
      <c r="I148" s="267">
        <f t="shared" si="19"/>
        <v>23612.037635032</v>
      </c>
      <c r="J148" s="270"/>
      <c r="K148" s="270">
        <f t="shared" si="21"/>
        <v>0</v>
      </c>
      <c r="L148" s="270">
        <f t="shared" si="22"/>
        <v>23612.037635032</v>
      </c>
      <c r="M148" s="268"/>
      <c r="N148" s="1163">
        <v>0.93490804699999996</v>
      </c>
      <c r="P148" s="577"/>
      <c r="Q148" s="586"/>
      <c r="R148" s="583"/>
      <c r="S148" s="577"/>
      <c r="T148" s="577"/>
      <c r="U148" s="642"/>
      <c r="V148" s="583"/>
      <c r="W148" s="641"/>
      <c r="X148" s="583"/>
      <c r="Y148" s="577"/>
      <c r="Z148" s="743"/>
      <c r="AA148" s="642"/>
    </row>
    <row r="149" spans="1:27" ht="18.95" customHeight="1">
      <c r="A149" s="632"/>
      <c r="B149" s="603"/>
      <c r="C149" s="633" t="s">
        <v>2009</v>
      </c>
      <c r="D149" s="633" t="s">
        <v>1905</v>
      </c>
      <c r="E149" s="267">
        <v>1</v>
      </c>
      <c r="F149" s="356" t="s">
        <v>402</v>
      </c>
      <c r="G149" s="267">
        <v>33600</v>
      </c>
      <c r="H149" s="267">
        <f t="shared" si="18"/>
        <v>31412.910379199999</v>
      </c>
      <c r="I149" s="267">
        <f t="shared" si="19"/>
        <v>31412.910379199999</v>
      </c>
      <c r="J149" s="270"/>
      <c r="K149" s="270">
        <f t="shared" si="21"/>
        <v>0</v>
      </c>
      <c r="L149" s="270">
        <f t="shared" si="22"/>
        <v>31412.910379199999</v>
      </c>
      <c r="M149" s="268"/>
      <c r="N149" s="1163">
        <v>0.93490804699999996</v>
      </c>
      <c r="P149" s="577"/>
      <c r="Q149" s="586"/>
      <c r="R149" s="583"/>
      <c r="S149" s="577"/>
      <c r="T149" s="577"/>
      <c r="U149" s="642"/>
      <c r="V149" s="583"/>
      <c r="W149" s="641"/>
      <c r="X149" s="583"/>
      <c r="Y149" s="577"/>
      <c r="Z149" s="743"/>
      <c r="AA149" s="642"/>
    </row>
    <row r="150" spans="1:27" ht="18.95" customHeight="1">
      <c r="A150" s="632"/>
      <c r="B150" s="603"/>
      <c r="C150" s="633" t="s">
        <v>2010</v>
      </c>
      <c r="D150" s="637" t="s">
        <v>2011</v>
      </c>
      <c r="E150" s="267">
        <v>1</v>
      </c>
      <c r="F150" s="356" t="s">
        <v>402</v>
      </c>
      <c r="G150" s="267">
        <v>88536</v>
      </c>
      <c r="H150" s="267">
        <f t="shared" si="18"/>
        <v>82773.018849191998</v>
      </c>
      <c r="I150" s="267">
        <f t="shared" si="19"/>
        <v>82773.018849191998</v>
      </c>
      <c r="J150" s="270"/>
      <c r="K150" s="270">
        <f t="shared" si="21"/>
        <v>0</v>
      </c>
      <c r="L150" s="270">
        <f t="shared" si="22"/>
        <v>82773.018849191998</v>
      </c>
      <c r="M150" s="268"/>
      <c r="N150" s="1163">
        <v>0.93490804699999996</v>
      </c>
      <c r="P150" s="577"/>
      <c r="Q150" s="586"/>
      <c r="R150" s="583"/>
      <c r="S150" s="577"/>
      <c r="T150" s="577"/>
      <c r="U150" s="642"/>
      <c r="V150" s="583"/>
      <c r="W150" s="641"/>
      <c r="X150" s="583"/>
      <c r="Y150" s="577"/>
      <c r="Z150" s="743"/>
      <c r="AA150" s="642"/>
    </row>
    <row r="151" spans="1:27" ht="18.95" customHeight="1">
      <c r="A151" s="632"/>
      <c r="B151" s="603"/>
      <c r="C151" s="633" t="s">
        <v>2012</v>
      </c>
      <c r="D151" s="633" t="s">
        <v>2013</v>
      </c>
      <c r="E151" s="267">
        <v>1</v>
      </c>
      <c r="F151" s="356" t="s">
        <v>402</v>
      </c>
      <c r="G151" s="267">
        <v>50456</v>
      </c>
      <c r="H151" s="267">
        <f t="shared" si="18"/>
        <v>47171.720419432</v>
      </c>
      <c r="I151" s="267">
        <f t="shared" si="19"/>
        <v>47171.720419432</v>
      </c>
      <c r="J151" s="270"/>
      <c r="K151" s="270">
        <f t="shared" si="21"/>
        <v>0</v>
      </c>
      <c r="L151" s="270">
        <f t="shared" si="22"/>
        <v>47171.720419432</v>
      </c>
      <c r="M151" s="268"/>
      <c r="N151" s="1163">
        <v>0.93490804699999996</v>
      </c>
      <c r="P151" s="577"/>
      <c r="Q151" s="586"/>
      <c r="R151" s="583"/>
      <c r="S151" s="577"/>
      <c r="T151" s="577"/>
      <c r="U151" s="642"/>
      <c r="V151" s="583"/>
      <c r="W151" s="641"/>
      <c r="X151" s="583"/>
      <c r="Y151" s="577"/>
      <c r="Z151" s="743"/>
      <c r="AA151" s="642"/>
    </row>
    <row r="152" spans="1:27" ht="18.95" customHeight="1">
      <c r="A152" s="632"/>
      <c r="B152" s="603"/>
      <c r="C152" s="633" t="s">
        <v>2014</v>
      </c>
      <c r="D152" s="633" t="s">
        <v>2015</v>
      </c>
      <c r="E152" s="267">
        <v>1</v>
      </c>
      <c r="F152" s="356" t="s">
        <v>402</v>
      </c>
      <c r="G152" s="267">
        <v>88536</v>
      </c>
      <c r="H152" s="267">
        <f t="shared" si="18"/>
        <v>82773.018849191998</v>
      </c>
      <c r="I152" s="267">
        <f t="shared" si="19"/>
        <v>82773.018849191998</v>
      </c>
      <c r="J152" s="270"/>
      <c r="K152" s="270">
        <f t="shared" si="21"/>
        <v>0</v>
      </c>
      <c r="L152" s="270">
        <f t="shared" si="22"/>
        <v>82773.018849191998</v>
      </c>
      <c r="M152" s="268"/>
      <c r="N152" s="1163">
        <v>0.93490804699999996</v>
      </c>
      <c r="P152" s="577"/>
      <c r="Q152" s="586"/>
      <c r="R152" s="583"/>
      <c r="S152" s="577"/>
      <c r="T152" s="577"/>
      <c r="U152" s="642"/>
      <c r="V152" s="583"/>
      <c r="W152" s="641"/>
      <c r="X152" s="583"/>
      <c r="Y152" s="577"/>
      <c r="Z152" s="743"/>
      <c r="AA152" s="642"/>
    </row>
    <row r="153" spans="1:27" ht="18.95" customHeight="1">
      <c r="A153" s="632"/>
      <c r="B153" s="603"/>
      <c r="C153" s="633" t="s">
        <v>2016</v>
      </c>
      <c r="D153" s="633" t="s">
        <v>2017</v>
      </c>
      <c r="E153" s="267">
        <v>1</v>
      </c>
      <c r="F153" s="356" t="s">
        <v>402</v>
      </c>
      <c r="G153" s="267">
        <v>83496</v>
      </c>
      <c r="H153" s="267">
        <f t="shared" si="18"/>
        <v>78061.082292311999</v>
      </c>
      <c r="I153" s="267">
        <f t="shared" si="19"/>
        <v>78061.082292311999</v>
      </c>
      <c r="J153" s="270"/>
      <c r="K153" s="270">
        <f t="shared" si="21"/>
        <v>0</v>
      </c>
      <c r="L153" s="270">
        <f t="shared" si="22"/>
        <v>78061.082292311999</v>
      </c>
      <c r="M153" s="268"/>
      <c r="N153" s="1163">
        <v>0.93490804699999996</v>
      </c>
      <c r="P153" s="577"/>
      <c r="Q153" s="586"/>
      <c r="R153" s="583"/>
      <c r="S153" s="577"/>
      <c r="T153" s="577"/>
      <c r="U153" s="642"/>
      <c r="V153" s="583"/>
      <c r="W153" s="641"/>
      <c r="X153" s="583"/>
      <c r="Y153" s="577"/>
      <c r="Z153" s="743"/>
      <c r="AA153" s="642"/>
    </row>
    <row r="154" spans="1:27" ht="18.95" customHeight="1">
      <c r="A154" s="632"/>
      <c r="B154" s="638" t="s">
        <v>2018</v>
      </c>
      <c r="C154" s="633"/>
      <c r="D154" s="165"/>
      <c r="E154" s="267"/>
      <c r="F154" s="356"/>
      <c r="G154" s="270"/>
      <c r="H154" s="267"/>
      <c r="I154" s="267"/>
      <c r="J154" s="267"/>
      <c r="K154" s="270"/>
      <c r="L154" s="268"/>
      <c r="M154" s="268"/>
      <c r="N154" s="1163">
        <v>0.93490804699999996</v>
      </c>
      <c r="P154" s="583"/>
      <c r="Q154" s="586"/>
      <c r="R154" s="583"/>
      <c r="S154" s="577"/>
      <c r="T154" s="577"/>
      <c r="U154" s="642"/>
      <c r="V154" s="583"/>
      <c r="W154" s="641"/>
      <c r="X154" s="583"/>
      <c r="Y154" s="577"/>
      <c r="Z154" s="743"/>
      <c r="AA154" s="642"/>
    </row>
    <row r="155" spans="1:27" ht="18.95" customHeight="1">
      <c r="A155" s="632"/>
      <c r="B155" s="603"/>
      <c r="C155" s="633" t="s">
        <v>2019</v>
      </c>
      <c r="D155" s="633" t="s">
        <v>2020</v>
      </c>
      <c r="E155" s="267">
        <v>1</v>
      </c>
      <c r="F155" s="356" t="s">
        <v>402</v>
      </c>
      <c r="G155" s="267">
        <v>420560</v>
      </c>
      <c r="H155" s="267">
        <f t="shared" si="18"/>
        <v>393184.92824631999</v>
      </c>
      <c r="I155" s="267">
        <f t="shared" si="19"/>
        <v>393184.92824631999</v>
      </c>
      <c r="J155" s="270"/>
      <c r="K155" s="270">
        <f t="shared" ref="K155:K166" si="23">ROUNDDOWN(E155*J155,2)</f>
        <v>0</v>
      </c>
      <c r="L155" s="270">
        <f t="shared" ref="L155:L166" si="24">I155+K155</f>
        <v>393184.92824631999</v>
      </c>
      <c r="M155" s="268"/>
      <c r="N155" s="1163">
        <v>0.93490804699999996</v>
      </c>
      <c r="P155" s="577"/>
      <c r="Q155" s="586"/>
      <c r="R155" s="583"/>
      <c r="S155" s="577"/>
      <c r="T155" s="577"/>
      <c r="U155" s="642"/>
      <c r="V155" s="583"/>
      <c r="W155" s="641"/>
      <c r="X155" s="583"/>
      <c r="Y155" s="577"/>
      <c r="Z155" s="743"/>
      <c r="AA155" s="642"/>
    </row>
    <row r="156" spans="1:27" ht="18.95" customHeight="1">
      <c r="A156" s="632"/>
      <c r="B156" s="603"/>
      <c r="C156" s="633" t="s">
        <v>2021</v>
      </c>
      <c r="D156" s="633" t="s">
        <v>2022</v>
      </c>
      <c r="E156" s="267">
        <v>1</v>
      </c>
      <c r="F156" s="356" t="s">
        <v>402</v>
      </c>
      <c r="G156" s="267">
        <v>420560</v>
      </c>
      <c r="H156" s="267">
        <f t="shared" si="18"/>
        <v>393184.92824631999</v>
      </c>
      <c r="I156" s="267">
        <f t="shared" si="19"/>
        <v>393184.92824631999</v>
      </c>
      <c r="J156" s="270"/>
      <c r="K156" s="270">
        <f t="shared" si="23"/>
        <v>0</v>
      </c>
      <c r="L156" s="270">
        <f t="shared" si="24"/>
        <v>393184.92824631999</v>
      </c>
      <c r="M156" s="268"/>
      <c r="N156" s="1163">
        <v>0.93490804699999996</v>
      </c>
      <c r="P156" s="577"/>
      <c r="Q156" s="586"/>
      <c r="R156" s="583"/>
      <c r="S156" s="577"/>
      <c r="T156" s="577"/>
      <c r="U156" s="642"/>
      <c r="V156" s="583"/>
      <c r="W156" s="641"/>
      <c r="X156" s="583"/>
      <c r="Y156" s="577"/>
      <c r="Z156" s="743"/>
      <c r="AA156" s="642"/>
    </row>
    <row r="157" spans="1:27" ht="18.95" customHeight="1">
      <c r="A157" s="632"/>
      <c r="B157" s="603"/>
      <c r="C157" s="633" t="s">
        <v>2023</v>
      </c>
      <c r="D157" s="633" t="s">
        <v>2024</v>
      </c>
      <c r="E157" s="267">
        <v>1</v>
      </c>
      <c r="F157" s="356" t="s">
        <v>402</v>
      </c>
      <c r="G157" s="267">
        <v>610960</v>
      </c>
      <c r="H157" s="267">
        <f t="shared" si="18"/>
        <v>571191.42039511993</v>
      </c>
      <c r="I157" s="267">
        <f t="shared" si="19"/>
        <v>571191.42039511993</v>
      </c>
      <c r="J157" s="270"/>
      <c r="K157" s="270">
        <f t="shared" si="23"/>
        <v>0</v>
      </c>
      <c r="L157" s="270">
        <f t="shared" si="24"/>
        <v>571191.42039511993</v>
      </c>
      <c r="M157" s="268"/>
      <c r="N157" s="1163">
        <v>0.93490804699999996</v>
      </c>
      <c r="P157" s="577"/>
      <c r="Q157" s="586"/>
      <c r="R157" s="583"/>
      <c r="S157" s="577"/>
      <c r="T157" s="577"/>
      <c r="U157" s="642"/>
      <c r="V157" s="583"/>
      <c r="W157" s="641"/>
      <c r="X157" s="583"/>
      <c r="Y157" s="577"/>
      <c r="Z157" s="743"/>
      <c r="AA157" s="642"/>
    </row>
    <row r="158" spans="1:27" ht="18.95" customHeight="1">
      <c r="A158" s="632"/>
      <c r="B158" s="603"/>
      <c r="C158" s="633" t="s">
        <v>2025</v>
      </c>
      <c r="D158" s="633" t="s">
        <v>2026</v>
      </c>
      <c r="E158" s="267">
        <v>1</v>
      </c>
      <c r="F158" s="356" t="s">
        <v>402</v>
      </c>
      <c r="G158" s="267">
        <v>704480</v>
      </c>
      <c r="H158" s="267">
        <f t="shared" si="18"/>
        <v>658624.02095055999</v>
      </c>
      <c r="I158" s="267">
        <f t="shared" si="19"/>
        <v>658624.02095055999</v>
      </c>
      <c r="J158" s="270"/>
      <c r="K158" s="270">
        <f t="shared" si="23"/>
        <v>0</v>
      </c>
      <c r="L158" s="270">
        <f t="shared" si="24"/>
        <v>658624.02095055999</v>
      </c>
      <c r="M158" s="268"/>
      <c r="N158" s="1163">
        <v>0.93490804699999996</v>
      </c>
      <c r="P158" s="577"/>
      <c r="Q158" s="586"/>
      <c r="R158" s="583"/>
      <c r="S158" s="577"/>
      <c r="T158" s="577"/>
      <c r="U158" s="642"/>
      <c r="V158" s="583"/>
      <c r="W158" s="641"/>
      <c r="X158" s="583"/>
      <c r="Y158" s="577"/>
      <c r="Z158" s="743"/>
      <c r="AA158" s="642"/>
    </row>
    <row r="159" spans="1:27" ht="18.95" customHeight="1">
      <c r="A159" s="632"/>
      <c r="B159" s="603"/>
      <c r="C159" s="633" t="s">
        <v>2027</v>
      </c>
      <c r="D159" s="633" t="s">
        <v>2028</v>
      </c>
      <c r="E159" s="267">
        <v>1</v>
      </c>
      <c r="F159" s="356" t="s">
        <v>402</v>
      </c>
      <c r="G159" s="267">
        <v>636720</v>
      </c>
      <c r="H159" s="267">
        <f t="shared" si="18"/>
        <v>595274.65168583998</v>
      </c>
      <c r="I159" s="267">
        <f t="shared" si="19"/>
        <v>595274.65168583998</v>
      </c>
      <c r="J159" s="270"/>
      <c r="K159" s="270">
        <f t="shared" si="23"/>
        <v>0</v>
      </c>
      <c r="L159" s="270">
        <f t="shared" si="24"/>
        <v>595274.65168583998</v>
      </c>
      <c r="M159" s="268"/>
      <c r="N159" s="1163">
        <v>0.93490804699999996</v>
      </c>
      <c r="P159" s="577"/>
      <c r="Q159" s="586"/>
      <c r="R159" s="583"/>
      <c r="S159" s="577"/>
      <c r="T159" s="577"/>
      <c r="U159" s="642"/>
      <c r="V159" s="583"/>
      <c r="W159" s="641"/>
      <c r="X159" s="583"/>
      <c r="Y159" s="577"/>
      <c r="Z159" s="743"/>
      <c r="AA159" s="642"/>
    </row>
    <row r="160" spans="1:27" ht="18.95" customHeight="1">
      <c r="A160" s="632"/>
      <c r="B160" s="603"/>
      <c r="C160" s="633" t="s">
        <v>2029</v>
      </c>
      <c r="D160" s="633" t="s">
        <v>2030</v>
      </c>
      <c r="E160" s="267">
        <v>1</v>
      </c>
      <c r="F160" s="356" t="s">
        <v>402</v>
      </c>
      <c r="G160" s="267">
        <v>547120</v>
      </c>
      <c r="H160" s="267">
        <f t="shared" si="18"/>
        <v>511506.89067463996</v>
      </c>
      <c r="I160" s="267">
        <f t="shared" si="19"/>
        <v>511506.89067463996</v>
      </c>
      <c r="J160" s="270"/>
      <c r="K160" s="270">
        <f t="shared" si="23"/>
        <v>0</v>
      </c>
      <c r="L160" s="270">
        <f t="shared" si="24"/>
        <v>511506.89067463996</v>
      </c>
      <c r="M160" s="268"/>
      <c r="N160" s="1163">
        <v>0.93490804699999996</v>
      </c>
      <c r="P160" s="577"/>
      <c r="Q160" s="586"/>
      <c r="R160" s="583"/>
      <c r="S160" s="577"/>
      <c r="T160" s="577"/>
      <c r="U160" s="642"/>
      <c r="V160" s="583"/>
      <c r="W160" s="641"/>
      <c r="X160" s="583"/>
      <c r="Y160" s="577"/>
      <c r="Z160" s="743"/>
      <c r="AA160" s="642"/>
    </row>
    <row r="161" spans="1:27" ht="18.95" customHeight="1">
      <c r="A161" s="632"/>
      <c r="B161" s="603"/>
      <c r="C161" s="633" t="s">
        <v>2031</v>
      </c>
      <c r="D161" s="633" t="s">
        <v>2032</v>
      </c>
      <c r="E161" s="267">
        <v>1</v>
      </c>
      <c r="F161" s="356" t="s">
        <v>402</v>
      </c>
      <c r="G161" s="267">
        <v>148400</v>
      </c>
      <c r="H161" s="267">
        <f t="shared" si="18"/>
        <v>138740.35417479998</v>
      </c>
      <c r="I161" s="267">
        <f t="shared" si="19"/>
        <v>138740.35417479998</v>
      </c>
      <c r="J161" s="270"/>
      <c r="K161" s="270">
        <f t="shared" si="23"/>
        <v>0</v>
      </c>
      <c r="L161" s="270">
        <f t="shared" si="24"/>
        <v>138740.35417479998</v>
      </c>
      <c r="M161" s="268"/>
      <c r="N161" s="1163">
        <v>0.93490804699999996</v>
      </c>
      <c r="P161" s="577"/>
      <c r="Q161" s="586"/>
      <c r="R161" s="583"/>
      <c r="S161" s="577"/>
      <c r="T161" s="577"/>
      <c r="U161" s="642"/>
      <c r="V161" s="583"/>
      <c r="W161" s="641"/>
      <c r="X161" s="583"/>
      <c r="Y161" s="577"/>
      <c r="Z161" s="743"/>
      <c r="AA161" s="642"/>
    </row>
    <row r="162" spans="1:27" ht="18.95" customHeight="1">
      <c r="A162" s="632"/>
      <c r="B162" s="603"/>
      <c r="C162" s="633" t="s">
        <v>2033</v>
      </c>
      <c r="D162" s="633" t="s">
        <v>2034</v>
      </c>
      <c r="E162" s="267">
        <v>1</v>
      </c>
      <c r="F162" s="356" t="s">
        <v>402</v>
      </c>
      <c r="G162" s="267">
        <v>356720</v>
      </c>
      <c r="H162" s="267">
        <f t="shared" si="18"/>
        <v>333500.39852583996</v>
      </c>
      <c r="I162" s="267">
        <f t="shared" si="19"/>
        <v>333500.39852583996</v>
      </c>
      <c r="J162" s="270"/>
      <c r="K162" s="270">
        <f t="shared" si="23"/>
        <v>0</v>
      </c>
      <c r="L162" s="270">
        <f t="shared" si="24"/>
        <v>333500.39852583996</v>
      </c>
      <c r="M162" s="268"/>
      <c r="N162" s="1163">
        <v>0.93490804699999996</v>
      </c>
      <c r="P162" s="577"/>
      <c r="Q162" s="586"/>
      <c r="R162" s="583"/>
      <c r="S162" s="577"/>
      <c r="T162" s="577"/>
      <c r="U162" s="642"/>
      <c r="V162" s="583"/>
      <c r="W162" s="641"/>
      <c r="X162" s="583"/>
      <c r="Y162" s="577"/>
      <c r="Z162" s="743"/>
      <c r="AA162" s="642"/>
    </row>
    <row r="163" spans="1:27" ht="18.95" customHeight="1">
      <c r="A163" s="632"/>
      <c r="B163" s="603"/>
      <c r="C163" s="633" t="s">
        <v>2035</v>
      </c>
      <c r="D163" s="633" t="s">
        <v>2036</v>
      </c>
      <c r="E163" s="267">
        <v>1</v>
      </c>
      <c r="F163" s="356" t="s">
        <v>402</v>
      </c>
      <c r="G163" s="267">
        <v>301280</v>
      </c>
      <c r="H163" s="267">
        <f t="shared" si="18"/>
        <v>281669.09640015999</v>
      </c>
      <c r="I163" s="267">
        <f t="shared" si="19"/>
        <v>281669.09640015999</v>
      </c>
      <c r="J163" s="270"/>
      <c r="K163" s="270">
        <f t="shared" si="23"/>
        <v>0</v>
      </c>
      <c r="L163" s="270">
        <f t="shared" si="24"/>
        <v>281669.09640015999</v>
      </c>
      <c r="M163" s="268"/>
      <c r="N163" s="1163">
        <v>0.93490804699999996</v>
      </c>
      <c r="P163" s="577"/>
      <c r="Q163" s="586"/>
      <c r="R163" s="583"/>
      <c r="S163" s="577"/>
      <c r="T163" s="577"/>
      <c r="U163" s="642"/>
      <c r="V163" s="583"/>
      <c r="W163" s="641"/>
      <c r="X163" s="583"/>
      <c r="Y163" s="577"/>
      <c r="Z163" s="743"/>
      <c r="AA163" s="642"/>
    </row>
    <row r="164" spans="1:27" ht="18.95" customHeight="1">
      <c r="A164" s="632"/>
      <c r="B164" s="603"/>
      <c r="C164" s="633" t="s">
        <v>2037</v>
      </c>
      <c r="D164" s="633" t="s">
        <v>2038</v>
      </c>
      <c r="E164" s="267">
        <v>1</v>
      </c>
      <c r="F164" s="356" t="s">
        <v>402</v>
      </c>
      <c r="G164" s="267">
        <v>203840</v>
      </c>
      <c r="H164" s="267">
        <f t="shared" si="18"/>
        <v>190571.65630047998</v>
      </c>
      <c r="I164" s="267">
        <f t="shared" si="19"/>
        <v>190571.65630047998</v>
      </c>
      <c r="J164" s="270"/>
      <c r="K164" s="270">
        <f t="shared" si="23"/>
        <v>0</v>
      </c>
      <c r="L164" s="270">
        <f t="shared" si="24"/>
        <v>190571.65630047998</v>
      </c>
      <c r="M164" s="268"/>
      <c r="N164" s="1163">
        <v>0.93490804699999996</v>
      </c>
      <c r="P164" s="577"/>
      <c r="Q164" s="586"/>
      <c r="R164" s="583"/>
      <c r="S164" s="577"/>
      <c r="T164" s="577"/>
      <c r="U164" s="642"/>
      <c r="V164" s="583"/>
      <c r="W164" s="641"/>
      <c r="X164" s="583"/>
      <c r="Y164" s="577"/>
      <c r="Z164" s="743"/>
      <c r="AA164" s="642"/>
    </row>
    <row r="165" spans="1:27" ht="18.95" customHeight="1">
      <c r="A165" s="632"/>
      <c r="B165" s="603"/>
      <c r="C165" s="633" t="s">
        <v>2039</v>
      </c>
      <c r="D165" s="633" t="s">
        <v>2040</v>
      </c>
      <c r="E165" s="267">
        <v>1</v>
      </c>
      <c r="F165" s="356" t="s">
        <v>402</v>
      </c>
      <c r="G165" s="267">
        <v>212240</v>
      </c>
      <c r="H165" s="267">
        <f t="shared" si="18"/>
        <v>198424.88389527999</v>
      </c>
      <c r="I165" s="267">
        <f t="shared" si="19"/>
        <v>198424.88389527999</v>
      </c>
      <c r="J165" s="270"/>
      <c r="K165" s="270">
        <f t="shared" si="23"/>
        <v>0</v>
      </c>
      <c r="L165" s="270">
        <f t="shared" si="24"/>
        <v>198424.88389527999</v>
      </c>
      <c r="M165" s="268"/>
      <c r="N165" s="1163">
        <v>0.93490804699999996</v>
      </c>
      <c r="P165" s="577"/>
      <c r="Q165" s="586"/>
      <c r="R165" s="583"/>
      <c r="S165" s="577"/>
      <c r="T165" s="577"/>
      <c r="U165" s="642"/>
      <c r="V165" s="583"/>
      <c r="W165" s="641"/>
      <c r="X165" s="583"/>
      <c r="Y165" s="577"/>
      <c r="Z165" s="743"/>
      <c r="AA165" s="642"/>
    </row>
    <row r="166" spans="1:27" ht="18.95" customHeight="1">
      <c r="A166" s="632"/>
      <c r="B166" s="603"/>
      <c r="C166" s="633" t="s">
        <v>2245</v>
      </c>
      <c r="D166" s="633"/>
      <c r="E166" s="267">
        <v>1</v>
      </c>
      <c r="F166" s="356" t="s">
        <v>402</v>
      </c>
      <c r="G166" s="267">
        <v>22000</v>
      </c>
      <c r="H166" s="267">
        <f t="shared" si="18"/>
        <v>20567.977034</v>
      </c>
      <c r="I166" s="267">
        <f t="shared" si="19"/>
        <v>20567.977034</v>
      </c>
      <c r="J166" s="270"/>
      <c r="K166" s="270">
        <f t="shared" si="23"/>
        <v>0</v>
      </c>
      <c r="L166" s="270">
        <f t="shared" si="24"/>
        <v>20567.977034</v>
      </c>
      <c r="M166" s="268"/>
      <c r="N166" s="1163">
        <v>0.93490804699999996</v>
      </c>
      <c r="P166" s="583"/>
      <c r="Q166" s="641"/>
      <c r="R166" s="583"/>
      <c r="S166" s="583"/>
      <c r="T166" s="583"/>
      <c r="U166" s="583"/>
      <c r="V166" s="583"/>
      <c r="W166" s="641"/>
      <c r="X166" s="583"/>
      <c r="Y166" s="583"/>
      <c r="Z166" s="583"/>
      <c r="AA166" s="583"/>
    </row>
    <row r="167" spans="1:27" s="116" customFormat="1" ht="18.95" customHeight="1">
      <c r="A167" s="744"/>
      <c r="B167" s="1318" t="s">
        <v>2246</v>
      </c>
      <c r="C167" s="1319"/>
      <c r="D167" s="1320"/>
      <c r="E167" s="286"/>
      <c r="F167" s="574"/>
      <c r="G167" s="286"/>
      <c r="H167" s="286"/>
      <c r="I167" s="286"/>
      <c r="J167" s="572"/>
      <c r="K167" s="572"/>
      <c r="L167" s="359">
        <f>SUM(L41:L166)</f>
        <v>8071382.7781191645</v>
      </c>
      <c r="M167" s="359"/>
      <c r="N167" s="977"/>
      <c r="P167" s="745"/>
      <c r="Q167" s="746"/>
      <c r="R167" s="745"/>
      <c r="S167" s="745"/>
      <c r="T167" s="745"/>
      <c r="U167" s="745"/>
      <c r="V167" s="745"/>
      <c r="W167" s="746"/>
      <c r="X167" s="745"/>
      <c r="Y167" s="745"/>
      <c r="Z167" s="745"/>
      <c r="AA167" s="745"/>
    </row>
  </sheetData>
  <mergeCells count="32">
    <mergeCell ref="B167:D167"/>
    <mergeCell ref="A1:C1"/>
    <mergeCell ref="K1:L1"/>
    <mergeCell ref="A2:C2"/>
    <mergeCell ref="A3:C3"/>
    <mergeCell ref="A5:A6"/>
    <mergeCell ref="B5:D6"/>
    <mergeCell ref="E5:E6"/>
    <mergeCell ref="F5:F6"/>
    <mergeCell ref="G5:I5"/>
    <mergeCell ref="J5:K5"/>
    <mergeCell ref="D1:I1"/>
    <mergeCell ref="M5:M6"/>
    <mergeCell ref="B14:D14"/>
    <mergeCell ref="B18:D18"/>
    <mergeCell ref="B33:D33"/>
    <mergeCell ref="B37:D37"/>
    <mergeCell ref="P5:P8"/>
    <mergeCell ref="Q5:U5"/>
    <mergeCell ref="W5:AA5"/>
    <mergeCell ref="Q6:R6"/>
    <mergeCell ref="S6:S8"/>
    <mergeCell ref="T6:T8"/>
    <mergeCell ref="U6:U8"/>
    <mergeCell ref="W6:X6"/>
    <mergeCell ref="Y6:Y8"/>
    <mergeCell ref="Z6:Z8"/>
    <mergeCell ref="AA6:AA8"/>
    <mergeCell ref="Q7:Q8"/>
    <mergeCell ref="R7:R8"/>
    <mergeCell ref="W7:W8"/>
    <mergeCell ref="X7:X8"/>
  </mergeCells>
  <printOptions horizontalCentered="1"/>
  <pageMargins left="0.39370078740157499" right="0.39370078740157499" top="0.84" bottom="0.31" header="0.51" footer="0"/>
  <pageSetup paperSize="9" scale="83" fitToHeight="1000" orientation="landscape" useFirstPageNumber="1" r:id="rId1"/>
  <headerFooter alignWithMargins="0">
    <oddHeader xml:space="preserve">&amp;C&amp;"Cordia New,Regular"&amp;14แบบแสดงรายการ ปริมาณงาน และราคา&amp;R&amp;"Cordia New,Regular"&amp;14แบบปร.4(ข) แผ่นที่ &amp;P/30    </oddHeader>
  </headerFooter>
  <rowBreaks count="2" manualBreakCount="2">
    <brk id="30" max="11" man="1"/>
    <brk id="153" max="1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O350"/>
  <sheetViews>
    <sheetView view="pageBreakPreview" topLeftCell="C6" zoomScaleNormal="100" zoomScaleSheetLayoutView="100" workbookViewId="0">
      <selection activeCell="Q27" sqref="Q27"/>
    </sheetView>
  </sheetViews>
  <sheetFormatPr defaultColWidth="10.42578125" defaultRowHeight="18.95" customHeight="1"/>
  <cols>
    <col min="1" max="1" width="6.7109375" style="250" customWidth="1"/>
    <col min="2" max="2" width="10.140625" style="407" customWidth="1"/>
    <col min="3" max="3" width="35.7109375" style="407" customWidth="1"/>
    <col min="4" max="4" width="31.140625" style="250" customWidth="1"/>
    <col min="5" max="5" width="11.42578125" style="293" customWidth="1"/>
    <col min="6" max="6" width="9.5703125" style="293" customWidth="1"/>
    <col min="7" max="7" width="15.7109375" style="293" hidden="1" customWidth="1"/>
    <col min="8" max="8" width="14.85546875" style="293" customWidth="1"/>
    <col min="9" max="9" width="15.7109375" style="293" customWidth="1"/>
    <col min="10" max="10" width="13.85546875" style="293" customWidth="1"/>
    <col min="11" max="11" width="14.85546875" style="293" customWidth="1"/>
    <col min="12" max="12" width="15.7109375" style="293" customWidth="1"/>
    <col min="13" max="13" width="16.7109375" style="293" customWidth="1"/>
    <col min="14" max="15" width="13.85546875" style="250" bestFit="1" customWidth="1"/>
    <col min="16" max="16384" width="10.42578125" style="250"/>
  </cols>
  <sheetData>
    <row r="1" spans="1:15" s="116" customFormat="1" ht="18.95" customHeight="1">
      <c r="A1" s="1368" t="s">
        <v>1168</v>
      </c>
      <c r="B1" s="1368"/>
      <c r="C1" s="1368"/>
      <c r="D1" s="1425" t="e">
        <f>+'แบบ ปร.5(ข)'!C4</f>
        <v>#REF!</v>
      </c>
      <c r="E1" s="1425"/>
      <c r="F1" s="1425"/>
      <c r="G1" s="1425"/>
      <c r="H1" s="1425"/>
      <c r="I1" s="1425"/>
      <c r="J1" s="255" t="s">
        <v>1169</v>
      </c>
      <c r="K1" s="1434" t="s">
        <v>2247</v>
      </c>
      <c r="L1" s="1434"/>
      <c r="M1" s="253"/>
    </row>
    <row r="2" spans="1:15" s="116" customFormat="1" ht="18.95" customHeight="1">
      <c r="A2" s="1369" t="s">
        <v>4</v>
      </c>
      <c r="B2" s="1369"/>
      <c r="C2" s="1369"/>
      <c r="D2" s="115" t="e">
        <f>+'แบบ ปร.5(ข)'!C5</f>
        <v>#REF!</v>
      </c>
      <c r="E2" s="256"/>
      <c r="F2" s="256"/>
      <c r="G2" s="256"/>
      <c r="H2" s="256"/>
      <c r="I2" s="256"/>
      <c r="J2" s="257" t="s">
        <v>1171</v>
      </c>
      <c r="K2" s="258" t="e">
        <f>+'RC2_ปร.5 (ก)'!#REF!</f>
        <v>#REF!</v>
      </c>
      <c r="L2" s="259"/>
      <c r="M2" s="256"/>
    </row>
    <row r="3" spans="1:15" s="116" customFormat="1" ht="18.95" customHeight="1">
      <c r="A3" s="1369" t="s">
        <v>1172</v>
      </c>
      <c r="B3" s="1369"/>
      <c r="C3" s="1369"/>
      <c r="D3" s="115" t="e">
        <f>+'RC2_ปร.5 (ก)'!#REF!</f>
        <v>#REF!</v>
      </c>
      <c r="E3" s="256"/>
      <c r="F3" s="256"/>
      <c r="G3" s="256"/>
      <c r="H3" s="256"/>
      <c r="I3" s="257"/>
      <c r="J3" s="257"/>
      <c r="K3" s="258"/>
      <c r="L3" s="256"/>
      <c r="M3" s="256"/>
    </row>
    <row r="4" spans="1:15" s="116" customFormat="1" ht="18.95" customHeight="1">
      <c r="B4" s="306"/>
      <c r="C4" s="306"/>
      <c r="E4" s="260"/>
      <c r="F4" s="260"/>
      <c r="G4" s="260"/>
      <c r="H4" s="260"/>
      <c r="I4" s="260"/>
      <c r="J4" s="260"/>
      <c r="K4" s="260"/>
      <c r="L4" s="260"/>
      <c r="M4" s="260"/>
    </row>
    <row r="5" spans="1:15" ht="18.95" customHeight="1">
      <c r="A5" s="1360" t="s">
        <v>1007</v>
      </c>
      <c r="B5" s="1370" t="s">
        <v>17</v>
      </c>
      <c r="C5" s="1371"/>
      <c r="D5" s="1372"/>
      <c r="E5" s="1409" t="s">
        <v>1173</v>
      </c>
      <c r="F5" s="1409" t="s">
        <v>1174</v>
      </c>
      <c r="G5" s="1406" t="s">
        <v>1008</v>
      </c>
      <c r="H5" s="1407"/>
      <c r="I5" s="1408"/>
      <c r="J5" s="1406" t="s">
        <v>1010</v>
      </c>
      <c r="K5" s="1408"/>
      <c r="L5" s="261" t="s">
        <v>1175</v>
      </c>
      <c r="M5" s="1409" t="s">
        <v>19</v>
      </c>
    </row>
    <row r="6" spans="1:15" ht="18.95" customHeight="1">
      <c r="A6" s="1361"/>
      <c r="B6" s="1373"/>
      <c r="C6" s="1374"/>
      <c r="D6" s="1375"/>
      <c r="E6" s="1410"/>
      <c r="F6" s="1410"/>
      <c r="G6" s="262" t="s">
        <v>203</v>
      </c>
      <c r="H6" s="262" t="s">
        <v>203</v>
      </c>
      <c r="I6" s="262" t="s">
        <v>1176</v>
      </c>
      <c r="J6" s="262" t="s">
        <v>203</v>
      </c>
      <c r="K6" s="262" t="s">
        <v>1176</v>
      </c>
      <c r="L6" s="262" t="s">
        <v>1177</v>
      </c>
      <c r="M6" s="1410"/>
    </row>
    <row r="7" spans="1:15" ht="18.95" customHeight="1">
      <c r="A7" s="312"/>
      <c r="B7" s="313" t="s">
        <v>2248</v>
      </c>
      <c r="C7" s="313"/>
      <c r="D7" s="197"/>
      <c r="E7" s="263"/>
      <c r="F7" s="264"/>
      <c r="G7" s="263"/>
      <c r="H7" s="263"/>
      <c r="I7" s="263"/>
      <c r="J7" s="265"/>
      <c r="K7" s="266"/>
      <c r="L7" s="264"/>
      <c r="M7" s="264"/>
    </row>
    <row r="8" spans="1:15" ht="18.95" customHeight="1">
      <c r="A8" s="314"/>
      <c r="B8" s="315" t="s">
        <v>22</v>
      </c>
      <c r="C8" s="316"/>
      <c r="D8" s="167"/>
      <c r="E8" s="267"/>
      <c r="F8" s="268"/>
      <c r="G8" s="267"/>
      <c r="H8" s="267"/>
      <c r="I8" s="267"/>
      <c r="J8" s="269"/>
      <c r="K8" s="269"/>
      <c r="L8" s="270"/>
      <c r="M8" s="268"/>
    </row>
    <row r="9" spans="1:15" ht="18.95" customHeight="1">
      <c r="A9" s="314"/>
      <c r="B9" s="317"/>
      <c r="C9" s="318"/>
      <c r="D9" s="167"/>
      <c r="E9" s="267"/>
      <c r="F9" s="268"/>
      <c r="G9" s="267"/>
      <c r="H9" s="267"/>
      <c r="I9" s="267"/>
      <c r="J9" s="269"/>
      <c r="K9" s="269"/>
      <c r="L9" s="270"/>
      <c r="M9" s="268"/>
    </row>
    <row r="10" spans="1:15" ht="18.95" customHeight="1">
      <c r="A10" s="314">
        <v>1</v>
      </c>
      <c r="B10" s="319" t="s">
        <v>2249</v>
      </c>
      <c r="C10" s="318"/>
      <c r="D10" s="167"/>
      <c r="E10" s="267"/>
      <c r="F10" s="268"/>
      <c r="G10" s="267"/>
      <c r="H10" s="267"/>
      <c r="I10" s="267"/>
      <c r="J10" s="269"/>
      <c r="K10" s="269"/>
      <c r="L10" s="270">
        <f>L69</f>
        <v>1136203.0985995699</v>
      </c>
      <c r="M10" s="268"/>
      <c r="N10" s="293">
        <f>O10*0.934908047</f>
        <v>1136203.0985995699</v>
      </c>
      <c r="O10" s="293">
        <v>1215310</v>
      </c>
    </row>
    <row r="11" spans="1:15" ht="18.95" customHeight="1">
      <c r="A11" s="314">
        <v>2</v>
      </c>
      <c r="B11" s="319" t="s">
        <v>2250</v>
      </c>
      <c r="C11" s="318"/>
      <c r="D11" s="167"/>
      <c r="E11" s="267"/>
      <c r="F11" s="268"/>
      <c r="G11" s="267"/>
      <c r="H11" s="267"/>
      <c r="I11" s="267"/>
      <c r="J11" s="269"/>
      <c r="K11" s="269"/>
      <c r="L11" s="270">
        <f>L85</f>
        <v>919098.75192522991</v>
      </c>
      <c r="M11" s="268"/>
      <c r="N11" s="293">
        <f t="shared" ref="N11:N16" si="0">O11*0.934908047</f>
        <v>919098.75192522991</v>
      </c>
      <c r="O11" s="293">
        <v>983090</v>
      </c>
    </row>
    <row r="12" spans="1:15" ht="18.95" customHeight="1">
      <c r="A12" s="314">
        <v>3</v>
      </c>
      <c r="B12" s="319" t="s">
        <v>2251</v>
      </c>
      <c r="C12" s="318"/>
      <c r="D12" s="167"/>
      <c r="E12" s="267"/>
      <c r="F12" s="268"/>
      <c r="G12" s="267"/>
      <c r="H12" s="267"/>
      <c r="I12" s="267"/>
      <c r="J12" s="269"/>
      <c r="K12" s="269"/>
      <c r="L12" s="270">
        <f>L183</f>
        <v>4972608.0859985603</v>
      </c>
      <c r="M12" s="268"/>
      <c r="N12" s="293">
        <f t="shared" si="0"/>
        <v>4972608.0859985631</v>
      </c>
      <c r="O12" s="293">
        <v>5318820.5</v>
      </c>
    </row>
    <row r="13" spans="1:15" ht="18.95" customHeight="1">
      <c r="A13" s="314">
        <v>4</v>
      </c>
      <c r="B13" s="319" t="s">
        <v>2252</v>
      </c>
      <c r="C13" s="318"/>
      <c r="D13" s="167"/>
      <c r="E13" s="267"/>
      <c r="F13" s="268"/>
      <c r="G13" s="269"/>
      <c r="H13" s="269"/>
      <c r="I13" s="269"/>
      <c r="J13" s="269"/>
      <c r="K13" s="270"/>
      <c r="L13" s="270">
        <f>L278</f>
        <v>4106765.9035166656</v>
      </c>
      <c r="M13" s="268"/>
      <c r="N13" s="293">
        <f t="shared" si="0"/>
        <v>4106765.9035166646</v>
      </c>
      <c r="O13" s="293">
        <v>4392695</v>
      </c>
    </row>
    <row r="14" spans="1:15" ht="18.95" customHeight="1">
      <c r="A14" s="314">
        <v>5</v>
      </c>
      <c r="B14" s="319" t="s">
        <v>2253</v>
      </c>
      <c r="C14" s="321"/>
      <c r="D14" s="167"/>
      <c r="E14" s="267"/>
      <c r="F14" s="268"/>
      <c r="G14" s="267"/>
      <c r="H14" s="267"/>
      <c r="I14" s="267"/>
      <c r="J14" s="269"/>
      <c r="K14" s="269"/>
      <c r="L14" s="270">
        <f>L301</f>
        <v>800584.19843922788</v>
      </c>
      <c r="M14" s="268"/>
      <c r="N14" s="293">
        <f t="shared" si="0"/>
        <v>800584.198439228</v>
      </c>
      <c r="O14" s="293">
        <v>856324</v>
      </c>
    </row>
    <row r="15" spans="1:15" ht="18.95" customHeight="1">
      <c r="A15" s="314">
        <v>6</v>
      </c>
      <c r="B15" s="319" t="s">
        <v>2254</v>
      </c>
      <c r="C15" s="235"/>
      <c r="D15" s="167"/>
      <c r="E15" s="267"/>
      <c r="F15" s="268"/>
      <c r="G15" s="269"/>
      <c r="H15" s="269"/>
      <c r="I15" s="269"/>
      <c r="J15" s="269"/>
      <c r="K15" s="270"/>
      <c r="L15" s="270">
        <f>L332</f>
        <v>676217.49454222491</v>
      </c>
      <c r="M15" s="268"/>
      <c r="N15" s="293">
        <f t="shared" si="0"/>
        <v>676217.4945422248</v>
      </c>
      <c r="O15" s="293">
        <v>723298.4</v>
      </c>
    </row>
    <row r="16" spans="1:15" ht="18.95" customHeight="1">
      <c r="A16" s="314">
        <v>7</v>
      </c>
      <c r="B16" s="319" t="s">
        <v>2255</v>
      </c>
      <c r="C16" s="235"/>
      <c r="D16" s="167"/>
      <c r="E16" s="267"/>
      <c r="F16" s="268"/>
      <c r="G16" s="269"/>
      <c r="H16" s="269"/>
      <c r="I16" s="269"/>
      <c r="J16" s="269"/>
      <c r="K16" s="270"/>
      <c r="L16" s="270">
        <f>L350</f>
        <v>459600.79590520007</v>
      </c>
      <c r="M16" s="268"/>
      <c r="N16" s="293">
        <f t="shared" si="0"/>
        <v>459600.79590520001</v>
      </c>
      <c r="O16" s="293">
        <v>491600</v>
      </c>
    </row>
    <row r="17" spans="1:15" ht="18.95" customHeight="1">
      <c r="A17" s="314"/>
      <c r="B17" s="322"/>
      <c r="C17" s="316"/>
      <c r="D17" s="167"/>
      <c r="E17" s="267"/>
      <c r="F17" s="268"/>
      <c r="G17" s="269"/>
      <c r="H17" s="269"/>
      <c r="I17" s="269"/>
      <c r="J17" s="269"/>
      <c r="K17" s="270"/>
      <c r="L17" s="270"/>
      <c r="M17" s="268"/>
      <c r="N17" s="293">
        <f>O17*0.934899332</f>
        <v>0</v>
      </c>
      <c r="O17" s="293"/>
    </row>
    <row r="18" spans="1:15" ht="18.95" customHeight="1">
      <c r="A18" s="314"/>
      <c r="B18" s="1301" t="s">
        <v>2256</v>
      </c>
      <c r="C18" s="1302"/>
      <c r="D18" s="1303"/>
      <c r="E18" s="267"/>
      <c r="F18" s="268"/>
      <c r="G18" s="269"/>
      <c r="H18" s="269"/>
      <c r="I18" s="269"/>
      <c r="J18" s="269"/>
      <c r="K18" s="270"/>
      <c r="L18" s="281">
        <f>SUM(L9:L17)</f>
        <v>13071078.328926679</v>
      </c>
      <c r="M18" s="268"/>
      <c r="N18" s="293">
        <f>SUM(N10:N17)</f>
        <v>13071078.328926681</v>
      </c>
      <c r="O18" s="293">
        <f>SUM(O10:O17)</f>
        <v>13981137.9</v>
      </c>
    </row>
    <row r="19" spans="1:15" ht="18.95" customHeight="1">
      <c r="A19" s="314"/>
      <c r="B19" s="325"/>
      <c r="C19" s="316"/>
      <c r="D19" s="164"/>
      <c r="E19" s="270"/>
      <c r="F19" s="268"/>
      <c r="G19" s="270"/>
      <c r="H19" s="270"/>
      <c r="I19" s="270"/>
      <c r="J19" s="270"/>
      <c r="K19" s="270"/>
      <c r="L19" s="268"/>
      <c r="M19" s="268"/>
    </row>
    <row r="20" spans="1:15" ht="18.95" customHeight="1">
      <c r="A20" s="314"/>
      <c r="B20" s="325"/>
      <c r="C20" s="326"/>
      <c r="D20" s="164"/>
      <c r="E20" s="267"/>
      <c r="F20" s="268"/>
      <c r="G20" s="269"/>
      <c r="H20" s="269"/>
      <c r="I20" s="269"/>
      <c r="J20" s="269"/>
      <c r="K20" s="270"/>
      <c r="L20" s="268"/>
      <c r="M20" s="268"/>
    </row>
    <row r="21" spans="1:15" ht="18.95" customHeight="1">
      <c r="A21" s="314"/>
      <c r="B21" s="327"/>
      <c r="C21" s="321"/>
      <c r="D21" s="328"/>
      <c r="E21" s="267"/>
      <c r="F21" s="268"/>
      <c r="G21" s="267"/>
      <c r="H21" s="267"/>
      <c r="I21" s="267"/>
      <c r="J21" s="267"/>
      <c r="K21" s="269"/>
      <c r="L21" s="267"/>
      <c r="M21" s="268"/>
    </row>
    <row r="22" spans="1:15" ht="18.95" customHeight="1">
      <c r="A22" s="314"/>
      <c r="B22" s="327"/>
      <c r="C22" s="321"/>
      <c r="D22" s="328"/>
      <c r="E22" s="267"/>
      <c r="F22" s="268"/>
      <c r="G22" s="267"/>
      <c r="H22" s="267"/>
      <c r="I22" s="267"/>
      <c r="J22" s="267"/>
      <c r="K22" s="269"/>
      <c r="L22" s="267"/>
      <c r="M22" s="268"/>
    </row>
    <row r="23" spans="1:15" ht="18.95" customHeight="1">
      <c r="A23" s="314"/>
      <c r="B23" s="325"/>
      <c r="C23" s="316"/>
      <c r="D23" s="167"/>
      <c r="E23" s="267"/>
      <c r="F23" s="268"/>
      <c r="G23" s="267"/>
      <c r="H23" s="267"/>
      <c r="I23" s="267"/>
      <c r="J23" s="267"/>
      <c r="K23" s="269"/>
      <c r="L23" s="270"/>
      <c r="M23" s="268"/>
    </row>
    <row r="24" spans="1:15" ht="18.95" customHeight="1">
      <c r="A24" s="314"/>
      <c r="B24" s="327"/>
      <c r="C24" s="321"/>
      <c r="D24" s="328"/>
      <c r="E24" s="267"/>
      <c r="F24" s="268"/>
      <c r="G24" s="267"/>
      <c r="H24" s="267"/>
      <c r="I24" s="267"/>
      <c r="J24" s="267"/>
      <c r="K24" s="269"/>
      <c r="L24" s="267"/>
      <c r="M24" s="268"/>
    </row>
    <row r="25" spans="1:15" ht="18.95" customHeight="1">
      <c r="A25" s="314"/>
      <c r="B25" s="327"/>
      <c r="C25" s="321"/>
      <c r="D25" s="328"/>
      <c r="E25" s="267"/>
      <c r="F25" s="268"/>
      <c r="G25" s="267"/>
      <c r="H25" s="267"/>
      <c r="I25" s="267"/>
      <c r="J25" s="267">
        <v>0</v>
      </c>
      <c r="K25" s="269"/>
      <c r="L25" s="267"/>
      <c r="M25" s="268"/>
    </row>
    <row r="26" spans="1:15" ht="18.95" customHeight="1">
      <c r="A26" s="314"/>
      <c r="B26" s="327"/>
      <c r="C26" s="321"/>
      <c r="D26" s="328"/>
      <c r="E26" s="267"/>
      <c r="F26" s="268"/>
      <c r="G26" s="267"/>
      <c r="H26" s="267"/>
      <c r="I26" s="267"/>
      <c r="J26" s="267"/>
      <c r="K26" s="269"/>
      <c r="L26" s="267"/>
      <c r="M26" s="268"/>
    </row>
    <row r="27" spans="1:15" ht="18.95" customHeight="1">
      <c r="A27" s="314"/>
      <c r="B27" s="327"/>
      <c r="C27" s="321"/>
      <c r="D27" s="328"/>
      <c r="E27" s="267"/>
      <c r="F27" s="268"/>
      <c r="G27" s="267"/>
      <c r="H27" s="267"/>
      <c r="I27" s="267"/>
      <c r="J27" s="267"/>
      <c r="K27" s="269"/>
      <c r="L27" s="267"/>
      <c r="M27" s="268"/>
    </row>
    <row r="28" spans="1:15" ht="18.95" customHeight="1">
      <c r="A28" s="314"/>
      <c r="B28" s="327"/>
      <c r="C28" s="321"/>
      <c r="D28" s="328"/>
      <c r="E28" s="267"/>
      <c r="F28" s="268"/>
      <c r="G28" s="267"/>
      <c r="H28" s="267"/>
      <c r="I28" s="267"/>
      <c r="J28" s="267"/>
      <c r="K28" s="269"/>
      <c r="L28" s="267"/>
      <c r="M28" s="268"/>
    </row>
    <row r="29" spans="1:15" ht="18.95" customHeight="1">
      <c r="A29" s="314"/>
      <c r="B29" s="327"/>
      <c r="C29" s="321"/>
      <c r="D29" s="328"/>
      <c r="E29" s="267"/>
      <c r="F29" s="268"/>
      <c r="G29" s="267"/>
      <c r="H29" s="267"/>
      <c r="I29" s="267"/>
      <c r="J29" s="267"/>
      <c r="K29" s="269"/>
      <c r="L29" s="267"/>
      <c r="M29" s="268"/>
    </row>
    <row r="30" spans="1:15" ht="18.95" customHeight="1">
      <c r="A30" s="224"/>
      <c r="B30" s="122"/>
      <c r="C30" s="329"/>
      <c r="D30" s="328"/>
      <c r="E30" s="267"/>
      <c r="F30" s="268"/>
      <c r="G30" s="267"/>
      <c r="H30" s="267"/>
      <c r="I30" s="267"/>
      <c r="J30" s="267"/>
      <c r="K30" s="269"/>
      <c r="L30" s="267"/>
      <c r="M30" s="268"/>
    </row>
    <row r="31" spans="1:15" ht="18.95" customHeight="1">
      <c r="A31" s="336">
        <v>1</v>
      </c>
      <c r="B31" s="751" t="s">
        <v>2249</v>
      </c>
      <c r="C31" s="318"/>
      <c r="D31" s="164"/>
      <c r="E31" s="267"/>
      <c r="F31" s="268"/>
      <c r="G31" s="267"/>
      <c r="H31" s="267"/>
      <c r="I31" s="267"/>
      <c r="J31" s="269"/>
      <c r="K31" s="267"/>
      <c r="L31" s="268"/>
      <c r="M31" s="268"/>
    </row>
    <row r="32" spans="1:15" ht="18.95" customHeight="1">
      <c r="A32" s="340">
        <v>1.1000000000000001</v>
      </c>
      <c r="B32" s="341" t="s">
        <v>2257</v>
      </c>
      <c r="C32" s="318"/>
      <c r="D32" s="164"/>
      <c r="E32" s="267"/>
      <c r="F32" s="268"/>
      <c r="G32" s="267"/>
      <c r="H32" s="267"/>
      <c r="I32" s="267"/>
      <c r="J32" s="269"/>
      <c r="K32" s="267"/>
      <c r="L32" s="268"/>
      <c r="M32" s="268"/>
    </row>
    <row r="33" spans="1:14" ht="18.95" customHeight="1">
      <c r="A33" s="340"/>
      <c r="B33" s="341" t="s">
        <v>2258</v>
      </c>
      <c r="C33" s="318" t="s">
        <v>2259</v>
      </c>
      <c r="D33" s="164" t="s">
        <v>2260</v>
      </c>
      <c r="E33" s="267">
        <v>9</v>
      </c>
      <c r="F33" s="268" t="s">
        <v>402</v>
      </c>
      <c r="G33" s="267">
        <v>21220</v>
      </c>
      <c r="H33" s="267">
        <f>G33*N33</f>
        <v>19838.748757339999</v>
      </c>
      <c r="I33" s="267">
        <f>E33*H33</f>
        <v>178548.73881606001</v>
      </c>
      <c r="J33" s="269">
        <v>0</v>
      </c>
      <c r="K33" s="269">
        <v>0</v>
      </c>
      <c r="L33" s="270">
        <f t="shared" ref="L33:L40" si="1">SUM(I33)</f>
        <v>178548.73881606001</v>
      </c>
      <c r="M33" s="268"/>
      <c r="N33" s="1163">
        <v>0.93490804699999996</v>
      </c>
    </row>
    <row r="34" spans="1:14" ht="18.95" customHeight="1">
      <c r="A34" s="340"/>
      <c r="B34" s="341" t="s">
        <v>2261</v>
      </c>
      <c r="C34" s="163" t="s">
        <v>2262</v>
      </c>
      <c r="D34" s="164" t="s">
        <v>2263</v>
      </c>
      <c r="E34" s="267">
        <v>1</v>
      </c>
      <c r="F34" s="268" t="s">
        <v>402</v>
      </c>
      <c r="G34" s="267">
        <v>14400</v>
      </c>
      <c r="H34" s="267">
        <f t="shared" ref="H34:H40" si="2">G34*N34</f>
        <v>13462.6758768</v>
      </c>
      <c r="I34" s="267">
        <f t="shared" ref="I34:I40" si="3">E34*H34</f>
        <v>13462.6758768</v>
      </c>
      <c r="J34" s="269">
        <v>0</v>
      </c>
      <c r="K34" s="269">
        <v>0</v>
      </c>
      <c r="L34" s="270">
        <f t="shared" si="1"/>
        <v>13462.6758768</v>
      </c>
      <c r="M34" s="268"/>
      <c r="N34" s="1163">
        <v>0.93490804699999996</v>
      </c>
    </row>
    <row r="35" spans="1:14" ht="18.95" customHeight="1">
      <c r="A35" s="340"/>
      <c r="B35" s="341" t="s">
        <v>2264</v>
      </c>
      <c r="C35" s="318" t="s">
        <v>2265</v>
      </c>
      <c r="D35" s="164" t="s">
        <v>2266</v>
      </c>
      <c r="E35" s="267">
        <v>2</v>
      </c>
      <c r="F35" s="268" t="s">
        <v>402</v>
      </c>
      <c r="G35" s="267">
        <v>7230</v>
      </c>
      <c r="H35" s="267">
        <f t="shared" si="2"/>
        <v>6759.3851798099995</v>
      </c>
      <c r="I35" s="267">
        <f t="shared" si="3"/>
        <v>13518.770359619999</v>
      </c>
      <c r="J35" s="269">
        <v>0</v>
      </c>
      <c r="K35" s="269">
        <v>0</v>
      </c>
      <c r="L35" s="270">
        <f t="shared" si="1"/>
        <v>13518.770359619999</v>
      </c>
      <c r="M35" s="268"/>
      <c r="N35" s="1163">
        <v>0.93490804699999996</v>
      </c>
    </row>
    <row r="36" spans="1:14" ht="18.95" customHeight="1">
      <c r="A36" s="340"/>
      <c r="B36" s="341" t="s">
        <v>2267</v>
      </c>
      <c r="C36" s="318" t="s">
        <v>2268</v>
      </c>
      <c r="D36" s="164"/>
      <c r="E36" s="267">
        <v>11</v>
      </c>
      <c r="F36" s="268" t="s">
        <v>402</v>
      </c>
      <c r="G36" s="267">
        <v>7950</v>
      </c>
      <c r="H36" s="267">
        <f t="shared" si="2"/>
        <v>7432.5189736499997</v>
      </c>
      <c r="I36" s="267">
        <f t="shared" si="3"/>
        <v>81757.708710149993</v>
      </c>
      <c r="J36" s="269">
        <v>0</v>
      </c>
      <c r="K36" s="269">
        <v>0</v>
      </c>
      <c r="L36" s="270">
        <f t="shared" si="1"/>
        <v>81757.708710149993</v>
      </c>
      <c r="M36" s="268"/>
      <c r="N36" s="1163">
        <v>0.93490804699999996</v>
      </c>
    </row>
    <row r="37" spans="1:14" ht="18.95" customHeight="1">
      <c r="A37" s="340"/>
      <c r="B37" s="341" t="s">
        <v>2269</v>
      </c>
      <c r="C37" s="318" t="s">
        <v>2270</v>
      </c>
      <c r="D37" s="164"/>
      <c r="E37" s="267">
        <v>3</v>
      </c>
      <c r="F37" s="268" t="s">
        <v>402</v>
      </c>
      <c r="G37" s="267">
        <v>8340</v>
      </c>
      <c r="H37" s="267">
        <f t="shared" si="2"/>
        <v>7797.1331119799997</v>
      </c>
      <c r="I37" s="267">
        <f t="shared" si="3"/>
        <v>23391.399335939997</v>
      </c>
      <c r="J37" s="269">
        <v>0</v>
      </c>
      <c r="K37" s="269">
        <v>0</v>
      </c>
      <c r="L37" s="270">
        <f t="shared" si="1"/>
        <v>23391.399335939997</v>
      </c>
      <c r="M37" s="268"/>
      <c r="N37" s="1163">
        <v>0.93490804699999996</v>
      </c>
    </row>
    <row r="38" spans="1:14" ht="18.95" customHeight="1">
      <c r="A38" s="340"/>
      <c r="B38" s="341" t="s">
        <v>2271</v>
      </c>
      <c r="C38" s="318" t="s">
        <v>2272</v>
      </c>
      <c r="D38" s="164"/>
      <c r="E38" s="267">
        <v>4</v>
      </c>
      <c r="F38" s="268" t="s">
        <v>402</v>
      </c>
      <c r="G38" s="267">
        <v>11660</v>
      </c>
      <c r="H38" s="267">
        <f t="shared" si="2"/>
        <v>10901.02782802</v>
      </c>
      <c r="I38" s="267">
        <f t="shared" si="3"/>
        <v>43604.11131208</v>
      </c>
      <c r="J38" s="269">
        <v>0</v>
      </c>
      <c r="K38" s="269">
        <v>0</v>
      </c>
      <c r="L38" s="270">
        <f t="shared" si="1"/>
        <v>43604.11131208</v>
      </c>
      <c r="M38" s="268"/>
      <c r="N38" s="1163">
        <v>0.93490804699999996</v>
      </c>
    </row>
    <row r="39" spans="1:14" ht="18.95" customHeight="1">
      <c r="A39" s="340"/>
      <c r="B39" s="341" t="s">
        <v>2273</v>
      </c>
      <c r="C39" s="318" t="s">
        <v>2274</v>
      </c>
      <c r="D39" s="164" t="s">
        <v>2275</v>
      </c>
      <c r="E39" s="267">
        <v>6</v>
      </c>
      <c r="F39" s="268" t="s">
        <v>402</v>
      </c>
      <c r="G39" s="267">
        <v>16740</v>
      </c>
      <c r="H39" s="267">
        <f t="shared" si="2"/>
        <v>15650.360706779999</v>
      </c>
      <c r="I39" s="267">
        <f t="shared" si="3"/>
        <v>93902.164240679995</v>
      </c>
      <c r="J39" s="269">
        <v>0</v>
      </c>
      <c r="K39" s="269">
        <v>0</v>
      </c>
      <c r="L39" s="270">
        <f t="shared" si="1"/>
        <v>93902.164240679995</v>
      </c>
      <c r="M39" s="268"/>
      <c r="N39" s="1163">
        <v>0.93490804699999996</v>
      </c>
    </row>
    <row r="40" spans="1:14" ht="18.95" customHeight="1">
      <c r="A40" s="340"/>
      <c r="B40" s="341" t="s">
        <v>2276</v>
      </c>
      <c r="C40" s="318" t="s">
        <v>2277</v>
      </c>
      <c r="D40" s="164" t="s">
        <v>2278</v>
      </c>
      <c r="E40" s="267">
        <v>6</v>
      </c>
      <c r="F40" s="268" t="s">
        <v>402</v>
      </c>
      <c r="G40" s="267">
        <v>8035</v>
      </c>
      <c r="H40" s="267">
        <f t="shared" si="2"/>
        <v>7511.9861576449994</v>
      </c>
      <c r="I40" s="267">
        <f t="shared" si="3"/>
        <v>45071.916945869998</v>
      </c>
      <c r="J40" s="269">
        <v>0</v>
      </c>
      <c r="K40" s="269">
        <v>0</v>
      </c>
      <c r="L40" s="270">
        <f t="shared" si="1"/>
        <v>45071.916945869998</v>
      </c>
      <c r="M40" s="268"/>
      <c r="N40" s="1163">
        <v>0.93490804699999996</v>
      </c>
    </row>
    <row r="41" spans="1:14" ht="18.95" customHeight="1">
      <c r="A41" s="340">
        <v>1.2</v>
      </c>
      <c r="B41" s="345" t="s">
        <v>2279</v>
      </c>
      <c r="C41" s="318"/>
      <c r="D41" s="164"/>
      <c r="E41" s="267"/>
      <c r="F41" s="268"/>
      <c r="G41" s="267"/>
      <c r="H41" s="267"/>
      <c r="I41" s="267"/>
      <c r="J41" s="269"/>
      <c r="K41" s="269"/>
      <c r="L41" s="270"/>
      <c r="M41" s="268"/>
      <c r="N41" s="1163">
        <v>0.93490804699999996</v>
      </c>
    </row>
    <row r="42" spans="1:14" ht="18.95" customHeight="1">
      <c r="A42" s="346"/>
      <c r="B42" s="341" t="s">
        <v>2280</v>
      </c>
      <c r="C42" s="318" t="s">
        <v>2281</v>
      </c>
      <c r="D42" s="164"/>
      <c r="E42" s="267">
        <v>1</v>
      </c>
      <c r="F42" s="268" t="s">
        <v>402</v>
      </c>
      <c r="G42" s="267">
        <v>28540</v>
      </c>
      <c r="H42" s="267">
        <f t="shared" ref="H42" si="4">G42*N42</f>
        <v>26682.275661379997</v>
      </c>
      <c r="I42" s="267">
        <f t="shared" ref="I42" si="5">E42*H42</f>
        <v>26682.275661379997</v>
      </c>
      <c r="J42" s="269">
        <v>0</v>
      </c>
      <c r="K42" s="269">
        <v>0</v>
      </c>
      <c r="L42" s="270">
        <f>SUM(I42)</f>
        <v>26682.275661379997</v>
      </c>
      <c r="M42" s="268"/>
      <c r="N42" s="1163">
        <v>0.93490804699999996</v>
      </c>
    </row>
    <row r="43" spans="1:14" ht="18.95" customHeight="1">
      <c r="A43" s="346"/>
      <c r="B43" s="341" t="s">
        <v>2282</v>
      </c>
      <c r="C43" s="318" t="s">
        <v>2283</v>
      </c>
      <c r="D43" s="168"/>
      <c r="E43" s="267">
        <v>1</v>
      </c>
      <c r="F43" s="268" t="s">
        <v>402</v>
      </c>
      <c r="G43" s="267">
        <v>8500</v>
      </c>
      <c r="H43" s="267">
        <f t="shared" ref="H43:H45" si="6">G43*N43</f>
        <v>7946.7183994999996</v>
      </c>
      <c r="I43" s="267">
        <f t="shared" ref="I43:I45" si="7">E43*H43</f>
        <v>7946.7183994999996</v>
      </c>
      <c r="J43" s="269">
        <v>0</v>
      </c>
      <c r="K43" s="269">
        <v>0</v>
      </c>
      <c r="L43" s="270">
        <f>SUM(I43)</f>
        <v>7946.7183994999996</v>
      </c>
      <c r="M43" s="268"/>
      <c r="N43" s="1163">
        <v>0.93490804699999996</v>
      </c>
    </row>
    <row r="44" spans="1:14" ht="18.95" customHeight="1">
      <c r="A44" s="346"/>
      <c r="B44" s="341" t="s">
        <v>2284</v>
      </c>
      <c r="C44" s="318" t="s">
        <v>2285</v>
      </c>
      <c r="D44" s="164"/>
      <c r="E44" s="267">
        <v>1</v>
      </c>
      <c r="F44" s="268" t="s">
        <v>402</v>
      </c>
      <c r="G44" s="267">
        <v>6680</v>
      </c>
      <c r="H44" s="267">
        <f t="shared" si="6"/>
        <v>6245.1857539599996</v>
      </c>
      <c r="I44" s="267">
        <f t="shared" si="7"/>
        <v>6245.1857539599996</v>
      </c>
      <c r="J44" s="269">
        <v>0</v>
      </c>
      <c r="K44" s="269">
        <v>0</v>
      </c>
      <c r="L44" s="270">
        <f>SUM(I44)</f>
        <v>6245.1857539599996</v>
      </c>
      <c r="M44" s="268"/>
      <c r="N44" s="1163">
        <v>0.93490804699999996</v>
      </c>
    </row>
    <row r="45" spans="1:14" ht="18.95" customHeight="1">
      <c r="A45" s="505"/>
      <c r="B45" s="341" t="s">
        <v>2286</v>
      </c>
      <c r="C45" s="318" t="s">
        <v>2274</v>
      </c>
      <c r="D45" s="164" t="s">
        <v>2287</v>
      </c>
      <c r="E45" s="267">
        <v>1</v>
      </c>
      <c r="F45" s="268" t="s">
        <v>402</v>
      </c>
      <c r="G45" s="267">
        <v>14780</v>
      </c>
      <c r="H45" s="267">
        <f t="shared" si="6"/>
        <v>13817.940934659999</v>
      </c>
      <c r="I45" s="267">
        <f t="shared" si="7"/>
        <v>13817.940934659999</v>
      </c>
      <c r="J45" s="269">
        <v>0</v>
      </c>
      <c r="K45" s="269">
        <v>0</v>
      </c>
      <c r="L45" s="270">
        <f>SUM(I45)</f>
        <v>13817.940934659999</v>
      </c>
      <c r="M45" s="268"/>
      <c r="N45" s="1163">
        <v>0.93490804699999996</v>
      </c>
    </row>
    <row r="46" spans="1:14" ht="18.95" customHeight="1">
      <c r="A46" s="340">
        <v>1.3</v>
      </c>
      <c r="B46" s="341" t="s">
        <v>2288</v>
      </c>
      <c r="C46" s="318"/>
      <c r="D46" s="164"/>
      <c r="E46" s="267"/>
      <c r="F46" s="268"/>
      <c r="G46" s="267"/>
      <c r="H46" s="267"/>
      <c r="I46" s="267"/>
      <c r="J46" s="269"/>
      <c r="K46" s="269"/>
      <c r="L46" s="270"/>
      <c r="M46" s="268"/>
      <c r="N46" s="1163">
        <v>0.93490804699999996</v>
      </c>
    </row>
    <row r="47" spans="1:14" ht="18.95" customHeight="1">
      <c r="A47" s="340"/>
      <c r="B47" s="341" t="s">
        <v>2258</v>
      </c>
      <c r="C47" s="318" t="s">
        <v>2259</v>
      </c>
      <c r="D47" s="164" t="s">
        <v>2260</v>
      </c>
      <c r="E47" s="267">
        <v>3</v>
      </c>
      <c r="F47" s="268" t="s">
        <v>402</v>
      </c>
      <c r="G47" s="267">
        <v>21220</v>
      </c>
      <c r="H47" s="267">
        <f t="shared" ref="H47" si="8">G47*N47</f>
        <v>19838.748757339999</v>
      </c>
      <c r="I47" s="267">
        <f t="shared" ref="I47" si="9">E47*H47</f>
        <v>59516.246272019998</v>
      </c>
      <c r="J47" s="269">
        <v>0</v>
      </c>
      <c r="K47" s="269">
        <v>0</v>
      </c>
      <c r="L47" s="270">
        <f>SUM(I47)</f>
        <v>59516.246272019998</v>
      </c>
      <c r="M47" s="268"/>
      <c r="N47" s="1163">
        <v>0.93490804699999996</v>
      </c>
    </row>
    <row r="48" spans="1:14" ht="18.95" customHeight="1">
      <c r="A48" s="340"/>
      <c r="B48" s="341" t="s">
        <v>2267</v>
      </c>
      <c r="C48" s="318" t="s">
        <v>2268</v>
      </c>
      <c r="D48" s="164"/>
      <c r="E48" s="267">
        <v>3</v>
      </c>
      <c r="F48" s="268" t="s">
        <v>402</v>
      </c>
      <c r="G48" s="267">
        <v>7950</v>
      </c>
      <c r="H48" s="267">
        <f t="shared" ref="H48:H49" si="10">G48*N48</f>
        <v>7432.5189736499997</v>
      </c>
      <c r="I48" s="267">
        <f t="shared" ref="I48:I49" si="11">E48*H48</f>
        <v>22297.556920949999</v>
      </c>
      <c r="J48" s="269">
        <v>0</v>
      </c>
      <c r="K48" s="269">
        <v>0</v>
      </c>
      <c r="L48" s="270">
        <f>SUM(I48)</f>
        <v>22297.556920949999</v>
      </c>
      <c r="M48" s="268"/>
      <c r="N48" s="1163">
        <v>0.93490804699999996</v>
      </c>
    </row>
    <row r="49" spans="1:14" ht="18.95" customHeight="1">
      <c r="A49" s="340"/>
      <c r="B49" s="341" t="s">
        <v>2289</v>
      </c>
      <c r="C49" s="318" t="s">
        <v>2274</v>
      </c>
      <c r="D49" s="164" t="s">
        <v>2290</v>
      </c>
      <c r="E49" s="267">
        <v>4</v>
      </c>
      <c r="F49" s="268" t="s">
        <v>402</v>
      </c>
      <c r="G49" s="267">
        <v>12440</v>
      </c>
      <c r="H49" s="267">
        <f t="shared" si="10"/>
        <v>11630.25610468</v>
      </c>
      <c r="I49" s="267">
        <f t="shared" si="11"/>
        <v>46521.024418720001</v>
      </c>
      <c r="J49" s="269">
        <v>0</v>
      </c>
      <c r="K49" s="269">
        <v>0</v>
      </c>
      <c r="L49" s="270">
        <f>SUM(I49)</f>
        <v>46521.024418720001</v>
      </c>
      <c r="M49" s="268"/>
      <c r="N49" s="1163">
        <v>0.93490804699999996</v>
      </c>
    </row>
    <row r="50" spans="1:14" ht="18.95" customHeight="1">
      <c r="A50" s="340">
        <v>1.4</v>
      </c>
      <c r="B50" s="341" t="s">
        <v>67</v>
      </c>
      <c r="C50" s="242"/>
      <c r="D50" s="187"/>
      <c r="E50" s="267"/>
      <c r="F50" s="268"/>
      <c r="G50" s="267"/>
      <c r="H50" s="267"/>
      <c r="I50" s="267"/>
      <c r="J50" s="269"/>
      <c r="K50" s="269"/>
      <c r="L50" s="270"/>
      <c r="M50" s="268"/>
      <c r="N50" s="1163">
        <v>0.93490804699999996</v>
      </c>
    </row>
    <row r="51" spans="1:14" ht="18.95" customHeight="1">
      <c r="A51" s="340"/>
      <c r="B51" s="341" t="s">
        <v>2291</v>
      </c>
      <c r="C51" s="318" t="s">
        <v>2292</v>
      </c>
      <c r="D51" s="164" t="s">
        <v>2293</v>
      </c>
      <c r="E51" s="267">
        <v>18</v>
      </c>
      <c r="F51" s="268" t="s">
        <v>402</v>
      </c>
      <c r="G51" s="267">
        <v>9960</v>
      </c>
      <c r="H51" s="267">
        <f t="shared" ref="H51" si="12">G51*N51</f>
        <v>9311.684148119999</v>
      </c>
      <c r="I51" s="267">
        <f t="shared" ref="I51" si="13">E51*H51</f>
        <v>167610.31466615997</v>
      </c>
      <c r="J51" s="269">
        <v>0</v>
      </c>
      <c r="K51" s="269">
        <v>0</v>
      </c>
      <c r="L51" s="270">
        <f>SUM(I51)</f>
        <v>167610.31466615997</v>
      </c>
      <c r="M51" s="268"/>
      <c r="N51" s="1163">
        <v>0.93490804699999996</v>
      </c>
    </row>
    <row r="52" spans="1:14" ht="18.95" customHeight="1">
      <c r="A52" s="340"/>
      <c r="B52" s="341" t="s">
        <v>2294</v>
      </c>
      <c r="C52" s="318" t="s">
        <v>2295</v>
      </c>
      <c r="D52" s="164"/>
      <c r="E52" s="267">
        <v>34</v>
      </c>
      <c r="F52" s="268" t="s">
        <v>402</v>
      </c>
      <c r="G52" s="267">
        <v>4300</v>
      </c>
      <c r="H52" s="267">
        <f t="shared" ref="H52:H54" si="14">G52*N52</f>
        <v>4020.1046020999997</v>
      </c>
      <c r="I52" s="267">
        <f t="shared" ref="I52:I54" si="15">E52*H52</f>
        <v>136683.55647139999</v>
      </c>
      <c r="J52" s="269">
        <v>0</v>
      </c>
      <c r="K52" s="269">
        <v>0</v>
      </c>
      <c r="L52" s="270">
        <f>SUM(I52)</f>
        <v>136683.55647139999</v>
      </c>
      <c r="M52" s="268"/>
      <c r="N52" s="1163">
        <v>0.93490804699999996</v>
      </c>
    </row>
    <row r="53" spans="1:14" ht="18.95" customHeight="1">
      <c r="A53" s="346"/>
      <c r="B53" s="341" t="s">
        <v>2296</v>
      </c>
      <c r="C53" s="242" t="s">
        <v>2297</v>
      </c>
      <c r="D53" s="168" t="s">
        <v>2298</v>
      </c>
      <c r="E53" s="267">
        <v>2</v>
      </c>
      <c r="F53" s="268" t="s">
        <v>402</v>
      </c>
      <c r="G53" s="267">
        <v>11980</v>
      </c>
      <c r="H53" s="267">
        <f t="shared" si="14"/>
        <v>11200.19840306</v>
      </c>
      <c r="I53" s="267">
        <f t="shared" si="15"/>
        <v>22400.396806119999</v>
      </c>
      <c r="J53" s="269">
        <v>0</v>
      </c>
      <c r="K53" s="269">
        <v>0</v>
      </c>
      <c r="L53" s="270">
        <f>SUM(I53)</f>
        <v>22400.396806119999</v>
      </c>
      <c r="M53" s="268"/>
      <c r="N53" s="1163">
        <v>0.93490804699999996</v>
      </c>
    </row>
    <row r="54" spans="1:14" ht="18.95" customHeight="1">
      <c r="A54" s="346"/>
      <c r="B54" s="341" t="s">
        <v>2299</v>
      </c>
      <c r="C54" s="242" t="s">
        <v>2300</v>
      </c>
      <c r="D54" s="168" t="s">
        <v>2298</v>
      </c>
      <c r="E54" s="267">
        <v>2</v>
      </c>
      <c r="F54" s="268" t="s">
        <v>402</v>
      </c>
      <c r="G54" s="267">
        <v>9990</v>
      </c>
      <c r="H54" s="267">
        <f t="shared" si="14"/>
        <v>9339.7313895299994</v>
      </c>
      <c r="I54" s="267">
        <f t="shared" si="15"/>
        <v>18679.462779059999</v>
      </c>
      <c r="J54" s="269">
        <v>0</v>
      </c>
      <c r="K54" s="269">
        <v>0</v>
      </c>
      <c r="L54" s="270">
        <f>SUM(I54)</f>
        <v>18679.462779059999</v>
      </c>
      <c r="M54" s="268"/>
      <c r="N54" s="1163">
        <v>0.93490804699999996</v>
      </c>
    </row>
    <row r="55" spans="1:14" ht="18.95" customHeight="1">
      <c r="A55" s="340">
        <v>1.4</v>
      </c>
      <c r="B55" s="349" t="s">
        <v>2301</v>
      </c>
      <c r="C55" s="318"/>
      <c r="D55" s="235"/>
      <c r="E55" s="267"/>
      <c r="F55" s="268"/>
      <c r="G55" s="267"/>
      <c r="H55" s="267"/>
      <c r="I55" s="267"/>
      <c r="J55" s="269"/>
      <c r="K55" s="269"/>
      <c r="L55" s="270"/>
      <c r="M55" s="268"/>
      <c r="N55" s="1163">
        <v>0.93490804699999996</v>
      </c>
    </row>
    <row r="56" spans="1:14" ht="18.95" customHeight="1">
      <c r="A56" s="346"/>
      <c r="B56" s="341" t="s">
        <v>2302</v>
      </c>
      <c r="C56" s="318" t="s">
        <v>2303</v>
      </c>
      <c r="D56" s="235" t="s">
        <v>2304</v>
      </c>
      <c r="E56" s="267">
        <v>1</v>
      </c>
      <c r="F56" s="268" t="s">
        <v>402</v>
      </c>
      <c r="G56" s="267">
        <v>8300</v>
      </c>
      <c r="H56" s="267">
        <f t="shared" ref="H56" si="16">G56*N56</f>
        <v>7759.7367900999998</v>
      </c>
      <c r="I56" s="267">
        <f t="shared" ref="I56" si="17">E56*H56</f>
        <v>7759.7367900999998</v>
      </c>
      <c r="J56" s="269">
        <v>0</v>
      </c>
      <c r="K56" s="269">
        <v>0</v>
      </c>
      <c r="L56" s="270">
        <f>SUM(I56)</f>
        <v>7759.7367900999998</v>
      </c>
      <c r="M56" s="268"/>
      <c r="N56" s="1163">
        <v>0.93490804699999996</v>
      </c>
    </row>
    <row r="57" spans="1:14" ht="18.95" customHeight="1">
      <c r="A57" s="346"/>
      <c r="B57" s="341" t="s">
        <v>2305</v>
      </c>
      <c r="C57" s="242" t="s">
        <v>2306</v>
      </c>
      <c r="D57" s="168"/>
      <c r="E57" s="267">
        <v>4</v>
      </c>
      <c r="F57" s="268" t="s">
        <v>402</v>
      </c>
      <c r="G57" s="267">
        <v>3000</v>
      </c>
      <c r="H57" s="267">
        <f t="shared" ref="H57" si="18">G57*N57</f>
        <v>2804.7241409999997</v>
      </c>
      <c r="I57" s="267">
        <f t="shared" ref="I57" si="19">E57*H57</f>
        <v>11218.896563999999</v>
      </c>
      <c r="J57" s="269">
        <v>0</v>
      </c>
      <c r="K57" s="269">
        <v>0</v>
      </c>
      <c r="L57" s="270">
        <f>SUM(I57)</f>
        <v>11218.896563999999</v>
      </c>
      <c r="M57" s="268"/>
      <c r="N57" s="1163">
        <v>0.93490804699999996</v>
      </c>
    </row>
    <row r="58" spans="1:14" ht="18.95" customHeight="1">
      <c r="A58" s="224"/>
      <c r="B58" s="122"/>
      <c r="C58" s="329"/>
      <c r="D58" s="328"/>
      <c r="E58" s="267"/>
      <c r="F58" s="268"/>
      <c r="G58" s="267"/>
      <c r="H58" s="267"/>
      <c r="I58" s="267"/>
      <c r="J58" s="267"/>
      <c r="K58" s="269"/>
      <c r="L58" s="267"/>
      <c r="M58" s="268"/>
      <c r="N58" s="1163">
        <v>0.93490804699999996</v>
      </c>
    </row>
    <row r="59" spans="1:14" ht="18.95" customHeight="1">
      <c r="A59" s="505"/>
      <c r="B59" s="344"/>
      <c r="C59" s="318"/>
      <c r="D59" s="164"/>
      <c r="E59" s="267"/>
      <c r="F59" s="268"/>
      <c r="G59" s="267"/>
      <c r="H59" s="267"/>
      <c r="I59" s="267"/>
      <c r="J59" s="269"/>
      <c r="K59" s="267"/>
      <c r="L59" s="268"/>
      <c r="M59" s="268"/>
      <c r="N59" s="1163">
        <v>0.93490804699999996</v>
      </c>
    </row>
    <row r="60" spans="1:14" ht="18.95" customHeight="1">
      <c r="A60" s="340"/>
      <c r="B60" s="341" t="s">
        <v>2289</v>
      </c>
      <c r="C60" s="318" t="s">
        <v>2274</v>
      </c>
      <c r="D60" s="164" t="s">
        <v>2290</v>
      </c>
      <c r="E60" s="267">
        <v>2</v>
      </c>
      <c r="F60" s="268" t="s">
        <v>402</v>
      </c>
      <c r="G60" s="267">
        <v>12440</v>
      </c>
      <c r="H60" s="267">
        <f t="shared" ref="H60" si="20">G60*N60</f>
        <v>11630.25610468</v>
      </c>
      <c r="I60" s="267">
        <f t="shared" ref="I60" si="21">E60*H60</f>
        <v>23260.51220936</v>
      </c>
      <c r="J60" s="269">
        <v>0</v>
      </c>
      <c r="K60" s="269">
        <v>0</v>
      </c>
      <c r="L60" s="270">
        <f>SUM(I60)</f>
        <v>23260.51220936</v>
      </c>
      <c r="M60" s="268"/>
      <c r="N60" s="1163">
        <v>0.93490804699999996</v>
      </c>
    </row>
    <row r="61" spans="1:14" ht="18.95" customHeight="1">
      <c r="A61" s="340"/>
      <c r="B61" s="341" t="s">
        <v>2307</v>
      </c>
      <c r="C61" s="318" t="s">
        <v>2308</v>
      </c>
      <c r="D61" s="164" t="s">
        <v>2309</v>
      </c>
      <c r="E61" s="267">
        <v>2</v>
      </c>
      <c r="F61" s="268" t="s">
        <v>402</v>
      </c>
      <c r="G61" s="267">
        <v>10000</v>
      </c>
      <c r="H61" s="267">
        <f t="shared" ref="H61:H62" si="22">G61*N61</f>
        <v>9349.080469999999</v>
      </c>
      <c r="I61" s="267">
        <f t="shared" ref="I61:I62" si="23">E61*H61</f>
        <v>18698.160939999998</v>
      </c>
      <c r="J61" s="269">
        <v>0</v>
      </c>
      <c r="K61" s="269">
        <v>0</v>
      </c>
      <c r="L61" s="270">
        <f>SUM(I61)</f>
        <v>18698.160939999998</v>
      </c>
      <c r="M61" s="268"/>
      <c r="N61" s="1163">
        <v>0.93490804699999996</v>
      </c>
    </row>
    <row r="62" spans="1:14" ht="18.95" customHeight="1">
      <c r="A62" s="340"/>
      <c r="B62" s="344" t="s">
        <v>2310</v>
      </c>
      <c r="C62" s="163" t="s">
        <v>2311</v>
      </c>
      <c r="D62" s="164" t="s">
        <v>2312</v>
      </c>
      <c r="E62" s="267">
        <v>1</v>
      </c>
      <c r="F62" s="268" t="s">
        <v>402</v>
      </c>
      <c r="G62" s="267">
        <v>6500</v>
      </c>
      <c r="H62" s="267">
        <f t="shared" si="22"/>
        <v>6076.9023054999998</v>
      </c>
      <c r="I62" s="267">
        <f t="shared" si="23"/>
        <v>6076.9023054999998</v>
      </c>
      <c r="J62" s="269">
        <v>0</v>
      </c>
      <c r="K62" s="269">
        <v>0</v>
      </c>
      <c r="L62" s="270">
        <f>SUM(I62)</f>
        <v>6076.9023054999998</v>
      </c>
      <c r="M62" s="268"/>
      <c r="N62" s="1163">
        <v>0.93490804699999996</v>
      </c>
    </row>
    <row r="63" spans="1:14" ht="18.95" customHeight="1">
      <c r="A63" s="340">
        <v>1.5</v>
      </c>
      <c r="B63" s="349" t="s">
        <v>2313</v>
      </c>
      <c r="C63" s="354"/>
      <c r="D63" s="353"/>
      <c r="E63" s="267"/>
      <c r="F63" s="268"/>
      <c r="G63" s="267"/>
      <c r="H63" s="267"/>
      <c r="I63" s="267"/>
      <c r="J63" s="269"/>
      <c r="K63" s="269"/>
      <c r="L63" s="270"/>
      <c r="M63" s="270"/>
      <c r="N63" s="1163">
        <v>0.93490804699999996</v>
      </c>
    </row>
    <row r="64" spans="1:14" ht="18.95" customHeight="1">
      <c r="A64" s="340"/>
      <c r="B64" s="341" t="s">
        <v>2314</v>
      </c>
      <c r="C64" s="318" t="s">
        <v>2315</v>
      </c>
      <c r="D64" s="164"/>
      <c r="E64" s="267">
        <v>1</v>
      </c>
      <c r="F64" s="268" t="s">
        <v>402</v>
      </c>
      <c r="G64" s="267">
        <v>3000</v>
      </c>
      <c r="H64" s="267">
        <f t="shared" ref="H64:H65" si="24">G64*N64</f>
        <v>2804.7241409999997</v>
      </c>
      <c r="I64" s="267">
        <f t="shared" ref="I64:I65" si="25">E64*H64</f>
        <v>2804.7241409999997</v>
      </c>
      <c r="J64" s="269">
        <v>0</v>
      </c>
      <c r="K64" s="269">
        <v>0</v>
      </c>
      <c r="L64" s="270">
        <f>SUM(I64)</f>
        <v>2804.7241409999997</v>
      </c>
      <c r="M64" s="268"/>
      <c r="N64" s="1163">
        <v>0.93490804699999996</v>
      </c>
    </row>
    <row r="65" spans="1:14" ht="18.95" customHeight="1">
      <c r="A65" s="340"/>
      <c r="B65" s="341" t="s">
        <v>2316</v>
      </c>
      <c r="C65" s="242" t="s">
        <v>2317</v>
      </c>
      <c r="D65" s="164"/>
      <c r="E65" s="267">
        <v>6</v>
      </c>
      <c r="F65" s="268" t="s">
        <v>402</v>
      </c>
      <c r="G65" s="267">
        <v>6890</v>
      </c>
      <c r="H65" s="267">
        <f t="shared" si="24"/>
        <v>6441.5164438299998</v>
      </c>
      <c r="I65" s="267">
        <f t="shared" si="25"/>
        <v>38649.098662980003</v>
      </c>
      <c r="J65" s="269">
        <v>0</v>
      </c>
      <c r="K65" s="269">
        <v>0</v>
      </c>
      <c r="L65" s="270">
        <f>SUM(I65)</f>
        <v>38649.098662980003</v>
      </c>
      <c r="M65" s="268"/>
      <c r="N65" s="1163">
        <v>0.93490804699999996</v>
      </c>
    </row>
    <row r="66" spans="1:14" ht="18.95" customHeight="1">
      <c r="A66" s="340">
        <v>1.6</v>
      </c>
      <c r="B66" s="344" t="s">
        <v>2318</v>
      </c>
      <c r="C66" s="242"/>
      <c r="D66" s="164"/>
      <c r="E66" s="267"/>
      <c r="F66" s="268"/>
      <c r="G66" s="267"/>
      <c r="H66" s="267"/>
      <c r="I66" s="267"/>
      <c r="J66" s="269"/>
      <c r="K66" s="269"/>
      <c r="L66" s="270"/>
      <c r="M66" s="270"/>
      <c r="N66" s="1163">
        <v>0.93490804699999996</v>
      </c>
    </row>
    <row r="67" spans="1:14" ht="18.95" customHeight="1">
      <c r="A67" s="340"/>
      <c r="B67" s="344" t="s">
        <v>2310</v>
      </c>
      <c r="C67" s="163" t="s">
        <v>2311</v>
      </c>
      <c r="D67" s="164" t="s">
        <v>2312</v>
      </c>
      <c r="E67" s="267">
        <v>1</v>
      </c>
      <c r="F67" s="268" t="s">
        <v>402</v>
      </c>
      <c r="G67" s="267">
        <v>6500</v>
      </c>
      <c r="H67" s="267">
        <f t="shared" ref="H67" si="26">G67*N67</f>
        <v>6076.9023054999998</v>
      </c>
      <c r="I67" s="267">
        <f t="shared" ref="I67" si="27">E67*H67</f>
        <v>6076.9023054999998</v>
      </c>
      <c r="J67" s="269">
        <v>0</v>
      </c>
      <c r="K67" s="269">
        <v>0</v>
      </c>
      <c r="L67" s="270">
        <f>SUM(I67)</f>
        <v>6076.9023054999998</v>
      </c>
      <c r="M67" s="268"/>
      <c r="N67" s="1163">
        <v>0.93490804699999996</v>
      </c>
    </row>
    <row r="68" spans="1:14" ht="18.95" customHeight="1">
      <c r="A68" s="340"/>
      <c r="B68" s="345"/>
      <c r="C68" s="318"/>
      <c r="D68" s="164"/>
      <c r="E68" s="267"/>
      <c r="F68" s="268"/>
      <c r="G68" s="267"/>
      <c r="H68" s="267"/>
      <c r="I68" s="267"/>
      <c r="J68" s="269"/>
      <c r="K68" s="269"/>
      <c r="L68" s="270"/>
      <c r="M68" s="270"/>
      <c r="N68" s="1163">
        <v>0.93490804699999996</v>
      </c>
    </row>
    <row r="69" spans="1:14" ht="18.95" customHeight="1">
      <c r="A69" s="340"/>
      <c r="B69" s="1301" t="s">
        <v>2319</v>
      </c>
      <c r="C69" s="1302"/>
      <c r="D69" s="1303"/>
      <c r="E69" s="267"/>
      <c r="F69" s="268"/>
      <c r="G69" s="267"/>
      <c r="H69" s="267"/>
      <c r="I69" s="267"/>
      <c r="J69" s="269"/>
      <c r="K69" s="269"/>
      <c r="L69" s="288">
        <f>SUM(L33:L68)</f>
        <v>1136203.0985995699</v>
      </c>
      <c r="M69" s="270"/>
      <c r="N69" s="1163">
        <v>0.93490804699999996</v>
      </c>
    </row>
    <row r="70" spans="1:14" ht="18.95" customHeight="1">
      <c r="A70" s="340"/>
      <c r="B70" s="345"/>
      <c r="C70" s="318"/>
      <c r="D70" s="164"/>
      <c r="E70" s="267"/>
      <c r="F70" s="268"/>
      <c r="G70" s="267"/>
      <c r="H70" s="267"/>
      <c r="I70" s="267"/>
      <c r="J70" s="269"/>
      <c r="K70" s="269"/>
      <c r="L70" s="270"/>
      <c r="M70" s="270"/>
      <c r="N70" s="1163">
        <v>0.93490804699999996</v>
      </c>
    </row>
    <row r="71" spans="1:14" ht="18.95" customHeight="1">
      <c r="A71" s="336">
        <v>2</v>
      </c>
      <c r="B71" s="751" t="s">
        <v>2250</v>
      </c>
      <c r="C71" s="318"/>
      <c r="D71" s="164"/>
      <c r="E71" s="267"/>
      <c r="F71" s="268"/>
      <c r="G71" s="267"/>
      <c r="H71" s="267"/>
      <c r="I71" s="267"/>
      <c r="J71" s="269"/>
      <c r="K71" s="269"/>
      <c r="L71" s="270"/>
      <c r="M71" s="268"/>
      <c r="N71" s="1163">
        <v>0.93490804699999996</v>
      </c>
    </row>
    <row r="72" spans="1:14" ht="18.95" customHeight="1">
      <c r="A72" s="340">
        <v>2.1</v>
      </c>
      <c r="B72" s="341" t="s">
        <v>2320</v>
      </c>
      <c r="C72" s="318"/>
      <c r="D72" s="164"/>
      <c r="E72" s="267"/>
      <c r="F72" s="268"/>
      <c r="G72" s="267"/>
      <c r="H72" s="267"/>
      <c r="I72" s="267"/>
      <c r="J72" s="269"/>
      <c r="K72" s="269"/>
      <c r="L72" s="270"/>
      <c r="M72" s="268"/>
      <c r="N72" s="1163">
        <v>0.93490804699999996</v>
      </c>
    </row>
    <row r="73" spans="1:14" ht="18.95" customHeight="1">
      <c r="A73" s="340"/>
      <c r="B73" s="341" t="s">
        <v>2321</v>
      </c>
      <c r="C73" s="318" t="s">
        <v>2322</v>
      </c>
      <c r="D73" s="353"/>
      <c r="E73" s="267">
        <v>17</v>
      </c>
      <c r="F73" s="268" t="s">
        <v>402</v>
      </c>
      <c r="G73" s="267">
        <v>12040</v>
      </c>
      <c r="H73" s="267">
        <f t="shared" ref="H73" si="28">G73*N73</f>
        <v>11256.292885879999</v>
      </c>
      <c r="I73" s="267">
        <f t="shared" ref="I73" si="29">E73*H73</f>
        <v>191356.97905995997</v>
      </c>
      <c r="J73" s="269">
        <v>0</v>
      </c>
      <c r="K73" s="269">
        <v>0</v>
      </c>
      <c r="L73" s="270">
        <f>SUM(I73)</f>
        <v>191356.97905995997</v>
      </c>
      <c r="M73" s="268"/>
      <c r="N73" s="1163">
        <v>0.93490804699999996</v>
      </c>
    </row>
    <row r="74" spans="1:14" ht="18.95" customHeight="1">
      <c r="A74" s="340">
        <v>2.2000000000000002</v>
      </c>
      <c r="B74" s="341" t="s">
        <v>2323</v>
      </c>
      <c r="C74" s="318"/>
      <c r="D74" s="164"/>
      <c r="E74" s="267"/>
      <c r="F74" s="268"/>
      <c r="G74" s="267"/>
      <c r="H74" s="267"/>
      <c r="I74" s="267"/>
      <c r="J74" s="269"/>
      <c r="K74" s="269"/>
      <c r="L74" s="270"/>
      <c r="M74" s="268"/>
      <c r="N74" s="1163">
        <v>0.93490804699999996</v>
      </c>
    </row>
    <row r="75" spans="1:14" ht="18.95" customHeight="1">
      <c r="A75" s="340"/>
      <c r="B75" s="341" t="s">
        <v>2258</v>
      </c>
      <c r="C75" s="318" t="s">
        <v>2259</v>
      </c>
      <c r="D75" s="164" t="s">
        <v>2260</v>
      </c>
      <c r="E75" s="267">
        <v>14</v>
      </c>
      <c r="F75" s="268" t="s">
        <v>402</v>
      </c>
      <c r="G75" s="267">
        <v>21220</v>
      </c>
      <c r="H75" s="267">
        <f t="shared" ref="H75" si="30">G75*N75</f>
        <v>19838.748757339999</v>
      </c>
      <c r="I75" s="267">
        <f t="shared" ref="I75" si="31">E75*H75</f>
        <v>277742.48260275996</v>
      </c>
      <c r="J75" s="269">
        <v>0</v>
      </c>
      <c r="K75" s="269">
        <v>0</v>
      </c>
      <c r="L75" s="270">
        <f>SUM(I75)</f>
        <v>277742.48260275996</v>
      </c>
      <c r="M75" s="268"/>
      <c r="N75" s="1163">
        <v>0.93490804699999996</v>
      </c>
    </row>
    <row r="76" spans="1:14" ht="18.95" customHeight="1">
      <c r="A76" s="340"/>
      <c r="B76" s="341" t="s">
        <v>2267</v>
      </c>
      <c r="C76" s="318" t="s">
        <v>2268</v>
      </c>
      <c r="D76" s="164"/>
      <c r="E76" s="267">
        <v>14</v>
      </c>
      <c r="F76" s="268" t="s">
        <v>402</v>
      </c>
      <c r="G76" s="267">
        <v>7950</v>
      </c>
      <c r="H76" s="267">
        <f t="shared" ref="H76:H78" si="32">G76*N76</f>
        <v>7432.5189736499997</v>
      </c>
      <c r="I76" s="267">
        <f t="shared" ref="I76:I78" si="33">E76*H76</f>
        <v>104055.26563109999</v>
      </c>
      <c r="J76" s="269">
        <v>0</v>
      </c>
      <c r="K76" s="269">
        <v>0</v>
      </c>
      <c r="L76" s="270">
        <f>SUM(I76)</f>
        <v>104055.26563109999</v>
      </c>
      <c r="M76" s="268"/>
      <c r="N76" s="1163">
        <v>0.93490804699999996</v>
      </c>
    </row>
    <row r="77" spans="1:14" ht="18.95" customHeight="1">
      <c r="A77" s="340"/>
      <c r="B77" s="341" t="s">
        <v>2289</v>
      </c>
      <c r="C77" s="318" t="s">
        <v>2274</v>
      </c>
      <c r="D77" s="164" t="s">
        <v>2290</v>
      </c>
      <c r="E77" s="267">
        <v>16</v>
      </c>
      <c r="F77" s="268" t="s">
        <v>402</v>
      </c>
      <c r="G77" s="267">
        <v>12440</v>
      </c>
      <c r="H77" s="267">
        <f t="shared" si="32"/>
        <v>11630.25610468</v>
      </c>
      <c r="I77" s="267">
        <f t="shared" si="33"/>
        <v>186084.09767488</v>
      </c>
      <c r="J77" s="269">
        <v>0</v>
      </c>
      <c r="K77" s="269">
        <v>0</v>
      </c>
      <c r="L77" s="270">
        <f>SUM(I77)</f>
        <v>186084.09767488</v>
      </c>
      <c r="M77" s="268"/>
      <c r="N77" s="1163">
        <v>0.93490804699999996</v>
      </c>
    </row>
    <row r="78" spans="1:14" ht="18.95" customHeight="1">
      <c r="A78" s="340"/>
      <c r="B78" s="341" t="s">
        <v>2276</v>
      </c>
      <c r="C78" s="318" t="s">
        <v>2277</v>
      </c>
      <c r="D78" s="164" t="s">
        <v>2278</v>
      </c>
      <c r="E78" s="267">
        <v>14</v>
      </c>
      <c r="F78" s="268" t="s">
        <v>402</v>
      </c>
      <c r="G78" s="267">
        <v>8035</v>
      </c>
      <c r="H78" s="267">
        <f t="shared" si="32"/>
        <v>7511.9861576449994</v>
      </c>
      <c r="I78" s="267">
        <f t="shared" si="33"/>
        <v>105167.80620702999</v>
      </c>
      <c r="J78" s="269">
        <v>0</v>
      </c>
      <c r="K78" s="269">
        <v>0</v>
      </c>
      <c r="L78" s="270">
        <f>SUM(I78)</f>
        <v>105167.80620702999</v>
      </c>
      <c r="M78" s="268"/>
      <c r="N78" s="1163">
        <v>0.93490804699999996</v>
      </c>
    </row>
    <row r="79" spans="1:14" ht="18.95" customHeight="1">
      <c r="A79" s="340">
        <v>2.2999999999999998</v>
      </c>
      <c r="B79" s="345" t="s">
        <v>2324</v>
      </c>
      <c r="C79" s="318"/>
      <c r="D79" s="164"/>
      <c r="E79" s="267"/>
      <c r="F79" s="268"/>
      <c r="G79" s="267"/>
      <c r="H79" s="267"/>
      <c r="I79" s="267"/>
      <c r="J79" s="269"/>
      <c r="K79" s="269"/>
      <c r="L79" s="270"/>
      <c r="M79" s="268"/>
      <c r="N79" s="1163">
        <v>0.93490804699999996</v>
      </c>
    </row>
    <row r="80" spans="1:14" ht="18.95" customHeight="1">
      <c r="A80" s="346"/>
      <c r="B80" s="341" t="s">
        <v>2280</v>
      </c>
      <c r="C80" s="318" t="s">
        <v>2281</v>
      </c>
      <c r="D80" s="164"/>
      <c r="E80" s="267">
        <v>1</v>
      </c>
      <c r="F80" s="268" t="s">
        <v>402</v>
      </c>
      <c r="G80" s="267">
        <v>28540</v>
      </c>
      <c r="H80" s="267">
        <f t="shared" ref="H80" si="34">G80*N80</f>
        <v>26682.275661379997</v>
      </c>
      <c r="I80" s="267">
        <f t="shared" ref="I80" si="35">E80*H80</f>
        <v>26682.275661379997</v>
      </c>
      <c r="J80" s="269">
        <v>0</v>
      </c>
      <c r="K80" s="269">
        <v>0</v>
      </c>
      <c r="L80" s="270">
        <f>SUM(I80)</f>
        <v>26682.275661379997</v>
      </c>
      <c r="M80" s="268"/>
      <c r="N80" s="1163">
        <v>0.93490804699999996</v>
      </c>
    </row>
    <row r="81" spans="1:14" ht="18.95" customHeight="1">
      <c r="A81" s="346"/>
      <c r="B81" s="341" t="s">
        <v>2282</v>
      </c>
      <c r="C81" s="318" t="s">
        <v>2283</v>
      </c>
      <c r="D81" s="168"/>
      <c r="E81" s="267">
        <v>1</v>
      </c>
      <c r="F81" s="268" t="s">
        <v>402</v>
      </c>
      <c r="G81" s="267">
        <v>8500</v>
      </c>
      <c r="H81" s="267">
        <f t="shared" ref="H81:H83" si="36">G81*N81</f>
        <v>7946.7183994999996</v>
      </c>
      <c r="I81" s="267">
        <f t="shared" ref="I81:I83" si="37">E81*H81</f>
        <v>7946.7183994999996</v>
      </c>
      <c r="J81" s="269">
        <v>0</v>
      </c>
      <c r="K81" s="269">
        <v>0</v>
      </c>
      <c r="L81" s="270">
        <f>SUM(I81)</f>
        <v>7946.7183994999996</v>
      </c>
      <c r="M81" s="268"/>
      <c r="N81" s="1163">
        <v>0.93490804699999996</v>
      </c>
    </row>
    <row r="82" spans="1:14" ht="18.95" customHeight="1">
      <c r="A82" s="346"/>
      <c r="B82" s="341" t="s">
        <v>2284</v>
      </c>
      <c r="C82" s="318" t="s">
        <v>2285</v>
      </c>
      <c r="D82" s="164"/>
      <c r="E82" s="267">
        <v>1</v>
      </c>
      <c r="F82" s="268" t="s">
        <v>402</v>
      </c>
      <c r="G82" s="267">
        <v>6680</v>
      </c>
      <c r="H82" s="267">
        <f t="shared" si="36"/>
        <v>6245.1857539599996</v>
      </c>
      <c r="I82" s="267">
        <f t="shared" si="37"/>
        <v>6245.1857539599996</v>
      </c>
      <c r="J82" s="269">
        <v>0</v>
      </c>
      <c r="K82" s="269">
        <v>0</v>
      </c>
      <c r="L82" s="270">
        <f>SUM(I82)</f>
        <v>6245.1857539599996</v>
      </c>
      <c r="M82" s="268"/>
      <c r="N82" s="1163">
        <v>0.93490804699999996</v>
      </c>
    </row>
    <row r="83" spans="1:14" ht="18.95" customHeight="1">
      <c r="A83" s="505"/>
      <c r="B83" s="341" t="s">
        <v>2286</v>
      </c>
      <c r="C83" s="318" t="s">
        <v>2274</v>
      </c>
      <c r="D83" s="164" t="s">
        <v>2287</v>
      </c>
      <c r="E83" s="267">
        <v>1</v>
      </c>
      <c r="F83" s="268" t="s">
        <v>402</v>
      </c>
      <c r="G83" s="267">
        <v>14780</v>
      </c>
      <c r="H83" s="267">
        <f t="shared" si="36"/>
        <v>13817.940934659999</v>
      </c>
      <c r="I83" s="267">
        <f t="shared" si="37"/>
        <v>13817.940934659999</v>
      </c>
      <c r="J83" s="269">
        <v>0</v>
      </c>
      <c r="K83" s="269">
        <v>0</v>
      </c>
      <c r="L83" s="270">
        <f>SUM(I83)</f>
        <v>13817.940934659999</v>
      </c>
      <c r="M83" s="268"/>
      <c r="N83" s="1163">
        <v>0.93490804699999996</v>
      </c>
    </row>
    <row r="84" spans="1:14" ht="18.95" customHeight="1">
      <c r="A84" s="346"/>
      <c r="B84" s="344"/>
      <c r="C84" s="318"/>
      <c r="D84" s="164"/>
      <c r="E84" s="267"/>
      <c r="F84" s="268"/>
      <c r="G84" s="267"/>
      <c r="H84" s="267"/>
      <c r="I84" s="267"/>
      <c r="J84" s="269"/>
      <c r="K84" s="269"/>
      <c r="L84" s="270"/>
      <c r="M84" s="268"/>
      <c r="N84" s="1163">
        <v>0.93490804699999996</v>
      </c>
    </row>
    <row r="85" spans="1:14" ht="18.95" customHeight="1">
      <c r="A85" s="505"/>
      <c r="B85" s="1301" t="s">
        <v>2325</v>
      </c>
      <c r="C85" s="1302"/>
      <c r="D85" s="1303"/>
      <c r="E85" s="267"/>
      <c r="F85" s="268"/>
      <c r="G85" s="267"/>
      <c r="H85" s="267"/>
      <c r="I85" s="267"/>
      <c r="J85" s="269"/>
      <c r="K85" s="269"/>
      <c r="L85" s="288">
        <f>SUM(L73:L84)</f>
        <v>919098.75192522991</v>
      </c>
      <c r="M85" s="268"/>
      <c r="N85" s="1163">
        <v>0.93490804699999996</v>
      </c>
    </row>
    <row r="86" spans="1:14" ht="18.95" customHeight="1">
      <c r="A86" s="224"/>
      <c r="B86" s="122"/>
      <c r="C86" s="329"/>
      <c r="D86" s="328"/>
      <c r="E86" s="267"/>
      <c r="F86" s="268"/>
      <c r="G86" s="267"/>
      <c r="H86" s="267"/>
      <c r="I86" s="267"/>
      <c r="J86" s="267"/>
      <c r="K86" s="269"/>
      <c r="L86" s="267"/>
      <c r="M86" s="268"/>
      <c r="N86" s="1163">
        <v>0.93490804699999996</v>
      </c>
    </row>
    <row r="87" spans="1:14" ht="18.95" customHeight="1">
      <c r="A87" s="336">
        <v>3</v>
      </c>
      <c r="B87" s="751" t="s">
        <v>2251</v>
      </c>
      <c r="C87" s="318"/>
      <c r="D87" s="164"/>
      <c r="E87" s="267"/>
      <c r="F87" s="268"/>
      <c r="G87" s="267"/>
      <c r="H87" s="267"/>
      <c r="I87" s="267"/>
      <c r="J87" s="269"/>
      <c r="K87" s="267"/>
      <c r="L87" s="268"/>
      <c r="M87" s="268"/>
      <c r="N87" s="1163">
        <v>0.93490804699999996</v>
      </c>
    </row>
    <row r="88" spans="1:14" ht="18.95" customHeight="1">
      <c r="A88" s="336"/>
      <c r="B88" s="751"/>
      <c r="C88" s="318"/>
      <c r="D88" s="164"/>
      <c r="E88" s="267"/>
      <c r="F88" s="268"/>
      <c r="G88" s="267"/>
      <c r="H88" s="267"/>
      <c r="I88" s="267"/>
      <c r="J88" s="269"/>
      <c r="K88" s="267"/>
      <c r="L88" s="268"/>
      <c r="M88" s="268"/>
      <c r="N88" s="1163">
        <v>0.93490804699999996</v>
      </c>
    </row>
    <row r="89" spans="1:14" ht="18.95" customHeight="1">
      <c r="A89" s="340">
        <v>3.1</v>
      </c>
      <c r="B89" s="341" t="s">
        <v>2326</v>
      </c>
      <c r="C89" s="318"/>
      <c r="D89" s="164"/>
      <c r="E89" s="267"/>
      <c r="F89" s="268"/>
      <c r="G89" s="267"/>
      <c r="H89" s="267"/>
      <c r="I89" s="267"/>
      <c r="J89" s="269"/>
      <c r="K89" s="267"/>
      <c r="L89" s="268"/>
      <c r="M89" s="268"/>
      <c r="N89" s="1163">
        <v>0.93490804699999996</v>
      </c>
    </row>
    <row r="90" spans="1:14" ht="18.95" customHeight="1">
      <c r="A90" s="340"/>
      <c r="B90" s="341" t="s">
        <v>2258</v>
      </c>
      <c r="C90" s="318" t="s">
        <v>2259</v>
      </c>
      <c r="D90" s="164" t="s">
        <v>2260</v>
      </c>
      <c r="E90" s="267">
        <v>28</v>
      </c>
      <c r="F90" s="268" t="s">
        <v>402</v>
      </c>
      <c r="G90" s="267">
        <v>21220</v>
      </c>
      <c r="H90" s="267">
        <f t="shared" ref="H90" si="38">G90*N90</f>
        <v>19838.748757339999</v>
      </c>
      <c r="I90" s="267">
        <f t="shared" ref="I90" si="39">E90*H90</f>
        <v>555484.96520551993</v>
      </c>
      <c r="J90" s="269">
        <v>0</v>
      </c>
      <c r="K90" s="269">
        <v>0</v>
      </c>
      <c r="L90" s="270">
        <f t="shared" ref="L90:L105" si="40">SUM(I90)</f>
        <v>555484.96520551993</v>
      </c>
      <c r="M90" s="268"/>
      <c r="N90" s="1163">
        <v>0.93490804699999996</v>
      </c>
    </row>
    <row r="91" spans="1:14" ht="18.95" customHeight="1">
      <c r="A91" s="340"/>
      <c r="B91" s="341" t="s">
        <v>2264</v>
      </c>
      <c r="C91" s="318" t="s">
        <v>2265</v>
      </c>
      <c r="D91" s="164" t="s">
        <v>2327</v>
      </c>
      <c r="E91" s="267">
        <v>2</v>
      </c>
      <c r="F91" s="268" t="s">
        <v>402</v>
      </c>
      <c r="G91" s="267">
        <v>7238</v>
      </c>
      <c r="H91" s="267">
        <f t="shared" ref="H91:H105" si="41">G91*N91</f>
        <v>6766.8644441859997</v>
      </c>
      <c r="I91" s="267">
        <f t="shared" ref="I91:I105" si="42">E91*H91</f>
        <v>13533.728888371999</v>
      </c>
      <c r="J91" s="269">
        <v>0</v>
      </c>
      <c r="K91" s="269">
        <v>0</v>
      </c>
      <c r="L91" s="270">
        <f t="shared" si="40"/>
        <v>13533.728888371999</v>
      </c>
      <c r="M91" s="268"/>
      <c r="N91" s="1163">
        <v>0.93490804699999996</v>
      </c>
    </row>
    <row r="92" spans="1:14" ht="18.95" customHeight="1">
      <c r="A92" s="340"/>
      <c r="B92" s="341" t="s">
        <v>2328</v>
      </c>
      <c r="C92" s="318" t="s">
        <v>2329</v>
      </c>
      <c r="D92" s="164" t="s">
        <v>2330</v>
      </c>
      <c r="E92" s="267">
        <v>1</v>
      </c>
      <c r="F92" s="268" t="s">
        <v>402</v>
      </c>
      <c r="G92" s="267">
        <v>64400</v>
      </c>
      <c r="H92" s="267">
        <f t="shared" si="41"/>
        <v>60208.078226799997</v>
      </c>
      <c r="I92" s="267">
        <f t="shared" si="42"/>
        <v>60208.078226799997</v>
      </c>
      <c r="J92" s="269">
        <v>0</v>
      </c>
      <c r="K92" s="269">
        <v>0</v>
      </c>
      <c r="L92" s="270">
        <f t="shared" si="40"/>
        <v>60208.078226799997</v>
      </c>
      <c r="M92" s="268"/>
      <c r="N92" s="1163">
        <v>0.93490804699999996</v>
      </c>
    </row>
    <row r="93" spans="1:14" ht="18.95" customHeight="1">
      <c r="A93" s="340"/>
      <c r="B93" s="341" t="s">
        <v>2267</v>
      </c>
      <c r="C93" s="318" t="s">
        <v>2268</v>
      </c>
      <c r="D93" s="164"/>
      <c r="E93" s="267">
        <v>28</v>
      </c>
      <c r="F93" s="268" t="s">
        <v>402</v>
      </c>
      <c r="G93" s="267">
        <v>7950</v>
      </c>
      <c r="H93" s="267">
        <f t="shared" si="41"/>
        <v>7432.5189736499997</v>
      </c>
      <c r="I93" s="267">
        <f t="shared" si="42"/>
        <v>208110.53126219998</v>
      </c>
      <c r="J93" s="269">
        <v>0</v>
      </c>
      <c r="K93" s="269">
        <v>0</v>
      </c>
      <c r="L93" s="270">
        <f t="shared" si="40"/>
        <v>208110.53126219998</v>
      </c>
      <c r="M93" s="268"/>
      <c r="N93" s="1163">
        <v>0.93490804699999996</v>
      </c>
    </row>
    <row r="94" spans="1:14" ht="18.95" customHeight="1">
      <c r="A94" s="340"/>
      <c r="B94" s="341" t="s">
        <v>2271</v>
      </c>
      <c r="C94" s="318" t="s">
        <v>2272</v>
      </c>
      <c r="D94" s="164"/>
      <c r="E94" s="267">
        <v>6</v>
      </c>
      <c r="F94" s="268" t="s">
        <v>402</v>
      </c>
      <c r="G94" s="267">
        <v>11660</v>
      </c>
      <c r="H94" s="267">
        <f t="shared" si="41"/>
        <v>10901.02782802</v>
      </c>
      <c r="I94" s="267">
        <f t="shared" si="42"/>
        <v>65406.16696812</v>
      </c>
      <c r="J94" s="269">
        <v>0</v>
      </c>
      <c r="K94" s="269">
        <v>0</v>
      </c>
      <c r="L94" s="270">
        <f t="shared" si="40"/>
        <v>65406.16696812</v>
      </c>
      <c r="M94" s="268"/>
      <c r="N94" s="1163">
        <v>0.93490804699999996</v>
      </c>
    </row>
    <row r="95" spans="1:14" ht="18.95" customHeight="1">
      <c r="A95" s="340"/>
      <c r="B95" s="341" t="s">
        <v>2296</v>
      </c>
      <c r="C95" s="242" t="s">
        <v>2297</v>
      </c>
      <c r="D95" s="168" t="s">
        <v>2298</v>
      </c>
      <c r="E95" s="267">
        <v>2</v>
      </c>
      <c r="F95" s="268" t="s">
        <v>402</v>
      </c>
      <c r="G95" s="267">
        <v>11980</v>
      </c>
      <c r="H95" s="267">
        <f t="shared" si="41"/>
        <v>11200.19840306</v>
      </c>
      <c r="I95" s="267">
        <f t="shared" si="42"/>
        <v>22400.396806119999</v>
      </c>
      <c r="J95" s="269">
        <v>0</v>
      </c>
      <c r="K95" s="269">
        <v>0</v>
      </c>
      <c r="L95" s="270">
        <f t="shared" si="40"/>
        <v>22400.396806119999</v>
      </c>
      <c r="M95" s="268"/>
      <c r="N95" s="1163">
        <v>0.93490804699999996</v>
      </c>
    </row>
    <row r="96" spans="1:14" ht="18.95" customHeight="1">
      <c r="A96" s="340"/>
      <c r="B96" s="341" t="s">
        <v>2299</v>
      </c>
      <c r="C96" s="242" t="s">
        <v>2300</v>
      </c>
      <c r="D96" s="168" t="s">
        <v>2298</v>
      </c>
      <c r="E96" s="267">
        <v>2</v>
      </c>
      <c r="F96" s="268" t="s">
        <v>402</v>
      </c>
      <c r="G96" s="267">
        <v>9990</v>
      </c>
      <c r="H96" s="267">
        <f t="shared" si="41"/>
        <v>9339.7313895299994</v>
      </c>
      <c r="I96" s="267">
        <f t="shared" si="42"/>
        <v>18679.462779059999</v>
      </c>
      <c r="J96" s="269">
        <v>0</v>
      </c>
      <c r="K96" s="269">
        <v>0</v>
      </c>
      <c r="L96" s="270">
        <f t="shared" si="40"/>
        <v>18679.462779059999</v>
      </c>
      <c r="M96" s="268"/>
      <c r="N96" s="1163">
        <v>0.93490804699999996</v>
      </c>
    </row>
    <row r="97" spans="1:14" ht="18.95" customHeight="1">
      <c r="A97" s="340"/>
      <c r="B97" s="341" t="s">
        <v>2331</v>
      </c>
      <c r="C97" s="318" t="s">
        <v>2332</v>
      </c>
      <c r="D97" s="164"/>
      <c r="E97" s="267">
        <v>6</v>
      </c>
      <c r="F97" s="268" t="s">
        <v>402</v>
      </c>
      <c r="G97" s="267">
        <v>12000</v>
      </c>
      <c r="H97" s="267">
        <f t="shared" si="41"/>
        <v>11218.896563999999</v>
      </c>
      <c r="I97" s="267">
        <f t="shared" si="42"/>
        <v>67313.379384</v>
      </c>
      <c r="J97" s="269">
        <v>0</v>
      </c>
      <c r="K97" s="269">
        <v>0</v>
      </c>
      <c r="L97" s="270">
        <f t="shared" si="40"/>
        <v>67313.379384</v>
      </c>
      <c r="M97" s="268"/>
      <c r="N97" s="1163">
        <v>0.93490804699999996</v>
      </c>
    </row>
    <row r="98" spans="1:14" ht="18.95" customHeight="1">
      <c r="A98" s="346"/>
      <c r="B98" s="341" t="s">
        <v>2273</v>
      </c>
      <c r="C98" s="318" t="s">
        <v>2274</v>
      </c>
      <c r="D98" s="164" t="s">
        <v>2275</v>
      </c>
      <c r="E98" s="267">
        <v>10</v>
      </c>
      <c r="F98" s="268" t="s">
        <v>402</v>
      </c>
      <c r="G98" s="267">
        <v>16740</v>
      </c>
      <c r="H98" s="267">
        <f t="shared" si="41"/>
        <v>15650.360706779999</v>
      </c>
      <c r="I98" s="267">
        <f t="shared" si="42"/>
        <v>156503.60706779998</v>
      </c>
      <c r="J98" s="269">
        <v>0</v>
      </c>
      <c r="K98" s="269">
        <v>0</v>
      </c>
      <c r="L98" s="270">
        <f t="shared" si="40"/>
        <v>156503.60706779998</v>
      </c>
      <c r="M98" s="268"/>
      <c r="N98" s="1163">
        <v>0.93490804699999996</v>
      </c>
    </row>
    <row r="99" spans="1:14" ht="18.95" customHeight="1">
      <c r="A99" s="346"/>
      <c r="B99" s="341" t="s">
        <v>2333</v>
      </c>
      <c r="C99" s="318" t="s">
        <v>2274</v>
      </c>
      <c r="D99" s="164" t="s">
        <v>2334</v>
      </c>
      <c r="E99" s="267">
        <v>3</v>
      </c>
      <c r="F99" s="268" t="s">
        <v>402</v>
      </c>
      <c r="G99" s="267">
        <v>25100</v>
      </c>
      <c r="H99" s="267">
        <f t="shared" si="41"/>
        <v>23466.191979699997</v>
      </c>
      <c r="I99" s="267">
        <f t="shared" si="42"/>
        <v>70398.575939099988</v>
      </c>
      <c r="J99" s="269">
        <v>0</v>
      </c>
      <c r="K99" s="269">
        <v>0</v>
      </c>
      <c r="L99" s="270">
        <f t="shared" si="40"/>
        <v>70398.575939099988</v>
      </c>
      <c r="M99" s="268"/>
      <c r="N99" s="1163">
        <v>0.93490804699999996</v>
      </c>
    </row>
    <row r="100" spans="1:14" ht="18.95" customHeight="1">
      <c r="A100" s="505"/>
      <c r="B100" s="341" t="s">
        <v>2335</v>
      </c>
      <c r="C100" s="318" t="s">
        <v>2274</v>
      </c>
      <c r="D100" s="164" t="s">
        <v>2336</v>
      </c>
      <c r="E100" s="267">
        <v>2</v>
      </c>
      <c r="F100" s="268" t="s">
        <v>402</v>
      </c>
      <c r="G100" s="267">
        <v>12550</v>
      </c>
      <c r="H100" s="267">
        <f t="shared" si="41"/>
        <v>11733.095989849999</v>
      </c>
      <c r="I100" s="267">
        <f t="shared" si="42"/>
        <v>23466.191979699997</v>
      </c>
      <c r="J100" s="269">
        <v>0</v>
      </c>
      <c r="K100" s="269">
        <v>0</v>
      </c>
      <c r="L100" s="270">
        <f t="shared" si="40"/>
        <v>23466.191979699997</v>
      </c>
      <c r="M100" s="268"/>
      <c r="N100" s="1163">
        <v>0.93490804699999996</v>
      </c>
    </row>
    <row r="101" spans="1:14" ht="18.95" customHeight="1">
      <c r="A101" s="346"/>
      <c r="B101" s="341" t="s">
        <v>2337</v>
      </c>
      <c r="C101" s="318" t="s">
        <v>2338</v>
      </c>
      <c r="D101" s="164" t="s">
        <v>2339</v>
      </c>
      <c r="E101" s="267">
        <v>1</v>
      </c>
      <c r="F101" s="268" t="s">
        <v>402</v>
      </c>
      <c r="G101" s="267">
        <v>3500</v>
      </c>
      <c r="H101" s="267">
        <f t="shared" si="41"/>
        <v>3272.1781645000001</v>
      </c>
      <c r="I101" s="267">
        <f t="shared" si="42"/>
        <v>3272.1781645000001</v>
      </c>
      <c r="J101" s="269">
        <v>0</v>
      </c>
      <c r="K101" s="269">
        <v>0</v>
      </c>
      <c r="L101" s="270">
        <f t="shared" si="40"/>
        <v>3272.1781645000001</v>
      </c>
      <c r="M101" s="268"/>
      <c r="N101" s="1163">
        <v>0.93490804699999996</v>
      </c>
    </row>
    <row r="102" spans="1:14" ht="18.95" customHeight="1">
      <c r="A102" s="505"/>
      <c r="B102" s="341" t="s">
        <v>2276</v>
      </c>
      <c r="C102" s="318" t="s">
        <v>2277</v>
      </c>
      <c r="D102" s="164" t="s">
        <v>2278</v>
      </c>
      <c r="E102" s="267">
        <v>13</v>
      </c>
      <c r="F102" s="268" t="s">
        <v>402</v>
      </c>
      <c r="G102" s="267">
        <v>8035</v>
      </c>
      <c r="H102" s="267">
        <f t="shared" si="41"/>
        <v>7511.9861576449994</v>
      </c>
      <c r="I102" s="267">
        <f t="shared" si="42"/>
        <v>97655.820049384987</v>
      </c>
      <c r="J102" s="269">
        <v>0</v>
      </c>
      <c r="K102" s="269">
        <v>0</v>
      </c>
      <c r="L102" s="270">
        <f t="shared" si="40"/>
        <v>97655.820049384987</v>
      </c>
      <c r="M102" s="268"/>
      <c r="N102" s="1163">
        <v>0.93490804699999996</v>
      </c>
    </row>
    <row r="103" spans="1:14" ht="18.95" customHeight="1">
      <c r="A103" s="340"/>
      <c r="B103" s="341" t="s">
        <v>2340</v>
      </c>
      <c r="C103" s="318" t="s">
        <v>2341</v>
      </c>
      <c r="D103" s="164" t="s">
        <v>2342</v>
      </c>
      <c r="E103" s="267">
        <v>6</v>
      </c>
      <c r="F103" s="268" t="s">
        <v>402</v>
      </c>
      <c r="G103" s="267">
        <v>3350</v>
      </c>
      <c r="H103" s="267">
        <f t="shared" si="41"/>
        <v>3131.9419574499998</v>
      </c>
      <c r="I103" s="267">
        <f t="shared" si="42"/>
        <v>18791.651744700001</v>
      </c>
      <c r="J103" s="269">
        <v>0</v>
      </c>
      <c r="K103" s="269">
        <v>0</v>
      </c>
      <c r="L103" s="270">
        <f t="shared" si="40"/>
        <v>18791.651744700001</v>
      </c>
      <c r="M103" s="268"/>
      <c r="N103" s="1163">
        <v>0.93490804699999996</v>
      </c>
    </row>
    <row r="104" spans="1:14" ht="18.95" customHeight="1">
      <c r="A104" s="340"/>
      <c r="B104" s="341" t="s">
        <v>2343</v>
      </c>
      <c r="C104" s="318" t="s">
        <v>2341</v>
      </c>
      <c r="D104" s="167" t="s">
        <v>2344</v>
      </c>
      <c r="E104" s="267">
        <v>11</v>
      </c>
      <c r="F104" s="268" t="s">
        <v>402</v>
      </c>
      <c r="G104" s="267">
        <v>2650</v>
      </c>
      <c r="H104" s="267">
        <f t="shared" si="41"/>
        <v>2477.50632455</v>
      </c>
      <c r="I104" s="267">
        <f t="shared" si="42"/>
        <v>27252.56957005</v>
      </c>
      <c r="J104" s="269">
        <v>0</v>
      </c>
      <c r="K104" s="269">
        <v>0</v>
      </c>
      <c r="L104" s="270">
        <f t="shared" si="40"/>
        <v>27252.56957005</v>
      </c>
      <c r="M104" s="268"/>
      <c r="N104" s="1163">
        <v>0.93490804699999996</v>
      </c>
    </row>
    <row r="105" spans="1:14" ht="18.95" customHeight="1">
      <c r="A105" s="340"/>
      <c r="B105" s="341" t="s">
        <v>2345</v>
      </c>
      <c r="C105" s="318" t="s">
        <v>2341</v>
      </c>
      <c r="D105" s="164" t="s">
        <v>2346</v>
      </c>
      <c r="E105" s="267">
        <v>6</v>
      </c>
      <c r="F105" s="268" t="s">
        <v>402</v>
      </c>
      <c r="G105" s="267">
        <v>2430</v>
      </c>
      <c r="H105" s="267">
        <f t="shared" si="41"/>
        <v>2271.8265542099998</v>
      </c>
      <c r="I105" s="267">
        <f t="shared" si="42"/>
        <v>13630.959325259999</v>
      </c>
      <c r="J105" s="269">
        <v>0</v>
      </c>
      <c r="K105" s="269">
        <v>0</v>
      </c>
      <c r="L105" s="270">
        <f t="shared" si="40"/>
        <v>13630.959325259999</v>
      </c>
      <c r="M105" s="268"/>
      <c r="N105" s="1163">
        <v>0.93490804699999996</v>
      </c>
    </row>
    <row r="106" spans="1:14" ht="18.95" customHeight="1">
      <c r="A106" s="340">
        <v>3.2</v>
      </c>
      <c r="B106" s="345" t="s">
        <v>2347</v>
      </c>
      <c r="C106" s="318"/>
      <c r="D106" s="164"/>
      <c r="E106" s="267"/>
      <c r="F106" s="268"/>
      <c r="G106" s="267"/>
      <c r="H106" s="267"/>
      <c r="I106" s="267"/>
      <c r="J106" s="269"/>
      <c r="K106" s="269"/>
      <c r="L106" s="270"/>
      <c r="M106" s="268"/>
      <c r="N106" s="1163">
        <v>0.93490804699999996</v>
      </c>
    </row>
    <row r="107" spans="1:14" ht="18.95" customHeight="1">
      <c r="A107" s="340"/>
      <c r="B107" s="341" t="s">
        <v>2280</v>
      </c>
      <c r="C107" s="318" t="s">
        <v>2281</v>
      </c>
      <c r="D107" s="164"/>
      <c r="E107" s="267">
        <v>2</v>
      </c>
      <c r="F107" s="268" t="s">
        <v>402</v>
      </c>
      <c r="G107" s="267">
        <v>28540</v>
      </c>
      <c r="H107" s="267">
        <f t="shared" ref="H107" si="43">G107*N107</f>
        <v>26682.275661379997</v>
      </c>
      <c r="I107" s="267">
        <f t="shared" ref="I107" si="44">E107*H107</f>
        <v>53364.551322759995</v>
      </c>
      <c r="J107" s="269">
        <v>0</v>
      </c>
      <c r="K107" s="269">
        <v>0</v>
      </c>
      <c r="L107" s="270">
        <f>SUM(I107)</f>
        <v>53364.551322759995</v>
      </c>
      <c r="M107" s="268"/>
      <c r="N107" s="1163">
        <v>0.93490804699999996</v>
      </c>
    </row>
    <row r="108" spans="1:14" ht="18.95" customHeight="1">
      <c r="A108" s="340"/>
      <c r="B108" s="341" t="s">
        <v>2282</v>
      </c>
      <c r="C108" s="318" t="s">
        <v>2283</v>
      </c>
      <c r="D108" s="168"/>
      <c r="E108" s="267">
        <v>2</v>
      </c>
      <c r="F108" s="268" t="s">
        <v>402</v>
      </c>
      <c r="G108" s="267">
        <v>8500</v>
      </c>
      <c r="H108" s="267">
        <f t="shared" ref="H108:H110" si="45">G108*N108</f>
        <v>7946.7183994999996</v>
      </c>
      <c r="I108" s="267">
        <f t="shared" ref="I108:I110" si="46">E108*H108</f>
        <v>15893.436798999999</v>
      </c>
      <c r="J108" s="269">
        <v>0</v>
      </c>
      <c r="K108" s="269">
        <v>0</v>
      </c>
      <c r="L108" s="270">
        <f>SUM(I108)</f>
        <v>15893.436798999999</v>
      </c>
      <c r="M108" s="268"/>
      <c r="N108" s="1163">
        <v>0.93490804699999996</v>
      </c>
    </row>
    <row r="109" spans="1:14" ht="18.95" customHeight="1">
      <c r="A109" s="340"/>
      <c r="B109" s="341" t="s">
        <v>2284</v>
      </c>
      <c r="C109" s="318" t="s">
        <v>2285</v>
      </c>
      <c r="D109" s="164"/>
      <c r="E109" s="267">
        <v>2</v>
      </c>
      <c r="F109" s="268" t="s">
        <v>402</v>
      </c>
      <c r="G109" s="267">
        <v>6680</v>
      </c>
      <c r="H109" s="267">
        <f t="shared" si="45"/>
        <v>6245.1857539599996</v>
      </c>
      <c r="I109" s="267">
        <f t="shared" si="46"/>
        <v>12490.371507919999</v>
      </c>
      <c r="J109" s="269">
        <v>0</v>
      </c>
      <c r="K109" s="269">
        <v>0</v>
      </c>
      <c r="L109" s="270">
        <f>SUM(I109)</f>
        <v>12490.371507919999</v>
      </c>
      <c r="M109" s="268"/>
      <c r="N109" s="1163">
        <v>0.93490804699999996</v>
      </c>
    </row>
    <row r="110" spans="1:14" ht="18.95" customHeight="1">
      <c r="A110" s="346"/>
      <c r="B110" s="341" t="s">
        <v>2286</v>
      </c>
      <c r="C110" s="318" t="s">
        <v>2274</v>
      </c>
      <c r="D110" s="164" t="s">
        <v>2287</v>
      </c>
      <c r="E110" s="267">
        <v>2</v>
      </c>
      <c r="F110" s="268" t="s">
        <v>402</v>
      </c>
      <c r="G110" s="267">
        <v>14780</v>
      </c>
      <c r="H110" s="267">
        <f t="shared" si="45"/>
        <v>13817.940934659999</v>
      </c>
      <c r="I110" s="267">
        <f t="shared" si="46"/>
        <v>27635.881869319997</v>
      </c>
      <c r="J110" s="269">
        <v>0</v>
      </c>
      <c r="K110" s="269">
        <v>0</v>
      </c>
      <c r="L110" s="270">
        <f>SUM(I110)</f>
        <v>27635.881869319997</v>
      </c>
      <c r="M110" s="268"/>
      <c r="N110" s="1163">
        <v>0.93490804699999996</v>
      </c>
    </row>
    <row r="111" spans="1:14" ht="18.95" customHeight="1">
      <c r="A111" s="340">
        <v>3.3</v>
      </c>
      <c r="B111" s="344" t="s">
        <v>2348</v>
      </c>
      <c r="C111" s="318"/>
      <c r="D111" s="235"/>
      <c r="E111" s="267"/>
      <c r="F111" s="268"/>
      <c r="G111" s="267"/>
      <c r="H111" s="267"/>
      <c r="I111" s="267"/>
      <c r="J111" s="269"/>
      <c r="K111" s="269"/>
      <c r="L111" s="270"/>
      <c r="M111" s="268"/>
      <c r="N111" s="1163">
        <v>0.93490804699999996</v>
      </c>
    </row>
    <row r="112" spans="1:14" ht="18.95" customHeight="1">
      <c r="A112" s="346"/>
      <c r="B112" s="341" t="s">
        <v>2258</v>
      </c>
      <c r="C112" s="318" t="s">
        <v>2259</v>
      </c>
      <c r="D112" s="164" t="s">
        <v>2349</v>
      </c>
      <c r="E112" s="267">
        <v>2</v>
      </c>
      <c r="F112" s="268" t="s">
        <v>402</v>
      </c>
      <c r="G112" s="267">
        <v>21220</v>
      </c>
      <c r="H112" s="267">
        <f t="shared" ref="H112" si="47">G112*N112</f>
        <v>19838.748757339999</v>
      </c>
      <c r="I112" s="267">
        <f t="shared" ref="I112" si="48">E112*H112</f>
        <v>39677.497514679999</v>
      </c>
      <c r="J112" s="269">
        <v>0</v>
      </c>
      <c r="K112" s="269">
        <v>0</v>
      </c>
      <c r="L112" s="270">
        <f>SUM(I112)</f>
        <v>39677.497514679999</v>
      </c>
      <c r="M112" s="268"/>
      <c r="N112" s="1163">
        <v>0.93490804699999996</v>
      </c>
    </row>
    <row r="113" spans="1:14" ht="18.95" customHeight="1">
      <c r="A113" s="346"/>
      <c r="B113" s="341" t="s">
        <v>2267</v>
      </c>
      <c r="C113" s="318" t="s">
        <v>2268</v>
      </c>
      <c r="D113" s="164"/>
      <c r="E113" s="267">
        <v>2</v>
      </c>
      <c r="F113" s="268" t="s">
        <v>402</v>
      </c>
      <c r="G113" s="267">
        <v>7950</v>
      </c>
      <c r="H113" s="267">
        <f t="shared" ref="H113" si="49">G113*N113</f>
        <v>7432.5189736499997</v>
      </c>
      <c r="I113" s="267">
        <f t="shared" ref="I113" si="50">E113*H113</f>
        <v>14865.037947299999</v>
      </c>
      <c r="J113" s="269">
        <v>0</v>
      </c>
      <c r="K113" s="269">
        <v>0</v>
      </c>
      <c r="L113" s="270">
        <f>SUM(I113)</f>
        <v>14865.037947299999</v>
      </c>
      <c r="M113" s="268"/>
      <c r="N113" s="1163">
        <v>0.93490804699999996</v>
      </c>
    </row>
    <row r="114" spans="1:14" ht="18.95" customHeight="1">
      <c r="A114" s="224"/>
      <c r="B114" s="122"/>
      <c r="C114" s="329"/>
      <c r="D114" s="328"/>
      <c r="E114" s="267"/>
      <c r="F114" s="268"/>
      <c r="G114" s="267"/>
      <c r="H114" s="267"/>
      <c r="I114" s="267"/>
      <c r="J114" s="267"/>
      <c r="K114" s="269"/>
      <c r="L114" s="267"/>
      <c r="M114" s="268"/>
      <c r="N114" s="1163">
        <v>0.93490804699999996</v>
      </c>
    </row>
    <row r="115" spans="1:14" ht="18.95" customHeight="1">
      <c r="A115" s="505"/>
      <c r="B115" s="344"/>
      <c r="C115" s="318"/>
      <c r="D115" s="164"/>
      <c r="E115" s="267"/>
      <c r="F115" s="268"/>
      <c r="G115" s="267"/>
      <c r="H115" s="267"/>
      <c r="I115" s="267"/>
      <c r="J115" s="269"/>
      <c r="K115" s="267"/>
      <c r="L115" s="268"/>
      <c r="M115" s="268"/>
      <c r="N115" s="1163">
        <v>0.93490804699999996</v>
      </c>
    </row>
    <row r="116" spans="1:14" ht="18.95" customHeight="1">
      <c r="A116" s="346"/>
      <c r="B116" s="341" t="s">
        <v>2286</v>
      </c>
      <c r="C116" s="318" t="s">
        <v>2274</v>
      </c>
      <c r="D116" s="164" t="s">
        <v>2287</v>
      </c>
      <c r="E116" s="267">
        <v>4</v>
      </c>
      <c r="F116" s="268" t="s">
        <v>402</v>
      </c>
      <c r="G116" s="267">
        <v>14780</v>
      </c>
      <c r="H116" s="267">
        <f t="shared" ref="H116" si="51">G116*N116</f>
        <v>13817.940934659999</v>
      </c>
      <c r="I116" s="267">
        <f t="shared" ref="I116" si="52">E116*H116</f>
        <v>55271.763738639995</v>
      </c>
      <c r="J116" s="269">
        <v>0</v>
      </c>
      <c r="K116" s="269">
        <v>0</v>
      </c>
      <c r="L116" s="270">
        <f>SUM(I116)</f>
        <v>55271.763738639995</v>
      </c>
      <c r="M116" s="268"/>
      <c r="N116" s="1163">
        <v>0.93490804699999996</v>
      </c>
    </row>
    <row r="117" spans="1:14" ht="18.95" customHeight="1">
      <c r="A117" s="340">
        <v>3.3</v>
      </c>
      <c r="B117" s="345" t="s">
        <v>2350</v>
      </c>
      <c r="C117" s="318"/>
      <c r="D117" s="164"/>
      <c r="E117" s="267"/>
      <c r="F117" s="268"/>
      <c r="G117" s="267"/>
      <c r="H117" s="267"/>
      <c r="I117" s="267"/>
      <c r="J117" s="269"/>
      <c r="K117" s="267"/>
      <c r="L117" s="268"/>
      <c r="M117" s="268"/>
      <c r="N117" s="1163">
        <v>0.93490804699999996</v>
      </c>
    </row>
    <row r="118" spans="1:14" ht="18.95" customHeight="1">
      <c r="A118" s="340"/>
      <c r="B118" s="341" t="s">
        <v>2280</v>
      </c>
      <c r="C118" s="318" t="s">
        <v>2281</v>
      </c>
      <c r="D118" s="164"/>
      <c r="E118" s="267">
        <v>1</v>
      </c>
      <c r="F118" s="268" t="s">
        <v>402</v>
      </c>
      <c r="G118" s="267">
        <v>28540</v>
      </c>
      <c r="H118" s="267">
        <f t="shared" ref="H118" si="53">G118*N118</f>
        <v>26682.275661379997</v>
      </c>
      <c r="I118" s="267">
        <f t="shared" ref="I118" si="54">E118*H118</f>
        <v>26682.275661379997</v>
      </c>
      <c r="J118" s="269">
        <v>0</v>
      </c>
      <c r="K118" s="269">
        <v>0</v>
      </c>
      <c r="L118" s="270">
        <f>SUM(I118)</f>
        <v>26682.275661379997</v>
      </c>
      <c r="M118" s="268"/>
      <c r="N118" s="1163">
        <v>0.93490804699999996</v>
      </c>
    </row>
    <row r="119" spans="1:14" ht="18.95" customHeight="1">
      <c r="A119" s="340"/>
      <c r="B119" s="341" t="s">
        <v>2282</v>
      </c>
      <c r="C119" s="318" t="s">
        <v>2283</v>
      </c>
      <c r="D119" s="168"/>
      <c r="E119" s="267">
        <v>1</v>
      </c>
      <c r="F119" s="268" t="s">
        <v>402</v>
      </c>
      <c r="G119" s="267">
        <v>8508.5</v>
      </c>
      <c r="H119" s="267">
        <f t="shared" ref="H119:H121" si="55">G119*N119</f>
        <v>7954.6651178994998</v>
      </c>
      <c r="I119" s="267">
        <f t="shared" ref="I119:I121" si="56">E119*H119</f>
        <v>7954.6651178994998</v>
      </c>
      <c r="J119" s="269">
        <v>0</v>
      </c>
      <c r="K119" s="269">
        <v>0</v>
      </c>
      <c r="L119" s="270">
        <f>SUM(I119)</f>
        <v>7954.6651178994998</v>
      </c>
      <c r="M119" s="268"/>
      <c r="N119" s="1163">
        <v>0.93490804699999996</v>
      </c>
    </row>
    <row r="120" spans="1:14" ht="18.95" customHeight="1">
      <c r="A120" s="340"/>
      <c r="B120" s="341" t="s">
        <v>2284</v>
      </c>
      <c r="C120" s="318" t="s">
        <v>2285</v>
      </c>
      <c r="D120" s="164"/>
      <c r="E120" s="267">
        <v>1</v>
      </c>
      <c r="F120" s="268" t="s">
        <v>402</v>
      </c>
      <c r="G120" s="267">
        <v>6682</v>
      </c>
      <c r="H120" s="267">
        <f t="shared" si="55"/>
        <v>6247.0555700539999</v>
      </c>
      <c r="I120" s="267">
        <f t="shared" si="56"/>
        <v>6247.0555700539999</v>
      </c>
      <c r="J120" s="269">
        <v>0</v>
      </c>
      <c r="K120" s="269">
        <v>0</v>
      </c>
      <c r="L120" s="270">
        <f>SUM(I120)</f>
        <v>6247.0555700539999</v>
      </c>
      <c r="M120" s="268"/>
      <c r="N120" s="1163">
        <v>0.93490804699999996</v>
      </c>
    </row>
    <row r="121" spans="1:14" ht="18.95" customHeight="1">
      <c r="A121" s="346"/>
      <c r="B121" s="341" t="s">
        <v>2286</v>
      </c>
      <c r="C121" s="318" t="s">
        <v>2274</v>
      </c>
      <c r="D121" s="164" t="s">
        <v>2287</v>
      </c>
      <c r="E121" s="267">
        <v>1</v>
      </c>
      <c r="F121" s="268" t="s">
        <v>402</v>
      </c>
      <c r="G121" s="267">
        <v>14780</v>
      </c>
      <c r="H121" s="267">
        <f t="shared" si="55"/>
        <v>13817.940934659999</v>
      </c>
      <c r="I121" s="267">
        <f t="shared" si="56"/>
        <v>13817.940934659999</v>
      </c>
      <c r="J121" s="269">
        <v>0</v>
      </c>
      <c r="K121" s="269">
        <v>0</v>
      </c>
      <c r="L121" s="270">
        <f>SUM(I121)</f>
        <v>13817.940934659999</v>
      </c>
      <c r="M121" s="268"/>
      <c r="N121" s="1163">
        <v>0.93490804699999996</v>
      </c>
    </row>
    <row r="122" spans="1:14" ht="18.95" customHeight="1">
      <c r="A122" s="340">
        <v>3.4</v>
      </c>
      <c r="B122" s="341" t="s">
        <v>2351</v>
      </c>
      <c r="C122" s="318"/>
      <c r="D122" s="164"/>
      <c r="E122" s="267"/>
      <c r="F122" s="268"/>
      <c r="G122" s="267"/>
      <c r="H122" s="267"/>
      <c r="I122" s="267"/>
      <c r="J122" s="269"/>
      <c r="K122" s="269"/>
      <c r="L122" s="270"/>
      <c r="M122" s="270"/>
      <c r="N122" s="1163">
        <v>0.93490804699999996</v>
      </c>
    </row>
    <row r="123" spans="1:14" ht="18.95" customHeight="1">
      <c r="A123" s="340"/>
      <c r="B123" s="341" t="s">
        <v>2352</v>
      </c>
      <c r="C123" s="318" t="s">
        <v>2353</v>
      </c>
      <c r="D123" s="164"/>
      <c r="E123" s="267">
        <v>17</v>
      </c>
      <c r="F123" s="268" t="s">
        <v>402</v>
      </c>
      <c r="G123" s="267">
        <v>11180</v>
      </c>
      <c r="H123" s="267">
        <f t="shared" ref="H123" si="57">G123*N123</f>
        <v>10452.271965460001</v>
      </c>
      <c r="I123" s="267">
        <f t="shared" ref="I123" si="58">E123*H123</f>
        <v>177688.62341282002</v>
      </c>
      <c r="J123" s="269">
        <v>0</v>
      </c>
      <c r="K123" s="269">
        <v>0</v>
      </c>
      <c r="L123" s="270">
        <f>SUM(I123)</f>
        <v>177688.62341282002</v>
      </c>
      <c r="M123" s="268"/>
      <c r="N123" s="1163">
        <v>0.93490804699999996</v>
      </c>
    </row>
    <row r="124" spans="1:14" ht="18.95" customHeight="1">
      <c r="A124" s="340">
        <v>3.5</v>
      </c>
      <c r="B124" s="344" t="s">
        <v>2354</v>
      </c>
      <c r="C124" s="318"/>
      <c r="D124" s="164"/>
      <c r="E124" s="267"/>
      <c r="F124" s="268"/>
      <c r="G124" s="267"/>
      <c r="H124" s="267"/>
      <c r="I124" s="267"/>
      <c r="J124" s="269"/>
      <c r="K124" s="269"/>
      <c r="L124" s="270"/>
      <c r="M124" s="270"/>
      <c r="N124" s="1163">
        <v>0.93490804699999996</v>
      </c>
    </row>
    <row r="125" spans="1:14" ht="18.95" customHeight="1">
      <c r="A125" s="340"/>
      <c r="B125" s="341" t="s">
        <v>2355</v>
      </c>
      <c r="C125" s="318" t="s">
        <v>2356</v>
      </c>
      <c r="D125" s="164" t="s">
        <v>2357</v>
      </c>
      <c r="E125" s="267">
        <v>1</v>
      </c>
      <c r="F125" s="268" t="s">
        <v>402</v>
      </c>
      <c r="G125" s="267">
        <v>21590</v>
      </c>
      <c r="H125" s="267">
        <f t="shared" ref="H125" si="59">G125*N125</f>
        <v>20184.664734729999</v>
      </c>
      <c r="I125" s="267">
        <f t="shared" ref="I125" si="60">E125*H125</f>
        <v>20184.664734729999</v>
      </c>
      <c r="J125" s="269">
        <v>0</v>
      </c>
      <c r="K125" s="269">
        <v>0</v>
      </c>
      <c r="L125" s="270">
        <f>SUM(I125)</f>
        <v>20184.664734729999</v>
      </c>
      <c r="M125" s="268"/>
      <c r="N125" s="1163">
        <v>0.93490804699999996</v>
      </c>
    </row>
    <row r="126" spans="1:14" ht="18.95" customHeight="1">
      <c r="A126" s="340"/>
      <c r="B126" s="341" t="s">
        <v>2358</v>
      </c>
      <c r="C126" s="318" t="s">
        <v>2359</v>
      </c>
      <c r="D126" s="164" t="s">
        <v>2360</v>
      </c>
      <c r="E126" s="267">
        <v>1</v>
      </c>
      <c r="F126" s="268" t="s">
        <v>402</v>
      </c>
      <c r="G126" s="267">
        <v>17660</v>
      </c>
      <c r="H126" s="267">
        <f t="shared" ref="H126:H129" si="61">G126*N126</f>
        <v>16510.476110019998</v>
      </c>
      <c r="I126" s="267">
        <f t="shared" ref="I126:I129" si="62">E126*H126</f>
        <v>16510.476110019998</v>
      </c>
      <c r="J126" s="269">
        <v>0</v>
      </c>
      <c r="K126" s="269">
        <v>0</v>
      </c>
      <c r="L126" s="270">
        <f>SUM(I126)</f>
        <v>16510.476110019998</v>
      </c>
      <c r="M126" s="268"/>
      <c r="N126" s="1163">
        <v>0.93490804699999996</v>
      </c>
    </row>
    <row r="127" spans="1:14" ht="18.95" customHeight="1">
      <c r="A127" s="346"/>
      <c r="B127" s="341" t="s">
        <v>2361</v>
      </c>
      <c r="C127" s="318" t="s">
        <v>2362</v>
      </c>
      <c r="D127" s="164"/>
      <c r="E127" s="267">
        <v>2</v>
      </c>
      <c r="F127" s="268" t="s">
        <v>402</v>
      </c>
      <c r="G127" s="267">
        <v>83500</v>
      </c>
      <c r="H127" s="267">
        <f t="shared" si="61"/>
        <v>78064.821924499993</v>
      </c>
      <c r="I127" s="267">
        <f t="shared" si="62"/>
        <v>156129.64384899999</v>
      </c>
      <c r="J127" s="269">
        <v>0</v>
      </c>
      <c r="K127" s="269">
        <v>0</v>
      </c>
      <c r="L127" s="270">
        <f>SUM(I127)</f>
        <v>156129.64384899999</v>
      </c>
      <c r="M127" s="268"/>
      <c r="N127" s="1163">
        <v>0.93490804699999996</v>
      </c>
    </row>
    <row r="128" spans="1:14" ht="18.95" customHeight="1">
      <c r="A128" s="346"/>
      <c r="B128" s="341" t="s">
        <v>2363</v>
      </c>
      <c r="C128" s="318" t="s">
        <v>2364</v>
      </c>
      <c r="D128" s="168"/>
      <c r="E128" s="267">
        <v>2</v>
      </c>
      <c r="F128" s="268" t="s">
        <v>402</v>
      </c>
      <c r="G128" s="267">
        <v>36000</v>
      </c>
      <c r="H128" s="267">
        <f t="shared" si="61"/>
        <v>33656.689692</v>
      </c>
      <c r="I128" s="267">
        <f t="shared" si="62"/>
        <v>67313.379384</v>
      </c>
      <c r="J128" s="269">
        <v>0</v>
      </c>
      <c r="K128" s="269">
        <v>0</v>
      </c>
      <c r="L128" s="270">
        <f>SUM(I128)</f>
        <v>67313.379384</v>
      </c>
      <c r="M128" s="268"/>
      <c r="N128" s="1163">
        <v>0.93490804699999996</v>
      </c>
    </row>
    <row r="129" spans="1:14" ht="18.95" customHeight="1">
      <c r="A129" s="346"/>
      <c r="B129" s="341" t="s">
        <v>2365</v>
      </c>
      <c r="C129" s="318" t="s">
        <v>2366</v>
      </c>
      <c r="D129" s="164"/>
      <c r="E129" s="267">
        <v>4</v>
      </c>
      <c r="F129" s="268" t="s">
        <v>402</v>
      </c>
      <c r="G129" s="267">
        <v>6370</v>
      </c>
      <c r="H129" s="267">
        <f t="shared" si="61"/>
        <v>5955.3642593899995</v>
      </c>
      <c r="I129" s="267">
        <f t="shared" si="62"/>
        <v>23821.457037559998</v>
      </c>
      <c r="J129" s="269">
        <v>0</v>
      </c>
      <c r="K129" s="269">
        <v>0</v>
      </c>
      <c r="L129" s="270">
        <f>SUM(I129)</f>
        <v>23821.457037559998</v>
      </c>
      <c r="M129" s="268"/>
      <c r="N129" s="1163">
        <v>0.93490804699999996</v>
      </c>
    </row>
    <row r="130" spans="1:14" ht="18.95" customHeight="1">
      <c r="A130" s="340">
        <v>3.6</v>
      </c>
      <c r="B130" s="341" t="s">
        <v>2367</v>
      </c>
      <c r="C130" s="318"/>
      <c r="D130" s="164"/>
      <c r="E130" s="267"/>
      <c r="F130" s="268"/>
      <c r="G130" s="267"/>
      <c r="H130" s="267"/>
      <c r="I130" s="267"/>
      <c r="J130" s="269"/>
      <c r="K130" s="269"/>
      <c r="L130" s="270"/>
      <c r="M130" s="268"/>
      <c r="N130" s="1163">
        <v>0.93490804699999996</v>
      </c>
    </row>
    <row r="131" spans="1:14" ht="18.95" customHeight="1">
      <c r="A131" s="340"/>
      <c r="B131" s="341" t="s">
        <v>2368</v>
      </c>
      <c r="C131" s="318" t="s">
        <v>2369</v>
      </c>
      <c r="D131" s="164" t="s">
        <v>2370</v>
      </c>
      <c r="E131" s="267">
        <v>1</v>
      </c>
      <c r="F131" s="268" t="s">
        <v>402</v>
      </c>
      <c r="G131" s="267">
        <v>45000</v>
      </c>
      <c r="H131" s="267">
        <f t="shared" ref="H131" si="63">G131*N131</f>
        <v>42070.862114999996</v>
      </c>
      <c r="I131" s="267">
        <f t="shared" ref="I131" si="64">E131*H131</f>
        <v>42070.862114999996</v>
      </c>
      <c r="J131" s="269">
        <v>0</v>
      </c>
      <c r="K131" s="269">
        <v>0</v>
      </c>
      <c r="L131" s="270">
        <f>SUM(I131)</f>
        <v>42070.862114999996</v>
      </c>
      <c r="M131" s="268"/>
      <c r="N131" s="1163">
        <v>0.93490804699999996</v>
      </c>
    </row>
    <row r="132" spans="1:14" ht="18.95" customHeight="1">
      <c r="A132" s="340"/>
      <c r="B132" s="341" t="s">
        <v>2321</v>
      </c>
      <c r="C132" s="318" t="s">
        <v>2322</v>
      </c>
      <c r="D132" s="167"/>
      <c r="E132" s="267">
        <v>11</v>
      </c>
      <c r="F132" s="268" t="s">
        <v>402</v>
      </c>
      <c r="G132" s="267">
        <v>12040</v>
      </c>
      <c r="H132" s="267">
        <f t="shared" ref="H132:H133" si="65">G132*N132</f>
        <v>11256.292885879999</v>
      </c>
      <c r="I132" s="267">
        <f t="shared" ref="I132:I133" si="66">E132*H132</f>
        <v>123819.22174467999</v>
      </c>
      <c r="J132" s="269">
        <v>0</v>
      </c>
      <c r="K132" s="269">
        <v>0</v>
      </c>
      <c r="L132" s="270">
        <f>SUM(I132)</f>
        <v>123819.22174467999</v>
      </c>
      <c r="M132" s="268"/>
      <c r="N132" s="1163">
        <v>0.93490804699999996</v>
      </c>
    </row>
    <row r="133" spans="1:14" ht="18.95" customHeight="1">
      <c r="A133" s="340"/>
      <c r="B133" s="341" t="s">
        <v>2273</v>
      </c>
      <c r="C133" s="318" t="s">
        <v>2274</v>
      </c>
      <c r="D133" s="164" t="s">
        <v>2275</v>
      </c>
      <c r="E133" s="267">
        <v>3</v>
      </c>
      <c r="F133" s="268" t="s">
        <v>402</v>
      </c>
      <c r="G133" s="267">
        <v>16740</v>
      </c>
      <c r="H133" s="267">
        <f t="shared" si="65"/>
        <v>15650.360706779999</v>
      </c>
      <c r="I133" s="267">
        <f t="shared" si="66"/>
        <v>46951.082120339997</v>
      </c>
      <c r="J133" s="269">
        <v>0</v>
      </c>
      <c r="K133" s="269">
        <v>0</v>
      </c>
      <c r="L133" s="270">
        <f>SUM(I133)</f>
        <v>46951.082120339997</v>
      </c>
      <c r="M133" s="268"/>
      <c r="N133" s="1163">
        <v>0.93490804699999996</v>
      </c>
    </row>
    <row r="134" spans="1:14" ht="18.95" customHeight="1">
      <c r="A134" s="340">
        <v>3.7</v>
      </c>
      <c r="B134" s="341" t="s">
        <v>2371</v>
      </c>
      <c r="C134" s="318"/>
      <c r="D134" s="164"/>
      <c r="E134" s="267"/>
      <c r="F134" s="268"/>
      <c r="G134" s="267"/>
      <c r="H134" s="267"/>
      <c r="I134" s="267"/>
      <c r="J134" s="269"/>
      <c r="K134" s="269"/>
      <c r="L134" s="270"/>
      <c r="M134" s="268"/>
      <c r="N134" s="1163">
        <v>0.93490804699999996</v>
      </c>
    </row>
    <row r="135" spans="1:14" ht="18.95" customHeight="1">
      <c r="A135" s="340"/>
      <c r="B135" s="341" t="s">
        <v>2372</v>
      </c>
      <c r="C135" s="318" t="s">
        <v>2373</v>
      </c>
      <c r="D135" s="164" t="s">
        <v>2374</v>
      </c>
      <c r="E135" s="267">
        <v>1</v>
      </c>
      <c r="F135" s="268" t="s">
        <v>402</v>
      </c>
      <c r="G135" s="267">
        <v>24350</v>
      </c>
      <c r="H135" s="267">
        <f t="shared" ref="H135" si="67">G135*N135</f>
        <v>22765.010944449998</v>
      </c>
      <c r="I135" s="267">
        <f t="shared" ref="I135" si="68">E135*H135</f>
        <v>22765.010944449998</v>
      </c>
      <c r="J135" s="269">
        <v>0</v>
      </c>
      <c r="K135" s="269">
        <v>0</v>
      </c>
      <c r="L135" s="270">
        <f>SUM(I135)</f>
        <v>22765.010944449998</v>
      </c>
      <c r="M135" s="268"/>
      <c r="N135" s="1163">
        <v>0.93490804699999996</v>
      </c>
    </row>
    <row r="136" spans="1:14" ht="18.95" customHeight="1">
      <c r="A136" s="340"/>
      <c r="B136" s="341" t="s">
        <v>2321</v>
      </c>
      <c r="C136" s="318" t="s">
        <v>2322</v>
      </c>
      <c r="D136" s="167"/>
      <c r="E136" s="267">
        <v>8</v>
      </c>
      <c r="F136" s="268" t="s">
        <v>402</v>
      </c>
      <c r="G136" s="267">
        <v>12040</v>
      </c>
      <c r="H136" s="267">
        <f t="shared" ref="H136:H137" si="69">G136*N136</f>
        <v>11256.292885879999</v>
      </c>
      <c r="I136" s="267">
        <f t="shared" ref="I136:I137" si="70">E136*H136</f>
        <v>90050.34308703999</v>
      </c>
      <c r="J136" s="269">
        <v>0</v>
      </c>
      <c r="K136" s="269">
        <v>0</v>
      </c>
      <c r="L136" s="270">
        <f>SUM(I136)</f>
        <v>90050.34308703999</v>
      </c>
      <c r="M136" s="268"/>
      <c r="N136" s="1163">
        <v>0.93490804699999996</v>
      </c>
    </row>
    <row r="137" spans="1:14" ht="18.95" customHeight="1">
      <c r="A137" s="340"/>
      <c r="B137" s="341" t="s">
        <v>2273</v>
      </c>
      <c r="C137" s="318" t="s">
        <v>2274</v>
      </c>
      <c r="D137" s="164" t="s">
        <v>2275</v>
      </c>
      <c r="E137" s="267">
        <v>2</v>
      </c>
      <c r="F137" s="268" t="s">
        <v>402</v>
      </c>
      <c r="G137" s="267">
        <v>16740</v>
      </c>
      <c r="H137" s="267">
        <f t="shared" si="69"/>
        <v>15650.360706779999</v>
      </c>
      <c r="I137" s="267">
        <f t="shared" si="70"/>
        <v>31300.721413559997</v>
      </c>
      <c r="J137" s="269">
        <v>0</v>
      </c>
      <c r="K137" s="269">
        <v>0</v>
      </c>
      <c r="L137" s="270">
        <f>SUM(I137)</f>
        <v>31300.721413559997</v>
      </c>
      <c r="M137" s="268"/>
      <c r="N137" s="1163">
        <v>0.93490804699999996</v>
      </c>
    </row>
    <row r="138" spans="1:14" ht="18.95" customHeight="1">
      <c r="A138" s="340">
        <v>3.8</v>
      </c>
      <c r="B138" s="341" t="s">
        <v>2375</v>
      </c>
      <c r="C138" s="318"/>
      <c r="D138" s="164"/>
      <c r="E138" s="267"/>
      <c r="F138" s="268"/>
      <c r="G138" s="267"/>
      <c r="H138" s="267"/>
      <c r="I138" s="267"/>
      <c r="J138" s="269"/>
      <c r="K138" s="269"/>
      <c r="L138" s="270"/>
      <c r="M138" s="268"/>
      <c r="N138" s="1163">
        <v>0.93490804699999996</v>
      </c>
    </row>
    <row r="139" spans="1:14" ht="18.95" customHeight="1">
      <c r="A139" s="346"/>
      <c r="B139" s="341" t="s">
        <v>2372</v>
      </c>
      <c r="C139" s="318" t="s">
        <v>2373</v>
      </c>
      <c r="D139" s="164" t="s">
        <v>2374</v>
      </c>
      <c r="E139" s="267">
        <v>1</v>
      </c>
      <c r="F139" s="268" t="s">
        <v>402</v>
      </c>
      <c r="G139" s="267">
        <v>24350</v>
      </c>
      <c r="H139" s="267">
        <f t="shared" ref="H139" si="71">G139*N139</f>
        <v>22765.010944449998</v>
      </c>
      <c r="I139" s="267">
        <f t="shared" ref="I139" si="72">E139*H139</f>
        <v>22765.010944449998</v>
      </c>
      <c r="J139" s="269">
        <v>0</v>
      </c>
      <c r="K139" s="269">
        <v>0</v>
      </c>
      <c r="L139" s="270">
        <f>SUM(I139)</f>
        <v>22765.010944449998</v>
      </c>
      <c r="M139" s="268"/>
      <c r="N139" s="1163">
        <v>0.93490804699999996</v>
      </c>
    </row>
    <row r="140" spans="1:14" ht="18.95" customHeight="1">
      <c r="A140" s="346"/>
      <c r="B140" s="341" t="s">
        <v>2321</v>
      </c>
      <c r="C140" s="318" t="s">
        <v>2322</v>
      </c>
      <c r="D140" s="167"/>
      <c r="E140" s="267">
        <v>8</v>
      </c>
      <c r="F140" s="268" t="s">
        <v>402</v>
      </c>
      <c r="G140" s="267">
        <v>12040</v>
      </c>
      <c r="H140" s="267">
        <f t="shared" ref="H140:H141" si="73">G140*N140</f>
        <v>11256.292885879999</v>
      </c>
      <c r="I140" s="267">
        <f t="shared" ref="I140:I141" si="74">E140*H140</f>
        <v>90050.34308703999</v>
      </c>
      <c r="J140" s="269">
        <v>0</v>
      </c>
      <c r="K140" s="269">
        <v>0</v>
      </c>
      <c r="L140" s="270">
        <f>SUM(I140)</f>
        <v>90050.34308703999</v>
      </c>
      <c r="M140" s="268"/>
      <c r="N140" s="1163">
        <v>0.93490804699999996</v>
      </c>
    </row>
    <row r="141" spans="1:14" ht="18.95" customHeight="1">
      <c r="A141" s="346"/>
      <c r="B141" s="341" t="s">
        <v>2273</v>
      </c>
      <c r="C141" s="318" t="s">
        <v>2274</v>
      </c>
      <c r="D141" s="164" t="s">
        <v>2275</v>
      </c>
      <c r="E141" s="267">
        <v>2</v>
      </c>
      <c r="F141" s="268" t="s">
        <v>402</v>
      </c>
      <c r="G141" s="267">
        <v>16740</v>
      </c>
      <c r="H141" s="267">
        <f t="shared" si="73"/>
        <v>15650.360706779999</v>
      </c>
      <c r="I141" s="267">
        <f t="shared" si="74"/>
        <v>31300.721413559997</v>
      </c>
      <c r="J141" s="269">
        <v>0</v>
      </c>
      <c r="K141" s="269">
        <v>0</v>
      </c>
      <c r="L141" s="270">
        <f>SUM(I141)</f>
        <v>31300.721413559997</v>
      </c>
      <c r="M141" s="268"/>
      <c r="N141" s="1163">
        <v>0.93490804699999996</v>
      </c>
    </row>
    <row r="142" spans="1:14" ht="18.95" customHeight="1">
      <c r="A142" s="346"/>
      <c r="B142" s="341"/>
      <c r="C142" s="318"/>
      <c r="D142" s="164"/>
      <c r="E142" s="267"/>
      <c r="F142" s="268"/>
      <c r="G142" s="267"/>
      <c r="H142" s="267"/>
      <c r="I142" s="267"/>
      <c r="J142" s="269"/>
      <c r="K142" s="269"/>
      <c r="L142" s="270"/>
      <c r="M142" s="268"/>
      <c r="N142" s="1163">
        <v>0.93490804699999996</v>
      </c>
    </row>
    <row r="143" spans="1:14" ht="18.95" customHeight="1">
      <c r="A143" s="224"/>
      <c r="B143" s="122"/>
      <c r="C143" s="329"/>
      <c r="D143" s="330"/>
      <c r="E143" s="267"/>
      <c r="F143" s="268"/>
      <c r="G143" s="267"/>
      <c r="H143" s="267"/>
      <c r="I143" s="267"/>
      <c r="J143" s="267"/>
      <c r="K143" s="269"/>
      <c r="L143" s="267"/>
      <c r="M143" s="268"/>
      <c r="N143" s="1163">
        <v>0.93490804699999996</v>
      </c>
    </row>
    <row r="144" spans="1:14" ht="18.95" customHeight="1">
      <c r="A144" s="340">
        <v>3.9</v>
      </c>
      <c r="B144" s="341" t="s">
        <v>2376</v>
      </c>
      <c r="C144" s="318"/>
      <c r="D144" s="164"/>
      <c r="E144" s="267"/>
      <c r="F144" s="268"/>
      <c r="G144" s="267"/>
      <c r="H144" s="267"/>
      <c r="I144" s="267"/>
      <c r="J144" s="269"/>
      <c r="K144" s="267"/>
      <c r="L144" s="268"/>
      <c r="M144" s="268"/>
      <c r="N144" s="1163">
        <v>0.93490804699999996</v>
      </c>
    </row>
    <row r="145" spans="1:14" ht="18.95" customHeight="1">
      <c r="A145" s="340"/>
      <c r="B145" s="341" t="s">
        <v>2258</v>
      </c>
      <c r="C145" s="318" t="s">
        <v>2259</v>
      </c>
      <c r="D145" s="164" t="s">
        <v>2260</v>
      </c>
      <c r="E145" s="267">
        <v>33</v>
      </c>
      <c r="F145" s="268" t="s">
        <v>402</v>
      </c>
      <c r="G145" s="267">
        <v>21220</v>
      </c>
      <c r="H145" s="267">
        <f t="shared" ref="H145:H147" si="75">G145*N145</f>
        <v>19838.748757339999</v>
      </c>
      <c r="I145" s="267">
        <f t="shared" ref="I145:I147" si="76">E145*H145</f>
        <v>654678.70899222</v>
      </c>
      <c r="J145" s="269">
        <v>0</v>
      </c>
      <c r="K145" s="269">
        <v>0</v>
      </c>
      <c r="L145" s="270">
        <f t="shared" ref="L145:L162" si="77">SUM(I145)</f>
        <v>654678.70899222</v>
      </c>
      <c r="M145" s="268"/>
      <c r="N145" s="1163">
        <v>0.93490804699999996</v>
      </c>
    </row>
    <row r="146" spans="1:14" ht="18.95" customHeight="1">
      <c r="A146" s="340"/>
      <c r="B146" s="341" t="s">
        <v>2377</v>
      </c>
      <c r="C146" s="318" t="s">
        <v>2378</v>
      </c>
      <c r="D146" s="164" t="s">
        <v>2379</v>
      </c>
      <c r="E146" s="267">
        <v>1</v>
      </c>
      <c r="F146" s="268" t="s">
        <v>402</v>
      </c>
      <c r="G146" s="267">
        <v>18285</v>
      </c>
      <c r="H146" s="267">
        <f t="shared" si="75"/>
        <v>17094.793639395</v>
      </c>
      <c r="I146" s="267">
        <f t="shared" si="76"/>
        <v>17094.793639395</v>
      </c>
      <c r="J146" s="269">
        <v>0</v>
      </c>
      <c r="K146" s="269">
        <v>0</v>
      </c>
      <c r="L146" s="270">
        <f t="shared" si="77"/>
        <v>17094.793639395</v>
      </c>
      <c r="M146" s="268"/>
      <c r="N146" s="1163">
        <v>0.93490804699999996</v>
      </c>
    </row>
    <row r="147" spans="1:14" ht="18.95" customHeight="1">
      <c r="A147" s="340"/>
      <c r="B147" s="341" t="s">
        <v>2264</v>
      </c>
      <c r="C147" s="318" t="s">
        <v>2265</v>
      </c>
      <c r="D147" s="164" t="s">
        <v>2327</v>
      </c>
      <c r="E147" s="267">
        <v>2</v>
      </c>
      <c r="F147" s="268" t="s">
        <v>402</v>
      </c>
      <c r="G147" s="267">
        <v>7230</v>
      </c>
      <c r="H147" s="267">
        <f t="shared" si="75"/>
        <v>6759.3851798099995</v>
      </c>
      <c r="I147" s="267">
        <f t="shared" si="76"/>
        <v>13518.770359619999</v>
      </c>
      <c r="J147" s="269">
        <v>0</v>
      </c>
      <c r="K147" s="269">
        <v>0</v>
      </c>
      <c r="L147" s="270">
        <f t="shared" si="77"/>
        <v>13518.770359619999</v>
      </c>
      <c r="M147" s="268"/>
      <c r="N147" s="1163">
        <v>0.93490804699999996</v>
      </c>
    </row>
    <row r="148" spans="1:14" ht="18.95" customHeight="1">
      <c r="A148" s="340"/>
      <c r="B148" s="341" t="s">
        <v>2328</v>
      </c>
      <c r="C148" s="318" t="s">
        <v>2329</v>
      </c>
      <c r="D148" s="164" t="s">
        <v>2330</v>
      </c>
      <c r="E148" s="267">
        <v>1</v>
      </c>
      <c r="F148" s="268" t="s">
        <v>402</v>
      </c>
      <c r="G148" s="267">
        <v>64400</v>
      </c>
      <c r="H148" s="267">
        <f t="shared" ref="H148:H181" si="78">G148*N148</f>
        <v>60208.078226799997</v>
      </c>
      <c r="I148" s="267">
        <f t="shared" ref="I148:I181" si="79">E148*H148</f>
        <v>60208.078226799997</v>
      </c>
      <c r="J148" s="269">
        <v>0</v>
      </c>
      <c r="K148" s="269">
        <v>0</v>
      </c>
      <c r="L148" s="270">
        <f t="shared" si="77"/>
        <v>60208.078226799997</v>
      </c>
      <c r="M148" s="268"/>
      <c r="N148" s="1163">
        <v>0.93490804699999996</v>
      </c>
    </row>
    <row r="149" spans="1:14" ht="18.95" customHeight="1">
      <c r="A149" s="340"/>
      <c r="B149" s="341" t="s">
        <v>2267</v>
      </c>
      <c r="C149" s="318" t="s">
        <v>2268</v>
      </c>
      <c r="D149" s="164"/>
      <c r="E149" s="267">
        <v>34</v>
      </c>
      <c r="F149" s="268" t="s">
        <v>402</v>
      </c>
      <c r="G149" s="267">
        <v>7950</v>
      </c>
      <c r="H149" s="267">
        <f t="shared" si="78"/>
        <v>7432.5189736499997</v>
      </c>
      <c r="I149" s="267">
        <f t="shared" si="79"/>
        <v>252705.6451041</v>
      </c>
      <c r="J149" s="269">
        <v>0</v>
      </c>
      <c r="K149" s="269">
        <v>0</v>
      </c>
      <c r="L149" s="270">
        <f t="shared" si="77"/>
        <v>252705.6451041</v>
      </c>
      <c r="M149" s="268"/>
      <c r="N149" s="1163">
        <v>0.93490804699999996</v>
      </c>
    </row>
    <row r="150" spans="1:14" ht="18.95" customHeight="1">
      <c r="A150" s="340"/>
      <c r="B150" s="341" t="s">
        <v>2271</v>
      </c>
      <c r="C150" s="318" t="s">
        <v>2272</v>
      </c>
      <c r="D150" s="164"/>
      <c r="E150" s="267">
        <v>6</v>
      </c>
      <c r="F150" s="268" t="s">
        <v>402</v>
      </c>
      <c r="G150" s="267">
        <v>11660</v>
      </c>
      <c r="H150" s="267">
        <f t="shared" si="78"/>
        <v>10901.02782802</v>
      </c>
      <c r="I150" s="267">
        <f t="shared" si="79"/>
        <v>65406.16696812</v>
      </c>
      <c r="J150" s="269">
        <v>0</v>
      </c>
      <c r="K150" s="269">
        <v>0</v>
      </c>
      <c r="L150" s="270">
        <f t="shared" si="77"/>
        <v>65406.16696812</v>
      </c>
      <c r="M150" s="268"/>
      <c r="N150" s="1163">
        <v>0.93490804699999996</v>
      </c>
    </row>
    <row r="151" spans="1:14" ht="18.95" customHeight="1">
      <c r="A151" s="340"/>
      <c r="B151" s="341" t="s">
        <v>2296</v>
      </c>
      <c r="C151" s="242" t="s">
        <v>2297</v>
      </c>
      <c r="D151" s="168" t="s">
        <v>2298</v>
      </c>
      <c r="E151" s="267">
        <v>2</v>
      </c>
      <c r="F151" s="268" t="s">
        <v>402</v>
      </c>
      <c r="G151" s="267">
        <v>11980</v>
      </c>
      <c r="H151" s="267">
        <f t="shared" si="78"/>
        <v>11200.19840306</v>
      </c>
      <c r="I151" s="267">
        <f t="shared" si="79"/>
        <v>22400.396806119999</v>
      </c>
      <c r="J151" s="269">
        <v>0</v>
      </c>
      <c r="K151" s="269">
        <v>0</v>
      </c>
      <c r="L151" s="270">
        <f t="shared" si="77"/>
        <v>22400.396806119999</v>
      </c>
      <c r="M151" s="268"/>
      <c r="N151" s="1163">
        <v>0.93490804699999996</v>
      </c>
    </row>
    <row r="152" spans="1:14" ht="18.95" customHeight="1">
      <c r="A152" s="340"/>
      <c r="B152" s="341" t="s">
        <v>2299</v>
      </c>
      <c r="C152" s="242" t="s">
        <v>2300</v>
      </c>
      <c r="D152" s="168" t="s">
        <v>2298</v>
      </c>
      <c r="E152" s="267">
        <v>2</v>
      </c>
      <c r="F152" s="268" t="s">
        <v>402</v>
      </c>
      <c r="G152" s="267">
        <v>9990</v>
      </c>
      <c r="H152" s="267">
        <f t="shared" si="78"/>
        <v>9339.7313895299994</v>
      </c>
      <c r="I152" s="267">
        <f t="shared" si="79"/>
        <v>18679.462779059999</v>
      </c>
      <c r="J152" s="269">
        <v>0</v>
      </c>
      <c r="K152" s="269">
        <v>0</v>
      </c>
      <c r="L152" s="270">
        <f t="shared" si="77"/>
        <v>18679.462779059999</v>
      </c>
      <c r="M152" s="268"/>
      <c r="N152" s="1163">
        <v>0.93490804699999996</v>
      </c>
    </row>
    <row r="153" spans="1:14" ht="18.95" customHeight="1">
      <c r="A153" s="340"/>
      <c r="B153" s="341" t="s">
        <v>2331</v>
      </c>
      <c r="C153" s="318" t="s">
        <v>2332</v>
      </c>
      <c r="D153" s="164"/>
      <c r="E153" s="267">
        <v>6</v>
      </c>
      <c r="F153" s="268" t="s">
        <v>402</v>
      </c>
      <c r="G153" s="267">
        <v>12000</v>
      </c>
      <c r="H153" s="267">
        <f t="shared" si="78"/>
        <v>11218.896563999999</v>
      </c>
      <c r="I153" s="267">
        <f t="shared" si="79"/>
        <v>67313.379384</v>
      </c>
      <c r="J153" s="269">
        <v>0</v>
      </c>
      <c r="K153" s="269">
        <v>0</v>
      </c>
      <c r="L153" s="270">
        <f t="shared" si="77"/>
        <v>67313.379384</v>
      </c>
      <c r="M153" s="268"/>
      <c r="N153" s="1163">
        <v>0.93490804699999996</v>
      </c>
    </row>
    <row r="154" spans="1:14" ht="18.95" customHeight="1">
      <c r="A154" s="346"/>
      <c r="B154" s="341" t="s">
        <v>2273</v>
      </c>
      <c r="C154" s="318" t="s">
        <v>2274</v>
      </c>
      <c r="D154" s="164" t="s">
        <v>2275</v>
      </c>
      <c r="E154" s="267">
        <v>24</v>
      </c>
      <c r="F154" s="268" t="s">
        <v>402</v>
      </c>
      <c r="G154" s="267">
        <v>16740</v>
      </c>
      <c r="H154" s="267">
        <f t="shared" si="78"/>
        <v>15650.360706779999</v>
      </c>
      <c r="I154" s="267">
        <f t="shared" si="79"/>
        <v>375608.65696271998</v>
      </c>
      <c r="J154" s="269">
        <v>0</v>
      </c>
      <c r="K154" s="269">
        <v>0</v>
      </c>
      <c r="L154" s="270">
        <f t="shared" si="77"/>
        <v>375608.65696271998</v>
      </c>
      <c r="M154" s="268"/>
      <c r="N154" s="1163">
        <v>0.93490804699999996</v>
      </c>
    </row>
    <row r="155" spans="1:14" ht="18.95" customHeight="1">
      <c r="A155" s="346"/>
      <c r="B155" s="341" t="s">
        <v>2333</v>
      </c>
      <c r="C155" s="318" t="s">
        <v>2274</v>
      </c>
      <c r="D155" s="164" t="s">
        <v>2334</v>
      </c>
      <c r="E155" s="267">
        <v>4</v>
      </c>
      <c r="F155" s="268" t="s">
        <v>402</v>
      </c>
      <c r="G155" s="267">
        <v>25100</v>
      </c>
      <c r="H155" s="267">
        <f t="shared" si="78"/>
        <v>23466.191979699997</v>
      </c>
      <c r="I155" s="267">
        <f t="shared" si="79"/>
        <v>93864.767918799989</v>
      </c>
      <c r="J155" s="269">
        <v>0</v>
      </c>
      <c r="K155" s="269">
        <v>0</v>
      </c>
      <c r="L155" s="270">
        <f t="shared" si="77"/>
        <v>93864.767918799989</v>
      </c>
      <c r="M155" s="268"/>
      <c r="N155" s="1163">
        <v>0.93490804699999996</v>
      </c>
    </row>
    <row r="156" spans="1:14" ht="18.95" customHeight="1">
      <c r="A156" s="505"/>
      <c r="B156" s="341" t="s">
        <v>2335</v>
      </c>
      <c r="C156" s="318" t="s">
        <v>2274</v>
      </c>
      <c r="D156" s="164" t="s">
        <v>2336</v>
      </c>
      <c r="E156" s="267">
        <v>2</v>
      </c>
      <c r="F156" s="268" t="s">
        <v>402</v>
      </c>
      <c r="G156" s="267">
        <v>12550</v>
      </c>
      <c r="H156" s="267">
        <f t="shared" si="78"/>
        <v>11733.095989849999</v>
      </c>
      <c r="I156" s="267">
        <f t="shared" si="79"/>
        <v>23466.191979699997</v>
      </c>
      <c r="J156" s="269">
        <v>0</v>
      </c>
      <c r="K156" s="269">
        <v>0</v>
      </c>
      <c r="L156" s="270">
        <f t="shared" si="77"/>
        <v>23466.191979699997</v>
      </c>
      <c r="M156" s="268"/>
      <c r="N156" s="1163">
        <v>0.93490804699999996</v>
      </c>
    </row>
    <row r="157" spans="1:14" ht="18.95" customHeight="1">
      <c r="A157" s="346"/>
      <c r="B157" s="341" t="s">
        <v>2380</v>
      </c>
      <c r="C157" s="318" t="s">
        <v>2338</v>
      </c>
      <c r="D157" s="164" t="s">
        <v>2381</v>
      </c>
      <c r="E157" s="267">
        <v>1</v>
      </c>
      <c r="F157" s="268" t="s">
        <v>402</v>
      </c>
      <c r="G157" s="267">
        <v>3500</v>
      </c>
      <c r="H157" s="267">
        <f t="shared" si="78"/>
        <v>3272.1781645000001</v>
      </c>
      <c r="I157" s="267">
        <f t="shared" si="79"/>
        <v>3272.1781645000001</v>
      </c>
      <c r="J157" s="269">
        <v>0</v>
      </c>
      <c r="K157" s="269">
        <v>0</v>
      </c>
      <c r="L157" s="270">
        <f t="shared" si="77"/>
        <v>3272.1781645000001</v>
      </c>
      <c r="M157" s="268"/>
      <c r="N157" s="1163">
        <v>0.93490804699999996</v>
      </c>
    </row>
    <row r="158" spans="1:14" ht="18.95" customHeight="1">
      <c r="A158" s="505"/>
      <c r="B158" s="341" t="s">
        <v>2382</v>
      </c>
      <c r="C158" s="318" t="s">
        <v>2338</v>
      </c>
      <c r="D158" s="164" t="s">
        <v>2383</v>
      </c>
      <c r="E158" s="267">
        <v>1</v>
      </c>
      <c r="F158" s="268" t="s">
        <v>402</v>
      </c>
      <c r="G158" s="267">
        <v>1000</v>
      </c>
      <c r="H158" s="267">
        <f t="shared" si="78"/>
        <v>934.90804700000001</v>
      </c>
      <c r="I158" s="267">
        <f t="shared" si="79"/>
        <v>934.90804700000001</v>
      </c>
      <c r="J158" s="269">
        <v>0</v>
      </c>
      <c r="K158" s="269">
        <v>0</v>
      </c>
      <c r="L158" s="270">
        <f t="shared" si="77"/>
        <v>934.90804700000001</v>
      </c>
      <c r="M158" s="268"/>
      <c r="N158" s="1163">
        <v>0.93490804699999996</v>
      </c>
    </row>
    <row r="159" spans="1:14" ht="18.95" customHeight="1">
      <c r="A159" s="340"/>
      <c r="B159" s="341" t="s">
        <v>2276</v>
      </c>
      <c r="C159" s="318" t="s">
        <v>2277</v>
      </c>
      <c r="D159" s="164" t="s">
        <v>2278</v>
      </c>
      <c r="E159" s="267">
        <v>16</v>
      </c>
      <c r="F159" s="268" t="s">
        <v>402</v>
      </c>
      <c r="G159" s="267">
        <v>8035</v>
      </c>
      <c r="H159" s="267">
        <f t="shared" si="78"/>
        <v>7511.9861576449994</v>
      </c>
      <c r="I159" s="267">
        <f t="shared" si="79"/>
        <v>120191.77852231999</v>
      </c>
      <c r="J159" s="269">
        <v>0</v>
      </c>
      <c r="K159" s="269">
        <v>0</v>
      </c>
      <c r="L159" s="270">
        <f t="shared" si="77"/>
        <v>120191.77852231999</v>
      </c>
      <c r="M159" s="268"/>
      <c r="N159" s="1163">
        <v>0.93490804699999996</v>
      </c>
    </row>
    <row r="160" spans="1:14" ht="18.95" customHeight="1">
      <c r="A160" s="340"/>
      <c r="B160" s="341" t="s">
        <v>2340</v>
      </c>
      <c r="C160" s="318" t="s">
        <v>2341</v>
      </c>
      <c r="D160" s="164" t="s">
        <v>2342</v>
      </c>
      <c r="E160" s="267">
        <v>6</v>
      </c>
      <c r="F160" s="268" t="s">
        <v>402</v>
      </c>
      <c r="G160" s="267">
        <v>3350</v>
      </c>
      <c r="H160" s="267">
        <f t="shared" si="78"/>
        <v>3131.9419574499998</v>
      </c>
      <c r="I160" s="267">
        <f t="shared" si="79"/>
        <v>18791.651744700001</v>
      </c>
      <c r="J160" s="269">
        <v>0</v>
      </c>
      <c r="K160" s="269">
        <v>0</v>
      </c>
      <c r="L160" s="270">
        <f t="shared" si="77"/>
        <v>18791.651744700001</v>
      </c>
      <c r="M160" s="268"/>
      <c r="N160" s="1163">
        <v>0.93490804699999996</v>
      </c>
    </row>
    <row r="161" spans="1:14" ht="18.95" customHeight="1">
      <c r="A161" s="340"/>
      <c r="B161" s="341" t="s">
        <v>2343</v>
      </c>
      <c r="C161" s="318" t="s">
        <v>2341</v>
      </c>
      <c r="D161" s="167" t="s">
        <v>2344</v>
      </c>
      <c r="E161" s="267">
        <v>11</v>
      </c>
      <c r="F161" s="268" t="s">
        <v>402</v>
      </c>
      <c r="G161" s="267">
        <v>2650</v>
      </c>
      <c r="H161" s="267">
        <f t="shared" si="78"/>
        <v>2477.50632455</v>
      </c>
      <c r="I161" s="267">
        <f t="shared" si="79"/>
        <v>27252.56957005</v>
      </c>
      <c r="J161" s="269">
        <v>0</v>
      </c>
      <c r="K161" s="269">
        <v>0</v>
      </c>
      <c r="L161" s="270">
        <f t="shared" si="77"/>
        <v>27252.56957005</v>
      </c>
      <c r="M161" s="268"/>
      <c r="N161" s="1163">
        <v>0.93490804699999996</v>
      </c>
    </row>
    <row r="162" spans="1:14" ht="18.95" customHeight="1">
      <c r="A162" s="340"/>
      <c r="B162" s="341" t="s">
        <v>2345</v>
      </c>
      <c r="C162" s="318" t="s">
        <v>2341</v>
      </c>
      <c r="D162" s="164" t="s">
        <v>2346</v>
      </c>
      <c r="E162" s="267">
        <v>6</v>
      </c>
      <c r="F162" s="268" t="s">
        <v>402</v>
      </c>
      <c r="G162" s="267">
        <v>2430</v>
      </c>
      <c r="H162" s="267">
        <f t="shared" si="78"/>
        <v>2271.8265542099998</v>
      </c>
      <c r="I162" s="267">
        <f t="shared" si="79"/>
        <v>13630.959325259999</v>
      </c>
      <c r="J162" s="269">
        <v>0</v>
      </c>
      <c r="K162" s="269">
        <v>0</v>
      </c>
      <c r="L162" s="270">
        <f t="shared" si="77"/>
        <v>13630.959325259999</v>
      </c>
      <c r="M162" s="268"/>
      <c r="N162" s="1163">
        <v>0.93490804699999996</v>
      </c>
    </row>
    <row r="163" spans="1:14" ht="18.95" customHeight="1">
      <c r="A163" s="346">
        <v>3.1</v>
      </c>
      <c r="B163" s="345" t="s">
        <v>2384</v>
      </c>
      <c r="C163" s="318"/>
      <c r="D163" s="164"/>
      <c r="E163" s="267"/>
      <c r="F163" s="268"/>
      <c r="G163" s="267"/>
      <c r="H163" s="267"/>
      <c r="I163" s="267"/>
      <c r="J163" s="269"/>
      <c r="K163" s="269"/>
      <c r="L163" s="270"/>
      <c r="M163" s="268"/>
      <c r="N163" s="1163">
        <v>0.93490804699999996</v>
      </c>
    </row>
    <row r="164" spans="1:14" ht="18.95" customHeight="1">
      <c r="A164" s="340"/>
      <c r="B164" s="341" t="s">
        <v>2280</v>
      </c>
      <c r="C164" s="318" t="s">
        <v>2281</v>
      </c>
      <c r="D164" s="164"/>
      <c r="E164" s="267">
        <v>4</v>
      </c>
      <c r="F164" s="268" t="s">
        <v>402</v>
      </c>
      <c r="G164" s="267">
        <v>28540</v>
      </c>
      <c r="H164" s="267">
        <f t="shared" si="78"/>
        <v>26682.275661379997</v>
      </c>
      <c r="I164" s="267">
        <f t="shared" si="79"/>
        <v>106729.10264551999</v>
      </c>
      <c r="J164" s="269">
        <v>0</v>
      </c>
      <c r="K164" s="269">
        <v>0</v>
      </c>
      <c r="L164" s="270">
        <f>SUM(I164)</f>
        <v>106729.10264551999</v>
      </c>
      <c r="M164" s="268"/>
      <c r="N164" s="1163">
        <v>0.93490804699999996</v>
      </c>
    </row>
    <row r="165" spans="1:14" ht="18.95" customHeight="1">
      <c r="A165" s="340"/>
      <c r="B165" s="341" t="s">
        <v>2282</v>
      </c>
      <c r="C165" s="318" t="s">
        <v>2283</v>
      </c>
      <c r="D165" s="168"/>
      <c r="E165" s="267">
        <v>4</v>
      </c>
      <c r="F165" s="268" t="s">
        <v>402</v>
      </c>
      <c r="G165" s="267">
        <v>8508.5</v>
      </c>
      <c r="H165" s="267">
        <f t="shared" si="78"/>
        <v>7954.6651178994998</v>
      </c>
      <c r="I165" s="267">
        <f t="shared" si="79"/>
        <v>31818.660471597999</v>
      </c>
      <c r="J165" s="269">
        <v>0</v>
      </c>
      <c r="K165" s="269">
        <v>0</v>
      </c>
      <c r="L165" s="270">
        <f>SUM(I165)</f>
        <v>31818.660471597999</v>
      </c>
      <c r="M165" s="268"/>
      <c r="N165" s="1163">
        <v>0.93490804699999996</v>
      </c>
    </row>
    <row r="166" spans="1:14" ht="18.95" customHeight="1">
      <c r="A166" s="340"/>
      <c r="B166" s="341" t="s">
        <v>2284</v>
      </c>
      <c r="C166" s="318" t="s">
        <v>2285</v>
      </c>
      <c r="D166" s="164"/>
      <c r="E166" s="267">
        <v>4</v>
      </c>
      <c r="F166" s="268" t="s">
        <v>402</v>
      </c>
      <c r="G166" s="267">
        <v>6680</v>
      </c>
      <c r="H166" s="267">
        <f t="shared" si="78"/>
        <v>6245.1857539599996</v>
      </c>
      <c r="I166" s="267">
        <f t="shared" si="79"/>
        <v>24980.743015839998</v>
      </c>
      <c r="J166" s="269">
        <v>0</v>
      </c>
      <c r="K166" s="269">
        <v>0</v>
      </c>
      <c r="L166" s="270">
        <f>SUM(I166)</f>
        <v>24980.743015839998</v>
      </c>
      <c r="M166" s="268"/>
      <c r="N166" s="1163">
        <v>0.93490804699999996</v>
      </c>
    </row>
    <row r="167" spans="1:14" ht="18.95" customHeight="1">
      <c r="A167" s="346"/>
      <c r="B167" s="341" t="s">
        <v>2286</v>
      </c>
      <c r="C167" s="318" t="s">
        <v>2274</v>
      </c>
      <c r="D167" s="164" t="s">
        <v>2287</v>
      </c>
      <c r="E167" s="267">
        <v>4</v>
      </c>
      <c r="F167" s="268" t="s">
        <v>402</v>
      </c>
      <c r="G167" s="267">
        <v>14780</v>
      </c>
      <c r="H167" s="267">
        <f t="shared" si="78"/>
        <v>13817.940934659999</v>
      </c>
      <c r="I167" s="267">
        <f t="shared" si="79"/>
        <v>55271.763738639995</v>
      </c>
      <c r="J167" s="269">
        <v>0</v>
      </c>
      <c r="K167" s="269">
        <v>0</v>
      </c>
      <c r="L167" s="270">
        <f>SUM(I167)</f>
        <v>55271.763738639995</v>
      </c>
      <c r="M167" s="268"/>
      <c r="N167" s="1163">
        <v>0.93490804699999996</v>
      </c>
    </row>
    <row r="168" spans="1:14" ht="18.95" customHeight="1">
      <c r="A168" s="346">
        <v>3.11</v>
      </c>
      <c r="B168" s="344" t="s">
        <v>69</v>
      </c>
      <c r="C168" s="318"/>
      <c r="D168" s="235"/>
      <c r="E168" s="267"/>
      <c r="F168" s="268"/>
      <c r="G168" s="267"/>
      <c r="H168" s="267"/>
      <c r="I168" s="267"/>
      <c r="J168" s="269"/>
      <c r="K168" s="269"/>
      <c r="L168" s="270"/>
      <c r="M168" s="268"/>
      <c r="N168" s="1163">
        <v>0.93490804699999996</v>
      </c>
    </row>
    <row r="169" spans="1:14" ht="18.95" customHeight="1">
      <c r="A169" s="346"/>
      <c r="B169" s="341" t="s">
        <v>2291</v>
      </c>
      <c r="C169" s="318" t="s">
        <v>2292</v>
      </c>
      <c r="D169" s="164" t="s">
        <v>2293</v>
      </c>
      <c r="E169" s="267">
        <v>2</v>
      </c>
      <c r="F169" s="268" t="s">
        <v>402</v>
      </c>
      <c r="G169" s="267">
        <v>9960</v>
      </c>
      <c r="H169" s="267">
        <f t="shared" si="78"/>
        <v>9311.684148119999</v>
      </c>
      <c r="I169" s="267">
        <f t="shared" si="79"/>
        <v>18623.368296239998</v>
      </c>
      <c r="J169" s="269">
        <v>0</v>
      </c>
      <c r="K169" s="269">
        <v>0</v>
      </c>
      <c r="L169" s="270">
        <f>SUM(I169)</f>
        <v>18623.368296239998</v>
      </c>
      <c r="M169" s="268"/>
      <c r="N169" s="1163">
        <v>0.93490804699999996</v>
      </c>
    </row>
    <row r="170" spans="1:14" ht="18.95" customHeight="1">
      <c r="A170" s="224"/>
      <c r="B170" s="122"/>
      <c r="C170" s="329"/>
      <c r="D170" s="328"/>
      <c r="E170" s="267"/>
      <c r="F170" s="268"/>
      <c r="G170" s="267"/>
      <c r="H170" s="267"/>
      <c r="I170" s="267"/>
      <c r="J170" s="267"/>
      <c r="K170" s="269"/>
      <c r="L170" s="267"/>
      <c r="M170" s="268"/>
      <c r="N170" s="1163">
        <v>0.93490804699999996</v>
      </c>
    </row>
    <row r="171" spans="1:14" ht="18.95" customHeight="1">
      <c r="A171" s="505"/>
      <c r="B171" s="344"/>
      <c r="C171" s="318"/>
      <c r="D171" s="164"/>
      <c r="E171" s="267"/>
      <c r="F171" s="268"/>
      <c r="G171" s="267"/>
      <c r="H171" s="267"/>
      <c r="I171" s="267"/>
      <c r="J171" s="269"/>
      <c r="K171" s="267"/>
      <c r="L171" s="268"/>
      <c r="M171" s="268"/>
      <c r="N171" s="1163">
        <v>0.93490804699999996</v>
      </c>
    </row>
    <row r="172" spans="1:14" ht="18.95" customHeight="1">
      <c r="A172" s="346"/>
      <c r="B172" s="341" t="s">
        <v>2264</v>
      </c>
      <c r="C172" s="318" t="s">
        <v>2265</v>
      </c>
      <c r="D172" s="164" t="s">
        <v>2266</v>
      </c>
      <c r="E172" s="267">
        <v>1</v>
      </c>
      <c r="F172" s="268" t="s">
        <v>402</v>
      </c>
      <c r="G172" s="267">
        <v>7230</v>
      </c>
      <c r="H172" s="267">
        <f t="shared" si="78"/>
        <v>6759.3851798099995</v>
      </c>
      <c r="I172" s="267">
        <f t="shared" si="79"/>
        <v>6759.3851798099995</v>
      </c>
      <c r="J172" s="269">
        <v>0</v>
      </c>
      <c r="K172" s="269">
        <v>0</v>
      </c>
      <c r="L172" s="270">
        <f t="shared" ref="L172:L177" si="80">SUM(I172)</f>
        <v>6759.3851798099995</v>
      </c>
      <c r="M172" s="268"/>
      <c r="N172" s="1163">
        <v>0.93490804699999996</v>
      </c>
    </row>
    <row r="173" spans="1:14" ht="18.95" customHeight="1">
      <c r="A173" s="346"/>
      <c r="B173" s="341" t="s">
        <v>2385</v>
      </c>
      <c r="C173" s="318" t="s">
        <v>2386</v>
      </c>
      <c r="D173" s="168" t="s">
        <v>2387</v>
      </c>
      <c r="E173" s="267">
        <v>2</v>
      </c>
      <c r="F173" s="268" t="s">
        <v>402</v>
      </c>
      <c r="G173" s="267">
        <v>11310</v>
      </c>
      <c r="H173" s="267">
        <f t="shared" si="78"/>
        <v>10573.81001157</v>
      </c>
      <c r="I173" s="267">
        <f t="shared" si="79"/>
        <v>21147.62002314</v>
      </c>
      <c r="J173" s="269">
        <v>0</v>
      </c>
      <c r="K173" s="269">
        <v>0</v>
      </c>
      <c r="L173" s="270">
        <f t="shared" si="80"/>
        <v>21147.62002314</v>
      </c>
      <c r="M173" s="268"/>
      <c r="N173" s="1163">
        <v>0.93490804699999996</v>
      </c>
    </row>
    <row r="174" spans="1:14" ht="18.95" customHeight="1">
      <c r="A174" s="340"/>
      <c r="B174" s="341" t="s">
        <v>2267</v>
      </c>
      <c r="C174" s="318" t="s">
        <v>2268</v>
      </c>
      <c r="D174" s="164"/>
      <c r="E174" s="267">
        <v>2</v>
      </c>
      <c r="F174" s="268" t="s">
        <v>402</v>
      </c>
      <c r="G174" s="267">
        <v>7950</v>
      </c>
      <c r="H174" s="267">
        <f t="shared" si="78"/>
        <v>7432.5189736499997</v>
      </c>
      <c r="I174" s="267">
        <f t="shared" si="79"/>
        <v>14865.037947299999</v>
      </c>
      <c r="J174" s="269">
        <v>0</v>
      </c>
      <c r="K174" s="269">
        <v>0</v>
      </c>
      <c r="L174" s="270">
        <f t="shared" si="80"/>
        <v>14865.037947299999</v>
      </c>
      <c r="M174" s="268"/>
      <c r="N174" s="1163">
        <v>0.93490804699999996</v>
      </c>
    </row>
    <row r="175" spans="1:14" ht="18.95" customHeight="1">
      <c r="A175" s="340"/>
      <c r="B175" s="341" t="s">
        <v>2321</v>
      </c>
      <c r="C175" s="318" t="s">
        <v>2322</v>
      </c>
      <c r="D175" s="353"/>
      <c r="E175" s="267">
        <v>4</v>
      </c>
      <c r="F175" s="268" t="s">
        <v>402</v>
      </c>
      <c r="G175" s="267">
        <v>12040</v>
      </c>
      <c r="H175" s="267">
        <f t="shared" si="78"/>
        <v>11256.292885879999</v>
      </c>
      <c r="I175" s="267">
        <f t="shared" si="79"/>
        <v>45025.171543519995</v>
      </c>
      <c r="J175" s="269">
        <v>0</v>
      </c>
      <c r="K175" s="269">
        <v>0</v>
      </c>
      <c r="L175" s="270">
        <f t="shared" si="80"/>
        <v>45025.171543519995</v>
      </c>
      <c r="M175" s="268"/>
      <c r="N175" s="1163">
        <v>0.93490804699999996</v>
      </c>
    </row>
    <row r="176" spans="1:14" ht="18.95" customHeight="1">
      <c r="A176" s="340"/>
      <c r="B176" s="341" t="s">
        <v>2331</v>
      </c>
      <c r="C176" s="318" t="s">
        <v>2332</v>
      </c>
      <c r="D176" s="164"/>
      <c r="E176" s="267">
        <v>3</v>
      </c>
      <c r="F176" s="268" t="s">
        <v>402</v>
      </c>
      <c r="G176" s="267">
        <v>12000</v>
      </c>
      <c r="H176" s="267">
        <f t="shared" si="78"/>
        <v>11218.896563999999</v>
      </c>
      <c r="I176" s="267">
        <f t="shared" si="79"/>
        <v>33656.689692</v>
      </c>
      <c r="J176" s="269">
        <v>0</v>
      </c>
      <c r="K176" s="269">
        <v>0</v>
      </c>
      <c r="L176" s="270">
        <f t="shared" si="80"/>
        <v>33656.689692</v>
      </c>
      <c r="M176" s="268"/>
      <c r="N176" s="1163">
        <v>0.93490804699999996</v>
      </c>
    </row>
    <row r="177" spans="1:14" ht="18.95" customHeight="1">
      <c r="A177" s="340"/>
      <c r="B177" s="341" t="s">
        <v>2289</v>
      </c>
      <c r="C177" s="318" t="s">
        <v>2274</v>
      </c>
      <c r="D177" s="164" t="s">
        <v>2290</v>
      </c>
      <c r="E177" s="267">
        <v>4</v>
      </c>
      <c r="F177" s="268" t="s">
        <v>402</v>
      </c>
      <c r="G177" s="267">
        <v>12440</v>
      </c>
      <c r="H177" s="267">
        <f t="shared" si="78"/>
        <v>11630.25610468</v>
      </c>
      <c r="I177" s="267">
        <f t="shared" si="79"/>
        <v>46521.024418720001</v>
      </c>
      <c r="J177" s="269">
        <v>0</v>
      </c>
      <c r="K177" s="269">
        <v>0</v>
      </c>
      <c r="L177" s="270">
        <f t="shared" si="80"/>
        <v>46521.024418720001</v>
      </c>
      <c r="M177" s="268"/>
      <c r="N177" s="1163">
        <v>0.93490804699999996</v>
      </c>
    </row>
    <row r="178" spans="1:14" ht="18.95" customHeight="1">
      <c r="A178" s="346">
        <v>3.12</v>
      </c>
      <c r="B178" s="344" t="s">
        <v>2388</v>
      </c>
      <c r="C178" s="318"/>
      <c r="D178" s="164"/>
      <c r="E178" s="267"/>
      <c r="F178" s="268"/>
      <c r="G178" s="267"/>
      <c r="H178" s="267"/>
      <c r="I178" s="267"/>
      <c r="J178" s="269"/>
      <c r="K178" s="269"/>
      <c r="L178" s="270"/>
      <c r="M178" s="270"/>
      <c r="N178" s="1163">
        <v>0.93490804699999996</v>
      </c>
    </row>
    <row r="179" spans="1:14" ht="18.95" customHeight="1">
      <c r="A179" s="340"/>
      <c r="B179" s="341" t="s">
        <v>2302</v>
      </c>
      <c r="C179" s="318" t="s">
        <v>2303</v>
      </c>
      <c r="D179" s="235" t="s">
        <v>2304</v>
      </c>
      <c r="E179" s="267">
        <v>2</v>
      </c>
      <c r="F179" s="268" t="s">
        <v>402</v>
      </c>
      <c r="G179" s="267">
        <v>8300</v>
      </c>
      <c r="H179" s="267">
        <f t="shared" si="78"/>
        <v>7759.7367900999998</v>
      </c>
      <c r="I179" s="267">
        <f t="shared" si="79"/>
        <v>15519.4735802</v>
      </c>
      <c r="J179" s="269">
        <v>0</v>
      </c>
      <c r="K179" s="269">
        <v>0</v>
      </c>
      <c r="L179" s="270">
        <f>SUM(I179)</f>
        <v>15519.4735802</v>
      </c>
      <c r="M179" s="268"/>
      <c r="N179" s="1163">
        <v>0.93490804699999996</v>
      </c>
    </row>
    <row r="180" spans="1:14" ht="18.95" customHeight="1">
      <c r="A180" s="340"/>
      <c r="B180" s="341" t="s">
        <v>2305</v>
      </c>
      <c r="C180" s="242" t="s">
        <v>2306</v>
      </c>
      <c r="D180" s="168"/>
      <c r="E180" s="267">
        <v>8</v>
      </c>
      <c r="F180" s="268" t="s">
        <v>402</v>
      </c>
      <c r="G180" s="267">
        <v>4875</v>
      </c>
      <c r="H180" s="267">
        <f t="shared" si="78"/>
        <v>4557.6767291249998</v>
      </c>
      <c r="I180" s="267">
        <f t="shared" si="79"/>
        <v>36461.413832999999</v>
      </c>
      <c r="J180" s="269">
        <v>0</v>
      </c>
      <c r="K180" s="269">
        <v>0</v>
      </c>
      <c r="L180" s="270">
        <f>SUM(I180)</f>
        <v>36461.413832999999</v>
      </c>
      <c r="M180" s="268"/>
      <c r="N180" s="1163">
        <v>0.93490804699999996</v>
      </c>
    </row>
    <row r="181" spans="1:14" ht="18.95" customHeight="1">
      <c r="A181" s="340"/>
      <c r="B181" s="344" t="s">
        <v>2389</v>
      </c>
      <c r="C181" s="163" t="s">
        <v>2311</v>
      </c>
      <c r="D181" s="164" t="s">
        <v>2390</v>
      </c>
      <c r="E181" s="267">
        <v>1</v>
      </c>
      <c r="F181" s="268" t="s">
        <v>402</v>
      </c>
      <c r="G181" s="267">
        <v>8000</v>
      </c>
      <c r="H181" s="267">
        <f t="shared" si="78"/>
        <v>7479.2643760000001</v>
      </c>
      <c r="I181" s="267">
        <f t="shared" si="79"/>
        <v>7479.2643760000001</v>
      </c>
      <c r="J181" s="269">
        <v>0</v>
      </c>
      <c r="K181" s="269">
        <v>0</v>
      </c>
      <c r="L181" s="270">
        <f>SUM(I181)</f>
        <v>7479.2643760000001</v>
      </c>
      <c r="M181" s="270"/>
      <c r="N181" s="1163">
        <v>0.93490804699999996</v>
      </c>
    </row>
    <row r="182" spans="1:14" ht="18.95" customHeight="1">
      <c r="A182" s="340"/>
      <c r="B182" s="344"/>
      <c r="C182" s="318"/>
      <c r="D182" s="164"/>
      <c r="E182" s="267"/>
      <c r="F182" s="268"/>
      <c r="G182" s="267"/>
      <c r="H182" s="267"/>
      <c r="I182" s="267"/>
      <c r="J182" s="269"/>
      <c r="K182" s="269"/>
      <c r="L182" s="270"/>
      <c r="M182" s="270"/>
      <c r="N182" s="1163">
        <v>0.93490804699999996</v>
      </c>
    </row>
    <row r="183" spans="1:14" ht="18.95" customHeight="1">
      <c r="A183" s="340"/>
      <c r="B183" s="1301" t="s">
        <v>2391</v>
      </c>
      <c r="C183" s="1302"/>
      <c r="D183" s="1303"/>
      <c r="E183" s="267"/>
      <c r="F183" s="268"/>
      <c r="G183" s="267"/>
      <c r="H183" s="267"/>
      <c r="I183" s="267"/>
      <c r="J183" s="269"/>
      <c r="K183" s="269"/>
      <c r="L183" s="288">
        <f>SUM(L90:L182)</f>
        <v>4972608.0859985603</v>
      </c>
      <c r="M183" s="270"/>
      <c r="N183" s="1163">
        <v>0.93490804699999996</v>
      </c>
    </row>
    <row r="184" spans="1:14" ht="18.95" customHeight="1">
      <c r="A184" s="340"/>
      <c r="B184" s="345"/>
      <c r="C184" s="318"/>
      <c r="D184" s="164"/>
      <c r="E184" s="267"/>
      <c r="F184" s="268"/>
      <c r="G184" s="267"/>
      <c r="H184" s="267"/>
      <c r="I184" s="267"/>
      <c r="J184" s="269"/>
      <c r="K184" s="269"/>
      <c r="L184" s="270"/>
      <c r="M184" s="268"/>
      <c r="N184" s="1163">
        <v>0.93490804699999996</v>
      </c>
    </row>
    <row r="185" spans="1:14" ht="18.95" customHeight="1">
      <c r="A185" s="346"/>
      <c r="B185" s="345"/>
      <c r="C185" s="318"/>
      <c r="D185" s="164"/>
      <c r="E185" s="267"/>
      <c r="F185" s="268"/>
      <c r="G185" s="267"/>
      <c r="H185" s="267"/>
      <c r="I185" s="267"/>
      <c r="J185" s="269"/>
      <c r="K185" s="269"/>
      <c r="L185" s="270"/>
      <c r="M185" s="268"/>
      <c r="N185" s="1163">
        <v>0.93490804699999996</v>
      </c>
    </row>
    <row r="186" spans="1:14" ht="18.95" customHeight="1">
      <c r="A186" s="346"/>
      <c r="B186" s="603"/>
      <c r="C186" s="242"/>
      <c r="D186" s="168"/>
      <c r="E186" s="267"/>
      <c r="F186" s="268"/>
      <c r="G186" s="267"/>
      <c r="H186" s="267"/>
      <c r="I186" s="267"/>
      <c r="J186" s="269"/>
      <c r="K186" s="269"/>
      <c r="L186" s="270"/>
      <c r="M186" s="268"/>
      <c r="N186" s="1163">
        <v>0.93490804699999996</v>
      </c>
    </row>
    <row r="187" spans="1:14" ht="18.95" customHeight="1">
      <c r="A187" s="346"/>
      <c r="B187" s="344"/>
      <c r="C187" s="318"/>
      <c r="D187" s="164"/>
      <c r="E187" s="267"/>
      <c r="F187" s="268"/>
      <c r="G187" s="267"/>
      <c r="H187" s="267"/>
      <c r="I187" s="267"/>
      <c r="J187" s="269"/>
      <c r="K187" s="269"/>
      <c r="L187" s="270"/>
      <c r="M187" s="268"/>
      <c r="N187" s="1163">
        <v>0.93490804699999996</v>
      </c>
    </row>
    <row r="188" spans="1:14" ht="18.95" customHeight="1">
      <c r="A188" s="340"/>
      <c r="B188" s="341"/>
      <c r="C188" s="318"/>
      <c r="D188" s="164"/>
      <c r="E188" s="267"/>
      <c r="F188" s="268"/>
      <c r="G188" s="267"/>
      <c r="H188" s="267"/>
      <c r="I188" s="267"/>
      <c r="J188" s="269"/>
      <c r="K188" s="269"/>
      <c r="L188" s="270"/>
      <c r="M188" s="268"/>
      <c r="N188" s="1163">
        <v>0.93490804699999996</v>
      </c>
    </row>
    <row r="189" spans="1:14" ht="18.95" customHeight="1">
      <c r="A189" s="340"/>
      <c r="B189" s="347"/>
      <c r="C189" s="163"/>
      <c r="D189" s="167"/>
      <c r="E189" s="267"/>
      <c r="F189" s="268"/>
      <c r="G189" s="267"/>
      <c r="H189" s="267"/>
      <c r="I189" s="267"/>
      <c r="J189" s="269"/>
      <c r="K189" s="269"/>
      <c r="L189" s="270"/>
      <c r="M189" s="268"/>
      <c r="N189" s="1163">
        <v>0.93490804699999996</v>
      </c>
    </row>
    <row r="190" spans="1:14" ht="18.95" customHeight="1">
      <c r="A190" s="340"/>
      <c r="B190" s="347"/>
      <c r="C190" s="163"/>
      <c r="D190" s="164"/>
      <c r="E190" s="267"/>
      <c r="F190" s="268"/>
      <c r="G190" s="267"/>
      <c r="H190" s="267"/>
      <c r="I190" s="267"/>
      <c r="J190" s="269"/>
      <c r="K190" s="269"/>
      <c r="L190" s="270"/>
      <c r="M190" s="268"/>
      <c r="N190" s="1163">
        <v>0.93490804699999996</v>
      </c>
    </row>
    <row r="191" spans="1:14" ht="18.95" customHeight="1">
      <c r="A191" s="340"/>
      <c r="B191" s="341"/>
      <c r="C191" s="242"/>
      <c r="D191" s="187"/>
      <c r="E191" s="267"/>
      <c r="F191" s="268"/>
      <c r="G191" s="267"/>
      <c r="H191" s="267"/>
      <c r="I191" s="267"/>
      <c r="J191" s="269"/>
      <c r="K191" s="269"/>
      <c r="L191" s="270"/>
      <c r="M191" s="268"/>
      <c r="N191" s="1163">
        <v>0.93490804699999996</v>
      </c>
    </row>
    <row r="192" spans="1:14" ht="18.95" customHeight="1">
      <c r="A192" s="340"/>
      <c r="B192" s="344"/>
      <c r="C192" s="242"/>
      <c r="D192" s="187"/>
      <c r="E192" s="267"/>
      <c r="F192" s="268"/>
      <c r="G192" s="267"/>
      <c r="H192" s="267"/>
      <c r="I192" s="267"/>
      <c r="J192" s="269"/>
      <c r="K192" s="269"/>
      <c r="L192" s="270"/>
      <c r="M192" s="268"/>
      <c r="N192" s="1163">
        <v>0.93490804699999996</v>
      </c>
    </row>
    <row r="193" spans="1:15" ht="18.95" customHeight="1">
      <c r="A193" s="346"/>
      <c r="B193" s="349"/>
      <c r="C193" s="242"/>
      <c r="D193" s="168"/>
      <c r="E193" s="267"/>
      <c r="F193" s="268"/>
      <c r="G193" s="267"/>
      <c r="H193" s="267"/>
      <c r="I193" s="267"/>
      <c r="J193" s="269"/>
      <c r="K193" s="269"/>
      <c r="L193" s="270"/>
      <c r="M193" s="268"/>
      <c r="N193" s="1163">
        <v>0.93490804699999996</v>
      </c>
    </row>
    <row r="194" spans="1:15" ht="18.95" customHeight="1">
      <c r="A194" s="346"/>
      <c r="B194" s="349"/>
      <c r="C194" s="318"/>
      <c r="D194" s="235"/>
      <c r="E194" s="267"/>
      <c r="F194" s="268"/>
      <c r="G194" s="267"/>
      <c r="H194" s="267"/>
      <c r="I194" s="267"/>
      <c r="J194" s="269"/>
      <c r="K194" s="269"/>
      <c r="L194" s="270"/>
      <c r="M194" s="268"/>
      <c r="N194" s="1163">
        <v>0.93490804699999996</v>
      </c>
    </row>
    <row r="195" spans="1:15" ht="18.95" customHeight="1">
      <c r="A195" s="346"/>
      <c r="B195" s="349"/>
      <c r="C195" s="318"/>
      <c r="D195" s="235"/>
      <c r="E195" s="267"/>
      <c r="F195" s="268"/>
      <c r="G195" s="267"/>
      <c r="H195" s="267"/>
      <c r="I195" s="267"/>
      <c r="J195" s="269"/>
      <c r="K195" s="269"/>
      <c r="L195" s="270"/>
      <c r="M195" s="268"/>
      <c r="N195" s="1163">
        <v>0.93490804699999996</v>
      </c>
    </row>
    <row r="196" spans="1:15" ht="18.95" customHeight="1">
      <c r="A196" s="346"/>
      <c r="B196" s="349"/>
      <c r="C196" s="152"/>
      <c r="D196" s="235"/>
      <c r="E196" s="267"/>
      <c r="F196" s="268"/>
      <c r="G196" s="267"/>
      <c r="H196" s="267"/>
      <c r="I196" s="267"/>
      <c r="J196" s="269"/>
      <c r="K196" s="269"/>
      <c r="L196" s="270"/>
      <c r="M196" s="268"/>
      <c r="N196" s="1163">
        <v>0.93490804699999996</v>
      </c>
    </row>
    <row r="197" spans="1:15" ht="18.95" customHeight="1">
      <c r="A197" s="346"/>
      <c r="B197" s="603"/>
      <c r="C197" s="242"/>
      <c r="D197" s="168"/>
      <c r="E197" s="267"/>
      <c r="F197" s="268"/>
      <c r="G197" s="267"/>
      <c r="H197" s="267"/>
      <c r="I197" s="267"/>
      <c r="J197" s="269"/>
      <c r="K197" s="269"/>
      <c r="L197" s="270"/>
      <c r="M197" s="268"/>
      <c r="N197" s="1163">
        <v>0.93490804699999996</v>
      </c>
    </row>
    <row r="198" spans="1:15" ht="18.95" customHeight="1">
      <c r="A198" s="224"/>
      <c r="B198" s="122"/>
      <c r="C198" s="329"/>
      <c r="D198" s="328"/>
      <c r="E198" s="267"/>
      <c r="F198" s="268"/>
      <c r="G198" s="267"/>
      <c r="H198" s="267"/>
      <c r="I198" s="267"/>
      <c r="J198" s="267"/>
      <c r="K198" s="269"/>
      <c r="L198" s="267"/>
      <c r="M198" s="268"/>
      <c r="N198" s="1163">
        <v>0.93490804699999996</v>
      </c>
    </row>
    <row r="199" spans="1:15" ht="18.95" customHeight="1">
      <c r="A199" s="336">
        <v>4</v>
      </c>
      <c r="B199" s="751" t="s">
        <v>2252</v>
      </c>
      <c r="C199" s="318"/>
      <c r="D199" s="164"/>
      <c r="E199" s="267"/>
      <c r="F199" s="268"/>
      <c r="G199" s="267"/>
      <c r="H199" s="267"/>
      <c r="I199" s="267"/>
      <c r="J199" s="269"/>
      <c r="K199" s="267"/>
      <c r="L199" s="268"/>
      <c r="M199" s="268"/>
      <c r="N199" s="1163">
        <v>0.93490804699999996</v>
      </c>
    </row>
    <row r="200" spans="1:15" ht="18.95" customHeight="1">
      <c r="A200" s="340">
        <v>4.0999999999999996</v>
      </c>
      <c r="B200" s="341" t="s">
        <v>2392</v>
      </c>
      <c r="C200" s="318"/>
      <c r="D200" s="164"/>
      <c r="E200" s="267"/>
      <c r="F200" s="268"/>
      <c r="G200" s="267"/>
      <c r="H200" s="267"/>
      <c r="I200" s="267"/>
      <c r="J200" s="269"/>
      <c r="K200" s="267"/>
      <c r="L200" s="268"/>
      <c r="M200" s="268"/>
      <c r="N200" s="1163">
        <v>0.93490804699999996</v>
      </c>
    </row>
    <row r="201" spans="1:15" ht="18.95" customHeight="1">
      <c r="A201" s="340"/>
      <c r="B201" s="341" t="s">
        <v>2258</v>
      </c>
      <c r="C201" s="318" t="s">
        <v>2259</v>
      </c>
      <c r="D201" s="164" t="s">
        <v>2260</v>
      </c>
      <c r="E201" s="267">
        <v>29</v>
      </c>
      <c r="F201" s="268" t="s">
        <v>402</v>
      </c>
      <c r="G201" s="267">
        <v>21220</v>
      </c>
      <c r="H201" s="267">
        <f t="shared" ref="H201:H203" si="81">G201*N201</f>
        <v>19838.748757339999</v>
      </c>
      <c r="I201" s="267">
        <f t="shared" ref="I201:I203" si="82">E201*H201</f>
        <v>575323.71396285994</v>
      </c>
      <c r="J201" s="269">
        <v>0</v>
      </c>
      <c r="K201" s="269">
        <v>0</v>
      </c>
      <c r="L201" s="270">
        <f t="shared" ref="L201:L220" si="83">SUM(I201)</f>
        <v>575323.71396285994</v>
      </c>
      <c r="M201" s="268"/>
      <c r="N201" s="1163">
        <v>0.93490804699999996</v>
      </c>
    </row>
    <row r="202" spans="1:15" ht="18.95" customHeight="1">
      <c r="A202" s="340"/>
      <c r="B202" s="341" t="s">
        <v>2264</v>
      </c>
      <c r="C202" s="318" t="s">
        <v>2265</v>
      </c>
      <c r="D202" s="164" t="s">
        <v>2393</v>
      </c>
      <c r="E202" s="267">
        <v>2</v>
      </c>
      <c r="F202" s="268" t="s">
        <v>402</v>
      </c>
      <c r="G202" s="267">
        <v>7230</v>
      </c>
      <c r="H202" s="267">
        <f t="shared" si="81"/>
        <v>6759.3851798099995</v>
      </c>
      <c r="I202" s="267">
        <f t="shared" si="82"/>
        <v>13518.770359619999</v>
      </c>
      <c r="J202" s="269">
        <v>0</v>
      </c>
      <c r="K202" s="269">
        <v>0</v>
      </c>
      <c r="L202" s="270">
        <f t="shared" si="83"/>
        <v>13518.770359619999</v>
      </c>
      <c r="M202" s="268"/>
      <c r="N202" s="1163">
        <v>0.93490804699999996</v>
      </c>
    </row>
    <row r="203" spans="1:15" ht="18.95" customHeight="1">
      <c r="A203" s="340"/>
      <c r="B203" s="341" t="s">
        <v>2328</v>
      </c>
      <c r="C203" s="318" t="s">
        <v>2329</v>
      </c>
      <c r="D203" s="164" t="s">
        <v>2330</v>
      </c>
      <c r="E203" s="267">
        <v>1</v>
      </c>
      <c r="F203" s="268" t="s">
        <v>402</v>
      </c>
      <c r="G203" s="267">
        <v>64400</v>
      </c>
      <c r="H203" s="267">
        <f t="shared" si="81"/>
        <v>60208.078226799997</v>
      </c>
      <c r="I203" s="267">
        <f t="shared" si="82"/>
        <v>60208.078226799997</v>
      </c>
      <c r="J203" s="269">
        <v>0</v>
      </c>
      <c r="K203" s="269">
        <v>0</v>
      </c>
      <c r="L203" s="270">
        <f t="shared" si="83"/>
        <v>60208.078226799997</v>
      </c>
      <c r="M203" s="268"/>
      <c r="N203" s="1163">
        <v>0.93490804699999996</v>
      </c>
    </row>
    <row r="204" spans="1:15" ht="18.95" customHeight="1">
      <c r="A204" s="340"/>
      <c r="B204" s="341" t="s">
        <v>2267</v>
      </c>
      <c r="C204" s="318" t="s">
        <v>2268</v>
      </c>
      <c r="D204" s="164"/>
      <c r="E204" s="267">
        <v>29</v>
      </c>
      <c r="F204" s="268" t="s">
        <v>402</v>
      </c>
      <c r="G204" s="267">
        <v>7950</v>
      </c>
      <c r="H204" s="267">
        <f t="shared" ref="H204:H266" si="84">G204*N204</f>
        <v>7432.5189736499997</v>
      </c>
      <c r="I204" s="267">
        <f t="shared" ref="I204:I266" si="85">E204*H204</f>
        <v>215543.05023584998</v>
      </c>
      <c r="J204" s="269">
        <v>0</v>
      </c>
      <c r="K204" s="269">
        <v>0</v>
      </c>
      <c r="L204" s="270">
        <f t="shared" si="83"/>
        <v>215543.05023584998</v>
      </c>
      <c r="M204" s="268"/>
      <c r="N204" s="1163">
        <v>0.93490804699999996</v>
      </c>
    </row>
    <row r="205" spans="1:15" ht="18.95" customHeight="1">
      <c r="A205" s="340"/>
      <c r="B205" s="341" t="s">
        <v>2271</v>
      </c>
      <c r="C205" s="318" t="s">
        <v>2272</v>
      </c>
      <c r="D205" s="164"/>
      <c r="E205" s="267">
        <v>6</v>
      </c>
      <c r="F205" s="268" t="s">
        <v>402</v>
      </c>
      <c r="G205" s="267">
        <v>11660</v>
      </c>
      <c r="H205" s="267">
        <f t="shared" si="84"/>
        <v>10901.02782802</v>
      </c>
      <c r="I205" s="267">
        <f t="shared" si="85"/>
        <v>65406.16696812</v>
      </c>
      <c r="J205" s="269">
        <v>0</v>
      </c>
      <c r="K205" s="269">
        <v>0</v>
      </c>
      <c r="L205" s="270">
        <f t="shared" si="83"/>
        <v>65406.16696812</v>
      </c>
      <c r="M205" s="268"/>
      <c r="N205" s="1163">
        <v>0.93490804699999996</v>
      </c>
    </row>
    <row r="206" spans="1:15" ht="18.95" customHeight="1">
      <c r="A206" s="340"/>
      <c r="B206" s="341" t="s">
        <v>2296</v>
      </c>
      <c r="C206" s="242" t="s">
        <v>2297</v>
      </c>
      <c r="D206" s="168" t="s">
        <v>2298</v>
      </c>
      <c r="E206" s="267">
        <v>1</v>
      </c>
      <c r="F206" s="268" t="s">
        <v>402</v>
      </c>
      <c r="G206" s="267">
        <v>11980</v>
      </c>
      <c r="H206" s="267">
        <f t="shared" si="84"/>
        <v>11200.19840306</v>
      </c>
      <c r="I206" s="267">
        <f t="shared" si="85"/>
        <v>11200.19840306</v>
      </c>
      <c r="J206" s="269">
        <v>0</v>
      </c>
      <c r="K206" s="269">
        <v>0</v>
      </c>
      <c r="L206" s="270">
        <f t="shared" si="83"/>
        <v>11200.19840306</v>
      </c>
      <c r="M206" s="268"/>
      <c r="N206" s="1163">
        <v>0.93490804699999996</v>
      </c>
      <c r="O206" s="752"/>
    </row>
    <row r="207" spans="1:15" ht="18.95" customHeight="1">
      <c r="A207" s="340"/>
      <c r="B207" s="341" t="s">
        <v>2331</v>
      </c>
      <c r="C207" s="318" t="s">
        <v>2332</v>
      </c>
      <c r="D207" s="164"/>
      <c r="E207" s="267">
        <v>6</v>
      </c>
      <c r="F207" s="268" t="s">
        <v>402</v>
      </c>
      <c r="G207" s="267">
        <v>12000</v>
      </c>
      <c r="H207" s="267">
        <f t="shared" si="84"/>
        <v>11218.896563999999</v>
      </c>
      <c r="I207" s="267">
        <f t="shared" si="85"/>
        <v>67313.379384</v>
      </c>
      <c r="J207" s="269">
        <v>0</v>
      </c>
      <c r="K207" s="269">
        <v>0</v>
      </c>
      <c r="L207" s="270">
        <f t="shared" si="83"/>
        <v>67313.379384</v>
      </c>
      <c r="M207" s="268"/>
      <c r="N207" s="1163">
        <v>0.93490804699999996</v>
      </c>
      <c r="O207" s="752"/>
    </row>
    <row r="208" spans="1:15" ht="18.95" customHeight="1">
      <c r="A208" s="340"/>
      <c r="B208" s="341" t="s">
        <v>2394</v>
      </c>
      <c r="C208" s="318" t="s">
        <v>2395</v>
      </c>
      <c r="D208" s="235" t="s">
        <v>2396</v>
      </c>
      <c r="E208" s="267">
        <v>1</v>
      </c>
      <c r="F208" s="268" t="s">
        <v>402</v>
      </c>
      <c r="G208" s="267">
        <v>15900</v>
      </c>
      <c r="H208" s="267">
        <f t="shared" si="84"/>
        <v>14865.037947299999</v>
      </c>
      <c r="I208" s="267">
        <f t="shared" si="85"/>
        <v>14865.037947299999</v>
      </c>
      <c r="J208" s="269">
        <v>0</v>
      </c>
      <c r="K208" s="269">
        <v>0</v>
      </c>
      <c r="L208" s="270">
        <f>SUM(I208)</f>
        <v>14865.037947299999</v>
      </c>
      <c r="M208" s="268"/>
      <c r="N208" s="1163">
        <v>0.93490804699999996</v>
      </c>
    </row>
    <row r="209" spans="1:14" ht="18.95" customHeight="1">
      <c r="A209" s="346"/>
      <c r="B209" s="341" t="s">
        <v>2397</v>
      </c>
      <c r="C209" s="318" t="s">
        <v>2398</v>
      </c>
      <c r="D209" s="235" t="s">
        <v>2399</v>
      </c>
      <c r="E209" s="267">
        <v>1</v>
      </c>
      <c r="F209" s="268" t="s">
        <v>402</v>
      </c>
      <c r="G209" s="267">
        <v>7590</v>
      </c>
      <c r="H209" s="267">
        <f t="shared" si="84"/>
        <v>7095.95207673</v>
      </c>
      <c r="I209" s="267">
        <f t="shared" si="85"/>
        <v>7095.95207673</v>
      </c>
      <c r="J209" s="269">
        <v>0</v>
      </c>
      <c r="K209" s="269">
        <v>0</v>
      </c>
      <c r="L209" s="270">
        <f>SUM(I209)</f>
        <v>7095.95207673</v>
      </c>
      <c r="M209" s="268"/>
      <c r="N209" s="1163">
        <v>0.93490804699999996</v>
      </c>
    </row>
    <row r="210" spans="1:14" ht="18.95" customHeight="1">
      <c r="A210" s="505"/>
      <c r="B210" s="341" t="s">
        <v>2273</v>
      </c>
      <c r="C210" s="318" t="s">
        <v>2274</v>
      </c>
      <c r="D210" s="164" t="s">
        <v>2275</v>
      </c>
      <c r="E210" s="267">
        <v>9</v>
      </c>
      <c r="F210" s="268" t="s">
        <v>402</v>
      </c>
      <c r="G210" s="267">
        <v>16740</v>
      </c>
      <c r="H210" s="267">
        <f t="shared" si="84"/>
        <v>15650.360706779999</v>
      </c>
      <c r="I210" s="267">
        <f t="shared" si="85"/>
        <v>140853.24636101999</v>
      </c>
      <c r="J210" s="269">
        <v>0</v>
      </c>
      <c r="K210" s="269">
        <v>0</v>
      </c>
      <c r="L210" s="270">
        <f>SUM(I210)</f>
        <v>140853.24636101999</v>
      </c>
      <c r="M210" s="268"/>
      <c r="N210" s="1163">
        <v>0.93490804699999996</v>
      </c>
    </row>
    <row r="211" spans="1:14" ht="18.95" customHeight="1">
      <c r="A211" s="346"/>
      <c r="B211" s="341" t="s">
        <v>2333</v>
      </c>
      <c r="C211" s="318" t="s">
        <v>2274</v>
      </c>
      <c r="D211" s="164" t="s">
        <v>2334</v>
      </c>
      <c r="E211" s="267">
        <v>2</v>
      </c>
      <c r="F211" s="268" t="s">
        <v>402</v>
      </c>
      <c r="G211" s="267">
        <v>25100</v>
      </c>
      <c r="H211" s="267">
        <f t="shared" si="84"/>
        <v>23466.191979699997</v>
      </c>
      <c r="I211" s="267">
        <f t="shared" si="85"/>
        <v>46932.383959399995</v>
      </c>
      <c r="J211" s="269">
        <v>0</v>
      </c>
      <c r="K211" s="269">
        <v>0</v>
      </c>
      <c r="L211" s="270">
        <f>SUM(I211)</f>
        <v>46932.383959399995</v>
      </c>
      <c r="M211" s="268"/>
      <c r="N211" s="1163">
        <v>0.93490804699999996</v>
      </c>
    </row>
    <row r="212" spans="1:14" ht="18.95" customHeight="1">
      <c r="A212" s="505"/>
      <c r="B212" s="341" t="s">
        <v>2276</v>
      </c>
      <c r="C212" s="318" t="s">
        <v>2277</v>
      </c>
      <c r="D212" s="164" t="s">
        <v>2278</v>
      </c>
      <c r="E212" s="267">
        <v>15</v>
      </c>
      <c r="F212" s="268" t="s">
        <v>402</v>
      </c>
      <c r="G212" s="267">
        <v>8035</v>
      </c>
      <c r="H212" s="267">
        <f t="shared" si="84"/>
        <v>7511.9861576449994</v>
      </c>
      <c r="I212" s="267">
        <f t="shared" si="85"/>
        <v>112679.79236467498</v>
      </c>
      <c r="J212" s="269">
        <v>0</v>
      </c>
      <c r="K212" s="269">
        <v>0</v>
      </c>
      <c r="L212" s="270">
        <f t="shared" si="83"/>
        <v>112679.79236467498</v>
      </c>
      <c r="M212" s="268"/>
      <c r="N212" s="1163">
        <v>0.93490804699999996</v>
      </c>
    </row>
    <row r="213" spans="1:14" ht="18.95" customHeight="1">
      <c r="A213" s="340"/>
      <c r="B213" s="341" t="s">
        <v>2340</v>
      </c>
      <c r="C213" s="318" t="s">
        <v>2341</v>
      </c>
      <c r="D213" s="164" t="s">
        <v>2342</v>
      </c>
      <c r="E213" s="267">
        <v>5</v>
      </c>
      <c r="F213" s="268" t="s">
        <v>402</v>
      </c>
      <c r="G213" s="267">
        <v>3350</v>
      </c>
      <c r="H213" s="267">
        <f t="shared" si="84"/>
        <v>3131.9419574499998</v>
      </c>
      <c r="I213" s="267">
        <f t="shared" si="85"/>
        <v>15659.709787249998</v>
      </c>
      <c r="J213" s="269">
        <v>0</v>
      </c>
      <c r="K213" s="269">
        <v>0</v>
      </c>
      <c r="L213" s="270">
        <f t="shared" si="83"/>
        <v>15659.709787249998</v>
      </c>
      <c r="M213" s="268"/>
      <c r="N213" s="1163">
        <v>0.93490804699999996</v>
      </c>
    </row>
    <row r="214" spans="1:14" ht="18.95" customHeight="1">
      <c r="A214" s="340"/>
      <c r="B214" s="341" t="s">
        <v>2343</v>
      </c>
      <c r="C214" s="318" t="s">
        <v>2341</v>
      </c>
      <c r="D214" s="167" t="s">
        <v>2344</v>
      </c>
      <c r="E214" s="267">
        <v>7</v>
      </c>
      <c r="F214" s="268" t="s">
        <v>402</v>
      </c>
      <c r="G214" s="267">
        <v>2650</v>
      </c>
      <c r="H214" s="267">
        <f t="shared" si="84"/>
        <v>2477.50632455</v>
      </c>
      <c r="I214" s="267">
        <f t="shared" si="85"/>
        <v>17342.544271850002</v>
      </c>
      <c r="J214" s="269">
        <v>0</v>
      </c>
      <c r="K214" s="269">
        <v>0</v>
      </c>
      <c r="L214" s="270">
        <f t="shared" si="83"/>
        <v>17342.544271850002</v>
      </c>
      <c r="M214" s="268"/>
      <c r="N214" s="1163">
        <v>0.93490804699999996</v>
      </c>
    </row>
    <row r="215" spans="1:14" ht="18.95" customHeight="1">
      <c r="A215" s="340"/>
      <c r="B215" s="341" t="s">
        <v>2345</v>
      </c>
      <c r="C215" s="318" t="s">
        <v>2341</v>
      </c>
      <c r="D215" s="164" t="s">
        <v>2346</v>
      </c>
      <c r="E215" s="267">
        <v>4</v>
      </c>
      <c r="F215" s="268" t="s">
        <v>402</v>
      </c>
      <c r="G215" s="267">
        <v>2430</v>
      </c>
      <c r="H215" s="267">
        <f t="shared" si="84"/>
        <v>2271.8265542099998</v>
      </c>
      <c r="I215" s="267">
        <f t="shared" si="85"/>
        <v>9087.3062168399993</v>
      </c>
      <c r="J215" s="269">
        <v>0</v>
      </c>
      <c r="K215" s="269">
        <v>0</v>
      </c>
      <c r="L215" s="270">
        <f t="shared" si="83"/>
        <v>9087.3062168399993</v>
      </c>
      <c r="M215" s="268"/>
      <c r="N215" s="1163">
        <v>0.93490804699999996</v>
      </c>
    </row>
    <row r="216" spans="1:14" ht="18.95" customHeight="1">
      <c r="A216" s="340">
        <v>4.2</v>
      </c>
      <c r="B216" s="345" t="s">
        <v>2400</v>
      </c>
      <c r="C216" s="318"/>
      <c r="D216" s="164"/>
      <c r="E216" s="267"/>
      <c r="F216" s="268"/>
      <c r="G216" s="267"/>
      <c r="H216" s="267"/>
      <c r="I216" s="267"/>
      <c r="J216" s="269"/>
      <c r="K216" s="269"/>
      <c r="L216" s="270"/>
      <c r="M216" s="268"/>
      <c r="N216" s="1163">
        <v>0.93490804699999996</v>
      </c>
    </row>
    <row r="217" spans="1:14" ht="18.95" customHeight="1">
      <c r="A217" s="340"/>
      <c r="B217" s="341" t="s">
        <v>2280</v>
      </c>
      <c r="C217" s="318" t="s">
        <v>2281</v>
      </c>
      <c r="D217" s="164"/>
      <c r="E217" s="267">
        <v>5</v>
      </c>
      <c r="F217" s="268" t="s">
        <v>402</v>
      </c>
      <c r="G217" s="267">
        <v>28540</v>
      </c>
      <c r="H217" s="267">
        <f t="shared" si="84"/>
        <v>26682.275661379997</v>
      </c>
      <c r="I217" s="267">
        <f t="shared" si="85"/>
        <v>133411.37830689998</v>
      </c>
      <c r="J217" s="269">
        <v>0</v>
      </c>
      <c r="K217" s="269">
        <v>0</v>
      </c>
      <c r="L217" s="270">
        <f t="shared" si="83"/>
        <v>133411.37830689998</v>
      </c>
      <c r="M217" s="268"/>
      <c r="N217" s="1163">
        <v>0.93490804699999996</v>
      </c>
    </row>
    <row r="218" spans="1:14" ht="18.95" customHeight="1">
      <c r="A218" s="340"/>
      <c r="B218" s="341" t="s">
        <v>2282</v>
      </c>
      <c r="C218" s="318" t="s">
        <v>2283</v>
      </c>
      <c r="D218" s="168"/>
      <c r="E218" s="267">
        <v>5</v>
      </c>
      <c r="F218" s="268" t="s">
        <v>402</v>
      </c>
      <c r="G218" s="267">
        <v>8500</v>
      </c>
      <c r="H218" s="267">
        <f t="shared" si="84"/>
        <v>7946.7183994999996</v>
      </c>
      <c r="I218" s="267">
        <f t="shared" si="85"/>
        <v>39733.5919975</v>
      </c>
      <c r="J218" s="269">
        <v>0</v>
      </c>
      <c r="K218" s="269">
        <v>0</v>
      </c>
      <c r="L218" s="270">
        <f t="shared" si="83"/>
        <v>39733.5919975</v>
      </c>
      <c r="M218" s="268"/>
      <c r="N218" s="1163">
        <v>0.93490804699999996</v>
      </c>
    </row>
    <row r="219" spans="1:14" ht="18.95" customHeight="1">
      <c r="A219" s="340"/>
      <c r="B219" s="341" t="s">
        <v>2284</v>
      </c>
      <c r="C219" s="318" t="s">
        <v>2285</v>
      </c>
      <c r="D219" s="164"/>
      <c r="E219" s="267">
        <v>5</v>
      </c>
      <c r="F219" s="268" t="s">
        <v>402</v>
      </c>
      <c r="G219" s="267">
        <v>6680</v>
      </c>
      <c r="H219" s="267">
        <f t="shared" si="84"/>
        <v>6245.1857539599996</v>
      </c>
      <c r="I219" s="267">
        <f t="shared" si="85"/>
        <v>31225.928769799997</v>
      </c>
      <c r="J219" s="269">
        <v>0</v>
      </c>
      <c r="K219" s="269">
        <v>0</v>
      </c>
      <c r="L219" s="270">
        <f t="shared" si="83"/>
        <v>31225.928769799997</v>
      </c>
      <c r="M219" s="268"/>
      <c r="N219" s="1163">
        <v>0.93490804699999996</v>
      </c>
    </row>
    <row r="220" spans="1:14" ht="18.95" customHeight="1">
      <c r="A220" s="340"/>
      <c r="B220" s="341" t="s">
        <v>2286</v>
      </c>
      <c r="C220" s="318" t="s">
        <v>2274</v>
      </c>
      <c r="D220" s="164" t="s">
        <v>2287</v>
      </c>
      <c r="E220" s="267">
        <v>5</v>
      </c>
      <c r="F220" s="268" t="s">
        <v>402</v>
      </c>
      <c r="G220" s="267">
        <v>14780</v>
      </c>
      <c r="H220" s="267">
        <f t="shared" si="84"/>
        <v>13817.940934659999</v>
      </c>
      <c r="I220" s="267">
        <f t="shared" si="85"/>
        <v>69089.704673299988</v>
      </c>
      <c r="J220" s="269">
        <v>0</v>
      </c>
      <c r="K220" s="269">
        <v>0</v>
      </c>
      <c r="L220" s="270">
        <f t="shared" si="83"/>
        <v>69089.704673299988</v>
      </c>
      <c r="M220" s="268"/>
      <c r="N220" s="1163">
        <v>0.93490804699999996</v>
      </c>
    </row>
    <row r="221" spans="1:14" ht="18.95" customHeight="1">
      <c r="A221" s="340">
        <v>4.3</v>
      </c>
      <c r="B221" s="349" t="s">
        <v>2401</v>
      </c>
      <c r="C221" s="242"/>
      <c r="D221" s="168"/>
      <c r="E221" s="267"/>
      <c r="F221" s="268"/>
      <c r="G221" s="267"/>
      <c r="H221" s="267"/>
      <c r="I221" s="267"/>
      <c r="J221" s="269"/>
      <c r="K221" s="269"/>
      <c r="L221" s="270"/>
      <c r="M221" s="268"/>
      <c r="N221" s="1163">
        <v>0.93490804699999996</v>
      </c>
    </row>
    <row r="222" spans="1:14" ht="18.95" customHeight="1">
      <c r="A222" s="346"/>
      <c r="B222" s="341" t="s">
        <v>2365</v>
      </c>
      <c r="C222" s="318" t="s">
        <v>2366</v>
      </c>
      <c r="D222" s="235"/>
      <c r="E222" s="267">
        <v>4</v>
      </c>
      <c r="F222" s="268" t="s">
        <v>402</v>
      </c>
      <c r="G222" s="267">
        <v>6370</v>
      </c>
      <c r="H222" s="267">
        <f t="shared" si="84"/>
        <v>5955.3642593899995</v>
      </c>
      <c r="I222" s="267">
        <f t="shared" si="85"/>
        <v>23821.457037559998</v>
      </c>
      <c r="J222" s="269">
        <v>0</v>
      </c>
      <c r="K222" s="269">
        <v>0</v>
      </c>
      <c r="L222" s="270">
        <f>SUM(I222)</f>
        <v>23821.457037559998</v>
      </c>
      <c r="M222" s="268"/>
      <c r="N222" s="1163">
        <v>0.93490804699999996</v>
      </c>
    </row>
    <row r="223" spans="1:14" ht="18.95" customHeight="1">
      <c r="A223" s="340">
        <v>4.4000000000000004</v>
      </c>
      <c r="B223" s="344" t="s">
        <v>2402</v>
      </c>
      <c r="C223" s="242"/>
      <c r="D223" s="235"/>
      <c r="E223" s="267"/>
      <c r="F223" s="268"/>
      <c r="G223" s="267"/>
      <c r="H223" s="267"/>
      <c r="I223" s="267"/>
      <c r="J223" s="269"/>
      <c r="K223" s="269"/>
      <c r="L223" s="270"/>
      <c r="M223" s="268"/>
      <c r="N223" s="1163">
        <v>0.93490804699999996</v>
      </c>
    </row>
    <row r="224" spans="1:14" ht="18.95" customHeight="1">
      <c r="A224" s="346"/>
      <c r="B224" s="341" t="s">
        <v>2403</v>
      </c>
      <c r="C224" s="318" t="s">
        <v>2404</v>
      </c>
      <c r="D224" s="235"/>
      <c r="E224" s="267">
        <v>19</v>
      </c>
      <c r="F224" s="268" t="s">
        <v>402</v>
      </c>
      <c r="G224" s="267">
        <v>28030</v>
      </c>
      <c r="H224" s="267">
        <f t="shared" si="84"/>
        <v>26205.472557409998</v>
      </c>
      <c r="I224" s="267">
        <f t="shared" si="85"/>
        <v>497903.97859078995</v>
      </c>
      <c r="J224" s="269">
        <v>0</v>
      </c>
      <c r="K224" s="269">
        <v>0</v>
      </c>
      <c r="L224" s="270">
        <f>SUM(I224)</f>
        <v>497903.97859078995</v>
      </c>
      <c r="M224" s="268"/>
      <c r="N224" s="1163">
        <v>0.93490804699999996</v>
      </c>
    </row>
    <row r="225" spans="1:14" ht="18.95" customHeight="1">
      <c r="A225" s="346"/>
      <c r="B225" s="341" t="s">
        <v>2405</v>
      </c>
      <c r="C225" s="318" t="s">
        <v>2406</v>
      </c>
      <c r="D225" s="168"/>
      <c r="E225" s="267">
        <v>14</v>
      </c>
      <c r="F225" s="268" t="s">
        <v>402</v>
      </c>
      <c r="G225" s="267">
        <v>25740</v>
      </c>
      <c r="H225" s="267">
        <f t="shared" si="84"/>
        <v>24064.53312978</v>
      </c>
      <c r="I225" s="267">
        <f t="shared" si="85"/>
        <v>336903.46381692</v>
      </c>
      <c r="J225" s="269">
        <v>0</v>
      </c>
      <c r="K225" s="269">
        <v>0</v>
      </c>
      <c r="L225" s="270">
        <f>SUM(I225)</f>
        <v>336903.46381692</v>
      </c>
      <c r="M225" s="268"/>
      <c r="N225" s="1163">
        <v>0.93490804699999996</v>
      </c>
    </row>
    <row r="226" spans="1:14" ht="18.95" customHeight="1">
      <c r="A226" s="224"/>
      <c r="B226" s="122"/>
      <c r="C226" s="329"/>
      <c r="D226" s="328"/>
      <c r="E226" s="267"/>
      <c r="F226" s="268"/>
      <c r="G226" s="267"/>
      <c r="H226" s="267"/>
      <c r="I226" s="267"/>
      <c r="J226" s="267"/>
      <c r="K226" s="269"/>
      <c r="L226" s="267"/>
      <c r="M226" s="268"/>
      <c r="N226" s="1163">
        <v>0.93490804699999996</v>
      </c>
    </row>
    <row r="227" spans="1:14" ht="18.95" customHeight="1">
      <c r="A227" s="505"/>
      <c r="B227" s="344"/>
      <c r="C227" s="318"/>
      <c r="D227" s="164"/>
      <c r="E227" s="267"/>
      <c r="F227" s="268"/>
      <c r="G227" s="267"/>
      <c r="H227" s="267"/>
      <c r="I227" s="267"/>
      <c r="J227" s="269"/>
      <c r="K227" s="267"/>
      <c r="L227" s="268"/>
      <c r="M227" s="268"/>
      <c r="N227" s="1163">
        <v>0.93490804699999996</v>
      </c>
    </row>
    <row r="228" spans="1:14" ht="18.95" customHeight="1">
      <c r="A228" s="340">
        <v>4.5</v>
      </c>
      <c r="B228" s="341" t="s">
        <v>2407</v>
      </c>
      <c r="C228" s="318"/>
      <c r="D228" s="164"/>
      <c r="E228" s="267"/>
      <c r="F228" s="268"/>
      <c r="G228" s="267"/>
      <c r="H228" s="267"/>
      <c r="I228" s="267"/>
      <c r="J228" s="269"/>
      <c r="K228" s="267"/>
      <c r="L228" s="268"/>
      <c r="M228" s="268"/>
      <c r="N228" s="1163">
        <v>0.93490804699999996</v>
      </c>
    </row>
    <row r="229" spans="1:14" ht="18.95" customHeight="1">
      <c r="A229" s="340"/>
      <c r="B229" s="341" t="s">
        <v>2408</v>
      </c>
      <c r="C229" s="318" t="s">
        <v>2409</v>
      </c>
      <c r="D229" s="164" t="s">
        <v>2410</v>
      </c>
      <c r="E229" s="267">
        <v>2</v>
      </c>
      <c r="F229" s="268" t="s">
        <v>402</v>
      </c>
      <c r="G229" s="267">
        <v>11920</v>
      </c>
      <c r="H229" s="267">
        <f t="shared" si="84"/>
        <v>11144.103920239999</v>
      </c>
      <c r="I229" s="267">
        <f t="shared" si="85"/>
        <v>22288.207840479998</v>
      </c>
      <c r="J229" s="269">
        <v>0</v>
      </c>
      <c r="K229" s="269">
        <v>0</v>
      </c>
      <c r="L229" s="270">
        <f>SUM(I229)</f>
        <v>22288.207840479998</v>
      </c>
      <c r="M229" s="268"/>
      <c r="N229" s="1163">
        <v>0.93490804699999996</v>
      </c>
    </row>
    <row r="230" spans="1:14" ht="18.95" customHeight="1">
      <c r="A230" s="346"/>
      <c r="B230" s="341" t="s">
        <v>2267</v>
      </c>
      <c r="C230" s="318" t="s">
        <v>2268</v>
      </c>
      <c r="D230" s="164"/>
      <c r="E230" s="267">
        <v>2</v>
      </c>
      <c r="F230" s="268" t="s">
        <v>402</v>
      </c>
      <c r="G230" s="267">
        <v>7950</v>
      </c>
      <c r="H230" s="267">
        <f t="shared" si="84"/>
        <v>7432.5189736499997</v>
      </c>
      <c r="I230" s="267">
        <f t="shared" si="85"/>
        <v>14865.037947299999</v>
      </c>
      <c r="J230" s="269">
        <v>0</v>
      </c>
      <c r="K230" s="269">
        <v>0</v>
      </c>
      <c r="L230" s="270">
        <f>SUM(I230)</f>
        <v>14865.037947299999</v>
      </c>
      <c r="M230" s="268"/>
      <c r="N230" s="1163">
        <v>0.93490804699999996</v>
      </c>
    </row>
    <row r="231" spans="1:14" ht="18.95" customHeight="1">
      <c r="A231" s="340">
        <v>4.5999999999999996</v>
      </c>
      <c r="B231" s="341" t="s">
        <v>2411</v>
      </c>
      <c r="C231" s="318"/>
      <c r="D231" s="164"/>
      <c r="E231" s="267"/>
      <c r="F231" s="268"/>
      <c r="G231" s="267"/>
      <c r="H231" s="267"/>
      <c r="I231" s="267"/>
      <c r="J231" s="269"/>
      <c r="K231" s="269"/>
      <c r="L231" s="270"/>
      <c r="M231" s="270"/>
      <c r="N231" s="1163">
        <v>0.93490804699999996</v>
      </c>
    </row>
    <row r="232" spans="1:14" ht="18.95" customHeight="1">
      <c r="A232" s="346"/>
      <c r="B232" s="341" t="s">
        <v>2412</v>
      </c>
      <c r="C232" s="318" t="s">
        <v>2413</v>
      </c>
      <c r="D232" s="164" t="s">
        <v>2414</v>
      </c>
      <c r="E232" s="267">
        <v>1</v>
      </c>
      <c r="F232" s="268" t="s">
        <v>402</v>
      </c>
      <c r="G232" s="267">
        <v>25470</v>
      </c>
      <c r="H232" s="267">
        <f t="shared" si="84"/>
        <v>23812.10795709</v>
      </c>
      <c r="I232" s="267">
        <f t="shared" si="85"/>
        <v>23812.10795709</v>
      </c>
      <c r="J232" s="269">
        <v>0</v>
      </c>
      <c r="K232" s="269">
        <v>0</v>
      </c>
      <c r="L232" s="270">
        <f>SUM(I232)</f>
        <v>23812.10795709</v>
      </c>
      <c r="M232" s="270"/>
      <c r="N232" s="1163">
        <v>0.93490804699999996</v>
      </c>
    </row>
    <row r="233" spans="1:14" ht="18.95" customHeight="1">
      <c r="A233" s="346"/>
      <c r="B233" s="341" t="s">
        <v>2264</v>
      </c>
      <c r="C233" s="318" t="s">
        <v>2265</v>
      </c>
      <c r="D233" s="164" t="s">
        <v>2327</v>
      </c>
      <c r="E233" s="267">
        <v>1</v>
      </c>
      <c r="F233" s="268" t="s">
        <v>402</v>
      </c>
      <c r="G233" s="267">
        <v>7230</v>
      </c>
      <c r="H233" s="267">
        <f t="shared" si="84"/>
        <v>6759.3851798099995</v>
      </c>
      <c r="I233" s="267">
        <f t="shared" si="85"/>
        <v>6759.3851798099995</v>
      </c>
      <c r="J233" s="269">
        <v>0</v>
      </c>
      <c r="K233" s="269">
        <v>0</v>
      </c>
      <c r="L233" s="270">
        <f>SUM(I233)</f>
        <v>6759.3851798099995</v>
      </c>
      <c r="M233" s="268"/>
      <c r="N233" s="1163">
        <v>0.93490804699999996</v>
      </c>
    </row>
    <row r="234" spans="1:14" ht="18.95" customHeight="1">
      <c r="A234" s="346"/>
      <c r="B234" s="341" t="s">
        <v>2305</v>
      </c>
      <c r="C234" s="242" t="s">
        <v>2306</v>
      </c>
      <c r="D234" s="168"/>
      <c r="E234" s="267">
        <v>3</v>
      </c>
      <c r="F234" s="268" t="s">
        <v>402</v>
      </c>
      <c r="G234" s="267">
        <v>4875</v>
      </c>
      <c r="H234" s="267">
        <f t="shared" si="84"/>
        <v>4557.6767291249998</v>
      </c>
      <c r="I234" s="267">
        <f t="shared" si="85"/>
        <v>13673.030187375</v>
      </c>
      <c r="J234" s="269">
        <v>0</v>
      </c>
      <c r="K234" s="269">
        <v>0</v>
      </c>
      <c r="L234" s="270">
        <f>SUM(I234)</f>
        <v>13673.030187375</v>
      </c>
      <c r="M234" s="268"/>
      <c r="N234" s="1163">
        <v>0.93490804699999996</v>
      </c>
    </row>
    <row r="235" spans="1:14" ht="18.95" customHeight="1">
      <c r="A235" s="346"/>
      <c r="B235" s="341" t="s">
        <v>2289</v>
      </c>
      <c r="C235" s="318" t="s">
        <v>2274</v>
      </c>
      <c r="D235" s="164" t="s">
        <v>2290</v>
      </c>
      <c r="E235" s="267">
        <v>3</v>
      </c>
      <c r="F235" s="268" t="s">
        <v>402</v>
      </c>
      <c r="G235" s="267">
        <v>12440</v>
      </c>
      <c r="H235" s="267">
        <f t="shared" si="84"/>
        <v>11630.25610468</v>
      </c>
      <c r="I235" s="267">
        <f t="shared" si="85"/>
        <v>34890.768314040004</v>
      </c>
      <c r="J235" s="269">
        <v>0</v>
      </c>
      <c r="K235" s="269">
        <v>0</v>
      </c>
      <c r="L235" s="270">
        <f>SUM(I235)</f>
        <v>34890.768314040004</v>
      </c>
      <c r="M235" s="268"/>
      <c r="N235" s="1163">
        <v>0.93490804699999996</v>
      </c>
    </row>
    <row r="236" spans="1:14" ht="18.95" customHeight="1">
      <c r="A236" s="340">
        <v>4.7</v>
      </c>
      <c r="B236" s="341" t="s">
        <v>2415</v>
      </c>
      <c r="C236" s="318"/>
      <c r="D236" s="164"/>
      <c r="E236" s="267"/>
      <c r="F236" s="268"/>
      <c r="G236" s="267"/>
      <c r="H236" s="267"/>
      <c r="I236" s="267"/>
      <c r="J236" s="269"/>
      <c r="K236" s="269"/>
      <c r="L236" s="270"/>
      <c r="M236" s="270"/>
      <c r="N236" s="1163">
        <v>0.93490804699999996</v>
      </c>
    </row>
    <row r="237" spans="1:14" ht="18.95" customHeight="1">
      <c r="A237" s="340"/>
      <c r="B237" s="341" t="s">
        <v>2258</v>
      </c>
      <c r="C237" s="318" t="s">
        <v>2259</v>
      </c>
      <c r="D237" s="164" t="s">
        <v>2260</v>
      </c>
      <c r="E237" s="267">
        <v>1</v>
      </c>
      <c r="F237" s="268" t="s">
        <v>402</v>
      </c>
      <c r="G237" s="267">
        <v>21220</v>
      </c>
      <c r="H237" s="267">
        <f t="shared" si="84"/>
        <v>19838.748757339999</v>
      </c>
      <c r="I237" s="267">
        <f t="shared" si="85"/>
        <v>19838.748757339999</v>
      </c>
      <c r="J237" s="269">
        <v>0</v>
      </c>
      <c r="K237" s="269">
        <v>0</v>
      </c>
      <c r="L237" s="270">
        <f>SUM(I237)</f>
        <v>19838.748757339999</v>
      </c>
      <c r="M237" s="268"/>
      <c r="N237" s="1163">
        <v>0.93490804699999996</v>
      </c>
    </row>
    <row r="238" spans="1:14" ht="18.95" customHeight="1">
      <c r="A238" s="346"/>
      <c r="B238" s="341" t="s">
        <v>2267</v>
      </c>
      <c r="C238" s="318" t="s">
        <v>2268</v>
      </c>
      <c r="D238" s="164"/>
      <c r="E238" s="267">
        <v>3</v>
      </c>
      <c r="F238" s="268" t="s">
        <v>402</v>
      </c>
      <c r="G238" s="267">
        <v>7950</v>
      </c>
      <c r="H238" s="267">
        <f t="shared" si="84"/>
        <v>7432.5189736499997</v>
      </c>
      <c r="I238" s="267">
        <f t="shared" si="85"/>
        <v>22297.556920949999</v>
      </c>
      <c r="J238" s="269">
        <v>0</v>
      </c>
      <c r="K238" s="269">
        <v>0</v>
      </c>
      <c r="L238" s="270">
        <f>SUM(I238)</f>
        <v>22297.556920949999</v>
      </c>
      <c r="M238" s="268"/>
      <c r="N238" s="1163">
        <v>0.93490804699999996</v>
      </c>
    </row>
    <row r="239" spans="1:14" ht="18.95" customHeight="1">
      <c r="A239" s="346"/>
      <c r="B239" s="341" t="s">
        <v>2273</v>
      </c>
      <c r="C239" s="318" t="s">
        <v>2274</v>
      </c>
      <c r="D239" s="164" t="s">
        <v>2275</v>
      </c>
      <c r="E239" s="267">
        <v>1</v>
      </c>
      <c r="F239" s="268" t="s">
        <v>402</v>
      </c>
      <c r="G239" s="267">
        <v>16740</v>
      </c>
      <c r="H239" s="267">
        <f t="shared" si="84"/>
        <v>15650.360706779999</v>
      </c>
      <c r="I239" s="267">
        <f t="shared" si="85"/>
        <v>15650.360706779999</v>
      </c>
      <c r="J239" s="269">
        <v>0</v>
      </c>
      <c r="K239" s="269">
        <v>0</v>
      </c>
      <c r="L239" s="270">
        <f>SUM(I239)</f>
        <v>15650.360706779999</v>
      </c>
      <c r="M239" s="268"/>
      <c r="N239" s="1163">
        <v>0.93490804699999996</v>
      </c>
    </row>
    <row r="240" spans="1:14" ht="18.95" customHeight="1">
      <c r="A240" s="340">
        <v>4.8</v>
      </c>
      <c r="B240" s="341" t="s">
        <v>2416</v>
      </c>
      <c r="C240" s="318"/>
      <c r="D240" s="164"/>
      <c r="E240" s="267"/>
      <c r="F240" s="268"/>
      <c r="G240" s="267"/>
      <c r="H240" s="267"/>
      <c r="I240" s="267"/>
      <c r="J240" s="269"/>
      <c r="K240" s="269"/>
      <c r="L240" s="270"/>
      <c r="M240" s="268"/>
      <c r="N240" s="1163">
        <v>0.93490804699999996</v>
      </c>
    </row>
    <row r="241" spans="1:14" ht="18.95" customHeight="1">
      <c r="A241" s="340"/>
      <c r="B241" s="341" t="s">
        <v>2280</v>
      </c>
      <c r="C241" s="318" t="s">
        <v>2281</v>
      </c>
      <c r="D241" s="164"/>
      <c r="E241" s="267">
        <v>4</v>
      </c>
      <c r="F241" s="268" t="s">
        <v>402</v>
      </c>
      <c r="G241" s="267">
        <v>28540</v>
      </c>
      <c r="H241" s="267">
        <f t="shared" si="84"/>
        <v>26682.275661379997</v>
      </c>
      <c r="I241" s="267">
        <f t="shared" si="85"/>
        <v>106729.10264551999</v>
      </c>
      <c r="J241" s="269">
        <v>0</v>
      </c>
      <c r="K241" s="269">
        <v>0</v>
      </c>
      <c r="L241" s="270">
        <f>SUM(I241)</f>
        <v>106729.10264551999</v>
      </c>
      <c r="M241" s="268"/>
      <c r="N241" s="1163">
        <v>0.93490804699999996</v>
      </c>
    </row>
    <row r="242" spans="1:14" ht="18.95" customHeight="1">
      <c r="A242" s="346"/>
      <c r="B242" s="341" t="s">
        <v>2282</v>
      </c>
      <c r="C242" s="318" t="s">
        <v>2283</v>
      </c>
      <c r="D242" s="168"/>
      <c r="E242" s="267">
        <v>4</v>
      </c>
      <c r="F242" s="268" t="s">
        <v>402</v>
      </c>
      <c r="G242" s="267">
        <v>8500</v>
      </c>
      <c r="H242" s="267">
        <f t="shared" si="84"/>
        <v>7946.7183994999996</v>
      </c>
      <c r="I242" s="267">
        <f t="shared" si="85"/>
        <v>31786.873597999998</v>
      </c>
      <c r="J242" s="269">
        <v>0</v>
      </c>
      <c r="K242" s="269">
        <v>0</v>
      </c>
      <c r="L242" s="270">
        <f>SUM(I242)</f>
        <v>31786.873597999998</v>
      </c>
      <c r="M242" s="268"/>
      <c r="N242" s="1163">
        <v>0.93490804699999996</v>
      </c>
    </row>
    <row r="243" spans="1:14" ht="18.95" customHeight="1">
      <c r="A243" s="346"/>
      <c r="B243" s="341" t="s">
        <v>2284</v>
      </c>
      <c r="C243" s="318" t="s">
        <v>2285</v>
      </c>
      <c r="D243" s="164"/>
      <c r="E243" s="267">
        <v>4</v>
      </c>
      <c r="F243" s="268" t="s">
        <v>402</v>
      </c>
      <c r="G243" s="267">
        <v>6680</v>
      </c>
      <c r="H243" s="267">
        <f t="shared" si="84"/>
        <v>6245.1857539599996</v>
      </c>
      <c r="I243" s="267">
        <f t="shared" si="85"/>
        <v>24980.743015839998</v>
      </c>
      <c r="J243" s="269">
        <v>0</v>
      </c>
      <c r="K243" s="269">
        <v>0</v>
      </c>
      <c r="L243" s="270">
        <f>SUM(I243)</f>
        <v>24980.743015839998</v>
      </c>
      <c r="M243" s="268"/>
      <c r="N243" s="1163">
        <v>0.93490804699999996</v>
      </c>
    </row>
    <row r="244" spans="1:14" ht="18.95" customHeight="1">
      <c r="A244" s="346"/>
      <c r="B244" s="341" t="s">
        <v>2286</v>
      </c>
      <c r="C244" s="318" t="s">
        <v>2274</v>
      </c>
      <c r="D244" s="164" t="s">
        <v>2287</v>
      </c>
      <c r="E244" s="267">
        <v>4</v>
      </c>
      <c r="F244" s="268" t="s">
        <v>402</v>
      </c>
      <c r="G244" s="267">
        <v>14780</v>
      </c>
      <c r="H244" s="267">
        <f t="shared" si="84"/>
        <v>13817.940934659999</v>
      </c>
      <c r="I244" s="267">
        <f t="shared" si="85"/>
        <v>55271.763738639995</v>
      </c>
      <c r="J244" s="269">
        <v>0</v>
      </c>
      <c r="K244" s="269">
        <v>0</v>
      </c>
      <c r="L244" s="270">
        <f>SUM(I244)</f>
        <v>55271.763738639995</v>
      </c>
      <c r="M244" s="268"/>
      <c r="N244" s="1163">
        <v>0.93490804699999996</v>
      </c>
    </row>
    <row r="245" spans="1:14" ht="18.95" customHeight="1">
      <c r="A245" s="340">
        <v>4.9000000000000004</v>
      </c>
      <c r="B245" s="341" t="s">
        <v>2417</v>
      </c>
      <c r="C245" s="318"/>
      <c r="D245" s="164"/>
      <c r="E245" s="267"/>
      <c r="F245" s="268"/>
      <c r="G245" s="267"/>
      <c r="H245" s="267"/>
      <c r="I245" s="267"/>
      <c r="J245" s="269"/>
      <c r="K245" s="269"/>
      <c r="L245" s="270"/>
      <c r="M245" s="268"/>
      <c r="N245" s="1163">
        <v>0.93490804699999996</v>
      </c>
    </row>
    <row r="246" spans="1:14" ht="18.95" customHeight="1">
      <c r="A246" s="346"/>
      <c r="B246" s="341" t="s">
        <v>2418</v>
      </c>
      <c r="C246" s="318" t="s">
        <v>2419</v>
      </c>
      <c r="D246" s="168"/>
      <c r="E246" s="267">
        <v>2</v>
      </c>
      <c r="F246" s="268" t="s">
        <v>402</v>
      </c>
      <c r="G246" s="267">
        <v>13140</v>
      </c>
      <c r="H246" s="267">
        <f t="shared" si="84"/>
        <v>12284.69173758</v>
      </c>
      <c r="I246" s="267">
        <f t="shared" si="85"/>
        <v>24569.383475160001</v>
      </c>
      <c r="J246" s="269">
        <v>0</v>
      </c>
      <c r="K246" s="269">
        <v>0</v>
      </c>
      <c r="L246" s="270">
        <f>SUM(I246)</f>
        <v>24569.383475160001</v>
      </c>
      <c r="M246" s="268"/>
      <c r="N246" s="1163">
        <v>0.93490804699999996</v>
      </c>
    </row>
    <row r="247" spans="1:14" ht="18.95" customHeight="1">
      <c r="A247" s="346"/>
      <c r="B247" s="341" t="s">
        <v>2420</v>
      </c>
      <c r="C247" s="318" t="s">
        <v>2421</v>
      </c>
      <c r="D247" s="164"/>
      <c r="E247" s="267">
        <v>8</v>
      </c>
      <c r="F247" s="268" t="s">
        <v>402</v>
      </c>
      <c r="G247" s="267">
        <v>9950</v>
      </c>
      <c r="H247" s="267">
        <f t="shared" si="84"/>
        <v>9302.3350676499995</v>
      </c>
      <c r="I247" s="267">
        <f t="shared" si="85"/>
        <v>74418.680541199996</v>
      </c>
      <c r="J247" s="269">
        <v>0</v>
      </c>
      <c r="K247" s="269">
        <v>0</v>
      </c>
      <c r="L247" s="270">
        <f>SUM(I247)</f>
        <v>74418.680541199996</v>
      </c>
      <c r="M247" s="268"/>
      <c r="N247" s="1163">
        <v>0.93490804699999996</v>
      </c>
    </row>
    <row r="248" spans="1:14" ht="18.95" customHeight="1">
      <c r="A248" s="346"/>
      <c r="B248" s="341" t="s">
        <v>2273</v>
      </c>
      <c r="C248" s="318" t="s">
        <v>2274</v>
      </c>
      <c r="D248" s="164" t="s">
        <v>2275</v>
      </c>
      <c r="E248" s="267">
        <v>2</v>
      </c>
      <c r="F248" s="268" t="s">
        <v>402</v>
      </c>
      <c r="G248" s="267">
        <v>16740</v>
      </c>
      <c r="H248" s="267">
        <f t="shared" si="84"/>
        <v>15650.360706779999</v>
      </c>
      <c r="I248" s="267">
        <f t="shared" si="85"/>
        <v>31300.721413559997</v>
      </c>
      <c r="J248" s="269">
        <v>0</v>
      </c>
      <c r="K248" s="269">
        <v>0</v>
      </c>
      <c r="L248" s="270">
        <f>SUM(I248)</f>
        <v>31300.721413559997</v>
      </c>
      <c r="M248" s="292"/>
      <c r="N248" s="1163">
        <v>0.93490804699999996</v>
      </c>
    </row>
    <row r="249" spans="1:14" ht="18.95" customHeight="1">
      <c r="A249" s="346">
        <v>4.0999999999999996</v>
      </c>
      <c r="B249" s="341" t="s">
        <v>2422</v>
      </c>
      <c r="C249" s="318"/>
      <c r="D249" s="235"/>
      <c r="E249" s="267"/>
      <c r="F249" s="268"/>
      <c r="G249" s="267"/>
      <c r="H249" s="267"/>
      <c r="I249" s="267"/>
      <c r="J249" s="269"/>
      <c r="K249" s="269"/>
      <c r="L249" s="270"/>
      <c r="M249" s="268"/>
      <c r="N249" s="1163">
        <v>0.93490804699999996</v>
      </c>
    </row>
    <row r="250" spans="1:14" ht="18.95" customHeight="1">
      <c r="A250" s="346"/>
      <c r="B250" s="341" t="s">
        <v>2423</v>
      </c>
      <c r="C250" s="318" t="s">
        <v>2424</v>
      </c>
      <c r="D250" s="235"/>
      <c r="E250" s="267">
        <v>3</v>
      </c>
      <c r="F250" s="268" t="s">
        <v>402</v>
      </c>
      <c r="G250" s="267">
        <v>71500</v>
      </c>
      <c r="H250" s="267">
        <f t="shared" si="84"/>
        <v>66845.925360499998</v>
      </c>
      <c r="I250" s="267">
        <f t="shared" si="85"/>
        <v>200537.77608149999</v>
      </c>
      <c r="J250" s="269">
        <v>0</v>
      </c>
      <c r="K250" s="269">
        <v>0</v>
      </c>
      <c r="L250" s="270">
        <f t="shared" ref="L250:L255" si="86">SUM(I250)</f>
        <v>200537.77608149999</v>
      </c>
      <c r="M250" s="292"/>
      <c r="N250" s="1163">
        <v>0.93490804699999996</v>
      </c>
    </row>
    <row r="251" spans="1:14" ht="18.95" customHeight="1">
      <c r="A251" s="346"/>
      <c r="B251" s="341" t="s">
        <v>2425</v>
      </c>
      <c r="C251" s="318" t="s">
        <v>2426</v>
      </c>
      <c r="D251" s="164" t="s">
        <v>2327</v>
      </c>
      <c r="E251" s="267">
        <v>3</v>
      </c>
      <c r="F251" s="268" t="s">
        <v>402</v>
      </c>
      <c r="G251" s="267">
        <v>30480</v>
      </c>
      <c r="H251" s="267">
        <f t="shared" si="84"/>
        <v>28495.997272559998</v>
      </c>
      <c r="I251" s="267">
        <f t="shared" si="85"/>
        <v>85487.991817679998</v>
      </c>
      <c r="J251" s="269">
        <v>0</v>
      </c>
      <c r="K251" s="269">
        <v>0</v>
      </c>
      <c r="L251" s="270">
        <f t="shared" si="86"/>
        <v>85487.991817679998</v>
      </c>
      <c r="M251" s="292"/>
      <c r="N251" s="1163">
        <v>0.93490804699999996</v>
      </c>
    </row>
    <row r="252" spans="1:14" ht="18.95" customHeight="1">
      <c r="A252" s="346"/>
      <c r="B252" s="341" t="s">
        <v>2427</v>
      </c>
      <c r="C252" s="318" t="s">
        <v>2428</v>
      </c>
      <c r="D252" s="235"/>
      <c r="E252" s="267">
        <v>3</v>
      </c>
      <c r="F252" s="268" t="s">
        <v>402</v>
      </c>
      <c r="G252" s="267">
        <v>12800</v>
      </c>
      <c r="H252" s="267">
        <f t="shared" si="84"/>
        <v>11966.8230016</v>
      </c>
      <c r="I252" s="267">
        <f t="shared" si="85"/>
        <v>35900.469004799997</v>
      </c>
      <c r="J252" s="269">
        <v>0</v>
      </c>
      <c r="K252" s="269">
        <v>0</v>
      </c>
      <c r="L252" s="270">
        <f t="shared" si="86"/>
        <v>35900.469004799997</v>
      </c>
      <c r="M252" s="292"/>
      <c r="N252" s="1163">
        <v>0.93490804699999996</v>
      </c>
    </row>
    <row r="253" spans="1:14" ht="18.95" customHeight="1">
      <c r="A253" s="346"/>
      <c r="B253" s="341" t="s">
        <v>2420</v>
      </c>
      <c r="C253" s="318" t="s">
        <v>2421</v>
      </c>
      <c r="D253" s="235"/>
      <c r="E253" s="267">
        <v>6</v>
      </c>
      <c r="F253" s="268" t="s">
        <v>402</v>
      </c>
      <c r="G253" s="267">
        <v>9950</v>
      </c>
      <c r="H253" s="267">
        <f t="shared" si="84"/>
        <v>9302.3350676499995</v>
      </c>
      <c r="I253" s="267">
        <f t="shared" si="85"/>
        <v>55814.0104059</v>
      </c>
      <c r="J253" s="269">
        <v>0</v>
      </c>
      <c r="K253" s="269">
        <v>0</v>
      </c>
      <c r="L253" s="270">
        <f t="shared" si="86"/>
        <v>55814.0104059</v>
      </c>
      <c r="M253" s="292"/>
      <c r="N253" s="1163">
        <v>0.93490804699999996</v>
      </c>
    </row>
    <row r="254" spans="1:14" ht="18.95" customHeight="1">
      <c r="A254" s="340"/>
      <c r="B254" s="341" t="s">
        <v>2429</v>
      </c>
      <c r="C254" s="318" t="s">
        <v>2430</v>
      </c>
      <c r="D254" s="164"/>
      <c r="E254" s="267">
        <v>6</v>
      </c>
      <c r="F254" s="268" t="s">
        <v>402</v>
      </c>
      <c r="G254" s="267">
        <v>10920</v>
      </c>
      <c r="H254" s="267">
        <f t="shared" si="84"/>
        <v>10209.19587324</v>
      </c>
      <c r="I254" s="267">
        <f t="shared" si="85"/>
        <v>61255.175239439995</v>
      </c>
      <c r="J254" s="269">
        <v>0</v>
      </c>
      <c r="K254" s="269">
        <v>0</v>
      </c>
      <c r="L254" s="270">
        <f t="shared" si="86"/>
        <v>61255.175239439995</v>
      </c>
      <c r="M254" s="292"/>
      <c r="N254" s="1163">
        <v>0.93490804699999996</v>
      </c>
    </row>
    <row r="255" spans="1:14" ht="18.95" customHeight="1">
      <c r="A255" s="340"/>
      <c r="B255" s="341" t="s">
        <v>2431</v>
      </c>
      <c r="C255" s="318" t="s">
        <v>2274</v>
      </c>
      <c r="D255" s="164" t="s">
        <v>2287</v>
      </c>
      <c r="E255" s="267">
        <v>3</v>
      </c>
      <c r="F255" s="268" t="s">
        <v>402</v>
      </c>
      <c r="G255" s="267">
        <v>15375</v>
      </c>
      <c r="H255" s="267">
        <f t="shared" si="84"/>
        <v>14374.211222624999</v>
      </c>
      <c r="I255" s="267">
        <f t="shared" si="85"/>
        <v>43122.633667874994</v>
      </c>
      <c r="J255" s="269">
        <v>0</v>
      </c>
      <c r="K255" s="269">
        <v>0</v>
      </c>
      <c r="L255" s="270">
        <f t="shared" si="86"/>
        <v>43122.633667874994</v>
      </c>
      <c r="M255" s="292"/>
      <c r="N255" s="1163">
        <v>0.93490804699999996</v>
      </c>
    </row>
    <row r="256" spans="1:14" ht="18.95" customHeight="1">
      <c r="A256" s="346">
        <v>4.1100000000000003</v>
      </c>
      <c r="B256" s="341" t="s">
        <v>2432</v>
      </c>
      <c r="C256" s="318"/>
      <c r="D256" s="164"/>
      <c r="E256" s="267"/>
      <c r="F256" s="268"/>
      <c r="G256" s="267"/>
      <c r="H256" s="267"/>
      <c r="I256" s="267"/>
      <c r="J256" s="269"/>
      <c r="K256" s="269"/>
      <c r="L256" s="270"/>
      <c r="M256" s="268"/>
      <c r="N256" s="1163">
        <v>0.93490804699999996</v>
      </c>
    </row>
    <row r="257" spans="1:14" ht="18.95" customHeight="1">
      <c r="A257" s="340"/>
      <c r="B257" s="341" t="s">
        <v>2280</v>
      </c>
      <c r="C257" s="318" t="s">
        <v>2281</v>
      </c>
      <c r="D257" s="164"/>
      <c r="E257" s="267">
        <v>1</v>
      </c>
      <c r="F257" s="268" t="s">
        <v>402</v>
      </c>
      <c r="G257" s="267">
        <v>28540</v>
      </c>
      <c r="H257" s="267">
        <f t="shared" si="84"/>
        <v>26682.275661379997</v>
      </c>
      <c r="I257" s="267">
        <f t="shared" si="85"/>
        <v>26682.275661379997</v>
      </c>
      <c r="J257" s="269">
        <v>0</v>
      </c>
      <c r="K257" s="269">
        <v>0</v>
      </c>
      <c r="L257" s="270">
        <f>SUM(I257)</f>
        <v>26682.275661379997</v>
      </c>
      <c r="M257" s="292"/>
      <c r="N257" s="1163">
        <v>0.93490804699999996</v>
      </c>
    </row>
    <row r="258" spans="1:14" ht="18.95" customHeight="1">
      <c r="A258" s="340"/>
      <c r="B258" s="341" t="s">
        <v>2282</v>
      </c>
      <c r="C258" s="318" t="s">
        <v>2283</v>
      </c>
      <c r="D258" s="168"/>
      <c r="E258" s="267">
        <v>1</v>
      </c>
      <c r="F258" s="268" t="s">
        <v>402</v>
      </c>
      <c r="G258" s="267">
        <v>8500</v>
      </c>
      <c r="H258" s="267">
        <f t="shared" si="84"/>
        <v>7946.7183994999996</v>
      </c>
      <c r="I258" s="267">
        <f t="shared" si="85"/>
        <v>7946.7183994999996</v>
      </c>
      <c r="J258" s="269">
        <v>0</v>
      </c>
      <c r="K258" s="269">
        <v>0</v>
      </c>
      <c r="L258" s="270">
        <f>SUM(I258)</f>
        <v>7946.7183994999996</v>
      </c>
      <c r="M258" s="292"/>
      <c r="N258" s="1163">
        <v>0.93490804699999996</v>
      </c>
    </row>
    <row r="259" spans="1:14" ht="18.95" customHeight="1">
      <c r="A259" s="340"/>
      <c r="B259" s="341" t="s">
        <v>2284</v>
      </c>
      <c r="C259" s="318" t="s">
        <v>2285</v>
      </c>
      <c r="D259" s="164"/>
      <c r="E259" s="267">
        <v>1</v>
      </c>
      <c r="F259" s="268" t="s">
        <v>402</v>
      </c>
      <c r="G259" s="267">
        <v>6680</v>
      </c>
      <c r="H259" s="267">
        <f t="shared" si="84"/>
        <v>6245.1857539599996</v>
      </c>
      <c r="I259" s="267">
        <f t="shared" si="85"/>
        <v>6245.1857539599996</v>
      </c>
      <c r="J259" s="269">
        <v>0</v>
      </c>
      <c r="K259" s="269">
        <v>0</v>
      </c>
      <c r="L259" s="270">
        <f>SUM(I259)</f>
        <v>6245.1857539599996</v>
      </c>
      <c r="M259" s="292"/>
      <c r="N259" s="1163">
        <v>0.93490804699999996</v>
      </c>
    </row>
    <row r="260" spans="1:14" ht="18.95" customHeight="1">
      <c r="A260" s="340"/>
      <c r="B260" s="341" t="s">
        <v>2286</v>
      </c>
      <c r="C260" s="318" t="s">
        <v>2274</v>
      </c>
      <c r="D260" s="164" t="s">
        <v>2287</v>
      </c>
      <c r="E260" s="267">
        <v>1</v>
      </c>
      <c r="F260" s="268" t="s">
        <v>402</v>
      </c>
      <c r="G260" s="267">
        <v>14780</v>
      </c>
      <c r="H260" s="267">
        <f t="shared" si="84"/>
        <v>13817.940934659999</v>
      </c>
      <c r="I260" s="267">
        <f t="shared" si="85"/>
        <v>13817.940934659999</v>
      </c>
      <c r="J260" s="269">
        <v>0</v>
      </c>
      <c r="K260" s="269">
        <v>0</v>
      </c>
      <c r="L260" s="270">
        <f>SUM(I260)</f>
        <v>13817.940934659999</v>
      </c>
      <c r="M260" s="292"/>
      <c r="N260" s="1163">
        <v>0.93490804699999996</v>
      </c>
    </row>
    <row r="261" spans="1:14" ht="18.95" customHeight="1">
      <c r="A261" s="346">
        <v>4.12</v>
      </c>
      <c r="B261" s="341" t="s">
        <v>2433</v>
      </c>
      <c r="C261" s="318"/>
      <c r="D261" s="164"/>
      <c r="E261" s="267"/>
      <c r="F261" s="268"/>
      <c r="G261" s="267"/>
      <c r="H261" s="267"/>
      <c r="I261" s="267"/>
      <c r="J261" s="269"/>
      <c r="K261" s="269"/>
      <c r="L261" s="270"/>
      <c r="M261" s="270"/>
      <c r="N261" s="1163">
        <v>0.93490804699999996</v>
      </c>
    </row>
    <row r="262" spans="1:14" ht="18.95" customHeight="1">
      <c r="A262" s="340"/>
      <c r="B262" s="341" t="s">
        <v>2434</v>
      </c>
      <c r="C262" s="318" t="s">
        <v>2435</v>
      </c>
      <c r="D262" s="235"/>
      <c r="E262" s="267">
        <v>1</v>
      </c>
      <c r="F262" s="268" t="s">
        <v>402</v>
      </c>
      <c r="G262" s="267">
        <v>71500</v>
      </c>
      <c r="H262" s="267">
        <f t="shared" si="84"/>
        <v>66845.925360499998</v>
      </c>
      <c r="I262" s="267">
        <f t="shared" si="85"/>
        <v>66845.925360499998</v>
      </c>
      <c r="J262" s="269">
        <v>0</v>
      </c>
      <c r="K262" s="269">
        <v>0</v>
      </c>
      <c r="L262" s="270">
        <f>SUM(I262)</f>
        <v>66845.925360499998</v>
      </c>
      <c r="M262" s="292"/>
      <c r="N262" s="1163">
        <v>0.93490804699999996</v>
      </c>
    </row>
    <row r="263" spans="1:14" ht="18.95" customHeight="1">
      <c r="A263" s="340"/>
      <c r="B263" s="341" t="s">
        <v>2425</v>
      </c>
      <c r="C263" s="318" t="s">
        <v>2426</v>
      </c>
      <c r="D263" s="164" t="s">
        <v>2327</v>
      </c>
      <c r="E263" s="267">
        <v>1</v>
      </c>
      <c r="F263" s="268" t="s">
        <v>402</v>
      </c>
      <c r="G263" s="267">
        <v>30480</v>
      </c>
      <c r="H263" s="267">
        <f t="shared" si="84"/>
        <v>28495.997272559998</v>
      </c>
      <c r="I263" s="267">
        <f t="shared" si="85"/>
        <v>28495.997272559998</v>
      </c>
      <c r="J263" s="269">
        <v>0</v>
      </c>
      <c r="K263" s="269">
        <v>0</v>
      </c>
      <c r="L263" s="270">
        <f>SUM(I263)</f>
        <v>28495.997272559998</v>
      </c>
      <c r="M263" s="292"/>
      <c r="N263" s="1163">
        <v>0.93490804699999996</v>
      </c>
    </row>
    <row r="264" spans="1:14" ht="18.95" customHeight="1">
      <c r="A264" s="340"/>
      <c r="B264" s="341" t="s">
        <v>2429</v>
      </c>
      <c r="C264" s="318" t="s">
        <v>2430</v>
      </c>
      <c r="D264" s="164"/>
      <c r="E264" s="267">
        <v>2</v>
      </c>
      <c r="F264" s="268" t="s">
        <v>402</v>
      </c>
      <c r="G264" s="267">
        <v>10920</v>
      </c>
      <c r="H264" s="267">
        <f t="shared" si="84"/>
        <v>10209.19587324</v>
      </c>
      <c r="I264" s="267">
        <f t="shared" si="85"/>
        <v>20418.39174648</v>
      </c>
      <c r="J264" s="269">
        <v>0</v>
      </c>
      <c r="K264" s="269">
        <v>0</v>
      </c>
      <c r="L264" s="270">
        <f>SUM(I264)</f>
        <v>20418.39174648</v>
      </c>
      <c r="M264" s="292"/>
      <c r="N264" s="1163">
        <v>0.93490804699999996</v>
      </c>
    </row>
    <row r="265" spans="1:14" ht="18.95" customHeight="1">
      <c r="A265" s="346"/>
      <c r="B265" s="341" t="s">
        <v>2436</v>
      </c>
      <c r="C265" s="318" t="s">
        <v>2437</v>
      </c>
      <c r="D265" s="164"/>
      <c r="E265" s="267">
        <v>1</v>
      </c>
      <c r="F265" s="268" t="s">
        <v>402</v>
      </c>
      <c r="G265" s="267">
        <v>29450</v>
      </c>
      <c r="H265" s="267">
        <f t="shared" si="84"/>
        <v>27533.041984150001</v>
      </c>
      <c r="I265" s="267">
        <f t="shared" si="85"/>
        <v>27533.041984150001</v>
      </c>
      <c r="J265" s="269">
        <v>0</v>
      </c>
      <c r="K265" s="269">
        <v>0</v>
      </c>
      <c r="L265" s="270">
        <f>SUM(I265)</f>
        <v>27533.041984150001</v>
      </c>
      <c r="M265" s="292"/>
      <c r="N265" s="1163">
        <v>0.93490804699999996</v>
      </c>
    </row>
    <row r="266" spans="1:14" ht="18.95" customHeight="1">
      <c r="A266" s="346"/>
      <c r="B266" s="341" t="s">
        <v>2438</v>
      </c>
      <c r="C266" s="318" t="s">
        <v>2404</v>
      </c>
      <c r="D266" s="168"/>
      <c r="E266" s="267">
        <v>2</v>
      </c>
      <c r="F266" s="268" t="s">
        <v>402</v>
      </c>
      <c r="G266" s="267">
        <v>28030</v>
      </c>
      <c r="H266" s="267">
        <f t="shared" si="84"/>
        <v>26205.472557409998</v>
      </c>
      <c r="I266" s="267">
        <f t="shared" si="85"/>
        <v>52410.945114819995</v>
      </c>
      <c r="J266" s="269">
        <v>0</v>
      </c>
      <c r="K266" s="269">
        <v>0</v>
      </c>
      <c r="L266" s="270">
        <f>SUM(I266)</f>
        <v>52410.945114819995</v>
      </c>
      <c r="M266" s="292"/>
      <c r="N266" s="1163">
        <v>0.93490804699999996</v>
      </c>
    </row>
    <row r="267" spans="1:14" ht="18.95" customHeight="1">
      <c r="A267" s="346">
        <v>4.13</v>
      </c>
      <c r="B267" s="341" t="s">
        <v>2439</v>
      </c>
      <c r="C267" s="318"/>
      <c r="D267" s="164"/>
      <c r="E267" s="267"/>
      <c r="F267" s="268"/>
      <c r="G267" s="267"/>
      <c r="H267" s="267"/>
      <c r="I267" s="267"/>
      <c r="J267" s="269"/>
      <c r="K267" s="269"/>
      <c r="L267" s="270"/>
      <c r="M267" s="268"/>
      <c r="N267" s="1163">
        <v>0.93490804699999996</v>
      </c>
    </row>
    <row r="268" spans="1:14" ht="18.95" customHeight="1">
      <c r="A268" s="505"/>
      <c r="B268" s="341" t="s">
        <v>2434</v>
      </c>
      <c r="C268" s="318" t="s">
        <v>2435</v>
      </c>
      <c r="D268" s="235"/>
      <c r="E268" s="267">
        <v>1</v>
      </c>
      <c r="F268" s="268" t="s">
        <v>402</v>
      </c>
      <c r="G268" s="267">
        <v>71500</v>
      </c>
      <c r="H268" s="267">
        <f t="shared" ref="H268:H330" si="87">G268*N268</f>
        <v>66845.925360499998</v>
      </c>
      <c r="I268" s="267">
        <f t="shared" ref="I268:I330" si="88">E268*H268</f>
        <v>66845.925360499998</v>
      </c>
      <c r="J268" s="269">
        <v>0</v>
      </c>
      <c r="K268" s="269">
        <v>0</v>
      </c>
      <c r="L268" s="270">
        <f>SUM(I268)</f>
        <v>66845.925360499998</v>
      </c>
      <c r="M268" s="292"/>
      <c r="N268" s="1163">
        <v>0.93490804699999996</v>
      </c>
    </row>
    <row r="269" spans="1:14" ht="18.95" customHeight="1">
      <c r="A269" s="340"/>
      <c r="B269" s="341" t="s">
        <v>2440</v>
      </c>
      <c r="C269" s="318" t="s">
        <v>2441</v>
      </c>
      <c r="D269" s="164" t="s">
        <v>2442</v>
      </c>
      <c r="E269" s="267">
        <v>1</v>
      </c>
      <c r="F269" s="268" t="s">
        <v>402</v>
      </c>
      <c r="G269" s="267">
        <v>30480</v>
      </c>
      <c r="H269" s="267">
        <f t="shared" si="87"/>
        <v>28495.997272559998</v>
      </c>
      <c r="I269" s="267">
        <f t="shared" si="88"/>
        <v>28495.997272559998</v>
      </c>
      <c r="J269" s="269">
        <v>0</v>
      </c>
      <c r="K269" s="269">
        <v>0</v>
      </c>
      <c r="L269" s="270">
        <f>SUM(I269)</f>
        <v>28495.997272559998</v>
      </c>
      <c r="M269" s="292"/>
      <c r="N269" s="1163">
        <v>0.93490804699999996</v>
      </c>
    </row>
    <row r="270" spans="1:14" ht="18.95" customHeight="1">
      <c r="A270" s="340"/>
      <c r="B270" s="341" t="s">
        <v>2436</v>
      </c>
      <c r="C270" s="318" t="s">
        <v>2437</v>
      </c>
      <c r="D270" s="167"/>
      <c r="E270" s="267">
        <v>1</v>
      </c>
      <c r="F270" s="268" t="s">
        <v>402</v>
      </c>
      <c r="G270" s="267">
        <v>29450</v>
      </c>
      <c r="H270" s="267">
        <f t="shared" si="87"/>
        <v>27533.041984150001</v>
      </c>
      <c r="I270" s="267">
        <f t="shared" si="88"/>
        <v>27533.041984150001</v>
      </c>
      <c r="J270" s="269">
        <v>0</v>
      </c>
      <c r="K270" s="269">
        <v>0</v>
      </c>
      <c r="L270" s="270">
        <f>SUM(I270)</f>
        <v>27533.041984150001</v>
      </c>
      <c r="M270" s="292"/>
      <c r="N270" s="1163">
        <v>0.93490804699999996</v>
      </c>
    </row>
    <row r="271" spans="1:14" ht="18.95" customHeight="1">
      <c r="A271" s="340"/>
      <c r="B271" s="341" t="s">
        <v>2443</v>
      </c>
      <c r="C271" s="318" t="s">
        <v>2444</v>
      </c>
      <c r="D271" s="164"/>
      <c r="E271" s="267">
        <v>5</v>
      </c>
      <c r="F271" s="268" t="s">
        <v>402</v>
      </c>
      <c r="G271" s="267">
        <v>23800</v>
      </c>
      <c r="H271" s="267">
        <f t="shared" si="87"/>
        <v>22250.8115186</v>
      </c>
      <c r="I271" s="267">
        <f t="shared" si="88"/>
        <v>111254.057593</v>
      </c>
      <c r="J271" s="269">
        <v>0</v>
      </c>
      <c r="K271" s="269">
        <v>0</v>
      </c>
      <c r="L271" s="270">
        <f>SUM(I271)</f>
        <v>111254.057593</v>
      </c>
      <c r="M271" s="292"/>
      <c r="N271" s="1163">
        <v>0.93490804699999996</v>
      </c>
    </row>
    <row r="272" spans="1:14" ht="18.95" customHeight="1">
      <c r="A272" s="340"/>
      <c r="B272" s="341" t="s">
        <v>2438</v>
      </c>
      <c r="C272" s="318" t="s">
        <v>2404</v>
      </c>
      <c r="D272" s="168"/>
      <c r="E272" s="267">
        <v>2</v>
      </c>
      <c r="F272" s="268" t="s">
        <v>402</v>
      </c>
      <c r="G272" s="267">
        <v>28030</v>
      </c>
      <c r="H272" s="267">
        <f t="shared" si="87"/>
        <v>26205.472557409998</v>
      </c>
      <c r="I272" s="267">
        <f t="shared" si="88"/>
        <v>52410.945114819995</v>
      </c>
      <c r="J272" s="269">
        <v>0</v>
      </c>
      <c r="K272" s="269">
        <v>0</v>
      </c>
      <c r="L272" s="270">
        <f>SUM(I272)</f>
        <v>52410.945114819995</v>
      </c>
      <c r="M272" s="292"/>
      <c r="N272" s="1163">
        <v>0.93490804699999996</v>
      </c>
    </row>
    <row r="273" spans="1:14" ht="18.95" customHeight="1">
      <c r="A273" s="346">
        <v>4.13</v>
      </c>
      <c r="B273" s="344" t="s">
        <v>2388</v>
      </c>
      <c r="C273" s="318"/>
      <c r="D273" s="187"/>
      <c r="E273" s="267"/>
      <c r="F273" s="268"/>
      <c r="G273" s="267"/>
      <c r="H273" s="267"/>
      <c r="I273" s="267"/>
      <c r="J273" s="269"/>
      <c r="K273" s="269"/>
      <c r="L273" s="270"/>
      <c r="M273" s="268"/>
      <c r="N273" s="1163">
        <v>0.93490804699999996</v>
      </c>
    </row>
    <row r="274" spans="1:14" ht="18.95" customHeight="1">
      <c r="A274" s="340"/>
      <c r="B274" s="341" t="s">
        <v>2302</v>
      </c>
      <c r="C274" s="318" t="s">
        <v>2303</v>
      </c>
      <c r="D274" s="168"/>
      <c r="E274" s="267">
        <v>2</v>
      </c>
      <c r="F274" s="268" t="s">
        <v>402</v>
      </c>
      <c r="G274" s="267">
        <v>8300</v>
      </c>
      <c r="H274" s="267">
        <f t="shared" si="87"/>
        <v>7759.7367900999998</v>
      </c>
      <c r="I274" s="267">
        <f t="shared" si="88"/>
        <v>15519.4735802</v>
      </c>
      <c r="J274" s="269">
        <v>0</v>
      </c>
      <c r="K274" s="269">
        <v>0</v>
      </c>
      <c r="L274" s="270">
        <f>SUM(I274)</f>
        <v>15519.4735802</v>
      </c>
      <c r="M274" s="292"/>
      <c r="N274" s="1163">
        <v>0.93490804699999996</v>
      </c>
    </row>
    <row r="275" spans="1:14" ht="18.95" customHeight="1">
      <c r="A275" s="340"/>
      <c r="B275" s="341" t="s">
        <v>2305</v>
      </c>
      <c r="C275" s="242" t="s">
        <v>2306</v>
      </c>
      <c r="D275" s="187"/>
      <c r="E275" s="267">
        <v>8</v>
      </c>
      <c r="F275" s="268" t="s">
        <v>402</v>
      </c>
      <c r="G275" s="267">
        <v>4875</v>
      </c>
      <c r="H275" s="267">
        <f t="shared" si="87"/>
        <v>4557.6767291249998</v>
      </c>
      <c r="I275" s="267">
        <f t="shared" si="88"/>
        <v>36461.413832999999</v>
      </c>
      <c r="J275" s="269">
        <v>0</v>
      </c>
      <c r="K275" s="269">
        <v>0</v>
      </c>
      <c r="L275" s="270">
        <f>SUM(I275)</f>
        <v>36461.413832999999</v>
      </c>
      <c r="M275" s="292"/>
      <c r="N275" s="1163">
        <v>0.93490804699999996</v>
      </c>
    </row>
    <row r="276" spans="1:14" ht="18.95" customHeight="1">
      <c r="A276" s="340"/>
      <c r="B276" s="344" t="s">
        <v>2389</v>
      </c>
      <c r="C276" s="163" t="s">
        <v>2311</v>
      </c>
      <c r="D276" s="164" t="s">
        <v>2390</v>
      </c>
      <c r="E276" s="267">
        <v>1</v>
      </c>
      <c r="F276" s="268" t="s">
        <v>402</v>
      </c>
      <c r="G276" s="267">
        <v>8000</v>
      </c>
      <c r="H276" s="267">
        <f t="shared" si="87"/>
        <v>7479.2643760000001</v>
      </c>
      <c r="I276" s="267">
        <f t="shared" si="88"/>
        <v>7479.2643760000001</v>
      </c>
      <c r="J276" s="269">
        <v>0</v>
      </c>
      <c r="K276" s="269">
        <v>0</v>
      </c>
      <c r="L276" s="270">
        <f>SUM(I276)</f>
        <v>7479.2643760000001</v>
      </c>
      <c r="M276" s="268"/>
      <c r="N276" s="1163">
        <v>0.93490804699999996</v>
      </c>
    </row>
    <row r="277" spans="1:14" ht="18.95" customHeight="1">
      <c r="A277" s="346"/>
      <c r="B277" s="349"/>
      <c r="C277" s="318"/>
      <c r="D277" s="235"/>
      <c r="E277" s="267"/>
      <c r="F277" s="268"/>
      <c r="G277" s="267"/>
      <c r="H277" s="267"/>
      <c r="I277" s="267"/>
      <c r="J277" s="269"/>
      <c r="K277" s="269"/>
      <c r="L277" s="270"/>
      <c r="M277" s="268"/>
      <c r="N277" s="1163">
        <v>0.93490804699999996</v>
      </c>
    </row>
    <row r="278" spans="1:14" ht="18.95" customHeight="1">
      <c r="A278" s="346"/>
      <c r="B278" s="1301" t="s">
        <v>2445</v>
      </c>
      <c r="C278" s="1302"/>
      <c r="D278" s="1303"/>
      <c r="E278" s="267"/>
      <c r="F278" s="268"/>
      <c r="G278" s="267"/>
      <c r="H278" s="267"/>
      <c r="I278" s="267"/>
      <c r="J278" s="269"/>
      <c r="K278" s="269"/>
      <c r="L278" s="288">
        <f>SUM(L201:L277)</f>
        <v>4106765.9035166656</v>
      </c>
      <c r="M278" s="268"/>
      <c r="N278" s="1163">
        <v>0.93490804699999996</v>
      </c>
    </row>
    <row r="279" spans="1:14" ht="18.95" customHeight="1">
      <c r="A279" s="346"/>
      <c r="B279" s="349"/>
      <c r="C279" s="152"/>
      <c r="D279" s="235"/>
      <c r="E279" s="267"/>
      <c r="F279" s="268"/>
      <c r="G279" s="267"/>
      <c r="H279" s="267"/>
      <c r="I279" s="267"/>
      <c r="J279" s="269"/>
      <c r="K279" s="269"/>
      <c r="L279" s="270"/>
      <c r="M279" s="268"/>
      <c r="N279" s="1163">
        <v>0.93490804699999996</v>
      </c>
    </row>
    <row r="280" spans="1:14" ht="18.95" customHeight="1">
      <c r="A280" s="224"/>
      <c r="B280" s="122"/>
      <c r="C280" s="329"/>
      <c r="D280" s="328"/>
      <c r="E280" s="267"/>
      <c r="F280" s="268"/>
      <c r="G280" s="267"/>
      <c r="H280" s="267"/>
      <c r="I280" s="267"/>
      <c r="J280" s="267"/>
      <c r="K280" s="269"/>
      <c r="L280" s="267"/>
      <c r="M280" s="268"/>
      <c r="N280" s="1163">
        <v>0.93490804699999996</v>
      </c>
    </row>
    <row r="281" spans="1:14" ht="18.95" customHeight="1">
      <c r="A281" s="336">
        <v>5</v>
      </c>
      <c r="B281" s="751" t="s">
        <v>2253</v>
      </c>
      <c r="C281" s="318"/>
      <c r="D281" s="164"/>
      <c r="E281" s="267"/>
      <c r="F281" s="269"/>
      <c r="G281" s="267"/>
      <c r="H281" s="267"/>
      <c r="I281" s="267"/>
      <c r="J281" s="269"/>
      <c r="K281" s="267"/>
      <c r="L281" s="269"/>
      <c r="M281" s="269"/>
      <c r="N281" s="1163">
        <v>0.93490804699999996</v>
      </c>
    </row>
    <row r="282" spans="1:14" ht="18.95" customHeight="1">
      <c r="A282" s="340">
        <v>5.0999999999999996</v>
      </c>
      <c r="B282" s="341" t="s">
        <v>2446</v>
      </c>
      <c r="C282" s="318"/>
      <c r="D282" s="164"/>
      <c r="E282" s="267"/>
      <c r="F282" s="268"/>
      <c r="G282" s="267"/>
      <c r="H282" s="267"/>
      <c r="I282" s="267"/>
      <c r="J282" s="269"/>
      <c r="K282" s="267"/>
      <c r="L282" s="268"/>
      <c r="M282" s="268"/>
      <c r="N282" s="1163">
        <v>0.93490804699999996</v>
      </c>
    </row>
    <row r="283" spans="1:14" ht="18.95" customHeight="1">
      <c r="A283" s="340"/>
      <c r="B283" s="341" t="s">
        <v>2447</v>
      </c>
      <c r="C283" s="318" t="s">
        <v>2448</v>
      </c>
      <c r="D283" s="164" t="s">
        <v>2449</v>
      </c>
      <c r="E283" s="267">
        <v>2</v>
      </c>
      <c r="F283" s="268" t="s">
        <v>402</v>
      </c>
      <c r="G283" s="267">
        <v>42525</v>
      </c>
      <c r="H283" s="267">
        <f t="shared" si="87"/>
        <v>39756.964698675001</v>
      </c>
      <c r="I283" s="267">
        <f t="shared" si="88"/>
        <v>79513.929397350003</v>
      </c>
      <c r="J283" s="269">
        <v>0</v>
      </c>
      <c r="K283" s="269">
        <v>0</v>
      </c>
      <c r="L283" s="270">
        <f t="shared" ref="L283:L295" si="89">SUM(I283)</f>
        <v>79513.929397350003</v>
      </c>
      <c r="M283" s="292"/>
      <c r="N283" s="1163">
        <v>0.93490804699999996</v>
      </c>
    </row>
    <row r="284" spans="1:14" ht="18.95" customHeight="1">
      <c r="A284" s="340"/>
      <c r="B284" s="341" t="s">
        <v>2450</v>
      </c>
      <c r="C284" s="318" t="s">
        <v>2451</v>
      </c>
      <c r="D284" s="164" t="s">
        <v>2452</v>
      </c>
      <c r="E284" s="267">
        <v>4</v>
      </c>
      <c r="F284" s="268" t="s">
        <v>402</v>
      </c>
      <c r="G284" s="267">
        <v>8316</v>
      </c>
      <c r="H284" s="267">
        <f t="shared" si="87"/>
        <v>7774.6953188520001</v>
      </c>
      <c r="I284" s="267">
        <f t="shared" si="88"/>
        <v>31098.781275408001</v>
      </c>
      <c r="J284" s="269">
        <v>0</v>
      </c>
      <c r="K284" s="269">
        <v>0</v>
      </c>
      <c r="L284" s="270">
        <f t="shared" si="89"/>
        <v>31098.781275408001</v>
      </c>
      <c r="M284" s="292"/>
      <c r="N284" s="1163">
        <v>0.93490804699999996</v>
      </c>
    </row>
    <row r="285" spans="1:14" ht="18.95" customHeight="1">
      <c r="A285" s="340"/>
      <c r="B285" s="341" t="s">
        <v>2314</v>
      </c>
      <c r="C285" s="318" t="s">
        <v>2315</v>
      </c>
      <c r="D285" s="353"/>
      <c r="E285" s="269">
        <v>2</v>
      </c>
      <c r="F285" s="268" t="s">
        <v>402</v>
      </c>
      <c r="G285" s="267">
        <v>3000</v>
      </c>
      <c r="H285" s="267">
        <f t="shared" si="87"/>
        <v>2804.7241409999997</v>
      </c>
      <c r="I285" s="267">
        <f t="shared" si="88"/>
        <v>5609.4482819999994</v>
      </c>
      <c r="J285" s="269">
        <v>0</v>
      </c>
      <c r="K285" s="269">
        <v>0</v>
      </c>
      <c r="L285" s="270">
        <f t="shared" si="89"/>
        <v>5609.4482819999994</v>
      </c>
      <c r="M285" s="292"/>
      <c r="N285" s="1163">
        <v>0.93490804699999996</v>
      </c>
    </row>
    <row r="286" spans="1:14" ht="18.95" customHeight="1">
      <c r="A286" s="340"/>
      <c r="B286" s="341" t="s">
        <v>2453</v>
      </c>
      <c r="C286" s="163" t="s">
        <v>2454</v>
      </c>
      <c r="D286" s="164"/>
      <c r="E286" s="267">
        <v>8</v>
      </c>
      <c r="F286" s="268" t="s">
        <v>402</v>
      </c>
      <c r="G286" s="267">
        <v>3465</v>
      </c>
      <c r="H286" s="267">
        <f t="shared" si="87"/>
        <v>3239.4563828549999</v>
      </c>
      <c r="I286" s="267">
        <f t="shared" si="88"/>
        <v>25915.651062839999</v>
      </c>
      <c r="J286" s="269">
        <v>0</v>
      </c>
      <c r="K286" s="269">
        <v>0</v>
      </c>
      <c r="L286" s="270">
        <f t="shared" si="89"/>
        <v>25915.651062839999</v>
      </c>
      <c r="M286" s="292"/>
      <c r="N286" s="1163">
        <v>0.93490804699999996</v>
      </c>
    </row>
    <row r="287" spans="1:14" ht="18.95" customHeight="1">
      <c r="A287" s="340"/>
      <c r="B287" s="341" t="s">
        <v>2455</v>
      </c>
      <c r="C287" s="318" t="s">
        <v>2456</v>
      </c>
      <c r="D287" s="164"/>
      <c r="E287" s="267">
        <v>4</v>
      </c>
      <c r="F287" s="268" t="s">
        <v>402</v>
      </c>
      <c r="G287" s="267">
        <v>4800</v>
      </c>
      <c r="H287" s="267">
        <f t="shared" si="87"/>
        <v>4487.5586255999997</v>
      </c>
      <c r="I287" s="267">
        <f t="shared" si="88"/>
        <v>17950.234502399999</v>
      </c>
      <c r="J287" s="269">
        <v>0</v>
      </c>
      <c r="K287" s="269">
        <v>0</v>
      </c>
      <c r="L287" s="270">
        <f t="shared" si="89"/>
        <v>17950.234502399999</v>
      </c>
      <c r="M287" s="292"/>
      <c r="N287" s="1163">
        <v>0.93490804699999996</v>
      </c>
    </row>
    <row r="288" spans="1:14" ht="18.95" customHeight="1">
      <c r="A288" s="340"/>
      <c r="B288" s="341" t="s">
        <v>2457</v>
      </c>
      <c r="C288" s="318" t="s">
        <v>2458</v>
      </c>
      <c r="D288" s="164" t="s">
        <v>2459</v>
      </c>
      <c r="E288" s="267">
        <v>1</v>
      </c>
      <c r="F288" s="268" t="s">
        <v>402</v>
      </c>
      <c r="G288" s="267">
        <v>20790</v>
      </c>
      <c r="H288" s="267">
        <f t="shared" si="87"/>
        <v>19436.738297129999</v>
      </c>
      <c r="I288" s="267">
        <f t="shared" si="88"/>
        <v>19436.738297129999</v>
      </c>
      <c r="J288" s="269">
        <v>0</v>
      </c>
      <c r="K288" s="269">
        <v>0</v>
      </c>
      <c r="L288" s="270">
        <f t="shared" si="89"/>
        <v>19436.738297129999</v>
      </c>
      <c r="M288" s="292"/>
      <c r="N288" s="1163">
        <v>0.93490804699999996</v>
      </c>
    </row>
    <row r="289" spans="1:14" ht="18.95" customHeight="1">
      <c r="A289" s="340"/>
      <c r="B289" s="341" t="s">
        <v>2460</v>
      </c>
      <c r="C289" s="318" t="s">
        <v>2461</v>
      </c>
      <c r="D289" s="164"/>
      <c r="E289" s="267">
        <v>4</v>
      </c>
      <c r="F289" s="268" t="s">
        <v>402</v>
      </c>
      <c r="G289" s="267">
        <v>8380</v>
      </c>
      <c r="H289" s="267">
        <f t="shared" si="87"/>
        <v>7834.5294338599997</v>
      </c>
      <c r="I289" s="267">
        <f t="shared" si="88"/>
        <v>31338.117735439999</v>
      </c>
      <c r="J289" s="269">
        <v>0</v>
      </c>
      <c r="K289" s="269">
        <v>0</v>
      </c>
      <c r="L289" s="270">
        <f t="shared" si="89"/>
        <v>31338.117735439999</v>
      </c>
      <c r="M289" s="292"/>
      <c r="N289" s="1163">
        <v>0.93490804699999996</v>
      </c>
    </row>
    <row r="290" spans="1:14" ht="18.95" customHeight="1">
      <c r="A290" s="340"/>
      <c r="B290" s="341" t="s">
        <v>2462</v>
      </c>
      <c r="C290" s="318" t="s">
        <v>2463</v>
      </c>
      <c r="D290" s="164"/>
      <c r="E290" s="267">
        <v>2</v>
      </c>
      <c r="F290" s="268" t="s">
        <v>402</v>
      </c>
      <c r="G290" s="267">
        <v>18700</v>
      </c>
      <c r="H290" s="267">
        <f t="shared" si="87"/>
        <v>17482.7804789</v>
      </c>
      <c r="I290" s="267">
        <f t="shared" si="88"/>
        <v>34965.5609578</v>
      </c>
      <c r="J290" s="269">
        <v>0</v>
      </c>
      <c r="K290" s="269">
        <v>0</v>
      </c>
      <c r="L290" s="270">
        <f t="shared" si="89"/>
        <v>34965.5609578</v>
      </c>
      <c r="M290" s="292"/>
      <c r="N290" s="1163">
        <v>0.93490804699999996</v>
      </c>
    </row>
    <row r="291" spans="1:14" ht="18.95" customHeight="1">
      <c r="A291" s="340"/>
      <c r="B291" s="341" t="s">
        <v>2464</v>
      </c>
      <c r="C291" s="318" t="s">
        <v>2465</v>
      </c>
      <c r="D291" s="164"/>
      <c r="E291" s="267">
        <v>2</v>
      </c>
      <c r="F291" s="268" t="s">
        <v>402</v>
      </c>
      <c r="G291" s="267">
        <v>28000</v>
      </c>
      <c r="H291" s="267">
        <f t="shared" si="87"/>
        <v>26177.425316000001</v>
      </c>
      <c r="I291" s="267">
        <f t="shared" si="88"/>
        <v>52354.850632000001</v>
      </c>
      <c r="J291" s="269">
        <v>0</v>
      </c>
      <c r="K291" s="269">
        <v>0</v>
      </c>
      <c r="L291" s="270">
        <f t="shared" si="89"/>
        <v>52354.850632000001</v>
      </c>
      <c r="M291" s="292"/>
      <c r="N291" s="1163">
        <v>0.93490804699999996</v>
      </c>
    </row>
    <row r="292" spans="1:14" ht="18.95" customHeight="1">
      <c r="A292" s="340"/>
      <c r="B292" s="341" t="s">
        <v>2466</v>
      </c>
      <c r="C292" s="318" t="s">
        <v>2467</v>
      </c>
      <c r="D292" s="164"/>
      <c r="E292" s="267">
        <v>4</v>
      </c>
      <c r="F292" s="268" t="s">
        <v>402</v>
      </c>
      <c r="G292" s="267">
        <v>3200</v>
      </c>
      <c r="H292" s="267">
        <f t="shared" si="87"/>
        <v>2991.7057503999999</v>
      </c>
      <c r="I292" s="267">
        <f t="shared" si="88"/>
        <v>11966.8230016</v>
      </c>
      <c r="J292" s="269">
        <v>0</v>
      </c>
      <c r="K292" s="269">
        <v>0</v>
      </c>
      <c r="L292" s="270">
        <f>SUM(I292)</f>
        <v>11966.8230016</v>
      </c>
      <c r="M292" s="292"/>
      <c r="N292" s="1163">
        <v>0.93490804699999996</v>
      </c>
    </row>
    <row r="293" spans="1:14" ht="18.95" customHeight="1">
      <c r="A293" s="346"/>
      <c r="B293" s="341" t="s">
        <v>2394</v>
      </c>
      <c r="C293" s="318" t="s">
        <v>2395</v>
      </c>
      <c r="D293" s="235" t="s">
        <v>2396</v>
      </c>
      <c r="E293" s="267">
        <v>1</v>
      </c>
      <c r="F293" s="268" t="s">
        <v>402</v>
      </c>
      <c r="G293" s="267">
        <v>15990</v>
      </c>
      <c r="H293" s="267">
        <f t="shared" si="87"/>
        <v>14949.179671529999</v>
      </c>
      <c r="I293" s="267">
        <f t="shared" si="88"/>
        <v>14949.179671529999</v>
      </c>
      <c r="J293" s="269">
        <v>0</v>
      </c>
      <c r="K293" s="269">
        <v>0</v>
      </c>
      <c r="L293" s="270">
        <f t="shared" si="89"/>
        <v>14949.179671529999</v>
      </c>
      <c r="M293" s="292"/>
      <c r="N293" s="1163">
        <v>0.93490804699999996</v>
      </c>
    </row>
    <row r="294" spans="1:14" ht="18.95" customHeight="1">
      <c r="A294" s="346"/>
      <c r="B294" s="341" t="s">
        <v>2397</v>
      </c>
      <c r="C294" s="318" t="s">
        <v>2398</v>
      </c>
      <c r="D294" s="235" t="s">
        <v>2399</v>
      </c>
      <c r="E294" s="267">
        <v>1</v>
      </c>
      <c r="F294" s="268" t="s">
        <v>402</v>
      </c>
      <c r="G294" s="267">
        <v>7590</v>
      </c>
      <c r="H294" s="267">
        <f t="shared" si="87"/>
        <v>7095.95207673</v>
      </c>
      <c r="I294" s="267">
        <f t="shared" si="88"/>
        <v>7095.95207673</v>
      </c>
      <c r="J294" s="269">
        <v>0</v>
      </c>
      <c r="K294" s="269">
        <v>0</v>
      </c>
      <c r="L294" s="270">
        <f t="shared" si="89"/>
        <v>7095.95207673</v>
      </c>
      <c r="M294" s="292"/>
      <c r="N294" s="1163">
        <v>0.93490804699999996</v>
      </c>
    </row>
    <row r="295" spans="1:14" ht="18.95" customHeight="1">
      <c r="A295" s="346"/>
      <c r="B295" s="344" t="s">
        <v>2468</v>
      </c>
      <c r="C295" s="163" t="s">
        <v>2469</v>
      </c>
      <c r="D295" s="164" t="s">
        <v>2470</v>
      </c>
      <c r="E295" s="267">
        <v>1</v>
      </c>
      <c r="F295" s="268" t="s">
        <v>402</v>
      </c>
      <c r="G295" s="267">
        <v>20000</v>
      </c>
      <c r="H295" s="267">
        <f t="shared" si="87"/>
        <v>18698.160939999998</v>
      </c>
      <c r="I295" s="267">
        <f t="shared" si="88"/>
        <v>18698.160939999998</v>
      </c>
      <c r="J295" s="269">
        <v>0</v>
      </c>
      <c r="K295" s="269">
        <v>0</v>
      </c>
      <c r="L295" s="270">
        <f t="shared" si="89"/>
        <v>18698.160939999998</v>
      </c>
      <c r="M295" s="292"/>
      <c r="N295" s="1163">
        <v>0.93490804699999996</v>
      </c>
    </row>
    <row r="296" spans="1:14" ht="18.95" customHeight="1">
      <c r="A296" s="340">
        <v>5.2</v>
      </c>
      <c r="B296" s="347" t="s">
        <v>2471</v>
      </c>
      <c r="C296" s="163"/>
      <c r="D296" s="167"/>
      <c r="E296" s="267"/>
      <c r="F296" s="268"/>
      <c r="G296" s="267"/>
      <c r="H296" s="267"/>
      <c r="I296" s="267"/>
      <c r="J296" s="269"/>
      <c r="K296" s="269"/>
      <c r="L296" s="270"/>
      <c r="M296" s="268"/>
      <c r="N296" s="1163">
        <v>0.93490804699999996</v>
      </c>
    </row>
    <row r="297" spans="1:14" ht="18.95" customHeight="1">
      <c r="A297" s="340"/>
      <c r="B297" s="347" t="s">
        <v>2472</v>
      </c>
      <c r="C297" s="163" t="s">
        <v>2473</v>
      </c>
      <c r="D297" s="164"/>
      <c r="E297" s="267">
        <v>10</v>
      </c>
      <c r="F297" s="268" t="s">
        <v>402</v>
      </c>
      <c r="G297" s="267">
        <v>18500</v>
      </c>
      <c r="H297" s="267">
        <f t="shared" si="87"/>
        <v>17295.798869499999</v>
      </c>
      <c r="I297" s="267">
        <f t="shared" si="88"/>
        <v>172957.98869499998</v>
      </c>
      <c r="J297" s="269">
        <v>0</v>
      </c>
      <c r="K297" s="269">
        <v>0</v>
      </c>
      <c r="L297" s="270">
        <f>SUM(I297)</f>
        <v>172957.98869499998</v>
      </c>
      <c r="M297" s="292"/>
      <c r="N297" s="1163">
        <v>0.93490804699999996</v>
      </c>
    </row>
    <row r="298" spans="1:14" ht="18.95" customHeight="1">
      <c r="A298" s="340">
        <v>5.2</v>
      </c>
      <c r="B298" s="347" t="s">
        <v>2474</v>
      </c>
      <c r="C298" s="163"/>
      <c r="D298" s="167"/>
      <c r="E298" s="267"/>
      <c r="F298" s="268"/>
      <c r="G298" s="267"/>
      <c r="H298" s="267"/>
      <c r="I298" s="267"/>
      <c r="J298" s="269"/>
      <c r="K298" s="269"/>
      <c r="L298" s="270"/>
      <c r="M298" s="268"/>
      <c r="N298" s="1163">
        <v>0.93490804699999996</v>
      </c>
    </row>
    <row r="299" spans="1:14" ht="18.95" customHeight="1">
      <c r="A299" s="340"/>
      <c r="B299" s="347" t="s">
        <v>2472</v>
      </c>
      <c r="C299" s="163" t="s">
        <v>2473</v>
      </c>
      <c r="D299" s="164"/>
      <c r="E299" s="267">
        <v>16</v>
      </c>
      <c r="F299" s="268" t="s">
        <v>402</v>
      </c>
      <c r="G299" s="267">
        <v>18500</v>
      </c>
      <c r="H299" s="267">
        <f t="shared" si="87"/>
        <v>17295.798869499999</v>
      </c>
      <c r="I299" s="267">
        <f t="shared" si="88"/>
        <v>276732.78191199998</v>
      </c>
      <c r="J299" s="269">
        <v>0</v>
      </c>
      <c r="K299" s="269">
        <v>0</v>
      </c>
      <c r="L299" s="270">
        <f>SUM(I299)</f>
        <v>276732.78191199998</v>
      </c>
      <c r="M299" s="292"/>
      <c r="N299" s="1163">
        <v>0.93490804699999996</v>
      </c>
    </row>
    <row r="300" spans="1:14" ht="18.95" customHeight="1">
      <c r="A300" s="505"/>
      <c r="B300" s="345"/>
      <c r="C300" s="318"/>
      <c r="D300" s="164"/>
      <c r="E300" s="267"/>
      <c r="F300" s="268"/>
      <c r="G300" s="267"/>
      <c r="H300" s="267"/>
      <c r="I300" s="267"/>
      <c r="J300" s="269"/>
      <c r="K300" s="269"/>
      <c r="L300" s="270"/>
      <c r="M300" s="268"/>
      <c r="N300" s="1163">
        <v>0.93490804699999996</v>
      </c>
    </row>
    <row r="301" spans="1:14" ht="18.95" customHeight="1">
      <c r="A301" s="340"/>
      <c r="B301" s="1301" t="s">
        <v>2475</v>
      </c>
      <c r="C301" s="1302"/>
      <c r="D301" s="1303"/>
      <c r="E301" s="267"/>
      <c r="F301" s="268"/>
      <c r="G301" s="267"/>
      <c r="H301" s="267"/>
      <c r="I301" s="267"/>
      <c r="J301" s="269"/>
      <c r="K301" s="269"/>
      <c r="L301" s="288">
        <f>SUM(L283:L300)</f>
        <v>800584.19843922788</v>
      </c>
      <c r="M301" s="268"/>
      <c r="N301" s="1163">
        <v>0.93490804699999996</v>
      </c>
    </row>
    <row r="302" spans="1:14" ht="18.95" customHeight="1">
      <c r="A302" s="340"/>
      <c r="B302" s="348"/>
      <c r="C302" s="190"/>
      <c r="D302" s="168"/>
      <c r="E302" s="267"/>
      <c r="F302" s="268"/>
      <c r="G302" s="267"/>
      <c r="H302" s="267"/>
      <c r="I302" s="267"/>
      <c r="J302" s="269"/>
      <c r="K302" s="269"/>
      <c r="L302" s="270"/>
      <c r="M302" s="268"/>
      <c r="N302" s="1163">
        <v>0.93490804699999996</v>
      </c>
    </row>
    <row r="303" spans="1:14" ht="18.95" customHeight="1">
      <c r="A303" s="340"/>
      <c r="B303" s="344"/>
      <c r="C303" s="242"/>
      <c r="D303" s="187"/>
      <c r="E303" s="267"/>
      <c r="F303" s="268"/>
      <c r="G303" s="267"/>
      <c r="H303" s="267"/>
      <c r="I303" s="267"/>
      <c r="J303" s="269"/>
      <c r="K303" s="269"/>
      <c r="L303" s="270"/>
      <c r="M303" s="268"/>
      <c r="N303" s="1163">
        <v>0.93490804699999996</v>
      </c>
    </row>
    <row r="304" spans="1:14" ht="18.95" customHeight="1">
      <c r="A304" s="346"/>
      <c r="B304" s="349"/>
      <c r="C304" s="318"/>
      <c r="D304" s="235"/>
      <c r="E304" s="267"/>
      <c r="F304" s="268"/>
      <c r="G304" s="267"/>
      <c r="H304" s="267"/>
      <c r="I304" s="267"/>
      <c r="J304" s="269"/>
      <c r="K304" s="269"/>
      <c r="L304" s="270"/>
      <c r="M304" s="268"/>
      <c r="N304" s="1163">
        <v>0.93490804699999996</v>
      </c>
    </row>
    <row r="305" spans="1:14" ht="18.95" customHeight="1">
      <c r="A305" s="346"/>
      <c r="B305" s="349"/>
      <c r="C305" s="318"/>
      <c r="D305" s="235"/>
      <c r="E305" s="267"/>
      <c r="F305" s="268"/>
      <c r="G305" s="267"/>
      <c r="H305" s="267"/>
      <c r="I305" s="267"/>
      <c r="J305" s="269"/>
      <c r="K305" s="269"/>
      <c r="L305" s="270"/>
      <c r="M305" s="268"/>
      <c r="N305" s="1163">
        <v>0.93490804699999996</v>
      </c>
    </row>
    <row r="306" spans="1:14" ht="18.95" customHeight="1">
      <c r="A306" s="346"/>
      <c r="B306" s="349"/>
      <c r="C306" s="152"/>
      <c r="D306" s="235"/>
      <c r="E306" s="267"/>
      <c r="F306" s="268"/>
      <c r="G306" s="267"/>
      <c r="H306" s="267"/>
      <c r="I306" s="267"/>
      <c r="J306" s="269"/>
      <c r="K306" s="269"/>
      <c r="L306" s="270"/>
      <c r="M306" s="268"/>
      <c r="N306" s="1163">
        <v>0.93490804699999996</v>
      </c>
    </row>
    <row r="307" spans="1:14" ht="18.95" customHeight="1">
      <c r="A307" s="346"/>
      <c r="B307" s="603"/>
      <c r="C307" s="242"/>
      <c r="D307" s="168"/>
      <c r="E307" s="267"/>
      <c r="F307" s="268"/>
      <c r="G307" s="267"/>
      <c r="H307" s="267"/>
      <c r="I307" s="267"/>
      <c r="J307" s="269"/>
      <c r="K307" s="269"/>
      <c r="L307" s="270"/>
      <c r="M307" s="268"/>
      <c r="N307" s="1163">
        <v>0.93490804699999996</v>
      </c>
    </row>
    <row r="308" spans="1:14" ht="18.95" customHeight="1">
      <c r="A308" s="224"/>
      <c r="B308" s="122"/>
      <c r="C308" s="329"/>
      <c r="D308" s="328"/>
      <c r="E308" s="267"/>
      <c r="F308" s="268"/>
      <c r="G308" s="267"/>
      <c r="H308" s="267"/>
      <c r="I308" s="267"/>
      <c r="J308" s="267"/>
      <c r="K308" s="269"/>
      <c r="L308" s="267"/>
      <c r="M308" s="268"/>
      <c r="N308" s="1163">
        <v>0.93490804699999996</v>
      </c>
    </row>
    <row r="309" spans="1:14" ht="18.95" customHeight="1">
      <c r="A309" s="336">
        <v>6</v>
      </c>
      <c r="B309" s="751" t="s">
        <v>2254</v>
      </c>
      <c r="C309" s="318"/>
      <c r="D309" s="164"/>
      <c r="E309" s="267"/>
      <c r="F309" s="268"/>
      <c r="G309" s="267"/>
      <c r="H309" s="267"/>
      <c r="I309" s="267"/>
      <c r="J309" s="269"/>
      <c r="K309" s="267"/>
      <c r="L309" s="268"/>
      <c r="M309" s="268"/>
      <c r="N309" s="1163">
        <v>0.93490804699999996</v>
      </c>
    </row>
    <row r="310" spans="1:14" ht="18.95" customHeight="1">
      <c r="A310" s="340"/>
      <c r="B310" s="343" t="s">
        <v>2476</v>
      </c>
      <c r="C310" s="318" t="s">
        <v>2477</v>
      </c>
      <c r="D310" s="753" t="s">
        <v>2478</v>
      </c>
      <c r="E310" s="267">
        <v>6</v>
      </c>
      <c r="F310" s="268" t="s">
        <v>402</v>
      </c>
      <c r="G310" s="267">
        <f>32578*0.8</f>
        <v>26062.400000000001</v>
      </c>
      <c r="H310" s="267">
        <f t="shared" si="87"/>
        <v>24365.947484132801</v>
      </c>
      <c r="I310" s="267">
        <f t="shared" si="88"/>
        <v>146195.6849047968</v>
      </c>
      <c r="J310" s="269">
        <v>0</v>
      </c>
      <c r="K310" s="269">
        <v>0</v>
      </c>
      <c r="L310" s="270">
        <f>SUM(I310)</f>
        <v>146195.6849047968</v>
      </c>
      <c r="M310" s="268"/>
      <c r="N310" s="1163">
        <v>0.93490804699999996</v>
      </c>
    </row>
    <row r="311" spans="1:14" ht="18.95" customHeight="1">
      <c r="A311" s="340"/>
      <c r="B311" s="343"/>
      <c r="C311" s="318" t="s">
        <v>2479</v>
      </c>
      <c r="D311" s="754"/>
      <c r="E311" s="267">
        <v>1</v>
      </c>
      <c r="F311" s="268" t="s">
        <v>402</v>
      </c>
      <c r="G311" s="267">
        <f>13750*0.8</f>
        <v>11000</v>
      </c>
      <c r="H311" s="267">
        <f t="shared" si="87"/>
        <v>10283.988517</v>
      </c>
      <c r="I311" s="267">
        <f t="shared" si="88"/>
        <v>10283.988517</v>
      </c>
      <c r="J311" s="269">
        <v>0</v>
      </c>
      <c r="K311" s="269">
        <v>0</v>
      </c>
      <c r="L311" s="270">
        <f t="shared" ref="L311:L330" si="90">SUM(I311)</f>
        <v>10283.988517</v>
      </c>
      <c r="M311" s="268"/>
      <c r="N311" s="1163">
        <v>0.93490804699999996</v>
      </c>
    </row>
    <row r="312" spans="1:14" ht="18.95" customHeight="1">
      <c r="A312" s="340"/>
      <c r="B312" s="343" t="s">
        <v>2480</v>
      </c>
      <c r="C312" s="318" t="s">
        <v>2481</v>
      </c>
      <c r="D312" s="755" t="s">
        <v>2482</v>
      </c>
      <c r="E312" s="267">
        <v>3</v>
      </c>
      <c r="F312" s="268" t="s">
        <v>402</v>
      </c>
      <c r="G312" s="267">
        <f>47530*0.8</f>
        <v>38024</v>
      </c>
      <c r="H312" s="267">
        <f t="shared" si="87"/>
        <v>35548.943579127998</v>
      </c>
      <c r="I312" s="267">
        <f t="shared" si="88"/>
        <v>106646.83073738399</v>
      </c>
      <c r="J312" s="269">
        <v>0</v>
      </c>
      <c r="K312" s="269">
        <v>0</v>
      </c>
      <c r="L312" s="270">
        <f t="shared" si="90"/>
        <v>106646.83073738399</v>
      </c>
      <c r="M312" s="270"/>
      <c r="N312" s="1163">
        <v>0.93490804699999996</v>
      </c>
    </row>
    <row r="313" spans="1:14" ht="18.95" customHeight="1">
      <c r="A313" s="340"/>
      <c r="B313" s="343" t="s">
        <v>2483</v>
      </c>
      <c r="C313" s="318" t="s">
        <v>2481</v>
      </c>
      <c r="D313" s="753" t="s">
        <v>2484</v>
      </c>
      <c r="E313" s="267">
        <v>1</v>
      </c>
      <c r="F313" s="268" t="s">
        <v>402</v>
      </c>
      <c r="G313" s="267">
        <f>6930*0.8</f>
        <v>5544</v>
      </c>
      <c r="H313" s="267">
        <f t="shared" si="87"/>
        <v>5183.1302125679995</v>
      </c>
      <c r="I313" s="267">
        <f t="shared" si="88"/>
        <v>5183.1302125679995</v>
      </c>
      <c r="J313" s="269">
        <v>0</v>
      </c>
      <c r="K313" s="269">
        <v>0</v>
      </c>
      <c r="L313" s="270">
        <f t="shared" si="90"/>
        <v>5183.1302125679995</v>
      </c>
      <c r="M313" s="270"/>
      <c r="N313" s="1163">
        <v>0.93490804699999996</v>
      </c>
    </row>
    <row r="314" spans="1:14" ht="18.95" customHeight="1">
      <c r="A314" s="340"/>
      <c r="B314" s="343" t="s">
        <v>2485</v>
      </c>
      <c r="C314" s="318" t="s">
        <v>2481</v>
      </c>
      <c r="D314" s="755" t="s">
        <v>2486</v>
      </c>
      <c r="E314" s="267">
        <v>1</v>
      </c>
      <c r="F314" s="268" t="s">
        <v>402</v>
      </c>
      <c r="G314" s="267">
        <f>3465*0.8</f>
        <v>2772</v>
      </c>
      <c r="H314" s="267">
        <f t="shared" si="87"/>
        <v>2591.5651062839997</v>
      </c>
      <c r="I314" s="267">
        <f t="shared" si="88"/>
        <v>2591.5651062839997</v>
      </c>
      <c r="J314" s="269">
        <v>0</v>
      </c>
      <c r="K314" s="269">
        <v>0</v>
      </c>
      <c r="L314" s="270">
        <f t="shared" si="90"/>
        <v>2591.5651062839997</v>
      </c>
      <c r="M314" s="270"/>
      <c r="N314" s="1163">
        <v>0.93490804699999996</v>
      </c>
    </row>
    <row r="315" spans="1:14" ht="18.95" customHeight="1">
      <c r="A315" s="340"/>
      <c r="B315" s="343" t="s">
        <v>2487</v>
      </c>
      <c r="C315" s="318" t="s">
        <v>2481</v>
      </c>
      <c r="D315" s="755" t="s">
        <v>2488</v>
      </c>
      <c r="E315" s="267">
        <v>4</v>
      </c>
      <c r="F315" s="268" t="s">
        <v>402</v>
      </c>
      <c r="G315" s="267">
        <f>4290*0.8</f>
        <v>3432</v>
      </c>
      <c r="H315" s="267">
        <f t="shared" si="87"/>
        <v>3208.604417304</v>
      </c>
      <c r="I315" s="267">
        <f t="shared" si="88"/>
        <v>12834.417669216</v>
      </c>
      <c r="J315" s="269">
        <v>0</v>
      </c>
      <c r="K315" s="269">
        <v>0</v>
      </c>
      <c r="L315" s="270">
        <f t="shared" si="90"/>
        <v>12834.417669216</v>
      </c>
      <c r="M315" s="270"/>
      <c r="N315" s="1163">
        <v>0.93490804699999996</v>
      </c>
    </row>
    <row r="316" spans="1:14" ht="18.95" customHeight="1">
      <c r="A316" s="340"/>
      <c r="B316" s="343" t="s">
        <v>2489</v>
      </c>
      <c r="C316" s="318" t="s">
        <v>2481</v>
      </c>
      <c r="D316" s="755" t="s">
        <v>2490</v>
      </c>
      <c r="E316" s="267">
        <v>2</v>
      </c>
      <c r="F316" s="268" t="s">
        <v>402</v>
      </c>
      <c r="G316" s="267">
        <f>4708*0.8</f>
        <v>3766.4</v>
      </c>
      <c r="H316" s="267">
        <f t="shared" si="87"/>
        <v>3521.2376682208001</v>
      </c>
      <c r="I316" s="267">
        <f t="shared" si="88"/>
        <v>7042.4753364416001</v>
      </c>
      <c r="J316" s="269">
        <v>0</v>
      </c>
      <c r="K316" s="269">
        <v>0</v>
      </c>
      <c r="L316" s="270">
        <f t="shared" si="90"/>
        <v>7042.4753364416001</v>
      </c>
      <c r="M316" s="270"/>
      <c r="N316" s="1163">
        <v>0.93490804699999996</v>
      </c>
    </row>
    <row r="317" spans="1:14" ht="18.95" customHeight="1">
      <c r="A317" s="340"/>
      <c r="B317" s="343" t="s">
        <v>2491</v>
      </c>
      <c r="C317" s="318" t="s">
        <v>2481</v>
      </c>
      <c r="D317" s="755" t="s">
        <v>2492</v>
      </c>
      <c r="E317" s="267">
        <v>30</v>
      </c>
      <c r="F317" s="268" t="s">
        <v>402</v>
      </c>
      <c r="G317" s="267">
        <f>4180*0.8</f>
        <v>3344</v>
      </c>
      <c r="H317" s="267">
        <f t="shared" si="87"/>
        <v>3126.3325091679999</v>
      </c>
      <c r="I317" s="267">
        <f t="shared" si="88"/>
        <v>93789.975275039993</v>
      </c>
      <c r="J317" s="269">
        <v>0</v>
      </c>
      <c r="K317" s="269">
        <v>0</v>
      </c>
      <c r="L317" s="270">
        <f t="shared" si="90"/>
        <v>93789.975275039993</v>
      </c>
      <c r="M317" s="270"/>
      <c r="N317" s="1163">
        <v>0.93490804699999996</v>
      </c>
    </row>
    <row r="318" spans="1:14" ht="18.95" customHeight="1">
      <c r="A318" s="340"/>
      <c r="B318" s="343" t="s">
        <v>2493</v>
      </c>
      <c r="C318" s="318" t="s">
        <v>2481</v>
      </c>
      <c r="D318" s="755" t="s">
        <v>2494</v>
      </c>
      <c r="E318" s="267">
        <v>6</v>
      </c>
      <c r="F318" s="268" t="s">
        <v>402</v>
      </c>
      <c r="G318" s="267">
        <f>3438*0.8</f>
        <v>2750.4</v>
      </c>
      <c r="H318" s="267">
        <f t="shared" si="87"/>
        <v>2571.3710924687998</v>
      </c>
      <c r="I318" s="267">
        <f t="shared" si="88"/>
        <v>15428.226554812798</v>
      </c>
      <c r="J318" s="269">
        <v>0</v>
      </c>
      <c r="K318" s="269">
        <v>0</v>
      </c>
      <c r="L318" s="270">
        <f t="shared" si="90"/>
        <v>15428.226554812798</v>
      </c>
      <c r="M318" s="270"/>
      <c r="N318" s="1163">
        <v>0.93490804699999996</v>
      </c>
    </row>
    <row r="319" spans="1:14" ht="18.95" customHeight="1">
      <c r="A319" s="340"/>
      <c r="B319" s="343" t="s">
        <v>2495</v>
      </c>
      <c r="C319" s="318" t="s">
        <v>2481</v>
      </c>
      <c r="D319" s="755" t="s">
        <v>2496</v>
      </c>
      <c r="E319" s="267">
        <v>32</v>
      </c>
      <c r="F319" s="268" t="s">
        <v>402</v>
      </c>
      <c r="G319" s="267">
        <f>4510*0.8</f>
        <v>3608</v>
      </c>
      <c r="H319" s="267">
        <f t="shared" si="87"/>
        <v>3373.1482335759997</v>
      </c>
      <c r="I319" s="267">
        <f t="shared" si="88"/>
        <v>107940.74347443199</v>
      </c>
      <c r="J319" s="269">
        <v>0</v>
      </c>
      <c r="K319" s="269">
        <v>0</v>
      </c>
      <c r="L319" s="270">
        <f t="shared" si="90"/>
        <v>107940.74347443199</v>
      </c>
      <c r="M319" s="268"/>
      <c r="N319" s="1163">
        <v>0.93490804699999996</v>
      </c>
    </row>
    <row r="320" spans="1:14" ht="18.95" customHeight="1">
      <c r="A320" s="346"/>
      <c r="B320" s="343" t="s">
        <v>2497</v>
      </c>
      <c r="C320" s="318" t="s">
        <v>2481</v>
      </c>
      <c r="D320" s="755" t="s">
        <v>2498</v>
      </c>
      <c r="E320" s="267">
        <v>2</v>
      </c>
      <c r="F320" s="268" t="s">
        <v>402</v>
      </c>
      <c r="G320" s="267">
        <f>15056*0.8</f>
        <v>12044.800000000001</v>
      </c>
      <c r="H320" s="267">
        <f t="shared" si="87"/>
        <v>11260.780444505601</v>
      </c>
      <c r="I320" s="267">
        <f t="shared" si="88"/>
        <v>22521.560889011202</v>
      </c>
      <c r="J320" s="269">
        <v>0</v>
      </c>
      <c r="K320" s="269">
        <v>0</v>
      </c>
      <c r="L320" s="270">
        <f t="shared" si="90"/>
        <v>22521.560889011202</v>
      </c>
      <c r="M320" s="268"/>
      <c r="N320" s="1163">
        <v>0.93490804699999996</v>
      </c>
    </row>
    <row r="321" spans="1:14" ht="18.95" customHeight="1">
      <c r="A321" s="346"/>
      <c r="B321" s="343" t="s">
        <v>2499</v>
      </c>
      <c r="C321" s="318" t="s">
        <v>2481</v>
      </c>
      <c r="D321" s="663" t="s">
        <v>2500</v>
      </c>
      <c r="E321" s="267">
        <v>1</v>
      </c>
      <c r="F321" s="268" t="s">
        <v>402</v>
      </c>
      <c r="G321" s="267">
        <f>15558*0.8</f>
        <v>12446.400000000001</v>
      </c>
      <c r="H321" s="267">
        <f t="shared" si="87"/>
        <v>11636.239516180802</v>
      </c>
      <c r="I321" s="267">
        <f t="shared" si="88"/>
        <v>11636.239516180802</v>
      </c>
      <c r="J321" s="269">
        <v>0</v>
      </c>
      <c r="K321" s="269">
        <v>0</v>
      </c>
      <c r="L321" s="270">
        <f t="shared" si="90"/>
        <v>11636.239516180802</v>
      </c>
      <c r="M321" s="268"/>
      <c r="N321" s="1163">
        <v>0.93490804699999996</v>
      </c>
    </row>
    <row r="322" spans="1:14" ht="18.95" customHeight="1">
      <c r="A322" s="346"/>
      <c r="B322" s="343" t="s">
        <v>2501</v>
      </c>
      <c r="C322" s="318" t="s">
        <v>2481</v>
      </c>
      <c r="D322" s="755" t="s">
        <v>2502</v>
      </c>
      <c r="E322" s="267">
        <v>10</v>
      </c>
      <c r="F322" s="268" t="s">
        <v>402</v>
      </c>
      <c r="G322" s="267">
        <f>3520*0.8</f>
        <v>2816</v>
      </c>
      <c r="H322" s="267">
        <f t="shared" si="87"/>
        <v>2632.7010603519998</v>
      </c>
      <c r="I322" s="267">
        <f t="shared" si="88"/>
        <v>26327.010603519997</v>
      </c>
      <c r="J322" s="269">
        <v>0</v>
      </c>
      <c r="K322" s="269">
        <v>0</v>
      </c>
      <c r="L322" s="270">
        <f t="shared" si="90"/>
        <v>26327.010603519997</v>
      </c>
      <c r="M322" s="268"/>
      <c r="N322" s="1163">
        <v>0.93490804699999996</v>
      </c>
    </row>
    <row r="323" spans="1:14" ht="18.95" customHeight="1">
      <c r="A323" s="505"/>
      <c r="B323" s="343" t="s">
        <v>2503</v>
      </c>
      <c r="C323" s="318" t="s">
        <v>2481</v>
      </c>
      <c r="D323" s="755" t="s">
        <v>2504</v>
      </c>
      <c r="E323" s="267">
        <v>1</v>
      </c>
      <c r="F323" s="268" t="s">
        <v>402</v>
      </c>
      <c r="G323" s="267">
        <f>3438*0.8</f>
        <v>2750.4</v>
      </c>
      <c r="H323" s="267">
        <f t="shared" si="87"/>
        <v>2571.3710924687998</v>
      </c>
      <c r="I323" s="267">
        <f t="shared" si="88"/>
        <v>2571.3710924687998</v>
      </c>
      <c r="J323" s="269">
        <v>0</v>
      </c>
      <c r="K323" s="269">
        <v>0</v>
      </c>
      <c r="L323" s="270">
        <f t="shared" si="90"/>
        <v>2571.3710924687998</v>
      </c>
      <c r="M323" s="268"/>
      <c r="N323" s="1163">
        <v>0.93490804699999996</v>
      </c>
    </row>
    <row r="324" spans="1:14" ht="18.95" customHeight="1">
      <c r="A324" s="340"/>
      <c r="B324" s="343" t="s">
        <v>2505</v>
      </c>
      <c r="C324" s="318" t="s">
        <v>2481</v>
      </c>
      <c r="D324" s="755" t="s">
        <v>2506</v>
      </c>
      <c r="E324" s="267">
        <v>1</v>
      </c>
      <c r="F324" s="268" t="s">
        <v>402</v>
      </c>
      <c r="G324" s="267">
        <f>3438*0.8</f>
        <v>2750.4</v>
      </c>
      <c r="H324" s="267">
        <f t="shared" si="87"/>
        <v>2571.3710924687998</v>
      </c>
      <c r="I324" s="267">
        <f t="shared" si="88"/>
        <v>2571.3710924687998</v>
      </c>
      <c r="J324" s="269">
        <v>0</v>
      </c>
      <c r="K324" s="269">
        <v>0</v>
      </c>
      <c r="L324" s="270">
        <f t="shared" si="90"/>
        <v>2571.3710924687998</v>
      </c>
      <c r="M324" s="268"/>
      <c r="N324" s="1163">
        <v>0.93490804699999996</v>
      </c>
    </row>
    <row r="325" spans="1:14" ht="18.95" customHeight="1">
      <c r="A325" s="340"/>
      <c r="B325" s="343" t="s">
        <v>2507</v>
      </c>
      <c r="C325" s="318" t="s">
        <v>2481</v>
      </c>
      <c r="D325" s="756" t="s">
        <v>2508</v>
      </c>
      <c r="E325" s="267">
        <v>2</v>
      </c>
      <c r="F325" s="268" t="s">
        <v>402</v>
      </c>
      <c r="G325" s="267">
        <f>14644*0.8</f>
        <v>11715.2</v>
      </c>
      <c r="H325" s="267">
        <f t="shared" si="87"/>
        <v>10952.634752214401</v>
      </c>
      <c r="I325" s="267">
        <f t="shared" si="88"/>
        <v>21905.269504428801</v>
      </c>
      <c r="J325" s="269">
        <v>0</v>
      </c>
      <c r="K325" s="269">
        <v>0</v>
      </c>
      <c r="L325" s="270">
        <f t="shared" si="90"/>
        <v>21905.269504428801</v>
      </c>
      <c r="M325" s="268"/>
      <c r="N325" s="1163">
        <v>0.93490804699999996</v>
      </c>
    </row>
    <row r="326" spans="1:14" ht="18.95" customHeight="1">
      <c r="A326" s="340"/>
      <c r="B326" s="343" t="s">
        <v>2509</v>
      </c>
      <c r="C326" s="318" t="s">
        <v>2481</v>
      </c>
      <c r="D326" s="755" t="s">
        <v>2510</v>
      </c>
      <c r="E326" s="267">
        <v>1</v>
      </c>
      <c r="F326" s="268" t="s">
        <v>402</v>
      </c>
      <c r="G326" s="267">
        <f>15132*0.8</f>
        <v>12105.6</v>
      </c>
      <c r="H326" s="267">
        <f t="shared" si="87"/>
        <v>11317.6228537632</v>
      </c>
      <c r="I326" s="267">
        <f t="shared" si="88"/>
        <v>11317.6228537632</v>
      </c>
      <c r="J326" s="269">
        <v>0</v>
      </c>
      <c r="K326" s="269">
        <v>0</v>
      </c>
      <c r="L326" s="270">
        <f t="shared" si="90"/>
        <v>11317.6228537632</v>
      </c>
      <c r="M326" s="268"/>
      <c r="N326" s="1163">
        <v>0.93490804699999996</v>
      </c>
    </row>
    <row r="327" spans="1:14" ht="18.95" customHeight="1">
      <c r="A327" s="340"/>
      <c r="B327" s="343" t="s">
        <v>2511</v>
      </c>
      <c r="C327" s="242" t="s">
        <v>2512</v>
      </c>
      <c r="D327" s="663" t="s">
        <v>2513</v>
      </c>
      <c r="E327" s="267">
        <v>2</v>
      </c>
      <c r="F327" s="268" t="s">
        <v>402</v>
      </c>
      <c r="G327" s="267">
        <f>16342*0.8</f>
        <v>13073.6</v>
      </c>
      <c r="H327" s="267">
        <f t="shared" si="87"/>
        <v>12222.6138432592</v>
      </c>
      <c r="I327" s="267">
        <f t="shared" si="88"/>
        <v>24445.227686518399</v>
      </c>
      <c r="J327" s="269">
        <v>0</v>
      </c>
      <c r="K327" s="269">
        <v>0</v>
      </c>
      <c r="L327" s="270">
        <f t="shared" si="90"/>
        <v>24445.227686518399</v>
      </c>
      <c r="M327" s="268"/>
      <c r="N327" s="1163">
        <v>0.93490804699999996</v>
      </c>
    </row>
    <row r="328" spans="1:14" ht="18.95" customHeight="1">
      <c r="A328" s="340"/>
      <c r="B328" s="343" t="s">
        <v>2514</v>
      </c>
      <c r="C328" s="242" t="s">
        <v>2512</v>
      </c>
      <c r="D328" s="757" t="s">
        <v>2515</v>
      </c>
      <c r="E328" s="267">
        <v>2</v>
      </c>
      <c r="F328" s="268" t="s">
        <v>402</v>
      </c>
      <c r="G328" s="267">
        <f>15717*0.8</f>
        <v>12573.6</v>
      </c>
      <c r="H328" s="267">
        <f t="shared" si="87"/>
        <v>11755.159819759199</v>
      </c>
      <c r="I328" s="267">
        <f t="shared" si="88"/>
        <v>23510.319639518399</v>
      </c>
      <c r="J328" s="269">
        <v>0</v>
      </c>
      <c r="K328" s="269">
        <v>0</v>
      </c>
      <c r="L328" s="270">
        <f t="shared" si="90"/>
        <v>23510.319639518399</v>
      </c>
      <c r="M328" s="268"/>
      <c r="N328" s="1163">
        <v>0.93490804699999996</v>
      </c>
    </row>
    <row r="329" spans="1:14" ht="18.95" customHeight="1">
      <c r="A329" s="340"/>
      <c r="B329" s="343" t="s">
        <v>2516</v>
      </c>
      <c r="C329" s="318" t="s">
        <v>2481</v>
      </c>
      <c r="D329" s="663" t="s">
        <v>2517</v>
      </c>
      <c r="E329" s="267">
        <v>4</v>
      </c>
      <c r="F329" s="268" t="s">
        <v>402</v>
      </c>
      <c r="G329" s="267">
        <f>3740*0.8</f>
        <v>2992</v>
      </c>
      <c r="H329" s="267">
        <f t="shared" si="87"/>
        <v>2797.244876624</v>
      </c>
      <c r="I329" s="267">
        <f t="shared" si="88"/>
        <v>11188.979506496</v>
      </c>
      <c r="J329" s="269">
        <v>0</v>
      </c>
      <c r="K329" s="269">
        <v>0</v>
      </c>
      <c r="L329" s="270">
        <f t="shared" si="90"/>
        <v>11188.979506496</v>
      </c>
      <c r="M329" s="268"/>
      <c r="N329" s="1163">
        <v>0.93490804699999996</v>
      </c>
    </row>
    <row r="330" spans="1:14" ht="18.95" customHeight="1">
      <c r="A330" s="340"/>
      <c r="B330" s="343" t="s">
        <v>2518</v>
      </c>
      <c r="C330" s="318" t="s">
        <v>2481</v>
      </c>
      <c r="D330" s="757" t="s">
        <v>2519</v>
      </c>
      <c r="E330" s="267">
        <v>4</v>
      </c>
      <c r="F330" s="268" t="s">
        <v>402</v>
      </c>
      <c r="G330" s="267">
        <f>3438*0.8</f>
        <v>2750.4</v>
      </c>
      <c r="H330" s="267">
        <f t="shared" si="87"/>
        <v>2571.3710924687998</v>
      </c>
      <c r="I330" s="267">
        <f t="shared" si="88"/>
        <v>10285.484369875199</v>
      </c>
      <c r="J330" s="269">
        <v>0</v>
      </c>
      <c r="K330" s="269">
        <v>0</v>
      </c>
      <c r="L330" s="270">
        <f t="shared" si="90"/>
        <v>10285.484369875199</v>
      </c>
      <c r="M330" s="268"/>
      <c r="N330" s="1163">
        <v>0.93490804699999996</v>
      </c>
    </row>
    <row r="331" spans="1:14" ht="18.95" customHeight="1">
      <c r="A331" s="346"/>
      <c r="B331" s="349"/>
      <c r="C331" s="242"/>
      <c r="D331" s="168"/>
      <c r="E331" s="267"/>
      <c r="F331" s="268"/>
      <c r="G331" s="267"/>
      <c r="H331" s="267"/>
      <c r="I331" s="267"/>
      <c r="J331" s="269"/>
      <c r="K331" s="269"/>
      <c r="L331" s="270"/>
      <c r="M331" s="268"/>
      <c r="N331" s="1163">
        <v>0.93490804699999996</v>
      </c>
    </row>
    <row r="332" spans="1:14" ht="18.95" customHeight="1">
      <c r="A332" s="346"/>
      <c r="B332" s="1301" t="s">
        <v>2520</v>
      </c>
      <c r="C332" s="1302"/>
      <c r="D332" s="1303"/>
      <c r="E332" s="267"/>
      <c r="F332" s="268"/>
      <c r="G332" s="267"/>
      <c r="H332" s="267"/>
      <c r="I332" s="267"/>
      <c r="J332" s="269"/>
      <c r="K332" s="269"/>
      <c r="L332" s="288">
        <f>SUM(L310:L331)</f>
        <v>676217.49454222491</v>
      </c>
      <c r="M332" s="268"/>
      <c r="N332" s="1163">
        <v>0.93490804699999996</v>
      </c>
    </row>
    <row r="333" spans="1:14" ht="18.95" customHeight="1">
      <c r="A333" s="346"/>
      <c r="B333" s="349"/>
      <c r="C333" s="318"/>
      <c r="D333" s="235"/>
      <c r="E333" s="267"/>
      <c r="F333" s="268"/>
      <c r="G333" s="267"/>
      <c r="H333" s="267"/>
      <c r="I333" s="267"/>
      <c r="J333" s="269"/>
      <c r="K333" s="269"/>
      <c r="L333" s="270"/>
      <c r="M333" s="268"/>
      <c r="N333" s="1163">
        <v>0.93490804699999996</v>
      </c>
    </row>
    <row r="334" spans="1:14" ht="18.95" customHeight="1">
      <c r="A334" s="346"/>
      <c r="B334" s="349"/>
      <c r="C334" s="152"/>
      <c r="D334" s="235"/>
      <c r="E334" s="267"/>
      <c r="F334" s="268"/>
      <c r="G334" s="267"/>
      <c r="H334" s="267"/>
      <c r="I334" s="267"/>
      <c r="J334" s="269"/>
      <c r="K334" s="269"/>
      <c r="L334" s="270"/>
      <c r="M334" s="268"/>
      <c r="N334" s="1163">
        <v>0.93490804699999996</v>
      </c>
    </row>
    <row r="335" spans="1:14" ht="18.95" customHeight="1">
      <c r="A335" s="346"/>
      <c r="B335" s="603"/>
      <c r="C335" s="242"/>
      <c r="D335" s="168"/>
      <c r="E335" s="267"/>
      <c r="F335" s="268"/>
      <c r="G335" s="267"/>
      <c r="H335" s="267"/>
      <c r="I335" s="267"/>
      <c r="J335" s="269"/>
      <c r="K335" s="269"/>
      <c r="L335" s="270"/>
      <c r="M335" s="268"/>
      <c r="N335" s="1163">
        <v>0.93490804699999996</v>
      </c>
    </row>
    <row r="336" spans="1:14" ht="18.95" customHeight="1">
      <c r="A336" s="224"/>
      <c r="B336" s="122"/>
      <c r="C336" s="329"/>
      <c r="D336" s="328"/>
      <c r="E336" s="267"/>
      <c r="F336" s="268"/>
      <c r="G336" s="267"/>
      <c r="H336" s="267"/>
      <c r="I336" s="267"/>
      <c r="J336" s="267"/>
      <c r="K336" s="269"/>
      <c r="L336" s="267"/>
      <c r="M336" s="268"/>
      <c r="N336" s="1163">
        <v>0.93490804699999996</v>
      </c>
    </row>
    <row r="337" spans="1:14" ht="18.95" customHeight="1">
      <c r="A337" s="336">
        <v>7</v>
      </c>
      <c r="B337" s="751" t="s">
        <v>2255</v>
      </c>
      <c r="C337" s="318"/>
      <c r="D337" s="164"/>
      <c r="E337" s="267"/>
      <c r="F337" s="268"/>
      <c r="G337" s="267"/>
      <c r="H337" s="267"/>
      <c r="I337" s="267"/>
      <c r="J337" s="269"/>
      <c r="K337" s="267"/>
      <c r="L337" s="268"/>
      <c r="M337" s="268"/>
      <c r="N337" s="1163">
        <v>0.93490804699999996</v>
      </c>
    </row>
    <row r="338" spans="1:14" ht="18.95" customHeight="1">
      <c r="A338" s="340"/>
      <c r="B338" s="341"/>
      <c r="C338" s="318"/>
      <c r="D338" s="164"/>
      <c r="E338" s="267"/>
      <c r="F338" s="268"/>
      <c r="G338" s="267"/>
      <c r="H338" s="267"/>
      <c r="I338" s="267"/>
      <c r="J338" s="269"/>
      <c r="K338" s="267"/>
      <c r="L338" s="268"/>
      <c r="M338" s="268"/>
      <c r="N338" s="1163">
        <v>0.93490804699999996</v>
      </c>
    </row>
    <row r="339" spans="1:14" ht="18.95" customHeight="1">
      <c r="A339" s="340">
        <v>7.1</v>
      </c>
      <c r="B339" s="400" t="s">
        <v>2521</v>
      </c>
      <c r="C339" s="318"/>
      <c r="D339" s="167"/>
      <c r="E339" s="267"/>
      <c r="F339" s="268"/>
      <c r="G339" s="267"/>
      <c r="H339" s="267"/>
      <c r="I339" s="267"/>
      <c r="J339" s="267"/>
      <c r="K339" s="269"/>
      <c r="L339" s="270"/>
      <c r="M339" s="268"/>
      <c r="N339" s="1163">
        <v>0.93490804699999996</v>
      </c>
    </row>
    <row r="340" spans="1:14" ht="18.95" customHeight="1">
      <c r="A340" s="340"/>
      <c r="B340" s="397" t="s">
        <v>2522</v>
      </c>
      <c r="C340" s="318"/>
      <c r="D340" s="167"/>
      <c r="E340" s="267">
        <v>6</v>
      </c>
      <c r="F340" s="268" t="s">
        <v>402</v>
      </c>
      <c r="G340" s="269">
        <v>22500</v>
      </c>
      <c r="H340" s="267">
        <f t="shared" ref="H340:H348" si="91">G340*N340</f>
        <v>21035.431057499998</v>
      </c>
      <c r="I340" s="267">
        <f t="shared" ref="I340:I348" si="92">E340*H340</f>
        <v>126212.58634499999</v>
      </c>
      <c r="J340" s="267">
        <v>0</v>
      </c>
      <c r="K340" s="269">
        <f t="shared" ref="K340:K347" si="93">E340*J340</f>
        <v>0</v>
      </c>
      <c r="L340" s="270">
        <f t="shared" ref="L340:L348" si="94">I340+K340</f>
        <v>126212.58634499999</v>
      </c>
      <c r="M340" s="270"/>
      <c r="N340" s="1163">
        <v>0.93490804699999996</v>
      </c>
    </row>
    <row r="341" spans="1:14" ht="18.95" customHeight="1">
      <c r="A341" s="340"/>
      <c r="B341" s="322" t="s">
        <v>2523</v>
      </c>
      <c r="C341" s="316"/>
      <c r="D341" s="167"/>
      <c r="E341" s="267">
        <v>38</v>
      </c>
      <c r="F341" s="268" t="s">
        <v>402</v>
      </c>
      <c r="G341" s="269">
        <v>4000</v>
      </c>
      <c r="H341" s="267">
        <f t="shared" si="91"/>
        <v>3739.632188</v>
      </c>
      <c r="I341" s="267">
        <f t="shared" si="92"/>
        <v>142106.02314400001</v>
      </c>
      <c r="J341" s="267">
        <v>0</v>
      </c>
      <c r="K341" s="269">
        <f t="shared" si="93"/>
        <v>0</v>
      </c>
      <c r="L341" s="270">
        <f t="shared" si="94"/>
        <v>142106.02314400001</v>
      </c>
      <c r="M341" s="270"/>
      <c r="N341" s="1163">
        <v>0.93490804699999996</v>
      </c>
    </row>
    <row r="342" spans="1:14" ht="18.95" customHeight="1">
      <c r="A342" s="340"/>
      <c r="B342" s="327" t="s">
        <v>2524</v>
      </c>
      <c r="C342" s="373"/>
      <c r="D342" s="167"/>
      <c r="E342" s="267">
        <v>11</v>
      </c>
      <c r="F342" s="268" t="s">
        <v>402</v>
      </c>
      <c r="G342" s="269">
        <v>3200</v>
      </c>
      <c r="H342" s="267">
        <f t="shared" si="91"/>
        <v>2991.7057503999999</v>
      </c>
      <c r="I342" s="267">
        <f t="shared" si="92"/>
        <v>32908.763254400001</v>
      </c>
      <c r="J342" s="267">
        <v>0</v>
      </c>
      <c r="K342" s="269">
        <f t="shared" si="93"/>
        <v>0</v>
      </c>
      <c r="L342" s="270">
        <f t="shared" si="94"/>
        <v>32908.763254400001</v>
      </c>
      <c r="M342" s="270"/>
      <c r="N342" s="1163">
        <v>0.93490804699999996</v>
      </c>
    </row>
    <row r="343" spans="1:14" ht="18.95" customHeight="1">
      <c r="A343" s="340"/>
      <c r="B343" s="327" t="s">
        <v>2525</v>
      </c>
      <c r="C343" s="373"/>
      <c r="D343" s="167"/>
      <c r="E343" s="267">
        <v>4</v>
      </c>
      <c r="F343" s="268" t="s">
        <v>402</v>
      </c>
      <c r="G343" s="269">
        <v>3600</v>
      </c>
      <c r="H343" s="267">
        <f t="shared" si="91"/>
        <v>3365.6689692</v>
      </c>
      <c r="I343" s="267">
        <f t="shared" si="92"/>
        <v>13462.6758768</v>
      </c>
      <c r="J343" s="267">
        <v>0</v>
      </c>
      <c r="K343" s="269">
        <f t="shared" si="93"/>
        <v>0</v>
      </c>
      <c r="L343" s="270">
        <f t="shared" si="94"/>
        <v>13462.6758768</v>
      </c>
      <c r="M343" s="270"/>
      <c r="N343" s="1163">
        <v>0.93490804699999996</v>
      </c>
    </row>
    <row r="344" spans="1:14" ht="18.95" customHeight="1">
      <c r="A344" s="340"/>
      <c r="B344" s="327" t="s">
        <v>2526</v>
      </c>
      <c r="C344" s="373"/>
      <c r="D344" s="167"/>
      <c r="E344" s="267">
        <v>3</v>
      </c>
      <c r="F344" s="268" t="s">
        <v>402</v>
      </c>
      <c r="G344" s="269">
        <v>2000</v>
      </c>
      <c r="H344" s="267">
        <f t="shared" si="91"/>
        <v>1869.816094</v>
      </c>
      <c r="I344" s="267">
        <f t="shared" si="92"/>
        <v>5609.4482820000003</v>
      </c>
      <c r="J344" s="267">
        <v>0</v>
      </c>
      <c r="K344" s="269">
        <f>E344*J344</f>
        <v>0</v>
      </c>
      <c r="L344" s="270">
        <f>I344+K344</f>
        <v>5609.4482820000003</v>
      </c>
      <c r="M344" s="270"/>
      <c r="N344" s="1163">
        <v>0.93490804699999996</v>
      </c>
    </row>
    <row r="345" spans="1:14" ht="18.95" customHeight="1">
      <c r="A345" s="340"/>
      <c r="B345" s="327" t="s">
        <v>2527</v>
      </c>
      <c r="C345" s="373"/>
      <c r="D345" s="167"/>
      <c r="E345" s="267">
        <v>6</v>
      </c>
      <c r="F345" s="268" t="s">
        <v>402</v>
      </c>
      <c r="G345" s="269">
        <v>1500</v>
      </c>
      <c r="H345" s="267">
        <f t="shared" si="91"/>
        <v>1402.3620704999998</v>
      </c>
      <c r="I345" s="267">
        <f t="shared" si="92"/>
        <v>8414.172423</v>
      </c>
      <c r="J345" s="267">
        <v>0</v>
      </c>
      <c r="K345" s="269">
        <f>E345*J345</f>
        <v>0</v>
      </c>
      <c r="L345" s="270">
        <f>I345+K345</f>
        <v>8414.172423</v>
      </c>
      <c r="M345" s="270"/>
      <c r="N345" s="1163">
        <v>0.93490804699999996</v>
      </c>
    </row>
    <row r="346" spans="1:14" ht="18.95" customHeight="1">
      <c r="A346" s="340">
        <v>7.2</v>
      </c>
      <c r="B346" s="381" t="s">
        <v>2528</v>
      </c>
      <c r="C346" s="321"/>
      <c r="D346" s="328"/>
      <c r="E346" s="267"/>
      <c r="F346" s="268"/>
      <c r="G346" s="267"/>
      <c r="H346" s="267"/>
      <c r="I346" s="267"/>
      <c r="J346" s="267"/>
      <c r="K346" s="269"/>
      <c r="L346" s="270"/>
      <c r="M346" s="270"/>
      <c r="N346" s="1163">
        <v>0.93490804699999996</v>
      </c>
    </row>
    <row r="347" spans="1:14" ht="18.95" customHeight="1">
      <c r="A347" s="340"/>
      <c r="B347" s="327" t="s">
        <v>2529</v>
      </c>
      <c r="C347" s="321"/>
      <c r="D347" s="328"/>
      <c r="E347" s="267">
        <v>2</v>
      </c>
      <c r="F347" s="268" t="s">
        <v>402</v>
      </c>
      <c r="G347" s="267">
        <v>15000</v>
      </c>
      <c r="H347" s="267">
        <f t="shared" si="91"/>
        <v>14023.620704999999</v>
      </c>
      <c r="I347" s="267">
        <f t="shared" si="92"/>
        <v>28047.241409999999</v>
      </c>
      <c r="J347" s="267">
        <v>0</v>
      </c>
      <c r="K347" s="269">
        <f t="shared" si="93"/>
        <v>0</v>
      </c>
      <c r="L347" s="270">
        <f t="shared" si="94"/>
        <v>28047.241409999999</v>
      </c>
      <c r="M347" s="270"/>
      <c r="N347" s="1163">
        <v>0.93490804699999996</v>
      </c>
    </row>
    <row r="348" spans="1:14" ht="18.95" customHeight="1">
      <c r="A348" s="340"/>
      <c r="B348" s="327" t="s">
        <v>2530</v>
      </c>
      <c r="C348" s="321"/>
      <c r="D348" s="328"/>
      <c r="E348" s="267">
        <v>1</v>
      </c>
      <c r="F348" s="268" t="s">
        <v>402</v>
      </c>
      <c r="G348" s="267">
        <v>110000</v>
      </c>
      <c r="H348" s="267">
        <f t="shared" si="91"/>
        <v>102839.88516999999</v>
      </c>
      <c r="I348" s="267">
        <f t="shared" si="92"/>
        <v>102839.88516999999</v>
      </c>
      <c r="J348" s="267">
        <v>0</v>
      </c>
      <c r="K348" s="269">
        <v>0</v>
      </c>
      <c r="L348" s="270">
        <f t="shared" si="94"/>
        <v>102839.88516999999</v>
      </c>
      <c r="M348" s="270"/>
      <c r="N348" s="1163">
        <v>0.93490804699999996</v>
      </c>
    </row>
    <row r="349" spans="1:14" ht="18.95" customHeight="1">
      <c r="A349" s="340"/>
      <c r="B349" s="381"/>
      <c r="C349" s="318"/>
      <c r="D349" s="164"/>
      <c r="E349" s="267"/>
      <c r="F349" s="268"/>
      <c r="G349" s="267"/>
      <c r="H349" s="267"/>
      <c r="I349" s="267"/>
      <c r="J349" s="269"/>
      <c r="K349" s="269"/>
      <c r="L349" s="270"/>
      <c r="M349" s="268"/>
    </row>
    <row r="350" spans="1:14" ht="18.95" customHeight="1">
      <c r="A350" s="346"/>
      <c r="B350" s="1301" t="s">
        <v>2531</v>
      </c>
      <c r="C350" s="1302"/>
      <c r="D350" s="1303"/>
      <c r="E350" s="267"/>
      <c r="F350" s="268"/>
      <c r="G350" s="267"/>
      <c r="H350" s="267"/>
      <c r="I350" s="267"/>
      <c r="J350" s="269"/>
      <c r="K350" s="269"/>
      <c r="L350" s="288">
        <f>SUM(L340:L349)</f>
        <v>459600.79590520007</v>
      </c>
      <c r="M350" s="268"/>
    </row>
  </sheetData>
  <mergeCells count="20">
    <mergeCell ref="A1:C1"/>
    <mergeCell ref="K1:L1"/>
    <mergeCell ref="A2:C2"/>
    <mergeCell ref="A3:C3"/>
    <mergeCell ref="A5:A6"/>
    <mergeCell ref="B5:D6"/>
    <mergeCell ref="E5:E6"/>
    <mergeCell ref="F5:F6"/>
    <mergeCell ref="G5:I5"/>
    <mergeCell ref="J5:K5"/>
    <mergeCell ref="D1:I1"/>
    <mergeCell ref="B278:D278"/>
    <mergeCell ref="B301:D301"/>
    <mergeCell ref="B332:D332"/>
    <mergeCell ref="B350:D350"/>
    <mergeCell ref="M5:M6"/>
    <mergeCell ref="B183:D183"/>
    <mergeCell ref="B85:D85"/>
    <mergeCell ref="B69:D69"/>
    <mergeCell ref="B18:D18"/>
  </mergeCells>
  <phoneticPr fontId="10" type="noConversion"/>
  <printOptions horizontalCentered="1"/>
  <pageMargins left="0.39370078740157483" right="0.39370078740157483" top="1.1811023622047245" bottom="0" header="0.78740157480314965" footer="0"/>
  <pageSetup paperSize="9" scale="81" firstPageNumber="7" orientation="landscape" useFirstPageNumber="1" r:id="rId1"/>
  <headerFooter alignWithMargins="0">
    <oddHeader xml:space="preserve">&amp;C&amp;"Cordia New,Regular"&amp;14แบบแสดงรายการ ปริมาณงาน และราคา&amp;R&amp;"Cordia New,Regular"&amp;14แบบปร.4(ข) แผ่นที่ &amp;P/30    </oddHeader>
  </headerFooter>
  <rowBreaks count="12" manualBreakCount="12">
    <brk id="30" max="11" man="1"/>
    <brk id="58" max="11" man="1"/>
    <brk id="86" max="11" man="1"/>
    <brk id="114" max="11" man="1"/>
    <brk id="142" max="11" man="1"/>
    <brk id="170" max="11" man="1"/>
    <brk id="198" max="11" man="1"/>
    <brk id="226" max="11" man="1"/>
    <brk id="248" max="11" man="1"/>
    <brk id="280" max="11" man="1"/>
    <brk id="308" max="11" man="1"/>
    <brk id="336" max="1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U308"/>
  <sheetViews>
    <sheetView view="pageBreakPreview" topLeftCell="A7" zoomScaleNormal="100" zoomScaleSheetLayoutView="100" workbookViewId="0">
      <selection activeCell="Q31" sqref="Q31"/>
    </sheetView>
  </sheetViews>
  <sheetFormatPr defaultColWidth="10.42578125" defaultRowHeight="18.95" customHeight="1"/>
  <cols>
    <col min="1" max="1" width="6.7109375" style="250" customWidth="1"/>
    <col min="2" max="2" width="6.42578125" style="407" customWidth="1"/>
    <col min="3" max="3" width="30.42578125" style="407" customWidth="1"/>
    <col min="4" max="4" width="32.140625" style="250" customWidth="1"/>
    <col min="5" max="5" width="11.42578125" style="408" customWidth="1"/>
    <col min="6" max="6" width="9.5703125" style="250" customWidth="1"/>
    <col min="7" max="7" width="15.7109375" style="408" hidden="1" customWidth="1"/>
    <col min="8" max="9" width="15.7109375" style="408" customWidth="1"/>
    <col min="10" max="10" width="15.7109375" style="250" hidden="1" customWidth="1"/>
    <col min="11" max="13" width="15.7109375" style="250" customWidth="1"/>
    <col min="14" max="14" width="16.140625" style="250" customWidth="1"/>
    <col min="15" max="15" width="14" style="250" customWidth="1"/>
    <col min="16" max="16" width="15" style="250" customWidth="1"/>
    <col min="17" max="16384" width="10.42578125" style="250"/>
  </cols>
  <sheetData>
    <row r="1" spans="1:17" s="116" customFormat="1" ht="18.95" customHeight="1">
      <c r="A1" s="1368" t="s">
        <v>1168</v>
      </c>
      <c r="B1" s="1368"/>
      <c r="C1" s="1368"/>
      <c r="D1" s="1425" t="e">
        <f>+'แบบ ปร.5(ข)'!C4</f>
        <v>#REF!</v>
      </c>
      <c r="E1" s="1425"/>
      <c r="F1" s="1425"/>
      <c r="G1" s="1425"/>
      <c r="H1" s="1425"/>
      <c r="I1" s="1425"/>
      <c r="J1" s="296" t="s">
        <v>1169</v>
      </c>
      <c r="K1" s="296" t="s">
        <v>1169</v>
      </c>
      <c r="L1" s="492" t="s">
        <v>2532</v>
      </c>
      <c r="M1" s="492"/>
      <c r="N1" s="114"/>
    </row>
    <row r="2" spans="1:17" s="116" customFormat="1" ht="18.95" customHeight="1">
      <c r="A2" s="1369" t="s">
        <v>4</v>
      </c>
      <c r="B2" s="1369"/>
      <c r="C2" s="1369"/>
      <c r="D2" s="115" t="e">
        <f>+'แบบ ปร.5(ข)'!C5</f>
        <v>#REF!</v>
      </c>
      <c r="E2" s="298"/>
      <c r="F2" s="115"/>
      <c r="G2" s="299"/>
      <c r="H2" s="299"/>
      <c r="I2" s="299"/>
      <c r="J2" s="300" t="s">
        <v>1171</v>
      </c>
      <c r="K2" s="300" t="s">
        <v>1171</v>
      </c>
      <c r="L2" s="301" t="e">
        <f>+'RC2_ปร.5 (ก)'!#REF!</f>
        <v>#REF!</v>
      </c>
      <c r="M2" s="302"/>
      <c r="N2" s="115"/>
    </row>
    <row r="3" spans="1:17" s="116" customFormat="1" ht="18.95" customHeight="1">
      <c r="A3" s="1369" t="s">
        <v>1172</v>
      </c>
      <c r="B3" s="1369"/>
      <c r="C3" s="1369"/>
      <c r="D3" s="115" t="e">
        <f>+'RC2_ปร.5 (ก)'!#REF!</f>
        <v>#REF!</v>
      </c>
      <c r="E3" s="298"/>
      <c r="F3" s="115"/>
      <c r="G3" s="299"/>
      <c r="H3" s="299"/>
      <c r="I3" s="303"/>
      <c r="J3" s="303"/>
      <c r="K3" s="303"/>
      <c r="L3" s="304"/>
      <c r="M3" s="305"/>
      <c r="N3" s="115"/>
    </row>
    <row r="4" spans="1:17" s="116" customFormat="1" ht="18.95" customHeight="1">
      <c r="B4" s="306"/>
      <c r="C4" s="306"/>
      <c r="E4" s="307"/>
      <c r="G4" s="307"/>
      <c r="H4" s="307"/>
      <c r="I4" s="307"/>
    </row>
    <row r="5" spans="1:17" ht="18.95" customHeight="1">
      <c r="A5" s="1360" t="s">
        <v>1007</v>
      </c>
      <c r="B5" s="1370" t="s">
        <v>17</v>
      </c>
      <c r="C5" s="1371"/>
      <c r="D5" s="1372"/>
      <c r="E5" s="1390" t="s">
        <v>1173</v>
      </c>
      <c r="F5" s="1360" t="s">
        <v>1174</v>
      </c>
      <c r="G5" s="1362" t="s">
        <v>1008</v>
      </c>
      <c r="H5" s="1363"/>
      <c r="I5" s="1364"/>
      <c r="J5" s="1365" t="s">
        <v>1010</v>
      </c>
      <c r="K5" s="1366"/>
      <c r="L5" s="1367"/>
      <c r="M5" s="308" t="s">
        <v>1175</v>
      </c>
      <c r="N5" s="1360" t="s">
        <v>19</v>
      </c>
    </row>
    <row r="6" spans="1:17" ht="18.95" customHeight="1">
      <c r="A6" s="1361"/>
      <c r="B6" s="1373"/>
      <c r="C6" s="1374"/>
      <c r="D6" s="1375"/>
      <c r="E6" s="1391"/>
      <c r="F6" s="1361"/>
      <c r="G6" s="311" t="s">
        <v>203</v>
      </c>
      <c r="H6" s="311" t="s">
        <v>203</v>
      </c>
      <c r="I6" s="310" t="s">
        <v>1176</v>
      </c>
      <c r="J6" s="311" t="s">
        <v>203</v>
      </c>
      <c r="K6" s="311" t="s">
        <v>203</v>
      </c>
      <c r="L6" s="309" t="s">
        <v>1176</v>
      </c>
      <c r="M6" s="309" t="s">
        <v>1177</v>
      </c>
      <c r="N6" s="1361"/>
    </row>
    <row r="7" spans="1:17" ht="18.95" customHeight="1">
      <c r="A7" s="312"/>
      <c r="B7" s="313" t="s">
        <v>2533</v>
      </c>
      <c r="C7" s="313"/>
      <c r="D7" s="197"/>
      <c r="E7" s="263"/>
      <c r="F7" s="264"/>
      <c r="G7" s="263"/>
      <c r="H7" s="263"/>
      <c r="I7" s="263"/>
      <c r="J7" s="265"/>
      <c r="K7" s="265"/>
      <c r="L7" s="266"/>
      <c r="M7" s="264"/>
      <c r="N7" s="264"/>
    </row>
    <row r="8" spans="1:17" ht="18.95" customHeight="1">
      <c r="A8" s="314"/>
      <c r="B8" s="315" t="s">
        <v>22</v>
      </c>
      <c r="C8" s="316"/>
      <c r="D8" s="167"/>
      <c r="E8" s="267"/>
      <c r="F8" s="268"/>
      <c r="G8" s="267"/>
      <c r="H8" s="267"/>
      <c r="I8" s="267"/>
      <c r="J8" s="269"/>
      <c r="K8" s="269"/>
      <c r="L8" s="269"/>
      <c r="M8" s="270"/>
      <c r="N8" s="268"/>
    </row>
    <row r="9" spans="1:17" ht="18.95" customHeight="1">
      <c r="A9" s="314"/>
      <c r="B9" s="317"/>
      <c r="C9" s="318"/>
      <c r="D9" s="167"/>
      <c r="E9" s="267"/>
      <c r="F9" s="268"/>
      <c r="G9" s="267"/>
      <c r="H9" s="267"/>
      <c r="I9" s="267"/>
      <c r="J9" s="269"/>
      <c r="K9" s="269"/>
      <c r="L9" s="269"/>
      <c r="M9" s="270"/>
      <c r="N9" s="268"/>
    </row>
    <row r="10" spans="1:17" ht="18.95" customHeight="1">
      <c r="A10" s="314">
        <v>1</v>
      </c>
      <c r="B10" s="319" t="s">
        <v>2534</v>
      </c>
      <c r="C10" s="318"/>
      <c r="D10" s="167"/>
      <c r="E10" s="267"/>
      <c r="F10" s="268"/>
      <c r="G10" s="267"/>
      <c r="H10" s="267"/>
      <c r="I10" s="267"/>
      <c r="J10" s="269"/>
      <c r="K10" s="269"/>
      <c r="L10" s="269"/>
      <c r="M10" s="270">
        <f>M42</f>
        <v>1711024.7669411909</v>
      </c>
      <c r="N10" s="268"/>
      <c r="O10" s="293">
        <f>P10*0.934908047</f>
        <v>1711024.7669411909</v>
      </c>
      <c r="P10" s="293">
        <v>1830153</v>
      </c>
      <c r="Q10" s="252">
        <f>M10-O10</f>
        <v>0</v>
      </c>
    </row>
    <row r="11" spans="1:17" ht="18.95" customHeight="1">
      <c r="A11" s="314">
        <v>2</v>
      </c>
      <c r="B11" s="319" t="s">
        <v>2535</v>
      </c>
      <c r="C11" s="318"/>
      <c r="D11" s="167"/>
      <c r="E11" s="267"/>
      <c r="F11" s="268"/>
      <c r="G11" s="267"/>
      <c r="H11" s="267"/>
      <c r="I11" s="267"/>
      <c r="J11" s="269"/>
      <c r="K11" s="269"/>
      <c r="L11" s="269"/>
      <c r="M11" s="270">
        <f>M56</f>
        <v>472199.61674657196</v>
      </c>
      <c r="N11" s="268"/>
      <c r="O11" s="293">
        <f t="shared" ref="O11:O22" si="0">P11*0.934908047</f>
        <v>472199.61674657196</v>
      </c>
      <c r="P11" s="293">
        <v>505076</v>
      </c>
      <c r="Q11" s="252">
        <f t="shared" ref="Q11:Q24" si="1">M11-O11</f>
        <v>0</v>
      </c>
    </row>
    <row r="12" spans="1:17" ht="18.95" customHeight="1">
      <c r="A12" s="314">
        <v>3</v>
      </c>
      <c r="B12" s="319" t="s">
        <v>2536</v>
      </c>
      <c r="C12" s="318"/>
      <c r="D12" s="167"/>
      <c r="E12" s="267"/>
      <c r="F12" s="268"/>
      <c r="G12" s="267"/>
      <c r="H12" s="267"/>
      <c r="I12" s="267"/>
      <c r="J12" s="269"/>
      <c r="K12" s="269"/>
      <c r="L12" s="269"/>
      <c r="M12" s="270">
        <f>M71</f>
        <v>472199.61674657196</v>
      </c>
      <c r="N12" s="268"/>
      <c r="O12" s="293">
        <f t="shared" si="0"/>
        <v>472199.61674657196</v>
      </c>
      <c r="P12" s="293">
        <v>505076</v>
      </c>
      <c r="Q12" s="252">
        <f t="shared" si="1"/>
        <v>0</v>
      </c>
    </row>
    <row r="13" spans="1:17" ht="18.95" customHeight="1">
      <c r="A13" s="314">
        <v>4</v>
      </c>
      <c r="B13" s="341" t="s">
        <v>2537</v>
      </c>
      <c r="C13" s="318"/>
      <c r="D13" s="167"/>
      <c r="E13" s="267"/>
      <c r="F13" s="268"/>
      <c r="G13" s="269"/>
      <c r="H13" s="269"/>
      <c r="I13" s="269"/>
      <c r="J13" s="269"/>
      <c r="K13" s="269"/>
      <c r="L13" s="270"/>
      <c r="M13" s="270">
        <f>M96</f>
        <v>778087.50610426685</v>
      </c>
      <c r="N13" s="268"/>
      <c r="O13" s="293">
        <f t="shared" si="0"/>
        <v>778087.50610426697</v>
      </c>
      <c r="P13" s="293">
        <v>832261</v>
      </c>
      <c r="Q13" s="252">
        <f t="shared" si="1"/>
        <v>0</v>
      </c>
    </row>
    <row r="14" spans="1:17" ht="18.95" customHeight="1">
      <c r="A14" s="314">
        <v>5</v>
      </c>
      <c r="B14" s="341" t="s">
        <v>2538</v>
      </c>
      <c r="C14" s="321"/>
      <c r="D14" s="167"/>
      <c r="E14" s="267"/>
      <c r="F14" s="268"/>
      <c r="G14" s="267"/>
      <c r="H14" s="267"/>
      <c r="I14" s="267"/>
      <c r="J14" s="269"/>
      <c r="K14" s="269"/>
      <c r="L14" s="269"/>
      <c r="M14" s="270">
        <f>M119</f>
        <v>778087.50610426685</v>
      </c>
      <c r="N14" s="268"/>
      <c r="O14" s="293">
        <f t="shared" si="0"/>
        <v>778087.50610426697</v>
      </c>
      <c r="P14" s="293">
        <v>832261</v>
      </c>
      <c r="Q14" s="252">
        <f t="shared" si="1"/>
        <v>0</v>
      </c>
    </row>
    <row r="15" spans="1:17" ht="18.95" customHeight="1">
      <c r="A15" s="314">
        <v>6</v>
      </c>
      <c r="B15" s="341" t="s">
        <v>2539</v>
      </c>
      <c r="C15" s="235"/>
      <c r="D15" s="167"/>
      <c r="E15" s="267"/>
      <c r="F15" s="268"/>
      <c r="G15" s="269"/>
      <c r="H15" s="269"/>
      <c r="I15" s="269"/>
      <c r="J15" s="269"/>
      <c r="K15" s="269"/>
      <c r="L15" s="270"/>
      <c r="M15" s="270">
        <f>M126</f>
        <v>62027.409286261995</v>
      </c>
      <c r="N15" s="268"/>
      <c r="O15" s="293">
        <f t="shared" si="0"/>
        <v>62027.409286261995</v>
      </c>
      <c r="P15" s="293">
        <v>66346</v>
      </c>
      <c r="Q15" s="252">
        <f t="shared" si="1"/>
        <v>0</v>
      </c>
    </row>
    <row r="16" spans="1:17" ht="18.95" customHeight="1">
      <c r="A16" s="314">
        <v>7</v>
      </c>
      <c r="B16" s="341" t="s">
        <v>2540</v>
      </c>
      <c r="C16" s="316"/>
      <c r="D16" s="167"/>
      <c r="E16" s="267"/>
      <c r="F16" s="268"/>
      <c r="G16" s="269"/>
      <c r="H16" s="269"/>
      <c r="I16" s="269"/>
      <c r="J16" s="269"/>
      <c r="K16" s="269"/>
      <c r="L16" s="270"/>
      <c r="M16" s="270">
        <f>M133</f>
        <v>62027.409286261995</v>
      </c>
      <c r="N16" s="268"/>
      <c r="O16" s="293">
        <f t="shared" si="0"/>
        <v>62027.409286261995</v>
      </c>
      <c r="P16" s="293">
        <v>66346</v>
      </c>
      <c r="Q16" s="252">
        <f t="shared" si="1"/>
        <v>0</v>
      </c>
    </row>
    <row r="17" spans="1:17" ht="18.95" customHeight="1">
      <c r="A17" s="314">
        <v>8</v>
      </c>
      <c r="B17" s="341" t="s">
        <v>2541</v>
      </c>
      <c r="C17" s="758"/>
      <c r="D17" s="324"/>
      <c r="E17" s="267"/>
      <c r="F17" s="268"/>
      <c r="G17" s="269"/>
      <c r="H17" s="269"/>
      <c r="I17" s="269"/>
      <c r="J17" s="269"/>
      <c r="K17" s="269"/>
      <c r="L17" s="270"/>
      <c r="M17" s="270">
        <f>M141</f>
        <v>84520.361989034995</v>
      </c>
      <c r="N17" s="268"/>
      <c r="O17" s="293">
        <f t="shared" si="0"/>
        <v>84520.361989034995</v>
      </c>
      <c r="P17" s="293">
        <v>90405</v>
      </c>
      <c r="Q17" s="252">
        <f t="shared" si="1"/>
        <v>0</v>
      </c>
    </row>
    <row r="18" spans="1:17" ht="18.95" customHeight="1">
      <c r="A18" s="314">
        <v>9</v>
      </c>
      <c r="B18" s="341" t="s">
        <v>2542</v>
      </c>
      <c r="C18" s="316"/>
      <c r="D18" s="164"/>
      <c r="E18" s="270"/>
      <c r="F18" s="268"/>
      <c r="G18" s="270"/>
      <c r="H18" s="270"/>
      <c r="I18" s="270"/>
      <c r="J18" s="270"/>
      <c r="K18" s="270"/>
      <c r="L18" s="270"/>
      <c r="M18" s="268">
        <f>M147</f>
        <v>62027.409286261995</v>
      </c>
      <c r="N18" s="268"/>
      <c r="O18" s="293">
        <f t="shared" si="0"/>
        <v>62027.409286261995</v>
      </c>
      <c r="P18" s="293">
        <v>66346</v>
      </c>
      <c r="Q18" s="252">
        <f t="shared" si="1"/>
        <v>0</v>
      </c>
    </row>
    <row r="19" spans="1:17" ht="18.95" customHeight="1">
      <c r="A19" s="314">
        <v>10</v>
      </c>
      <c r="B19" s="341" t="s">
        <v>2543</v>
      </c>
      <c r="C19" s="326"/>
      <c r="D19" s="164"/>
      <c r="E19" s="267"/>
      <c r="F19" s="268"/>
      <c r="G19" s="269"/>
      <c r="H19" s="269"/>
      <c r="I19" s="269"/>
      <c r="J19" s="269"/>
      <c r="K19" s="269"/>
      <c r="L19" s="270"/>
      <c r="M19" s="268">
        <f>M154</f>
        <v>62027.409286261995</v>
      </c>
      <c r="N19" s="268"/>
      <c r="O19" s="293">
        <f t="shared" si="0"/>
        <v>62027.409286261995</v>
      </c>
      <c r="P19" s="293">
        <v>66346</v>
      </c>
      <c r="Q19" s="252">
        <f t="shared" si="1"/>
        <v>0</v>
      </c>
    </row>
    <row r="20" spans="1:17" ht="18.95" customHeight="1">
      <c r="A20" s="314">
        <v>11</v>
      </c>
      <c r="B20" s="341" t="s">
        <v>2544</v>
      </c>
      <c r="C20" s="321"/>
      <c r="D20" s="328"/>
      <c r="E20" s="267"/>
      <c r="F20" s="268"/>
      <c r="G20" s="267"/>
      <c r="H20" s="267"/>
      <c r="I20" s="267"/>
      <c r="J20" s="267"/>
      <c r="K20" s="267"/>
      <c r="L20" s="269"/>
      <c r="M20" s="267">
        <f>M186</f>
        <v>2129544.7683531637</v>
      </c>
      <c r="N20" s="268"/>
      <c r="O20" s="293">
        <f t="shared" si="0"/>
        <v>2129544.7683531637</v>
      </c>
      <c r="P20" s="293">
        <v>2277812</v>
      </c>
      <c r="Q20" s="252">
        <f t="shared" si="1"/>
        <v>0</v>
      </c>
    </row>
    <row r="21" spans="1:17" ht="18.95" customHeight="1">
      <c r="A21" s="314">
        <v>12</v>
      </c>
      <c r="B21" s="341" t="s">
        <v>2545</v>
      </c>
      <c r="C21" s="321"/>
      <c r="D21" s="328"/>
      <c r="E21" s="267"/>
      <c r="F21" s="268"/>
      <c r="G21" s="267"/>
      <c r="H21" s="267"/>
      <c r="I21" s="267"/>
      <c r="J21" s="267"/>
      <c r="K21" s="267"/>
      <c r="L21" s="269"/>
      <c r="M21" s="267">
        <f>M193</f>
        <v>62027.409286261995</v>
      </c>
      <c r="N21" s="268"/>
      <c r="O21" s="293">
        <f t="shared" si="0"/>
        <v>62027.409286261995</v>
      </c>
      <c r="P21" s="293">
        <v>66346</v>
      </c>
      <c r="Q21" s="252">
        <f t="shared" si="1"/>
        <v>0</v>
      </c>
    </row>
    <row r="22" spans="1:17" ht="18.95" customHeight="1">
      <c r="A22" s="314">
        <v>13</v>
      </c>
      <c r="B22" s="341" t="s">
        <v>2546</v>
      </c>
      <c r="C22" s="316"/>
      <c r="D22" s="167"/>
      <c r="E22" s="267"/>
      <c r="F22" s="268"/>
      <c r="G22" s="267"/>
      <c r="H22" s="267"/>
      <c r="I22" s="267"/>
      <c r="J22" s="267"/>
      <c r="K22" s="267"/>
      <c r="L22" s="269"/>
      <c r="M22" s="270">
        <f>M208</f>
        <v>363376.32007577195</v>
      </c>
      <c r="N22" s="268"/>
      <c r="O22" s="293">
        <f t="shared" si="0"/>
        <v>363376.320075772</v>
      </c>
      <c r="P22" s="293">
        <v>388676</v>
      </c>
      <c r="Q22" s="252">
        <f t="shared" si="1"/>
        <v>0</v>
      </c>
    </row>
    <row r="23" spans="1:17" ht="18.95" customHeight="1">
      <c r="A23" s="314"/>
      <c r="B23" s="327"/>
      <c r="C23" s="321"/>
      <c r="D23" s="328"/>
      <c r="E23" s="267"/>
      <c r="F23" s="268"/>
      <c r="G23" s="267"/>
      <c r="H23" s="267"/>
      <c r="I23" s="267"/>
      <c r="J23" s="267"/>
      <c r="K23" s="267"/>
      <c r="L23" s="269"/>
      <c r="M23" s="267"/>
      <c r="N23" s="268"/>
      <c r="O23" s="293"/>
      <c r="P23" s="293"/>
      <c r="Q23" s="252">
        <f t="shared" si="1"/>
        <v>0</v>
      </c>
    </row>
    <row r="24" spans="1:17" ht="18.95" customHeight="1">
      <c r="A24" s="314"/>
      <c r="B24" s="1301" t="s">
        <v>2547</v>
      </c>
      <c r="C24" s="1302"/>
      <c r="D24" s="1303"/>
      <c r="E24" s="267"/>
      <c r="F24" s="268"/>
      <c r="G24" s="269"/>
      <c r="H24" s="269"/>
      <c r="I24" s="269"/>
      <c r="J24" s="269"/>
      <c r="K24" s="269"/>
      <c r="L24" s="270"/>
      <c r="M24" s="288">
        <f>SUM(M10:M23)</f>
        <v>7099177.5094921477</v>
      </c>
      <c r="N24" s="268"/>
      <c r="O24" s="293">
        <f>SUM(O10:O23)</f>
        <v>7099177.5094921477</v>
      </c>
      <c r="P24" s="293">
        <f>SUM(P10:P23)</f>
        <v>7593450</v>
      </c>
      <c r="Q24" s="252">
        <f t="shared" si="1"/>
        <v>0</v>
      </c>
    </row>
    <row r="25" spans="1:17" ht="18.95" customHeight="1">
      <c r="A25" s="314"/>
      <c r="B25" s="327"/>
      <c r="C25" s="321"/>
      <c r="D25" s="328"/>
      <c r="E25" s="267"/>
      <c r="F25" s="268"/>
      <c r="G25" s="267"/>
      <c r="H25" s="267"/>
      <c r="I25" s="267"/>
      <c r="J25" s="267"/>
      <c r="K25" s="267"/>
      <c r="L25" s="269"/>
      <c r="M25" s="267"/>
      <c r="N25" s="268"/>
    </row>
    <row r="26" spans="1:17" ht="18.95" customHeight="1">
      <c r="A26" s="314"/>
      <c r="B26" s="327"/>
      <c r="C26" s="759"/>
      <c r="D26" s="328"/>
      <c r="E26" s="267"/>
      <c r="F26" s="268"/>
      <c r="G26" s="267"/>
      <c r="H26" s="267"/>
      <c r="I26" s="267"/>
      <c r="J26" s="267"/>
      <c r="K26" s="267"/>
      <c r="L26" s="269"/>
      <c r="M26" s="267"/>
      <c r="N26" s="268"/>
    </row>
    <row r="27" spans="1:17" ht="18.95" customHeight="1">
      <c r="A27" s="314"/>
      <c r="B27" s="327"/>
      <c r="C27" s="321"/>
      <c r="D27" s="328"/>
      <c r="E27" s="267"/>
      <c r="F27" s="268"/>
      <c r="G27" s="267"/>
      <c r="H27" s="267"/>
      <c r="I27" s="267"/>
      <c r="J27" s="267"/>
      <c r="K27" s="267"/>
      <c r="L27" s="269"/>
      <c r="M27" s="267"/>
      <c r="N27" s="268"/>
    </row>
    <row r="28" spans="1:17" ht="18.95" customHeight="1">
      <c r="A28" s="314"/>
      <c r="B28" s="327"/>
      <c r="C28" s="321"/>
      <c r="D28" s="328"/>
      <c r="E28" s="267"/>
      <c r="F28" s="268"/>
      <c r="G28" s="267"/>
      <c r="H28" s="267"/>
      <c r="I28" s="267"/>
      <c r="J28" s="267"/>
      <c r="K28" s="267"/>
      <c r="L28" s="269"/>
      <c r="M28" s="267"/>
      <c r="N28" s="268"/>
    </row>
    <row r="29" spans="1:17" ht="18.95" customHeight="1">
      <c r="A29" s="314"/>
      <c r="B29" s="331"/>
      <c r="C29" s="115"/>
      <c r="D29" s="332"/>
      <c r="E29" s="267"/>
      <c r="F29" s="268"/>
      <c r="G29" s="267"/>
      <c r="H29" s="267"/>
      <c r="I29" s="267"/>
      <c r="J29" s="267"/>
      <c r="K29" s="267"/>
      <c r="L29" s="269"/>
      <c r="M29" s="267"/>
      <c r="N29" s="268"/>
    </row>
    <row r="30" spans="1:17" ht="18.95" customHeight="1">
      <c r="A30" s="224"/>
      <c r="B30" s="122"/>
      <c r="C30" s="329"/>
      <c r="D30" s="328"/>
      <c r="E30" s="267"/>
      <c r="F30" s="268"/>
      <c r="G30" s="267"/>
      <c r="H30" s="267"/>
      <c r="I30" s="267"/>
      <c r="J30" s="267"/>
      <c r="K30" s="267"/>
      <c r="L30" s="269"/>
      <c r="M30" s="267"/>
      <c r="N30" s="268"/>
    </row>
    <row r="31" spans="1:17" ht="18.95" customHeight="1">
      <c r="A31" s="336">
        <v>1</v>
      </c>
      <c r="B31" s="751" t="s">
        <v>2534</v>
      </c>
      <c r="C31" s="318"/>
      <c r="D31" s="164"/>
      <c r="E31" s="267"/>
      <c r="F31" s="268"/>
      <c r="G31" s="267"/>
      <c r="H31" s="267"/>
      <c r="I31" s="267"/>
      <c r="J31" s="269"/>
      <c r="K31" s="269"/>
      <c r="L31" s="267"/>
      <c r="M31" s="268"/>
      <c r="N31" s="268"/>
    </row>
    <row r="32" spans="1:17" ht="18.95" customHeight="1">
      <c r="A32" s="340">
        <v>1.1000000000000001</v>
      </c>
      <c r="B32" s="341" t="s">
        <v>2548</v>
      </c>
      <c r="C32" s="318"/>
      <c r="D32" s="164"/>
      <c r="E32" s="267"/>
      <c r="F32" s="268"/>
      <c r="G32" s="267"/>
      <c r="H32" s="267"/>
      <c r="I32" s="267"/>
      <c r="J32" s="269"/>
      <c r="K32" s="269"/>
      <c r="L32" s="267"/>
      <c r="M32" s="268"/>
      <c r="N32" s="268"/>
    </row>
    <row r="33" spans="1:15" ht="18.95" customHeight="1">
      <c r="A33" s="340"/>
      <c r="B33" s="343" t="s">
        <v>245</v>
      </c>
      <c r="C33" s="760" t="s">
        <v>2549</v>
      </c>
      <c r="D33" s="164"/>
      <c r="E33" s="268">
        <v>8</v>
      </c>
      <c r="F33" s="269" t="s">
        <v>2550</v>
      </c>
      <c r="G33" s="267">
        <v>5917</v>
      </c>
      <c r="H33" s="267">
        <f>G33*O33</f>
        <v>5531.850914099</v>
      </c>
      <c r="I33" s="267">
        <f>E33*H33</f>
        <v>44254.807312792</v>
      </c>
      <c r="J33" s="269">
        <v>0</v>
      </c>
      <c r="K33" s="269"/>
      <c r="L33" s="269">
        <v>0</v>
      </c>
      <c r="M33" s="270">
        <f t="shared" ref="M33:M38" si="2">SUM(I33)</f>
        <v>44254.807312792</v>
      </c>
      <c r="N33" s="268"/>
      <c r="O33" s="1163">
        <v>0.93490804699999996</v>
      </c>
    </row>
    <row r="34" spans="1:15" ht="18.95" customHeight="1">
      <c r="A34" s="340"/>
      <c r="B34" s="343" t="s">
        <v>245</v>
      </c>
      <c r="C34" s="760" t="s">
        <v>2551</v>
      </c>
      <c r="D34" s="164"/>
      <c r="E34" s="268">
        <v>1</v>
      </c>
      <c r="F34" s="268" t="s">
        <v>2552</v>
      </c>
      <c r="G34" s="267">
        <v>29100</v>
      </c>
      <c r="H34" s="267">
        <f t="shared" ref="H34:H41" si="3">G34*O34</f>
        <v>27205.824167700001</v>
      </c>
      <c r="I34" s="267">
        <f t="shared" ref="I34:I41" si="4">E34*H34</f>
        <v>27205.824167700001</v>
      </c>
      <c r="J34" s="269">
        <v>0</v>
      </c>
      <c r="K34" s="269"/>
      <c r="L34" s="269">
        <v>0</v>
      </c>
      <c r="M34" s="270">
        <f t="shared" si="2"/>
        <v>27205.824167700001</v>
      </c>
      <c r="N34" s="270"/>
      <c r="O34" s="1163">
        <v>0.93490804699999996</v>
      </c>
    </row>
    <row r="35" spans="1:15" ht="18.95" customHeight="1">
      <c r="A35" s="340"/>
      <c r="B35" s="343" t="s">
        <v>245</v>
      </c>
      <c r="C35" s="760" t="s">
        <v>2553</v>
      </c>
      <c r="D35" s="164"/>
      <c r="E35" s="268">
        <v>1</v>
      </c>
      <c r="F35" s="268" t="s">
        <v>2552</v>
      </c>
      <c r="G35" s="267">
        <v>14700</v>
      </c>
      <c r="H35" s="267">
        <f t="shared" si="3"/>
        <v>13743.148290899999</v>
      </c>
      <c r="I35" s="267">
        <f t="shared" si="4"/>
        <v>13743.148290899999</v>
      </c>
      <c r="J35" s="269">
        <v>0</v>
      </c>
      <c r="K35" s="269"/>
      <c r="L35" s="269">
        <v>0</v>
      </c>
      <c r="M35" s="270">
        <f t="shared" si="2"/>
        <v>13743.148290899999</v>
      </c>
      <c r="N35" s="270"/>
      <c r="O35" s="1163">
        <v>0.93490804699999996</v>
      </c>
    </row>
    <row r="36" spans="1:15" ht="18.95" customHeight="1">
      <c r="A36" s="340"/>
      <c r="B36" s="343" t="s">
        <v>245</v>
      </c>
      <c r="C36" s="760" t="s">
        <v>2554</v>
      </c>
      <c r="D36" s="164"/>
      <c r="E36" s="268">
        <v>1</v>
      </c>
      <c r="F36" s="269" t="s">
        <v>2552</v>
      </c>
      <c r="G36" s="267">
        <v>5292</v>
      </c>
      <c r="H36" s="267">
        <f t="shared" si="3"/>
        <v>4947.5333847239999</v>
      </c>
      <c r="I36" s="267">
        <f t="shared" si="4"/>
        <v>4947.5333847239999</v>
      </c>
      <c r="J36" s="269">
        <v>0</v>
      </c>
      <c r="K36" s="269"/>
      <c r="L36" s="269">
        <v>0</v>
      </c>
      <c r="M36" s="270">
        <f t="shared" si="2"/>
        <v>4947.5333847239999</v>
      </c>
      <c r="N36" s="270"/>
      <c r="O36" s="1163">
        <v>0.93490804699999996</v>
      </c>
    </row>
    <row r="37" spans="1:15" ht="18.95" customHeight="1">
      <c r="A37" s="340"/>
      <c r="B37" s="343" t="s">
        <v>245</v>
      </c>
      <c r="C37" s="760" t="s">
        <v>2555</v>
      </c>
      <c r="D37" s="164"/>
      <c r="E37" s="268">
        <v>1</v>
      </c>
      <c r="F37" s="268" t="s">
        <v>2552</v>
      </c>
      <c r="G37" s="267">
        <v>39200</v>
      </c>
      <c r="H37" s="267">
        <f t="shared" si="3"/>
        <v>36648.395442399997</v>
      </c>
      <c r="I37" s="267">
        <f t="shared" si="4"/>
        <v>36648.395442399997</v>
      </c>
      <c r="J37" s="269">
        <v>0</v>
      </c>
      <c r="K37" s="269"/>
      <c r="L37" s="269">
        <v>0</v>
      </c>
      <c r="M37" s="270">
        <f t="shared" si="2"/>
        <v>36648.395442399997</v>
      </c>
      <c r="N37" s="270"/>
      <c r="O37" s="1163">
        <v>0.93490804699999996</v>
      </c>
    </row>
    <row r="38" spans="1:15" ht="18.95" customHeight="1">
      <c r="A38" s="340"/>
      <c r="B38" s="343" t="s">
        <v>245</v>
      </c>
      <c r="C38" s="760" t="s">
        <v>2556</v>
      </c>
      <c r="D38" s="164"/>
      <c r="E38" s="268">
        <v>1</v>
      </c>
      <c r="F38" s="268" t="s">
        <v>2557</v>
      </c>
      <c r="G38" s="267">
        <v>13000</v>
      </c>
      <c r="H38" s="267">
        <f t="shared" si="3"/>
        <v>12153.804611</v>
      </c>
      <c r="I38" s="267">
        <f t="shared" si="4"/>
        <v>12153.804611</v>
      </c>
      <c r="J38" s="269">
        <v>0</v>
      </c>
      <c r="K38" s="269"/>
      <c r="L38" s="269">
        <v>0</v>
      </c>
      <c r="M38" s="270">
        <f t="shared" si="2"/>
        <v>12153.804611</v>
      </c>
      <c r="N38" s="270"/>
      <c r="O38" s="1163">
        <v>0.93490804699999996</v>
      </c>
    </row>
    <row r="39" spans="1:15" ht="18.95" customHeight="1">
      <c r="A39" s="340">
        <v>1.2</v>
      </c>
      <c r="B39" s="341" t="s">
        <v>2558</v>
      </c>
      <c r="C39" s="318"/>
      <c r="D39" s="164"/>
      <c r="E39" s="268"/>
      <c r="F39" s="268"/>
      <c r="G39" s="267"/>
      <c r="H39" s="267">
        <f t="shared" si="3"/>
        <v>0</v>
      </c>
      <c r="I39" s="267">
        <f t="shared" si="4"/>
        <v>0</v>
      </c>
      <c r="J39" s="269"/>
      <c r="K39" s="269"/>
      <c r="L39" s="269"/>
      <c r="M39" s="270"/>
      <c r="N39" s="270"/>
      <c r="O39" s="1163">
        <v>0.93490804699999996</v>
      </c>
    </row>
    <row r="40" spans="1:15" ht="18.95" customHeight="1">
      <c r="A40" s="340"/>
      <c r="B40" s="343" t="s">
        <v>245</v>
      </c>
      <c r="C40" s="318" t="s">
        <v>2559</v>
      </c>
      <c r="D40" s="164"/>
      <c r="E40" s="268">
        <v>1</v>
      </c>
      <c r="F40" s="269" t="s">
        <v>2560</v>
      </c>
      <c r="G40" s="267">
        <v>1603125</v>
      </c>
      <c r="H40" s="267">
        <f t="shared" si="3"/>
        <v>1498774.462846875</v>
      </c>
      <c r="I40" s="267">
        <f t="shared" si="4"/>
        <v>1498774.462846875</v>
      </c>
      <c r="J40" s="269">
        <v>0</v>
      </c>
      <c r="K40" s="269"/>
      <c r="L40" s="269">
        <v>0</v>
      </c>
      <c r="M40" s="270">
        <f>SUM(I40)</f>
        <v>1498774.462846875</v>
      </c>
      <c r="N40" s="270"/>
      <c r="O40" s="1163">
        <v>0.93490804699999996</v>
      </c>
    </row>
    <row r="41" spans="1:15" ht="18.95" customHeight="1">
      <c r="A41" s="340">
        <v>1.3</v>
      </c>
      <c r="B41" s="341" t="s">
        <v>2561</v>
      </c>
      <c r="C41" s="318"/>
      <c r="D41" s="164"/>
      <c r="E41" s="268">
        <v>1</v>
      </c>
      <c r="F41" s="561" t="s">
        <v>351</v>
      </c>
      <c r="G41" s="267">
        <v>0</v>
      </c>
      <c r="H41" s="267">
        <f t="shared" si="3"/>
        <v>0</v>
      </c>
      <c r="I41" s="267">
        <f t="shared" si="4"/>
        <v>0</v>
      </c>
      <c r="J41" s="269">
        <v>78400</v>
      </c>
      <c r="K41" s="269">
        <f>J41*O41</f>
        <v>73296.790884799993</v>
      </c>
      <c r="L41" s="269">
        <f xml:space="preserve"> E41*K41</f>
        <v>73296.790884799993</v>
      </c>
      <c r="M41" s="270">
        <f>SUM(L41+I41)</f>
        <v>73296.790884799993</v>
      </c>
      <c r="N41" s="270"/>
      <c r="O41" s="1163">
        <v>0.93490804699999996</v>
      </c>
    </row>
    <row r="42" spans="1:15" ht="18.95" customHeight="1">
      <c r="A42" s="340"/>
      <c r="B42" s="1301" t="s">
        <v>2562</v>
      </c>
      <c r="C42" s="1302"/>
      <c r="D42" s="1302"/>
      <c r="E42" s="267"/>
      <c r="F42" s="268"/>
      <c r="G42" s="267"/>
      <c r="H42" s="267">
        <f>G42*O42</f>
        <v>0</v>
      </c>
      <c r="I42" s="267"/>
      <c r="J42" s="269"/>
      <c r="K42" s="269"/>
      <c r="L42" s="269"/>
      <c r="M42" s="288">
        <f>SUM(M33:M41)</f>
        <v>1711024.7669411909</v>
      </c>
      <c r="N42" s="268"/>
      <c r="O42" s="1163">
        <v>0.93490804699999996</v>
      </c>
    </row>
    <row r="43" spans="1:15" ht="18.95" customHeight="1">
      <c r="A43" s="346"/>
      <c r="B43" s="341"/>
      <c r="C43" s="318"/>
      <c r="D43" s="164"/>
      <c r="E43" s="267"/>
      <c r="F43" s="268"/>
      <c r="G43" s="267"/>
      <c r="H43" s="267">
        <f>G43*O43</f>
        <v>0</v>
      </c>
      <c r="I43" s="267"/>
      <c r="J43" s="269"/>
      <c r="K43" s="269"/>
      <c r="L43" s="269"/>
      <c r="M43" s="270"/>
      <c r="N43" s="268"/>
      <c r="O43" s="1163">
        <v>0.93490804699999996</v>
      </c>
    </row>
    <row r="44" spans="1:15" ht="18.95" customHeight="1">
      <c r="A44" s="336">
        <v>2</v>
      </c>
      <c r="B44" s="740" t="s">
        <v>2535</v>
      </c>
      <c r="C44" s="318"/>
      <c r="D44" s="168"/>
      <c r="E44" s="267"/>
      <c r="F44" s="268"/>
      <c r="G44" s="267"/>
      <c r="H44" s="267">
        <f>G44*O44</f>
        <v>0</v>
      </c>
      <c r="I44" s="267"/>
      <c r="J44" s="269"/>
      <c r="K44" s="269"/>
      <c r="L44" s="269"/>
      <c r="M44" s="270"/>
      <c r="N44" s="268"/>
      <c r="O44" s="1163">
        <v>0.93490804699999996</v>
      </c>
    </row>
    <row r="45" spans="1:15" ht="18.95" customHeight="1">
      <c r="A45" s="340">
        <v>2.1</v>
      </c>
      <c r="B45" s="341" t="s">
        <v>2548</v>
      </c>
      <c r="C45" s="318"/>
      <c r="D45" s="164"/>
      <c r="E45" s="267"/>
      <c r="F45" s="268"/>
      <c r="G45" s="267"/>
      <c r="H45" s="267"/>
      <c r="I45" s="267"/>
      <c r="J45" s="269"/>
      <c r="K45" s="269"/>
      <c r="L45" s="269"/>
      <c r="M45" s="270"/>
      <c r="N45" s="268"/>
      <c r="O45" s="1163">
        <v>0.93490804699999996</v>
      </c>
    </row>
    <row r="46" spans="1:15" ht="18.95" customHeight="1">
      <c r="A46" s="505"/>
      <c r="B46" s="343" t="s">
        <v>245</v>
      </c>
      <c r="C46" s="760" t="s">
        <v>2563</v>
      </c>
      <c r="D46" s="164"/>
      <c r="E46" s="268">
        <v>1</v>
      </c>
      <c r="F46" s="269" t="s">
        <v>2552</v>
      </c>
      <c r="G46" s="267">
        <v>123190</v>
      </c>
      <c r="H46" s="267">
        <f>G46*O46</f>
        <v>115171.32230992999</v>
      </c>
      <c r="I46" s="267">
        <f>E46*H46</f>
        <v>115171.32230992999</v>
      </c>
      <c r="J46" s="269">
        <v>0</v>
      </c>
      <c r="K46" s="269"/>
      <c r="L46" s="269">
        <v>0</v>
      </c>
      <c r="M46" s="270">
        <f t="shared" ref="M46:M51" si="5">SUM(I46)</f>
        <v>115171.32230992999</v>
      </c>
      <c r="N46" s="268"/>
      <c r="O46" s="1163">
        <v>0.93490804699999996</v>
      </c>
    </row>
    <row r="47" spans="1:15" ht="18.95" customHeight="1">
      <c r="A47" s="340"/>
      <c r="B47" s="343" t="s">
        <v>245</v>
      </c>
      <c r="C47" s="760" t="s">
        <v>2564</v>
      </c>
      <c r="D47" s="164"/>
      <c r="E47" s="268">
        <v>2</v>
      </c>
      <c r="F47" s="269" t="s">
        <v>2550</v>
      </c>
      <c r="G47" s="267">
        <v>6402</v>
      </c>
      <c r="H47" s="267">
        <f t="shared" ref="H47:H54" si="6">G47*O47</f>
        <v>5985.2813168940002</v>
      </c>
      <c r="I47" s="267">
        <f t="shared" ref="I47:I54" si="7">E47*H47</f>
        <v>11970.562633788</v>
      </c>
      <c r="J47" s="269">
        <v>0</v>
      </c>
      <c r="K47" s="269"/>
      <c r="L47" s="269">
        <v>0</v>
      </c>
      <c r="M47" s="270">
        <f t="shared" si="5"/>
        <v>11970.562633788</v>
      </c>
      <c r="N47" s="268"/>
      <c r="O47" s="1163">
        <v>0.93490804699999996</v>
      </c>
    </row>
    <row r="48" spans="1:15" ht="18.95" customHeight="1">
      <c r="A48" s="340"/>
      <c r="B48" s="343" t="s">
        <v>245</v>
      </c>
      <c r="C48" s="760" t="s">
        <v>2565</v>
      </c>
      <c r="D48" s="164"/>
      <c r="E48" s="268">
        <v>1</v>
      </c>
      <c r="F48" s="269" t="s">
        <v>2552</v>
      </c>
      <c r="G48" s="267">
        <v>58800</v>
      </c>
      <c r="H48" s="267">
        <f t="shared" si="6"/>
        <v>54972.593163599995</v>
      </c>
      <c r="I48" s="267">
        <f t="shared" si="7"/>
        <v>54972.593163599995</v>
      </c>
      <c r="J48" s="269">
        <v>0</v>
      </c>
      <c r="K48" s="269"/>
      <c r="L48" s="269">
        <v>0</v>
      </c>
      <c r="M48" s="270">
        <f t="shared" si="5"/>
        <v>54972.593163599995</v>
      </c>
      <c r="N48" s="268"/>
      <c r="O48" s="1163">
        <v>0.93490804699999996</v>
      </c>
    </row>
    <row r="49" spans="1:15" ht="18.95" customHeight="1">
      <c r="A49" s="340"/>
      <c r="B49" s="343" t="s">
        <v>245</v>
      </c>
      <c r="C49" s="760" t="s">
        <v>2553</v>
      </c>
      <c r="D49" s="164"/>
      <c r="E49" s="268">
        <v>1</v>
      </c>
      <c r="F49" s="268" t="s">
        <v>2552</v>
      </c>
      <c r="G49" s="267">
        <v>14700</v>
      </c>
      <c r="H49" s="267">
        <f t="shared" si="6"/>
        <v>13743.148290899999</v>
      </c>
      <c r="I49" s="267">
        <f t="shared" si="7"/>
        <v>13743.148290899999</v>
      </c>
      <c r="J49" s="269">
        <v>0</v>
      </c>
      <c r="K49" s="269"/>
      <c r="L49" s="269">
        <v>0</v>
      </c>
      <c r="M49" s="270">
        <f t="shared" si="5"/>
        <v>13743.148290899999</v>
      </c>
      <c r="N49" s="268"/>
      <c r="O49" s="1163">
        <v>0.93490804699999996</v>
      </c>
    </row>
    <row r="50" spans="1:15" ht="18.95" customHeight="1">
      <c r="A50" s="340"/>
      <c r="B50" s="343" t="s">
        <v>245</v>
      </c>
      <c r="C50" s="760" t="s">
        <v>2566</v>
      </c>
      <c r="D50" s="187"/>
      <c r="E50" s="268">
        <v>2</v>
      </c>
      <c r="F50" s="268" t="s">
        <v>402</v>
      </c>
      <c r="G50" s="267">
        <v>24541</v>
      </c>
      <c r="H50" s="267">
        <f t="shared" si="6"/>
        <v>22943.578381427</v>
      </c>
      <c r="I50" s="267">
        <f t="shared" si="7"/>
        <v>45887.156762854</v>
      </c>
      <c r="J50" s="269">
        <v>0</v>
      </c>
      <c r="K50" s="269"/>
      <c r="L50" s="269">
        <v>0</v>
      </c>
      <c r="M50" s="270">
        <f t="shared" si="5"/>
        <v>45887.156762854</v>
      </c>
      <c r="N50" s="268"/>
      <c r="O50" s="1163">
        <v>0.93490804699999996</v>
      </c>
    </row>
    <row r="51" spans="1:15" ht="18.95" customHeight="1">
      <c r="A51" s="340"/>
      <c r="B51" s="343" t="s">
        <v>245</v>
      </c>
      <c r="C51" s="760" t="s">
        <v>2567</v>
      </c>
      <c r="D51" s="164"/>
      <c r="E51" s="268">
        <v>1</v>
      </c>
      <c r="F51" s="268" t="s">
        <v>2557</v>
      </c>
      <c r="G51" s="267">
        <v>13000</v>
      </c>
      <c r="H51" s="267">
        <f t="shared" si="6"/>
        <v>12153.804611</v>
      </c>
      <c r="I51" s="267">
        <f t="shared" si="7"/>
        <v>12153.804611</v>
      </c>
      <c r="J51" s="269">
        <v>0</v>
      </c>
      <c r="K51" s="269"/>
      <c r="L51" s="269">
        <v>0</v>
      </c>
      <c r="M51" s="270">
        <f t="shared" si="5"/>
        <v>12153.804611</v>
      </c>
      <c r="N51" s="268"/>
      <c r="O51" s="1163">
        <v>0.93490804699999996</v>
      </c>
    </row>
    <row r="52" spans="1:15" ht="18.95" customHeight="1">
      <c r="A52" s="340">
        <v>2.2000000000000002</v>
      </c>
      <c r="B52" s="341" t="s">
        <v>2558</v>
      </c>
      <c r="C52" s="318"/>
      <c r="D52" s="164"/>
      <c r="E52" s="268"/>
      <c r="F52" s="268"/>
      <c r="G52" s="267"/>
      <c r="H52" s="267">
        <f t="shared" si="6"/>
        <v>0</v>
      </c>
      <c r="I52" s="267">
        <f t="shared" si="7"/>
        <v>0</v>
      </c>
      <c r="J52" s="269"/>
      <c r="K52" s="269"/>
      <c r="L52" s="269"/>
      <c r="M52" s="270"/>
      <c r="N52" s="268"/>
      <c r="O52" s="1163">
        <v>0.93490804699999996</v>
      </c>
    </row>
    <row r="53" spans="1:15" ht="18.95" customHeight="1">
      <c r="A53" s="346"/>
      <c r="B53" s="343" t="s">
        <v>245</v>
      </c>
      <c r="C53" s="760" t="s">
        <v>2568</v>
      </c>
      <c r="D53" s="168"/>
      <c r="E53" s="268">
        <v>1</v>
      </c>
      <c r="F53" s="268" t="s">
        <v>2560</v>
      </c>
      <c r="G53" s="267">
        <v>170050</v>
      </c>
      <c r="H53" s="267">
        <f t="shared" si="6"/>
        <v>158981.11339235</v>
      </c>
      <c r="I53" s="267">
        <f t="shared" si="7"/>
        <v>158981.11339235</v>
      </c>
      <c r="J53" s="269">
        <v>0</v>
      </c>
      <c r="K53" s="269"/>
      <c r="L53" s="269">
        <v>0</v>
      </c>
      <c r="M53" s="270">
        <f>SUM(I53)</f>
        <v>158981.11339235</v>
      </c>
      <c r="N53" s="268"/>
      <c r="O53" s="1163">
        <v>0.93490804699999996</v>
      </c>
    </row>
    <row r="54" spans="1:15" ht="18.95" customHeight="1">
      <c r="A54" s="346"/>
      <c r="B54" s="343" t="s">
        <v>245</v>
      </c>
      <c r="C54" s="760" t="s">
        <v>2569</v>
      </c>
      <c r="D54" s="168"/>
      <c r="E54" s="268">
        <v>1</v>
      </c>
      <c r="F54" s="268" t="s">
        <v>402</v>
      </c>
      <c r="G54" s="267">
        <v>24250</v>
      </c>
      <c r="H54" s="267">
        <f t="shared" si="6"/>
        <v>22671.520139749999</v>
      </c>
      <c r="I54" s="267">
        <f t="shared" si="7"/>
        <v>22671.520139749999</v>
      </c>
      <c r="J54" s="269">
        <v>0</v>
      </c>
      <c r="K54" s="269"/>
      <c r="L54" s="269">
        <v>0</v>
      </c>
      <c r="M54" s="270">
        <f>SUM(I54)</f>
        <v>22671.520139749999</v>
      </c>
      <c r="N54" s="268"/>
      <c r="O54" s="1163">
        <v>0.93490804699999996</v>
      </c>
    </row>
    <row r="55" spans="1:15" ht="18.95" customHeight="1">
      <c r="A55" s="340">
        <v>2.2999999999999998</v>
      </c>
      <c r="B55" s="341" t="s">
        <v>2561</v>
      </c>
      <c r="C55" s="318"/>
      <c r="D55" s="164"/>
      <c r="E55" s="268">
        <v>1</v>
      </c>
      <c r="F55" s="561" t="s">
        <v>351</v>
      </c>
      <c r="G55" s="267">
        <v>0</v>
      </c>
      <c r="H55" s="267"/>
      <c r="I55" s="267">
        <f>E55*G55</f>
        <v>0</v>
      </c>
      <c r="J55" s="269">
        <v>39200</v>
      </c>
      <c r="K55" s="269">
        <f>J55*O55</f>
        <v>36648.395442399997</v>
      </c>
      <c r="L55" s="269">
        <f xml:space="preserve"> E55*K55</f>
        <v>36648.395442399997</v>
      </c>
      <c r="M55" s="270">
        <f>SUM(L55+I55)</f>
        <v>36648.395442399997</v>
      </c>
      <c r="N55" s="268"/>
      <c r="O55" s="1163">
        <v>0.93490804699999996</v>
      </c>
    </row>
    <row r="56" spans="1:15" ht="18.95" customHeight="1">
      <c r="A56" s="346"/>
      <c r="B56" s="1301" t="s">
        <v>2570</v>
      </c>
      <c r="C56" s="1302"/>
      <c r="D56" s="1302"/>
      <c r="E56" s="267"/>
      <c r="F56" s="268"/>
      <c r="G56" s="267"/>
      <c r="H56" s="267"/>
      <c r="I56" s="267"/>
      <c r="J56" s="269"/>
      <c r="K56" s="269"/>
      <c r="L56" s="269"/>
      <c r="M56" s="288">
        <f>SUM(M46:M55)</f>
        <v>472199.61674657196</v>
      </c>
      <c r="N56" s="268"/>
      <c r="O56" s="1163">
        <v>0.93490804699999996</v>
      </c>
    </row>
    <row r="57" spans="1:15" ht="18.95" customHeight="1">
      <c r="A57" s="346"/>
      <c r="B57" s="341"/>
      <c r="C57" s="242"/>
      <c r="D57" s="168"/>
      <c r="E57" s="267"/>
      <c r="F57" s="268"/>
      <c r="G57" s="267"/>
      <c r="H57" s="267"/>
      <c r="I57" s="267"/>
      <c r="J57" s="269"/>
      <c r="K57" s="269"/>
      <c r="L57" s="269"/>
      <c r="M57" s="270"/>
      <c r="N57" s="268"/>
      <c r="O57" s="1163">
        <v>0.93490804699999996</v>
      </c>
    </row>
    <row r="58" spans="1:15" ht="18.95" customHeight="1">
      <c r="A58" s="224"/>
      <c r="B58" s="122"/>
      <c r="C58" s="329"/>
      <c r="D58" s="328"/>
      <c r="E58" s="267"/>
      <c r="F58" s="268"/>
      <c r="G58" s="267"/>
      <c r="H58" s="267"/>
      <c r="I58" s="267"/>
      <c r="J58" s="267"/>
      <c r="K58" s="267"/>
      <c r="L58" s="269"/>
      <c r="M58" s="267"/>
      <c r="N58" s="268"/>
      <c r="O58" s="1163">
        <v>0.93490804699999996</v>
      </c>
    </row>
    <row r="59" spans="1:15" ht="18.95" customHeight="1">
      <c r="A59" s="336">
        <v>3</v>
      </c>
      <c r="B59" s="740" t="s">
        <v>2536</v>
      </c>
      <c r="C59" s="318"/>
      <c r="D59" s="168"/>
      <c r="E59" s="267"/>
      <c r="F59" s="268"/>
      <c r="G59" s="267"/>
      <c r="H59" s="267"/>
      <c r="I59" s="267"/>
      <c r="J59" s="269"/>
      <c r="K59" s="269"/>
      <c r="L59" s="269"/>
      <c r="M59" s="270"/>
      <c r="N59" s="268"/>
      <c r="O59" s="1163">
        <v>0.93490804699999996</v>
      </c>
    </row>
    <row r="60" spans="1:15" ht="18.95" customHeight="1">
      <c r="A60" s="340">
        <v>3.1</v>
      </c>
      <c r="B60" s="341" t="s">
        <v>2548</v>
      </c>
      <c r="C60" s="318"/>
      <c r="D60" s="164"/>
      <c r="E60" s="267"/>
      <c r="F60" s="268"/>
      <c r="G60" s="267"/>
      <c r="H60" s="267"/>
      <c r="I60" s="267"/>
      <c r="J60" s="269"/>
      <c r="K60" s="269"/>
      <c r="L60" s="269"/>
      <c r="M60" s="270"/>
      <c r="N60" s="268"/>
      <c r="O60" s="1163">
        <v>0.93490804699999996</v>
      </c>
    </row>
    <row r="61" spans="1:15" ht="18.95" customHeight="1">
      <c r="A61" s="505"/>
      <c r="B61" s="343" t="s">
        <v>245</v>
      </c>
      <c r="C61" s="760" t="s">
        <v>2563</v>
      </c>
      <c r="D61" s="164"/>
      <c r="E61" s="268">
        <v>1</v>
      </c>
      <c r="F61" s="269" t="s">
        <v>2552</v>
      </c>
      <c r="G61" s="267">
        <v>123190</v>
      </c>
      <c r="H61" s="267">
        <f>G61*O61</f>
        <v>115171.32230992999</v>
      </c>
      <c r="I61" s="267">
        <f>E61*H61</f>
        <v>115171.32230992999</v>
      </c>
      <c r="J61" s="269">
        <v>0</v>
      </c>
      <c r="K61" s="269"/>
      <c r="L61" s="269">
        <v>0</v>
      </c>
      <c r="M61" s="270">
        <f t="shared" ref="M61:M66" si="8">SUM(I61)</f>
        <v>115171.32230992999</v>
      </c>
      <c r="N61" s="268"/>
      <c r="O61" s="1163">
        <v>0.93490804699999996</v>
      </c>
    </row>
    <row r="62" spans="1:15" ht="18.95" customHeight="1">
      <c r="A62" s="340"/>
      <c r="B62" s="343" t="s">
        <v>245</v>
      </c>
      <c r="C62" s="760" t="s">
        <v>2564</v>
      </c>
      <c r="D62" s="164"/>
      <c r="E62" s="268">
        <v>2</v>
      </c>
      <c r="F62" s="269" t="s">
        <v>2550</v>
      </c>
      <c r="G62" s="267">
        <v>6402</v>
      </c>
      <c r="H62" s="267">
        <f t="shared" ref="H62:H69" si="9">G62*O62</f>
        <v>5985.2813168940002</v>
      </c>
      <c r="I62" s="267">
        <f t="shared" ref="I62:I69" si="10">E62*H62</f>
        <v>11970.562633788</v>
      </c>
      <c r="J62" s="269">
        <v>0</v>
      </c>
      <c r="K62" s="269"/>
      <c r="L62" s="269">
        <v>0</v>
      </c>
      <c r="M62" s="270">
        <f t="shared" si="8"/>
        <v>11970.562633788</v>
      </c>
      <c r="N62" s="270"/>
      <c r="O62" s="1163">
        <v>0.93490804699999996</v>
      </c>
    </row>
    <row r="63" spans="1:15" ht="18.95" customHeight="1">
      <c r="A63" s="340"/>
      <c r="B63" s="343" t="s">
        <v>245</v>
      </c>
      <c r="C63" s="760" t="s">
        <v>2571</v>
      </c>
      <c r="D63" s="164"/>
      <c r="E63" s="268">
        <v>1</v>
      </c>
      <c r="F63" s="269" t="s">
        <v>2552</v>
      </c>
      <c r="G63" s="267">
        <v>58800</v>
      </c>
      <c r="H63" s="267">
        <f t="shared" si="9"/>
        <v>54972.593163599995</v>
      </c>
      <c r="I63" s="267">
        <f t="shared" si="10"/>
        <v>54972.593163599995</v>
      </c>
      <c r="J63" s="269">
        <v>0</v>
      </c>
      <c r="K63" s="269"/>
      <c r="L63" s="269">
        <v>0</v>
      </c>
      <c r="M63" s="270">
        <f t="shared" si="8"/>
        <v>54972.593163599995</v>
      </c>
      <c r="N63" s="270"/>
      <c r="O63" s="1163">
        <v>0.93490804699999996</v>
      </c>
    </row>
    <row r="64" spans="1:15" ht="18.95" customHeight="1">
      <c r="A64" s="340"/>
      <c r="B64" s="343" t="s">
        <v>245</v>
      </c>
      <c r="C64" s="760" t="s">
        <v>2553</v>
      </c>
      <c r="D64" s="164"/>
      <c r="E64" s="268">
        <v>1</v>
      </c>
      <c r="F64" s="268" t="s">
        <v>2552</v>
      </c>
      <c r="G64" s="267">
        <v>14700</v>
      </c>
      <c r="H64" s="267">
        <f t="shared" si="9"/>
        <v>13743.148290899999</v>
      </c>
      <c r="I64" s="267">
        <f t="shared" si="10"/>
        <v>13743.148290899999</v>
      </c>
      <c r="J64" s="269">
        <v>0</v>
      </c>
      <c r="K64" s="269"/>
      <c r="L64" s="269">
        <v>0</v>
      </c>
      <c r="M64" s="270">
        <f t="shared" si="8"/>
        <v>13743.148290899999</v>
      </c>
      <c r="N64" s="270"/>
      <c r="O64" s="1163">
        <v>0.93490804699999996</v>
      </c>
    </row>
    <row r="65" spans="1:16" ht="18.95" customHeight="1">
      <c r="A65" s="340"/>
      <c r="B65" s="343" t="s">
        <v>245</v>
      </c>
      <c r="C65" s="760" t="s">
        <v>2566</v>
      </c>
      <c r="D65" s="187"/>
      <c r="E65" s="268">
        <v>2</v>
      </c>
      <c r="F65" s="268" t="s">
        <v>402</v>
      </c>
      <c r="G65" s="267">
        <v>24541</v>
      </c>
      <c r="H65" s="267">
        <f t="shared" si="9"/>
        <v>22943.578381427</v>
      </c>
      <c r="I65" s="267">
        <f t="shared" si="10"/>
        <v>45887.156762854</v>
      </c>
      <c r="J65" s="269">
        <v>0</v>
      </c>
      <c r="K65" s="269"/>
      <c r="L65" s="269">
        <v>0</v>
      </c>
      <c r="M65" s="270">
        <f t="shared" si="8"/>
        <v>45887.156762854</v>
      </c>
      <c r="N65" s="270"/>
      <c r="O65" s="1163">
        <v>0.93490804699999996</v>
      </c>
    </row>
    <row r="66" spans="1:16" ht="18.95" customHeight="1">
      <c r="A66" s="340"/>
      <c r="B66" s="343" t="s">
        <v>245</v>
      </c>
      <c r="C66" s="760" t="s">
        <v>2572</v>
      </c>
      <c r="D66" s="164"/>
      <c r="E66" s="268">
        <v>1</v>
      </c>
      <c r="F66" s="268" t="s">
        <v>2557</v>
      </c>
      <c r="G66" s="267">
        <v>13000</v>
      </c>
      <c r="H66" s="267">
        <f t="shared" si="9"/>
        <v>12153.804611</v>
      </c>
      <c r="I66" s="267">
        <f t="shared" si="10"/>
        <v>12153.804611</v>
      </c>
      <c r="J66" s="269">
        <v>0</v>
      </c>
      <c r="K66" s="269"/>
      <c r="L66" s="269">
        <v>0</v>
      </c>
      <c r="M66" s="270">
        <f t="shared" si="8"/>
        <v>12153.804611</v>
      </c>
      <c r="N66" s="270"/>
      <c r="O66" s="1163">
        <v>0.93490804699999996</v>
      </c>
    </row>
    <row r="67" spans="1:16" ht="18.95" customHeight="1">
      <c r="A67" s="340">
        <v>3.2</v>
      </c>
      <c r="B67" s="341" t="s">
        <v>2558</v>
      </c>
      <c r="C67" s="318"/>
      <c r="D67" s="164"/>
      <c r="E67" s="268"/>
      <c r="F67" s="268"/>
      <c r="G67" s="267"/>
      <c r="H67" s="267">
        <f t="shared" si="9"/>
        <v>0</v>
      </c>
      <c r="I67" s="267">
        <f t="shared" si="10"/>
        <v>0</v>
      </c>
      <c r="J67" s="269"/>
      <c r="K67" s="269"/>
      <c r="L67" s="269"/>
      <c r="M67" s="270"/>
      <c r="N67" s="270"/>
      <c r="O67" s="1163">
        <v>0.93490804699999996</v>
      </c>
    </row>
    <row r="68" spans="1:16" ht="18.95" customHeight="1">
      <c r="A68" s="346"/>
      <c r="B68" s="343" t="s">
        <v>245</v>
      </c>
      <c r="C68" s="760" t="s">
        <v>2568</v>
      </c>
      <c r="D68" s="168"/>
      <c r="E68" s="268">
        <v>1</v>
      </c>
      <c r="F68" s="268" t="s">
        <v>2560</v>
      </c>
      <c r="G68" s="267">
        <v>170050</v>
      </c>
      <c r="H68" s="267">
        <f t="shared" si="9"/>
        <v>158981.11339235</v>
      </c>
      <c r="I68" s="267">
        <f t="shared" si="10"/>
        <v>158981.11339235</v>
      </c>
      <c r="J68" s="269">
        <v>0</v>
      </c>
      <c r="K68" s="269"/>
      <c r="L68" s="269">
        <v>0</v>
      </c>
      <c r="M68" s="270">
        <f>SUM(I68)</f>
        <v>158981.11339235</v>
      </c>
      <c r="N68" s="270"/>
      <c r="O68" s="1163">
        <v>0.93490804699999996</v>
      </c>
    </row>
    <row r="69" spans="1:16" ht="18.95" customHeight="1">
      <c r="A69" s="346"/>
      <c r="B69" s="343" t="s">
        <v>245</v>
      </c>
      <c r="C69" s="760" t="s">
        <v>2569</v>
      </c>
      <c r="D69" s="168"/>
      <c r="E69" s="268">
        <v>1</v>
      </c>
      <c r="F69" s="268" t="s">
        <v>402</v>
      </c>
      <c r="G69" s="267">
        <v>24250</v>
      </c>
      <c r="H69" s="267">
        <f t="shared" si="9"/>
        <v>22671.520139749999</v>
      </c>
      <c r="I69" s="267">
        <f t="shared" si="10"/>
        <v>22671.520139749999</v>
      </c>
      <c r="J69" s="269">
        <v>0</v>
      </c>
      <c r="K69" s="269"/>
      <c r="L69" s="269">
        <v>0</v>
      </c>
      <c r="M69" s="270">
        <f>SUM(I69)</f>
        <v>22671.520139749999</v>
      </c>
      <c r="N69" s="270"/>
      <c r="O69" s="1163">
        <v>0.93490804699999996</v>
      </c>
    </row>
    <row r="70" spans="1:16" ht="18.95" customHeight="1">
      <c r="A70" s="340">
        <v>3.3</v>
      </c>
      <c r="B70" s="341" t="s">
        <v>2561</v>
      </c>
      <c r="C70" s="318"/>
      <c r="D70" s="164"/>
      <c r="E70" s="268">
        <v>1</v>
      </c>
      <c r="F70" s="561" t="s">
        <v>351</v>
      </c>
      <c r="G70" s="267">
        <v>0</v>
      </c>
      <c r="H70" s="267"/>
      <c r="I70" s="267">
        <f>E70*G70</f>
        <v>0</v>
      </c>
      <c r="J70" s="269">
        <v>39200</v>
      </c>
      <c r="K70" s="269">
        <f>J70*O70</f>
        <v>36648.395442399997</v>
      </c>
      <c r="L70" s="269">
        <f xml:space="preserve"> E70*K70</f>
        <v>36648.395442399997</v>
      </c>
      <c r="M70" s="270">
        <f>SUM(L70+I70)</f>
        <v>36648.395442399997</v>
      </c>
      <c r="N70" s="268"/>
      <c r="O70" s="1163">
        <v>0.93490804699999996</v>
      </c>
    </row>
    <row r="71" spans="1:16" ht="18.95" customHeight="1">
      <c r="A71" s="346"/>
      <c r="B71" s="1301" t="s">
        <v>2573</v>
      </c>
      <c r="C71" s="1302"/>
      <c r="D71" s="1302"/>
      <c r="E71" s="267"/>
      <c r="F71" s="268"/>
      <c r="G71" s="267"/>
      <c r="H71" s="267"/>
      <c r="I71" s="267"/>
      <c r="J71" s="269"/>
      <c r="K71" s="269"/>
      <c r="L71" s="269"/>
      <c r="M71" s="288">
        <f>SUM(M61:M70)</f>
        <v>472199.61674657196</v>
      </c>
      <c r="N71" s="268"/>
      <c r="O71" s="1163">
        <v>0.93490804699999996</v>
      </c>
    </row>
    <row r="72" spans="1:16" ht="18.95" customHeight="1">
      <c r="A72" s="340"/>
      <c r="B72" s="341"/>
      <c r="C72" s="318"/>
      <c r="D72" s="164"/>
      <c r="E72" s="267"/>
      <c r="F72" s="268"/>
      <c r="G72" s="267"/>
      <c r="H72" s="267"/>
      <c r="I72" s="267"/>
      <c r="J72" s="269"/>
      <c r="K72" s="269"/>
      <c r="L72" s="269"/>
      <c r="M72" s="270"/>
      <c r="N72" s="268"/>
      <c r="O72" s="1163">
        <v>0.93490804699999996</v>
      </c>
    </row>
    <row r="73" spans="1:16" ht="18.95" customHeight="1">
      <c r="A73" s="336">
        <v>4</v>
      </c>
      <c r="B73" s="740" t="s">
        <v>2537</v>
      </c>
      <c r="C73" s="318"/>
      <c r="D73" s="353"/>
      <c r="E73" s="267"/>
      <c r="F73" s="268"/>
      <c r="G73" s="267"/>
      <c r="H73" s="267"/>
      <c r="I73" s="267"/>
      <c r="J73" s="269"/>
      <c r="K73" s="269"/>
      <c r="L73" s="269"/>
      <c r="M73" s="270"/>
      <c r="N73" s="268"/>
      <c r="O73" s="1163">
        <v>0.93490804699999996</v>
      </c>
    </row>
    <row r="74" spans="1:16" ht="18.95" customHeight="1">
      <c r="A74" s="340">
        <v>4.0999999999999996</v>
      </c>
      <c r="B74" s="341" t="s">
        <v>2548</v>
      </c>
      <c r="C74" s="318"/>
      <c r="D74" s="164"/>
      <c r="E74" s="267"/>
      <c r="F74" s="268"/>
      <c r="G74" s="267"/>
      <c r="H74" s="267"/>
      <c r="I74" s="267"/>
      <c r="J74" s="269"/>
      <c r="K74" s="269"/>
      <c r="L74" s="269"/>
      <c r="M74" s="270"/>
      <c r="N74" s="268"/>
      <c r="O74" s="1163">
        <v>0.93490804699999996</v>
      </c>
    </row>
    <row r="75" spans="1:16" ht="18.95" customHeight="1">
      <c r="A75" s="340"/>
      <c r="B75" s="343" t="s">
        <v>245</v>
      </c>
      <c r="C75" s="760" t="s">
        <v>2574</v>
      </c>
      <c r="D75" s="164"/>
      <c r="E75" s="268">
        <v>1</v>
      </c>
      <c r="F75" s="269" t="s">
        <v>2552</v>
      </c>
      <c r="G75" s="267">
        <v>136964</v>
      </c>
      <c r="H75" s="267">
        <f>G75*O75</f>
        <v>128048.745749308</v>
      </c>
      <c r="I75" s="267">
        <f>E75*H75</f>
        <v>128048.745749308</v>
      </c>
      <c r="J75" s="269">
        <v>0</v>
      </c>
      <c r="K75" s="269"/>
      <c r="L75" s="269">
        <v>0</v>
      </c>
      <c r="M75" s="270">
        <f t="shared" ref="M75:M85" si="11">SUM(I75)</f>
        <v>128048.745749308</v>
      </c>
      <c r="N75" s="268"/>
      <c r="O75" s="1163">
        <v>0.93490804699999996</v>
      </c>
      <c r="P75" s="761"/>
    </row>
    <row r="76" spans="1:16" ht="18.95" customHeight="1">
      <c r="A76" s="340"/>
      <c r="B76" s="343" t="s">
        <v>245</v>
      </c>
      <c r="C76" s="760" t="s">
        <v>2575</v>
      </c>
      <c r="D76" s="164"/>
      <c r="E76" s="268">
        <v>2</v>
      </c>
      <c r="F76" s="269" t="s">
        <v>2550</v>
      </c>
      <c r="G76" s="267">
        <v>6402</v>
      </c>
      <c r="H76" s="267">
        <f t="shared" ref="H76:H83" si="12">G76*O76</f>
        <v>5985.2813168940002</v>
      </c>
      <c r="I76" s="267">
        <f t="shared" ref="I76:I83" si="13">E76*H76</f>
        <v>11970.562633788</v>
      </c>
      <c r="J76" s="269">
        <v>0</v>
      </c>
      <c r="K76" s="269"/>
      <c r="L76" s="269">
        <v>0</v>
      </c>
      <c r="M76" s="270">
        <f t="shared" si="11"/>
        <v>11970.562633788</v>
      </c>
      <c r="N76" s="268"/>
      <c r="O76" s="1163">
        <v>0.93490804699999996</v>
      </c>
      <c r="P76" s="761"/>
    </row>
    <row r="77" spans="1:16" ht="18.95" customHeight="1">
      <c r="A77" s="340"/>
      <c r="B77" s="343" t="s">
        <v>245</v>
      </c>
      <c r="C77" s="760" t="s">
        <v>2571</v>
      </c>
      <c r="D77" s="164"/>
      <c r="E77" s="268">
        <v>1</v>
      </c>
      <c r="F77" s="269" t="s">
        <v>2552</v>
      </c>
      <c r="G77" s="267">
        <v>17934</v>
      </c>
      <c r="H77" s="267">
        <f t="shared" si="12"/>
        <v>16766.640914897998</v>
      </c>
      <c r="I77" s="267">
        <f t="shared" si="13"/>
        <v>16766.640914897998</v>
      </c>
      <c r="J77" s="269">
        <v>0</v>
      </c>
      <c r="K77" s="269"/>
      <c r="L77" s="269">
        <v>0</v>
      </c>
      <c r="M77" s="270">
        <f t="shared" si="11"/>
        <v>16766.640914897998</v>
      </c>
      <c r="N77" s="292"/>
      <c r="O77" s="1163">
        <v>0.93490804699999996</v>
      </c>
      <c r="P77" s="761"/>
    </row>
    <row r="78" spans="1:16" ht="18.95" customHeight="1">
      <c r="A78" s="340"/>
      <c r="B78" s="343" t="s">
        <v>245</v>
      </c>
      <c r="C78" s="760" t="s">
        <v>2549</v>
      </c>
      <c r="D78" s="164"/>
      <c r="E78" s="268">
        <v>4</v>
      </c>
      <c r="F78" s="269" t="s">
        <v>2550</v>
      </c>
      <c r="G78" s="267">
        <v>5917</v>
      </c>
      <c r="H78" s="267">
        <f t="shared" si="12"/>
        <v>5531.850914099</v>
      </c>
      <c r="I78" s="267">
        <f t="shared" si="13"/>
        <v>22127.403656396</v>
      </c>
      <c r="J78" s="269">
        <v>0</v>
      </c>
      <c r="K78" s="269"/>
      <c r="L78" s="269">
        <v>0</v>
      </c>
      <c r="M78" s="270">
        <f t="shared" si="11"/>
        <v>22127.403656396</v>
      </c>
      <c r="N78" s="268"/>
      <c r="O78" s="1163">
        <v>0.93490804699999996</v>
      </c>
      <c r="P78" s="761"/>
    </row>
    <row r="79" spans="1:16" ht="18.95" customHeight="1">
      <c r="A79" s="340"/>
      <c r="B79" s="343" t="s">
        <v>245</v>
      </c>
      <c r="C79" s="760" t="s">
        <v>2551</v>
      </c>
      <c r="D79" s="164"/>
      <c r="E79" s="268">
        <v>1</v>
      </c>
      <c r="F79" s="268" t="s">
        <v>2552</v>
      </c>
      <c r="G79" s="267">
        <v>29100</v>
      </c>
      <c r="H79" s="267">
        <f t="shared" si="12"/>
        <v>27205.824167700001</v>
      </c>
      <c r="I79" s="267">
        <f t="shared" si="13"/>
        <v>27205.824167700001</v>
      </c>
      <c r="J79" s="269">
        <v>0</v>
      </c>
      <c r="K79" s="269"/>
      <c r="L79" s="269">
        <v>0</v>
      </c>
      <c r="M79" s="270">
        <f t="shared" si="11"/>
        <v>27205.824167700001</v>
      </c>
      <c r="N79" s="268"/>
      <c r="O79" s="1163">
        <v>0.93490804699999996</v>
      </c>
      <c r="P79" s="761"/>
    </row>
    <row r="80" spans="1:16" ht="18.95" customHeight="1">
      <c r="A80" s="346"/>
      <c r="B80" s="343" t="s">
        <v>245</v>
      </c>
      <c r="C80" s="760" t="s">
        <v>2553</v>
      </c>
      <c r="D80" s="164"/>
      <c r="E80" s="268">
        <v>1</v>
      </c>
      <c r="F80" s="268" t="s">
        <v>2552</v>
      </c>
      <c r="G80" s="267">
        <v>14700</v>
      </c>
      <c r="H80" s="267">
        <f t="shared" si="12"/>
        <v>13743.148290899999</v>
      </c>
      <c r="I80" s="267">
        <f t="shared" si="13"/>
        <v>13743.148290899999</v>
      </c>
      <c r="J80" s="269">
        <v>0</v>
      </c>
      <c r="K80" s="269"/>
      <c r="L80" s="269">
        <v>0</v>
      </c>
      <c r="M80" s="270">
        <f t="shared" si="11"/>
        <v>13743.148290899999</v>
      </c>
      <c r="N80" s="268"/>
      <c r="O80" s="1163">
        <v>0.93490804699999996</v>
      </c>
      <c r="P80" s="761"/>
    </row>
    <row r="81" spans="1:16" ht="18.95" customHeight="1">
      <c r="A81" s="346"/>
      <c r="B81" s="343" t="s">
        <v>245</v>
      </c>
      <c r="C81" s="760" t="s">
        <v>2576</v>
      </c>
      <c r="D81" s="164"/>
      <c r="E81" s="268">
        <v>1</v>
      </c>
      <c r="F81" s="269" t="s">
        <v>2550</v>
      </c>
      <c r="G81" s="267">
        <v>18430</v>
      </c>
      <c r="H81" s="267">
        <f t="shared" si="12"/>
        <v>17230.35530621</v>
      </c>
      <c r="I81" s="267">
        <f t="shared" si="13"/>
        <v>17230.35530621</v>
      </c>
      <c r="J81" s="269">
        <v>0</v>
      </c>
      <c r="K81" s="269"/>
      <c r="L81" s="269">
        <v>0</v>
      </c>
      <c r="M81" s="270">
        <f t="shared" si="11"/>
        <v>17230.35530621</v>
      </c>
      <c r="N81" s="268"/>
      <c r="O81" s="1163">
        <v>0.93490804699999996</v>
      </c>
      <c r="P81" s="761"/>
    </row>
    <row r="82" spans="1:16" ht="18.95" customHeight="1">
      <c r="A82" s="346"/>
      <c r="B82" s="343" t="s">
        <v>245</v>
      </c>
      <c r="C82" s="760" t="s">
        <v>2577</v>
      </c>
      <c r="D82" s="164"/>
      <c r="E82" s="268">
        <v>8</v>
      </c>
      <c r="F82" s="269" t="s">
        <v>2550</v>
      </c>
      <c r="G82" s="267">
        <v>16490</v>
      </c>
      <c r="H82" s="267">
        <f t="shared" si="12"/>
        <v>15416.633695029999</v>
      </c>
      <c r="I82" s="267">
        <f t="shared" si="13"/>
        <v>123333.06956023999</v>
      </c>
      <c r="J82" s="269">
        <v>0</v>
      </c>
      <c r="K82" s="269"/>
      <c r="L82" s="269">
        <v>0</v>
      </c>
      <c r="M82" s="270">
        <f t="shared" si="11"/>
        <v>123333.06956023999</v>
      </c>
      <c r="N82" s="268"/>
      <c r="O82" s="1163">
        <v>0.93490804699999996</v>
      </c>
      <c r="P82" s="761"/>
    </row>
    <row r="83" spans="1:16" ht="18.95" customHeight="1">
      <c r="A83" s="505"/>
      <c r="B83" s="343" t="s">
        <v>245</v>
      </c>
      <c r="C83" s="760" t="s">
        <v>2578</v>
      </c>
      <c r="D83" s="164"/>
      <c r="E83" s="268">
        <v>1</v>
      </c>
      <c r="F83" s="269" t="s">
        <v>2552</v>
      </c>
      <c r="G83" s="267">
        <v>53350</v>
      </c>
      <c r="H83" s="267">
        <f t="shared" si="12"/>
        <v>49877.344307449996</v>
      </c>
      <c r="I83" s="267">
        <f t="shared" si="13"/>
        <v>49877.344307449996</v>
      </c>
      <c r="J83" s="269">
        <v>0</v>
      </c>
      <c r="K83" s="269"/>
      <c r="L83" s="269">
        <v>0</v>
      </c>
      <c r="M83" s="270">
        <f t="shared" si="11"/>
        <v>49877.344307449996</v>
      </c>
      <c r="N83" s="268"/>
      <c r="O83" s="1163">
        <v>0.93490804699999996</v>
      </c>
      <c r="P83" s="761"/>
    </row>
    <row r="84" spans="1:16" ht="18.95" customHeight="1">
      <c r="A84" s="346"/>
      <c r="B84" s="343" t="s">
        <v>245</v>
      </c>
      <c r="C84" s="760" t="s">
        <v>2566</v>
      </c>
      <c r="D84" s="164"/>
      <c r="E84" s="268">
        <v>2</v>
      </c>
      <c r="F84" s="268" t="s">
        <v>402</v>
      </c>
      <c r="G84" s="267">
        <v>24541</v>
      </c>
      <c r="H84" s="267">
        <f>G84*O84</f>
        <v>22943.578381427</v>
      </c>
      <c r="I84" s="267">
        <f>E84*H84</f>
        <v>45887.156762854</v>
      </c>
      <c r="J84" s="269">
        <v>0</v>
      </c>
      <c r="K84" s="269"/>
      <c r="L84" s="269">
        <v>0</v>
      </c>
      <c r="M84" s="270">
        <f t="shared" si="11"/>
        <v>45887.156762854</v>
      </c>
      <c r="N84" s="268"/>
      <c r="O84" s="1163">
        <v>0.93490804699999996</v>
      </c>
      <c r="P84" s="761"/>
    </row>
    <row r="85" spans="1:16" ht="18.95" customHeight="1">
      <c r="A85" s="505"/>
      <c r="B85" s="343" t="s">
        <v>245</v>
      </c>
      <c r="C85" s="760" t="s">
        <v>2579</v>
      </c>
      <c r="D85" s="164"/>
      <c r="E85" s="268">
        <v>1</v>
      </c>
      <c r="F85" s="268" t="s">
        <v>2557</v>
      </c>
      <c r="G85" s="267">
        <v>13000</v>
      </c>
      <c r="H85" s="267">
        <f t="shared" ref="H85" si="14">G85*O85</f>
        <v>12153.804611</v>
      </c>
      <c r="I85" s="267">
        <f t="shared" ref="I85" si="15">E85*H85</f>
        <v>12153.804611</v>
      </c>
      <c r="J85" s="269">
        <v>0</v>
      </c>
      <c r="K85" s="269"/>
      <c r="L85" s="269">
        <v>0</v>
      </c>
      <c r="M85" s="270">
        <f t="shared" si="11"/>
        <v>12153.804611</v>
      </c>
      <c r="N85" s="268"/>
      <c r="O85" s="1163">
        <v>0.93490804699999996</v>
      </c>
      <c r="P85" s="761"/>
    </row>
    <row r="86" spans="1:16" ht="18.95" customHeight="1">
      <c r="A86" s="224"/>
      <c r="B86" s="122"/>
      <c r="C86" s="329"/>
      <c r="D86" s="328"/>
      <c r="E86" s="267"/>
      <c r="F86" s="268"/>
      <c r="G86" s="267"/>
      <c r="H86" s="267"/>
      <c r="I86" s="267"/>
      <c r="J86" s="267"/>
      <c r="K86" s="267"/>
      <c r="L86" s="269"/>
      <c r="M86" s="267"/>
      <c r="N86" s="268"/>
      <c r="O86" s="1163">
        <v>0.93490804699999996</v>
      </c>
    </row>
    <row r="87" spans="1:16" ht="18.95" customHeight="1">
      <c r="A87" s="224"/>
      <c r="B87" s="122"/>
      <c r="C87" s="329"/>
      <c r="D87" s="330"/>
      <c r="E87" s="267"/>
      <c r="F87" s="427"/>
      <c r="G87" s="267"/>
      <c r="H87" s="267"/>
      <c r="I87" s="267"/>
      <c r="J87" s="267"/>
      <c r="K87" s="267"/>
      <c r="L87" s="269"/>
      <c r="M87" s="267"/>
      <c r="N87" s="268"/>
      <c r="O87" s="1163">
        <v>0.93490804699999996</v>
      </c>
    </row>
    <row r="88" spans="1:16" ht="18.95" customHeight="1">
      <c r="A88" s="340">
        <v>4.2</v>
      </c>
      <c r="B88" s="341" t="s">
        <v>2558</v>
      </c>
      <c r="C88" s="318"/>
      <c r="D88" s="164"/>
      <c r="E88" s="267"/>
      <c r="F88" s="268"/>
      <c r="G88" s="267"/>
      <c r="H88" s="267"/>
      <c r="I88" s="267"/>
      <c r="J88" s="269"/>
      <c r="K88" s="269"/>
      <c r="L88" s="269"/>
      <c r="M88" s="270"/>
      <c r="N88" s="268"/>
      <c r="O88" s="1163">
        <v>0.93490804699999996</v>
      </c>
    </row>
    <row r="89" spans="1:16" ht="18.95" customHeight="1">
      <c r="A89" s="340"/>
      <c r="B89" s="343" t="s">
        <v>245</v>
      </c>
      <c r="C89" s="760" t="s">
        <v>2580</v>
      </c>
      <c r="D89" s="164"/>
      <c r="E89" s="268">
        <v>1</v>
      </c>
      <c r="F89" s="269" t="s">
        <v>2552</v>
      </c>
      <c r="G89" s="267">
        <v>42680</v>
      </c>
      <c r="H89" s="267">
        <f>G89*O89</f>
        <v>39901.875445959995</v>
      </c>
      <c r="I89" s="267">
        <f>E89*H89</f>
        <v>39901.875445959995</v>
      </c>
      <c r="J89" s="269">
        <v>0</v>
      </c>
      <c r="K89" s="269"/>
      <c r="L89" s="269">
        <v>0</v>
      </c>
      <c r="M89" s="270">
        <f t="shared" ref="M89:M94" si="16">SUM(I89)</f>
        <v>39901.875445959995</v>
      </c>
      <c r="N89" s="270"/>
      <c r="O89" s="1163">
        <v>0.93490804699999996</v>
      </c>
    </row>
    <row r="90" spans="1:16" ht="18.95" customHeight="1">
      <c r="A90" s="340"/>
      <c r="B90" s="343" t="s">
        <v>245</v>
      </c>
      <c r="C90" s="760" t="s">
        <v>2581</v>
      </c>
      <c r="D90" s="164"/>
      <c r="E90" s="268">
        <v>1</v>
      </c>
      <c r="F90" s="269" t="s">
        <v>2560</v>
      </c>
      <c r="G90" s="267">
        <v>42679</v>
      </c>
      <c r="H90" s="267">
        <f t="shared" ref="H90:H91" si="17">G90*O90</f>
        <v>39900.940537912997</v>
      </c>
      <c r="I90" s="267">
        <f t="shared" ref="I90:I91" si="18">E90*H90</f>
        <v>39900.940537912997</v>
      </c>
      <c r="J90" s="269">
        <v>0</v>
      </c>
      <c r="K90" s="269"/>
      <c r="L90" s="269">
        <v>0</v>
      </c>
      <c r="M90" s="270">
        <f t="shared" si="16"/>
        <v>39900.940537912997</v>
      </c>
      <c r="N90" s="270"/>
      <c r="O90" s="1163">
        <v>0.93490804699999996</v>
      </c>
    </row>
    <row r="91" spans="1:16" ht="18.95" customHeight="1">
      <c r="A91" s="340"/>
      <c r="B91" s="343" t="s">
        <v>245</v>
      </c>
      <c r="C91" s="760" t="s">
        <v>2582</v>
      </c>
      <c r="D91" s="164"/>
      <c r="E91" s="268">
        <v>2</v>
      </c>
      <c r="F91" s="268" t="s">
        <v>402</v>
      </c>
      <c r="G91" s="267">
        <v>36860</v>
      </c>
      <c r="H91" s="267">
        <f t="shared" si="17"/>
        <v>34460.71061242</v>
      </c>
      <c r="I91" s="267">
        <f t="shared" si="18"/>
        <v>68921.42122484</v>
      </c>
      <c r="J91" s="269">
        <v>0</v>
      </c>
      <c r="K91" s="269"/>
      <c r="L91" s="269">
        <v>0</v>
      </c>
      <c r="M91" s="270">
        <f t="shared" si="16"/>
        <v>68921.42122484</v>
      </c>
      <c r="N91" s="270"/>
      <c r="O91" s="1163">
        <v>0.93490804699999996</v>
      </c>
    </row>
    <row r="92" spans="1:16" ht="18.95" customHeight="1">
      <c r="A92" s="340"/>
      <c r="B92" s="343" t="s">
        <v>245</v>
      </c>
      <c r="C92" s="760" t="s">
        <v>2569</v>
      </c>
      <c r="D92" s="242"/>
      <c r="E92" s="268">
        <v>1</v>
      </c>
      <c r="F92" s="268" t="s">
        <v>402</v>
      </c>
      <c r="G92" s="267">
        <v>24250</v>
      </c>
      <c r="H92" s="267">
        <f t="shared" ref="H92:H94" si="19">G92*O92</f>
        <v>22671.520139749999</v>
      </c>
      <c r="I92" s="267">
        <f t="shared" ref="I92:I94" si="20">E92*H92</f>
        <v>22671.520139749999</v>
      </c>
      <c r="J92" s="269">
        <v>0</v>
      </c>
      <c r="K92" s="269"/>
      <c r="L92" s="269">
        <v>0</v>
      </c>
      <c r="M92" s="270">
        <f t="shared" si="16"/>
        <v>22671.520139749999</v>
      </c>
      <c r="N92" s="270"/>
      <c r="O92" s="1163">
        <v>0.93490804699999996</v>
      </c>
    </row>
    <row r="93" spans="1:16" ht="18.95" customHeight="1">
      <c r="A93" s="340"/>
      <c r="B93" s="343" t="s">
        <v>245</v>
      </c>
      <c r="C93" s="760" t="s">
        <v>2583</v>
      </c>
      <c r="D93" s="242"/>
      <c r="E93" s="268">
        <v>1</v>
      </c>
      <c r="F93" s="268" t="s">
        <v>2552</v>
      </c>
      <c r="G93" s="267">
        <v>44100</v>
      </c>
      <c r="H93" s="267">
        <f t="shared" si="19"/>
        <v>41229.444872699998</v>
      </c>
      <c r="I93" s="267">
        <f t="shared" si="20"/>
        <v>41229.444872699998</v>
      </c>
      <c r="J93" s="269">
        <v>0</v>
      </c>
      <c r="K93" s="269"/>
      <c r="L93" s="269">
        <v>0</v>
      </c>
      <c r="M93" s="270">
        <f t="shared" si="16"/>
        <v>41229.444872699998</v>
      </c>
      <c r="N93" s="270"/>
      <c r="O93" s="1163">
        <v>0.93490804699999996</v>
      </c>
    </row>
    <row r="94" spans="1:16" ht="18.95" customHeight="1">
      <c r="A94" s="340"/>
      <c r="B94" s="343" t="s">
        <v>245</v>
      </c>
      <c r="C94" s="760" t="s">
        <v>2584</v>
      </c>
      <c r="D94" s="318"/>
      <c r="E94" s="268">
        <v>1</v>
      </c>
      <c r="F94" s="268" t="s">
        <v>2550</v>
      </c>
      <c r="G94" s="267">
        <v>35280</v>
      </c>
      <c r="H94" s="267">
        <f t="shared" si="19"/>
        <v>32983.555898159997</v>
      </c>
      <c r="I94" s="267">
        <f t="shared" si="20"/>
        <v>32983.555898159997</v>
      </c>
      <c r="J94" s="269">
        <v>0</v>
      </c>
      <c r="K94" s="269"/>
      <c r="L94" s="269">
        <v>0</v>
      </c>
      <c r="M94" s="270">
        <f t="shared" si="16"/>
        <v>32983.555898159997</v>
      </c>
      <c r="N94" s="270"/>
      <c r="O94" s="1163">
        <v>0.93490804699999996</v>
      </c>
    </row>
    <row r="95" spans="1:16" ht="18.95" customHeight="1">
      <c r="A95" s="340">
        <v>4.3</v>
      </c>
      <c r="B95" s="341" t="s">
        <v>2561</v>
      </c>
      <c r="C95" s="318"/>
      <c r="D95" s="164"/>
      <c r="E95" s="268">
        <v>1</v>
      </c>
      <c r="F95" s="561" t="s">
        <v>351</v>
      </c>
      <c r="G95" s="267">
        <v>0</v>
      </c>
      <c r="H95" s="267"/>
      <c r="I95" s="267">
        <f>E95*G95</f>
        <v>0</v>
      </c>
      <c r="J95" s="269">
        <v>68600</v>
      </c>
      <c r="K95" s="269">
        <f>J95*O95</f>
        <v>64134.692024199998</v>
      </c>
      <c r="L95" s="269">
        <f xml:space="preserve"> E95*K95</f>
        <v>64134.692024199998</v>
      </c>
      <c r="M95" s="270">
        <f>SUM(L95+I95)</f>
        <v>64134.692024199998</v>
      </c>
      <c r="N95" s="270"/>
      <c r="O95" s="1163">
        <v>0.93490804699999996</v>
      </c>
    </row>
    <row r="96" spans="1:16" ht="18.95" customHeight="1">
      <c r="A96" s="340"/>
      <c r="B96" s="1301" t="s">
        <v>2585</v>
      </c>
      <c r="C96" s="1302"/>
      <c r="D96" s="1302"/>
      <c r="E96" s="267"/>
      <c r="F96" s="268"/>
      <c r="G96" s="267"/>
      <c r="H96" s="267"/>
      <c r="I96" s="267"/>
      <c r="J96" s="269"/>
      <c r="K96" s="269"/>
      <c r="L96" s="269"/>
      <c r="M96" s="288">
        <f>SUM(M75:M95)</f>
        <v>778087.50610426685</v>
      </c>
      <c r="N96" s="270"/>
      <c r="O96" s="1163">
        <v>0.93490804699999996</v>
      </c>
    </row>
    <row r="97" spans="1:19" ht="18.95" customHeight="1">
      <c r="A97" s="346"/>
      <c r="B97" s="341"/>
      <c r="C97" s="318"/>
      <c r="D97" s="164"/>
      <c r="E97" s="267"/>
      <c r="F97" s="268"/>
      <c r="G97" s="267"/>
      <c r="H97" s="267"/>
      <c r="I97" s="267"/>
      <c r="J97" s="269"/>
      <c r="K97" s="269"/>
      <c r="L97" s="269"/>
      <c r="M97" s="270"/>
      <c r="N97" s="268"/>
      <c r="O97" s="1163">
        <v>0.93490804699999996</v>
      </c>
    </row>
    <row r="98" spans="1:19" ht="18.95" customHeight="1">
      <c r="A98" s="336">
        <v>5</v>
      </c>
      <c r="B98" s="740" t="s">
        <v>2538</v>
      </c>
      <c r="C98" s="318"/>
      <c r="D98" s="164"/>
      <c r="E98" s="267"/>
      <c r="F98" s="268"/>
      <c r="G98" s="267"/>
      <c r="H98" s="267"/>
      <c r="I98" s="267"/>
      <c r="J98" s="269"/>
      <c r="K98" s="269"/>
      <c r="L98" s="269"/>
      <c r="M98" s="270"/>
      <c r="N98" s="268"/>
      <c r="O98" s="1163">
        <v>0.93490804699999996</v>
      </c>
    </row>
    <row r="99" spans="1:19" ht="18.95" customHeight="1">
      <c r="A99" s="340">
        <v>5.0999999999999996</v>
      </c>
      <c r="B99" s="341" t="s">
        <v>2548</v>
      </c>
      <c r="C99" s="318"/>
      <c r="D99" s="164"/>
      <c r="E99" s="267"/>
      <c r="F99" s="268"/>
      <c r="G99" s="267"/>
      <c r="H99" s="267"/>
      <c r="I99" s="267"/>
      <c r="J99" s="269"/>
      <c r="K99" s="269"/>
      <c r="L99" s="269"/>
      <c r="M99" s="270"/>
      <c r="N99" s="268"/>
      <c r="O99" s="1163">
        <v>0.93490804699999996</v>
      </c>
    </row>
    <row r="100" spans="1:19" ht="18.95" customHeight="1">
      <c r="A100" s="346"/>
      <c r="B100" s="343" t="s">
        <v>245</v>
      </c>
      <c r="C100" s="760" t="s">
        <v>2574</v>
      </c>
      <c r="D100" s="164"/>
      <c r="E100" s="268">
        <v>1</v>
      </c>
      <c r="F100" s="269" t="s">
        <v>2552</v>
      </c>
      <c r="G100" s="267">
        <v>136964</v>
      </c>
      <c r="H100" s="267">
        <f>G100*O100</f>
        <v>128048.745749308</v>
      </c>
      <c r="I100" s="267">
        <f>E100*H100</f>
        <v>128048.745749308</v>
      </c>
      <c r="J100" s="269">
        <v>0</v>
      </c>
      <c r="K100" s="269"/>
      <c r="L100" s="269">
        <v>0</v>
      </c>
      <c r="M100" s="270">
        <f t="shared" ref="M100:M109" si="21">SUM(I100)</f>
        <v>128048.745749308</v>
      </c>
      <c r="N100" s="268"/>
      <c r="O100" s="1163">
        <v>0.93490804699999996</v>
      </c>
      <c r="P100" s="762"/>
      <c r="Q100" s="763"/>
      <c r="R100" s="764"/>
      <c r="S100" s="765"/>
    </row>
    <row r="101" spans="1:19" ht="18.95" customHeight="1">
      <c r="A101" s="505"/>
      <c r="B101" s="343" t="s">
        <v>245</v>
      </c>
      <c r="C101" s="760" t="s">
        <v>2575</v>
      </c>
      <c r="D101" s="164"/>
      <c r="E101" s="268">
        <v>2</v>
      </c>
      <c r="F101" s="269" t="s">
        <v>2550</v>
      </c>
      <c r="G101" s="267">
        <v>6402</v>
      </c>
      <c r="H101" s="267">
        <f t="shared" ref="H101:H105" si="22">G101*O101</f>
        <v>5985.2813168940002</v>
      </c>
      <c r="I101" s="267">
        <f t="shared" ref="I101:I105" si="23">E101*H101</f>
        <v>11970.562633788</v>
      </c>
      <c r="J101" s="269">
        <v>0</v>
      </c>
      <c r="K101" s="269"/>
      <c r="L101" s="269">
        <v>0</v>
      </c>
      <c r="M101" s="270">
        <f t="shared" si="21"/>
        <v>11970.562633788</v>
      </c>
      <c r="N101" s="268"/>
      <c r="O101" s="1163">
        <v>0.93490804699999996</v>
      </c>
      <c r="P101" s="762"/>
      <c r="Q101" s="763"/>
      <c r="R101" s="764"/>
      <c r="S101" s="765"/>
    </row>
    <row r="102" spans="1:19" ht="18.95" customHeight="1">
      <c r="A102" s="340"/>
      <c r="B102" s="343" t="s">
        <v>245</v>
      </c>
      <c r="C102" s="760" t="s">
        <v>2571</v>
      </c>
      <c r="D102" s="164"/>
      <c r="E102" s="268">
        <v>1</v>
      </c>
      <c r="F102" s="269" t="s">
        <v>2552</v>
      </c>
      <c r="G102" s="267">
        <v>17934</v>
      </c>
      <c r="H102" s="267">
        <f t="shared" si="22"/>
        <v>16766.640914897998</v>
      </c>
      <c r="I102" s="267">
        <f t="shared" si="23"/>
        <v>16766.640914897998</v>
      </c>
      <c r="J102" s="269">
        <v>0</v>
      </c>
      <c r="K102" s="269"/>
      <c r="L102" s="269">
        <v>0</v>
      </c>
      <c r="M102" s="270">
        <f t="shared" si="21"/>
        <v>16766.640914897998</v>
      </c>
      <c r="N102" s="292"/>
      <c r="O102" s="1163">
        <v>0.93490804699999996</v>
      </c>
      <c r="P102" s="762"/>
      <c r="Q102" s="763"/>
      <c r="R102" s="764"/>
      <c r="S102" s="765"/>
    </row>
    <row r="103" spans="1:19" ht="18.95" customHeight="1">
      <c r="A103" s="340"/>
      <c r="B103" s="343" t="s">
        <v>245</v>
      </c>
      <c r="C103" s="760" t="s">
        <v>2549</v>
      </c>
      <c r="D103" s="164"/>
      <c r="E103" s="268">
        <v>4</v>
      </c>
      <c r="F103" s="269" t="s">
        <v>2550</v>
      </c>
      <c r="G103" s="267">
        <v>5917</v>
      </c>
      <c r="H103" s="267">
        <f t="shared" si="22"/>
        <v>5531.850914099</v>
      </c>
      <c r="I103" s="267">
        <f t="shared" si="23"/>
        <v>22127.403656396</v>
      </c>
      <c r="J103" s="269">
        <v>0</v>
      </c>
      <c r="K103" s="269"/>
      <c r="L103" s="269">
        <v>0</v>
      </c>
      <c r="M103" s="270">
        <f t="shared" si="21"/>
        <v>22127.403656396</v>
      </c>
      <c r="N103" s="268"/>
      <c r="O103" s="1163">
        <v>0.93490804699999996</v>
      </c>
      <c r="P103" s="762"/>
      <c r="Q103" s="763"/>
      <c r="R103" s="764"/>
      <c r="S103" s="765"/>
    </row>
    <row r="104" spans="1:19" ht="18.95" customHeight="1">
      <c r="A104" s="340"/>
      <c r="B104" s="343" t="s">
        <v>245</v>
      </c>
      <c r="C104" s="760" t="s">
        <v>2551</v>
      </c>
      <c r="D104" s="164"/>
      <c r="E104" s="268">
        <v>1</v>
      </c>
      <c r="F104" s="268" t="s">
        <v>2552</v>
      </c>
      <c r="G104" s="267">
        <v>29100</v>
      </c>
      <c r="H104" s="267">
        <f t="shared" si="22"/>
        <v>27205.824167700001</v>
      </c>
      <c r="I104" s="267">
        <f t="shared" si="23"/>
        <v>27205.824167700001</v>
      </c>
      <c r="J104" s="269">
        <v>0</v>
      </c>
      <c r="K104" s="269"/>
      <c r="L104" s="269">
        <v>0</v>
      </c>
      <c r="M104" s="270">
        <f t="shared" si="21"/>
        <v>27205.824167700001</v>
      </c>
      <c r="N104" s="268"/>
      <c r="O104" s="1163">
        <v>0.93490804699999996</v>
      </c>
      <c r="P104" s="762"/>
      <c r="Q104" s="763"/>
      <c r="R104" s="407"/>
      <c r="S104" s="765"/>
    </row>
    <row r="105" spans="1:19" ht="18.95" customHeight="1">
      <c r="A105" s="340"/>
      <c r="B105" s="343" t="s">
        <v>245</v>
      </c>
      <c r="C105" s="760" t="s">
        <v>2553</v>
      </c>
      <c r="D105" s="164"/>
      <c r="E105" s="268">
        <v>1</v>
      </c>
      <c r="F105" s="268" t="s">
        <v>2552</v>
      </c>
      <c r="G105" s="267">
        <v>14700</v>
      </c>
      <c r="H105" s="267">
        <f t="shared" si="22"/>
        <v>13743.148290899999</v>
      </c>
      <c r="I105" s="267">
        <f t="shared" si="23"/>
        <v>13743.148290899999</v>
      </c>
      <c r="J105" s="269">
        <v>0</v>
      </c>
      <c r="K105" s="269"/>
      <c r="L105" s="269">
        <v>0</v>
      </c>
      <c r="M105" s="270">
        <f t="shared" si="21"/>
        <v>13743.148290899999</v>
      </c>
      <c r="N105" s="268"/>
      <c r="O105" s="1163">
        <v>0.93490804699999996</v>
      </c>
      <c r="P105" s="762"/>
      <c r="Q105" s="763"/>
      <c r="R105" s="407"/>
      <c r="S105" s="765"/>
    </row>
    <row r="106" spans="1:19" ht="18.95" customHeight="1">
      <c r="A106" s="340"/>
      <c r="B106" s="343" t="s">
        <v>245</v>
      </c>
      <c r="C106" s="760" t="s">
        <v>2576</v>
      </c>
      <c r="D106" s="164"/>
      <c r="E106" s="268">
        <v>1</v>
      </c>
      <c r="F106" s="269" t="s">
        <v>2550</v>
      </c>
      <c r="G106" s="267">
        <v>18430</v>
      </c>
      <c r="H106" s="267">
        <f>G106*O106</f>
        <v>17230.35530621</v>
      </c>
      <c r="I106" s="267">
        <f>E106*H106</f>
        <v>17230.35530621</v>
      </c>
      <c r="J106" s="269">
        <v>0</v>
      </c>
      <c r="K106" s="269"/>
      <c r="L106" s="269">
        <v>0</v>
      </c>
      <c r="M106" s="270">
        <f t="shared" si="21"/>
        <v>17230.35530621</v>
      </c>
      <c r="N106" s="268"/>
      <c r="O106" s="1163">
        <v>0.93490804699999996</v>
      </c>
      <c r="P106" s="762"/>
      <c r="Q106" s="763"/>
      <c r="R106" s="764"/>
      <c r="S106" s="765"/>
    </row>
    <row r="107" spans="1:19" ht="18.95" customHeight="1">
      <c r="A107" s="340"/>
      <c r="B107" s="343" t="s">
        <v>245</v>
      </c>
      <c r="C107" s="760" t="s">
        <v>2577</v>
      </c>
      <c r="D107" s="164"/>
      <c r="E107" s="268">
        <v>8</v>
      </c>
      <c r="F107" s="269" t="s">
        <v>2550</v>
      </c>
      <c r="G107" s="267">
        <v>16490</v>
      </c>
      <c r="H107" s="267">
        <f t="shared" ref="H107:H110" si="24">G107*O107</f>
        <v>15416.633695029999</v>
      </c>
      <c r="I107" s="267">
        <f t="shared" ref="I107:I110" si="25">E107*H107</f>
        <v>123333.06956023999</v>
      </c>
      <c r="J107" s="269">
        <v>0</v>
      </c>
      <c r="K107" s="269"/>
      <c r="L107" s="269">
        <v>0</v>
      </c>
      <c r="M107" s="270">
        <f t="shared" si="21"/>
        <v>123333.06956023999</v>
      </c>
      <c r="N107" s="268"/>
      <c r="O107" s="1163">
        <v>0.93490804699999996</v>
      </c>
      <c r="P107" s="762"/>
      <c r="Q107" s="763"/>
      <c r="R107" s="764"/>
      <c r="S107" s="765"/>
    </row>
    <row r="108" spans="1:19" ht="18.95" customHeight="1">
      <c r="A108" s="340"/>
      <c r="B108" s="343" t="s">
        <v>245</v>
      </c>
      <c r="C108" s="760" t="s">
        <v>2578</v>
      </c>
      <c r="D108" s="164"/>
      <c r="E108" s="268">
        <v>1</v>
      </c>
      <c r="F108" s="269" t="s">
        <v>2552</v>
      </c>
      <c r="G108" s="267">
        <v>53350</v>
      </c>
      <c r="H108" s="267">
        <f t="shared" si="24"/>
        <v>49877.344307449996</v>
      </c>
      <c r="I108" s="267">
        <f t="shared" si="25"/>
        <v>49877.344307449996</v>
      </c>
      <c r="J108" s="269">
        <v>0</v>
      </c>
      <c r="K108" s="269"/>
      <c r="L108" s="269">
        <v>0</v>
      </c>
      <c r="M108" s="270">
        <f t="shared" si="21"/>
        <v>49877.344307449996</v>
      </c>
      <c r="N108" s="268"/>
      <c r="O108" s="1163">
        <v>0.93490804699999996</v>
      </c>
      <c r="P108" s="762"/>
      <c r="Q108" s="763"/>
      <c r="R108" s="764"/>
      <c r="S108" s="765"/>
    </row>
    <row r="109" spans="1:19" ht="18.95" customHeight="1">
      <c r="A109" s="346"/>
      <c r="B109" s="343" t="s">
        <v>245</v>
      </c>
      <c r="C109" s="760" t="s">
        <v>2566</v>
      </c>
      <c r="D109" s="164"/>
      <c r="E109" s="268">
        <v>2</v>
      </c>
      <c r="F109" s="268" t="s">
        <v>402</v>
      </c>
      <c r="G109" s="267">
        <v>24541</v>
      </c>
      <c r="H109" s="267">
        <f t="shared" si="24"/>
        <v>22943.578381427</v>
      </c>
      <c r="I109" s="267">
        <f t="shared" si="25"/>
        <v>45887.156762854</v>
      </c>
      <c r="J109" s="269">
        <v>0</v>
      </c>
      <c r="K109" s="269"/>
      <c r="L109" s="269">
        <v>0</v>
      </c>
      <c r="M109" s="270">
        <f t="shared" si="21"/>
        <v>45887.156762854</v>
      </c>
      <c r="N109" s="268"/>
      <c r="O109" s="1163">
        <v>0.93490804699999996</v>
      </c>
      <c r="P109" s="762"/>
      <c r="Q109" s="763"/>
      <c r="R109" s="407"/>
      <c r="S109" s="765"/>
    </row>
    <row r="110" spans="1:19" ht="18.95" customHeight="1">
      <c r="A110" s="346"/>
      <c r="B110" s="343" t="s">
        <v>245</v>
      </c>
      <c r="C110" s="760" t="s">
        <v>2579</v>
      </c>
      <c r="D110" s="164"/>
      <c r="E110" s="268">
        <v>1</v>
      </c>
      <c r="F110" s="268" t="s">
        <v>2557</v>
      </c>
      <c r="G110" s="267">
        <v>13000</v>
      </c>
      <c r="H110" s="267">
        <f t="shared" si="24"/>
        <v>12153.804611</v>
      </c>
      <c r="I110" s="267">
        <f t="shared" si="25"/>
        <v>12153.804611</v>
      </c>
      <c r="J110" s="269">
        <v>0</v>
      </c>
      <c r="K110" s="269"/>
      <c r="L110" s="269">
        <v>0</v>
      </c>
      <c r="M110" s="270">
        <f>SUM(I110)</f>
        <v>12153.804611</v>
      </c>
      <c r="N110" s="268"/>
      <c r="O110" s="1163">
        <v>0.93490804699999996</v>
      </c>
      <c r="P110" s="762"/>
      <c r="Q110" s="763"/>
      <c r="R110" s="407"/>
      <c r="S110" s="765"/>
    </row>
    <row r="111" spans="1:19" ht="18.95" customHeight="1">
      <c r="A111" s="340">
        <v>5.2</v>
      </c>
      <c r="B111" s="341" t="s">
        <v>2558</v>
      </c>
      <c r="C111" s="318"/>
      <c r="D111" s="235"/>
      <c r="E111" s="267"/>
      <c r="F111" s="268"/>
      <c r="G111" s="267"/>
      <c r="H111" s="267">
        <f>G111*O111</f>
        <v>0</v>
      </c>
      <c r="I111" s="267">
        <f>E111*H111</f>
        <v>0</v>
      </c>
      <c r="J111" s="269"/>
      <c r="K111" s="269"/>
      <c r="L111" s="269"/>
      <c r="M111" s="270"/>
      <c r="N111" s="268"/>
      <c r="O111" s="1163">
        <v>0.93490804699999996</v>
      </c>
      <c r="P111" s="762"/>
      <c r="Q111" s="763"/>
      <c r="R111" s="407"/>
      <c r="S111" s="765"/>
    </row>
    <row r="112" spans="1:19" ht="18.95" customHeight="1">
      <c r="A112" s="346"/>
      <c r="B112" s="343" t="s">
        <v>245</v>
      </c>
      <c r="C112" s="760" t="s">
        <v>2580</v>
      </c>
      <c r="D112" s="164"/>
      <c r="E112" s="268">
        <v>1</v>
      </c>
      <c r="F112" s="269" t="s">
        <v>2552</v>
      </c>
      <c r="G112" s="267">
        <v>42680</v>
      </c>
      <c r="H112" s="267">
        <f t="shared" ref="H112:H116" si="26">G112*O112</f>
        <v>39901.875445959995</v>
      </c>
      <c r="I112" s="267">
        <f t="shared" ref="I112:I116" si="27">E112*H112</f>
        <v>39901.875445959995</v>
      </c>
      <c r="J112" s="269">
        <v>0</v>
      </c>
      <c r="K112" s="269"/>
      <c r="L112" s="269">
        <v>0</v>
      </c>
      <c r="M112" s="270">
        <f t="shared" ref="M112:M117" si="28">SUM(I112)</f>
        <v>39901.875445959995</v>
      </c>
      <c r="N112" s="268"/>
      <c r="O112" s="1163">
        <v>0.93490804699999996</v>
      </c>
    </row>
    <row r="113" spans="1:15" ht="18.95" customHeight="1">
      <c r="A113" s="346"/>
      <c r="B113" s="343" t="s">
        <v>245</v>
      </c>
      <c r="C113" s="760" t="s">
        <v>2581</v>
      </c>
      <c r="D113" s="164"/>
      <c r="E113" s="268">
        <v>1</v>
      </c>
      <c r="F113" s="269" t="s">
        <v>2560</v>
      </c>
      <c r="G113" s="267">
        <v>42679</v>
      </c>
      <c r="H113" s="267">
        <f t="shared" si="26"/>
        <v>39900.940537912997</v>
      </c>
      <c r="I113" s="267">
        <f t="shared" si="27"/>
        <v>39900.940537912997</v>
      </c>
      <c r="J113" s="269">
        <v>0</v>
      </c>
      <c r="K113" s="269"/>
      <c r="L113" s="269">
        <v>0</v>
      </c>
      <c r="M113" s="270">
        <f t="shared" si="28"/>
        <v>39900.940537912997</v>
      </c>
      <c r="N113" s="268"/>
      <c r="O113" s="1163">
        <v>0.93490804699999996</v>
      </c>
    </row>
    <row r="114" spans="1:15" ht="18.95" customHeight="1">
      <c r="A114" s="346"/>
      <c r="B114" s="343" t="s">
        <v>245</v>
      </c>
      <c r="C114" s="760" t="s">
        <v>2582</v>
      </c>
      <c r="D114" s="164"/>
      <c r="E114" s="268">
        <v>2</v>
      </c>
      <c r="F114" s="268" t="s">
        <v>402</v>
      </c>
      <c r="G114" s="267">
        <v>36860</v>
      </c>
      <c r="H114" s="267">
        <f t="shared" si="26"/>
        <v>34460.71061242</v>
      </c>
      <c r="I114" s="267">
        <f t="shared" si="27"/>
        <v>68921.42122484</v>
      </c>
      <c r="J114" s="269">
        <v>0</v>
      </c>
      <c r="K114" s="269"/>
      <c r="L114" s="269">
        <v>0</v>
      </c>
      <c r="M114" s="270">
        <f t="shared" si="28"/>
        <v>68921.42122484</v>
      </c>
      <c r="N114" s="268"/>
      <c r="O114" s="1163">
        <v>0.93490804699999996</v>
      </c>
    </row>
    <row r="115" spans="1:15" ht="18.95" customHeight="1">
      <c r="A115" s="340"/>
      <c r="B115" s="343" t="s">
        <v>245</v>
      </c>
      <c r="C115" s="760" t="s">
        <v>2569</v>
      </c>
      <c r="D115" s="242"/>
      <c r="E115" s="268">
        <v>1</v>
      </c>
      <c r="F115" s="268" t="s">
        <v>402</v>
      </c>
      <c r="G115" s="267">
        <v>24250</v>
      </c>
      <c r="H115" s="267">
        <f t="shared" si="26"/>
        <v>22671.520139749999</v>
      </c>
      <c r="I115" s="267">
        <f t="shared" si="27"/>
        <v>22671.520139749999</v>
      </c>
      <c r="J115" s="269">
        <v>0</v>
      </c>
      <c r="K115" s="269"/>
      <c r="L115" s="269">
        <v>0</v>
      </c>
      <c r="M115" s="270">
        <f t="shared" si="28"/>
        <v>22671.520139749999</v>
      </c>
      <c r="N115" s="268"/>
      <c r="O115" s="1163">
        <v>0.93490804699999996</v>
      </c>
    </row>
    <row r="116" spans="1:15" ht="18.95" customHeight="1">
      <c r="A116" s="340"/>
      <c r="B116" s="343" t="s">
        <v>245</v>
      </c>
      <c r="C116" s="760" t="s">
        <v>2583</v>
      </c>
      <c r="D116" s="242"/>
      <c r="E116" s="268">
        <v>1</v>
      </c>
      <c r="F116" s="268" t="s">
        <v>2552</v>
      </c>
      <c r="G116" s="267">
        <v>44100</v>
      </c>
      <c r="H116" s="267">
        <f t="shared" si="26"/>
        <v>41229.444872699998</v>
      </c>
      <c r="I116" s="267">
        <f t="shared" si="27"/>
        <v>41229.444872699998</v>
      </c>
      <c r="J116" s="269">
        <v>0</v>
      </c>
      <c r="K116" s="269"/>
      <c r="L116" s="269">
        <v>0</v>
      </c>
      <c r="M116" s="270">
        <f t="shared" si="28"/>
        <v>41229.444872699998</v>
      </c>
      <c r="N116" s="268"/>
      <c r="O116" s="1163">
        <v>0.93490804699999996</v>
      </c>
    </row>
    <row r="117" spans="1:15" ht="18.95" customHeight="1">
      <c r="A117" s="340"/>
      <c r="B117" s="343"/>
      <c r="C117" s="760" t="s">
        <v>2584</v>
      </c>
      <c r="D117" s="318"/>
      <c r="E117" s="268">
        <v>1</v>
      </c>
      <c r="F117" s="268" t="s">
        <v>2550</v>
      </c>
      <c r="G117" s="267">
        <v>35280</v>
      </c>
      <c r="H117" s="267">
        <f>G117*O117</f>
        <v>32983.555898159997</v>
      </c>
      <c r="I117" s="267">
        <f>E117*H117</f>
        <v>32983.555898159997</v>
      </c>
      <c r="J117" s="269">
        <v>0</v>
      </c>
      <c r="K117" s="269"/>
      <c r="L117" s="269">
        <v>0</v>
      </c>
      <c r="M117" s="270">
        <f t="shared" si="28"/>
        <v>32983.555898159997</v>
      </c>
      <c r="N117" s="268"/>
      <c r="O117" s="1163">
        <v>0.93490804699999996</v>
      </c>
    </row>
    <row r="118" spans="1:15" ht="18.95" customHeight="1">
      <c r="A118" s="340">
        <v>5.3</v>
      </c>
      <c r="B118" s="341" t="s">
        <v>2561</v>
      </c>
      <c r="C118" s="318"/>
      <c r="D118" s="164"/>
      <c r="E118" s="268">
        <v>1</v>
      </c>
      <c r="F118" s="561" t="s">
        <v>351</v>
      </c>
      <c r="G118" s="267">
        <v>0</v>
      </c>
      <c r="H118" s="267"/>
      <c r="I118" s="267">
        <f>E118*G118</f>
        <v>0</v>
      </c>
      <c r="J118" s="269">
        <v>68600</v>
      </c>
      <c r="K118" s="269">
        <f>J118*O118</f>
        <v>64134.692024199998</v>
      </c>
      <c r="L118" s="269">
        <f xml:space="preserve"> E118*K118</f>
        <v>64134.692024199998</v>
      </c>
      <c r="M118" s="270">
        <f>SUM(L118+I118)</f>
        <v>64134.692024199998</v>
      </c>
      <c r="N118" s="268"/>
      <c r="O118" s="1163">
        <v>0.93490804699999996</v>
      </c>
    </row>
    <row r="119" spans="1:15" ht="18.95" customHeight="1">
      <c r="A119" s="340"/>
      <c r="B119" s="1301" t="s">
        <v>2586</v>
      </c>
      <c r="C119" s="1302"/>
      <c r="D119" s="1302"/>
      <c r="E119" s="267"/>
      <c r="F119" s="268"/>
      <c r="G119" s="267"/>
      <c r="H119" s="267"/>
      <c r="I119" s="267"/>
      <c r="J119" s="269"/>
      <c r="K119" s="269"/>
      <c r="L119" s="269"/>
      <c r="M119" s="288">
        <f>SUM(M100:M118)</f>
        <v>778087.50610426685</v>
      </c>
      <c r="N119" s="270"/>
      <c r="O119" s="1163">
        <v>0.93490804699999996</v>
      </c>
    </row>
    <row r="120" spans="1:15" ht="18.95" customHeight="1">
      <c r="A120" s="340"/>
      <c r="B120" s="333"/>
      <c r="C120" s="334"/>
      <c r="D120" s="334"/>
      <c r="E120" s="267"/>
      <c r="F120" s="268"/>
      <c r="G120" s="267"/>
      <c r="H120" s="267"/>
      <c r="I120" s="267"/>
      <c r="J120" s="269"/>
      <c r="K120" s="269"/>
      <c r="L120" s="269"/>
      <c r="M120" s="288"/>
      <c r="N120" s="270"/>
      <c r="O120" s="1163">
        <v>0.93490804699999996</v>
      </c>
    </row>
    <row r="121" spans="1:15" ht="18.95" customHeight="1">
      <c r="A121" s="336">
        <v>6</v>
      </c>
      <c r="B121" s="740" t="s">
        <v>2539</v>
      </c>
      <c r="C121" s="318"/>
      <c r="D121" s="164"/>
      <c r="E121" s="267"/>
      <c r="F121" s="268"/>
      <c r="G121" s="267"/>
      <c r="H121" s="267"/>
      <c r="I121" s="267"/>
      <c r="J121" s="269"/>
      <c r="K121" s="269"/>
      <c r="L121" s="269"/>
      <c r="M121" s="270"/>
      <c r="N121" s="270"/>
      <c r="O121" s="1163">
        <v>0.93490804699999996</v>
      </c>
    </row>
    <row r="122" spans="1:15" ht="18.95" customHeight="1">
      <c r="A122" s="340">
        <v>6.1</v>
      </c>
      <c r="B122" s="341" t="s">
        <v>2587</v>
      </c>
      <c r="C122" s="318"/>
      <c r="D122" s="164"/>
      <c r="E122" s="267"/>
      <c r="F122" s="268"/>
      <c r="G122" s="267"/>
      <c r="H122" s="267"/>
      <c r="I122" s="267"/>
      <c r="J122" s="269"/>
      <c r="K122" s="269"/>
      <c r="L122" s="269"/>
      <c r="M122" s="270"/>
      <c r="N122" s="270"/>
      <c r="O122" s="1163">
        <v>0.93490804699999996</v>
      </c>
    </row>
    <row r="123" spans="1:15" ht="18.95" customHeight="1">
      <c r="A123" s="340"/>
      <c r="B123" s="343" t="s">
        <v>245</v>
      </c>
      <c r="C123" s="760" t="s">
        <v>2588</v>
      </c>
      <c r="D123" s="164"/>
      <c r="E123" s="268">
        <v>1</v>
      </c>
      <c r="F123" s="766" t="s">
        <v>2560</v>
      </c>
      <c r="G123" s="267">
        <v>27440</v>
      </c>
      <c r="H123" s="267">
        <f t="shared" ref="H123" si="29">G123*O123</f>
        <v>25653.876809679998</v>
      </c>
      <c r="I123" s="267">
        <f t="shared" ref="I123" si="30">E123*H123</f>
        <v>25653.876809679998</v>
      </c>
      <c r="J123" s="269">
        <v>0</v>
      </c>
      <c r="K123" s="269"/>
      <c r="L123" s="269">
        <v>0</v>
      </c>
      <c r="M123" s="270">
        <f>SUM(I123)</f>
        <v>25653.876809679998</v>
      </c>
      <c r="N123" s="270"/>
      <c r="O123" s="1163">
        <v>0.93490804699999996</v>
      </c>
    </row>
    <row r="124" spans="1:15" ht="18.95" customHeight="1">
      <c r="A124" s="340"/>
      <c r="B124" s="343" t="s">
        <v>245</v>
      </c>
      <c r="C124" s="760" t="s">
        <v>2589</v>
      </c>
      <c r="D124" s="164"/>
      <c r="E124" s="268">
        <v>1</v>
      </c>
      <c r="F124" s="766" t="s">
        <v>2550</v>
      </c>
      <c r="G124" s="267">
        <v>27146</v>
      </c>
      <c r="H124" s="267">
        <f>G124*O124</f>
        <v>25379.013843861998</v>
      </c>
      <c r="I124" s="267">
        <f>E124*H124</f>
        <v>25379.013843861998</v>
      </c>
      <c r="J124" s="269">
        <v>0</v>
      </c>
      <c r="K124" s="269"/>
      <c r="L124" s="269">
        <v>0</v>
      </c>
      <c r="M124" s="270">
        <f>SUM(I124)</f>
        <v>25379.013843861998</v>
      </c>
      <c r="N124" s="270"/>
      <c r="O124" s="1163">
        <v>0.93490804699999996</v>
      </c>
    </row>
    <row r="125" spans="1:15" ht="18.95" customHeight="1">
      <c r="A125" s="340">
        <v>6.2</v>
      </c>
      <c r="B125" s="341" t="s">
        <v>2561</v>
      </c>
      <c r="C125" s="318"/>
      <c r="D125" s="164"/>
      <c r="E125" s="268">
        <v>1</v>
      </c>
      <c r="F125" s="561" t="s">
        <v>351</v>
      </c>
      <c r="G125" s="267">
        <v>0</v>
      </c>
      <c r="H125" s="267"/>
      <c r="I125" s="267">
        <f>E125*G125</f>
        <v>0</v>
      </c>
      <c r="J125" s="269">
        <v>11760</v>
      </c>
      <c r="K125" s="269">
        <f>J125*O125</f>
        <v>10994.518632719999</v>
      </c>
      <c r="L125" s="269">
        <f xml:space="preserve"> E125*K125</f>
        <v>10994.518632719999</v>
      </c>
      <c r="M125" s="270">
        <f>SUM(L125+I125)</f>
        <v>10994.518632719999</v>
      </c>
      <c r="N125" s="270"/>
      <c r="O125" s="1163">
        <v>0.93490804699999996</v>
      </c>
    </row>
    <row r="126" spans="1:15" ht="18.95" customHeight="1">
      <c r="A126" s="340"/>
      <c r="B126" s="1301" t="s">
        <v>2590</v>
      </c>
      <c r="C126" s="1302"/>
      <c r="D126" s="1302"/>
      <c r="E126" s="267"/>
      <c r="F126" s="268"/>
      <c r="G126" s="267"/>
      <c r="H126" s="267"/>
      <c r="I126" s="267"/>
      <c r="J126" s="269"/>
      <c r="K126" s="269"/>
      <c r="L126" s="269"/>
      <c r="M126" s="288">
        <f>SUM(M123:M125)</f>
        <v>62027.409286261995</v>
      </c>
      <c r="N126" s="268"/>
      <c r="O126" s="1163">
        <v>0.93490804699999996</v>
      </c>
    </row>
    <row r="127" spans="1:15" ht="18.95" customHeight="1">
      <c r="A127" s="346"/>
      <c r="B127" s="341"/>
      <c r="C127" s="318"/>
      <c r="D127" s="164"/>
      <c r="E127" s="267"/>
      <c r="F127" s="268"/>
      <c r="G127" s="267"/>
      <c r="H127" s="267"/>
      <c r="I127" s="267"/>
      <c r="J127" s="269"/>
      <c r="K127" s="269"/>
      <c r="L127" s="269"/>
      <c r="M127" s="270"/>
      <c r="N127" s="268"/>
      <c r="O127" s="1163">
        <v>0.93490804699999996</v>
      </c>
    </row>
    <row r="128" spans="1:15" ht="18.95" customHeight="1">
      <c r="A128" s="336">
        <v>7</v>
      </c>
      <c r="B128" s="740" t="s">
        <v>2540</v>
      </c>
      <c r="C128" s="318"/>
      <c r="D128" s="164"/>
      <c r="E128" s="267"/>
      <c r="F128" s="268"/>
      <c r="G128" s="267"/>
      <c r="H128" s="267"/>
      <c r="I128" s="267"/>
      <c r="J128" s="269"/>
      <c r="K128" s="269"/>
      <c r="L128" s="269"/>
      <c r="M128" s="270"/>
      <c r="N128" s="268"/>
      <c r="O128" s="1163">
        <v>0.93490804699999996</v>
      </c>
    </row>
    <row r="129" spans="1:15" ht="18.95" customHeight="1">
      <c r="A129" s="340">
        <v>7.1</v>
      </c>
      <c r="B129" s="341" t="s">
        <v>2587</v>
      </c>
      <c r="C129" s="318"/>
      <c r="D129" s="164"/>
      <c r="E129" s="267"/>
      <c r="F129" s="268"/>
      <c r="G129" s="267"/>
      <c r="H129" s="267"/>
      <c r="I129" s="267"/>
      <c r="J129" s="269"/>
      <c r="K129" s="269"/>
      <c r="L129" s="269"/>
      <c r="M129" s="270"/>
      <c r="N129" s="268"/>
      <c r="O129" s="1163">
        <v>0.93490804699999996</v>
      </c>
    </row>
    <row r="130" spans="1:15" ht="18.95" customHeight="1">
      <c r="A130" s="340"/>
      <c r="B130" s="343" t="s">
        <v>245</v>
      </c>
      <c r="C130" s="760" t="s">
        <v>2588</v>
      </c>
      <c r="D130" s="164"/>
      <c r="E130" s="268">
        <v>1</v>
      </c>
      <c r="F130" s="766" t="s">
        <v>2560</v>
      </c>
      <c r="G130" s="267">
        <v>27440</v>
      </c>
      <c r="H130" s="267">
        <f t="shared" ref="H130" si="31">G130*O130</f>
        <v>25653.876809679998</v>
      </c>
      <c r="I130" s="267">
        <f t="shared" ref="I130" si="32">E130*H130</f>
        <v>25653.876809679998</v>
      </c>
      <c r="J130" s="269">
        <v>0</v>
      </c>
      <c r="K130" s="269"/>
      <c r="L130" s="269">
        <v>0</v>
      </c>
      <c r="M130" s="270">
        <f>SUM(I130)</f>
        <v>25653.876809679998</v>
      </c>
      <c r="N130" s="268"/>
      <c r="O130" s="1163">
        <v>0.93490804699999996</v>
      </c>
    </row>
    <row r="131" spans="1:15" ht="18.95" customHeight="1">
      <c r="A131" s="340"/>
      <c r="B131" s="343" t="s">
        <v>245</v>
      </c>
      <c r="C131" s="760" t="s">
        <v>2589</v>
      </c>
      <c r="D131" s="164"/>
      <c r="E131" s="268">
        <v>1</v>
      </c>
      <c r="F131" s="766" t="s">
        <v>2550</v>
      </c>
      <c r="G131" s="267">
        <v>27146</v>
      </c>
      <c r="H131" s="267">
        <f>G131*O131</f>
        <v>25379.013843861998</v>
      </c>
      <c r="I131" s="267">
        <f>E131*H131</f>
        <v>25379.013843861998</v>
      </c>
      <c r="J131" s="269">
        <v>0</v>
      </c>
      <c r="K131" s="269"/>
      <c r="L131" s="269">
        <v>0</v>
      </c>
      <c r="M131" s="270">
        <f>SUM(I131)</f>
        <v>25379.013843861998</v>
      </c>
      <c r="N131" s="268"/>
      <c r="O131" s="1163">
        <v>0.93490804699999996</v>
      </c>
    </row>
    <row r="132" spans="1:15" ht="18.95" customHeight="1">
      <c r="A132" s="340">
        <v>7.2</v>
      </c>
      <c r="B132" s="341" t="s">
        <v>2561</v>
      </c>
      <c r="C132" s="318"/>
      <c r="D132" s="164"/>
      <c r="E132" s="268">
        <v>1</v>
      </c>
      <c r="F132" s="561" t="s">
        <v>351</v>
      </c>
      <c r="G132" s="267">
        <v>0</v>
      </c>
      <c r="H132" s="267"/>
      <c r="I132" s="267">
        <f>E132*G132</f>
        <v>0</v>
      </c>
      <c r="J132" s="269">
        <v>11760</v>
      </c>
      <c r="K132" s="269">
        <f>J132*O132</f>
        <v>10994.518632719999</v>
      </c>
      <c r="L132" s="269">
        <f xml:space="preserve"> E132*K132</f>
        <v>10994.518632719999</v>
      </c>
      <c r="M132" s="270">
        <f>SUM(L132+I132)</f>
        <v>10994.518632719999</v>
      </c>
      <c r="N132" s="268"/>
      <c r="O132" s="1163">
        <v>0.93490804699999996</v>
      </c>
    </row>
    <row r="133" spans="1:15" ht="18.95" customHeight="1">
      <c r="A133" s="340"/>
      <c r="B133" s="1301" t="s">
        <v>2591</v>
      </c>
      <c r="C133" s="1302"/>
      <c r="D133" s="1302"/>
      <c r="E133" s="267"/>
      <c r="F133" s="268"/>
      <c r="G133" s="267"/>
      <c r="H133" s="267"/>
      <c r="I133" s="267"/>
      <c r="J133" s="269"/>
      <c r="K133" s="269"/>
      <c r="L133" s="269"/>
      <c r="M133" s="288">
        <f>SUM(M130:M132)</f>
        <v>62027.409286261995</v>
      </c>
      <c r="N133" s="268"/>
      <c r="O133" s="1163">
        <v>0.93490804699999996</v>
      </c>
    </row>
    <row r="134" spans="1:15" ht="18.95" customHeight="1">
      <c r="A134" s="340"/>
      <c r="B134" s="341"/>
      <c r="C134" s="318"/>
      <c r="D134" s="164"/>
      <c r="E134" s="267"/>
      <c r="F134" s="268"/>
      <c r="G134" s="267"/>
      <c r="H134" s="267"/>
      <c r="I134" s="267"/>
      <c r="J134" s="269"/>
      <c r="K134" s="269"/>
      <c r="L134" s="269"/>
      <c r="M134" s="270"/>
      <c r="N134" s="268"/>
      <c r="O134" s="1163">
        <v>0.93490804699999996</v>
      </c>
    </row>
    <row r="135" spans="1:15" ht="18.95" customHeight="1">
      <c r="A135" s="336">
        <v>8</v>
      </c>
      <c r="B135" s="740" t="s">
        <v>2541</v>
      </c>
      <c r="C135" s="318"/>
      <c r="D135" s="164"/>
      <c r="E135" s="267"/>
      <c r="F135" s="268"/>
      <c r="G135" s="267"/>
      <c r="H135" s="267"/>
      <c r="I135" s="267"/>
      <c r="J135" s="269"/>
      <c r="K135" s="269"/>
      <c r="L135" s="269"/>
      <c r="M135" s="270"/>
      <c r="N135" s="268"/>
      <c r="O135" s="1163">
        <v>0.93490804699999996</v>
      </c>
    </row>
    <row r="136" spans="1:15" ht="18.95" customHeight="1">
      <c r="A136" s="340">
        <v>8.1</v>
      </c>
      <c r="B136" s="341" t="s">
        <v>2587</v>
      </c>
      <c r="C136" s="318"/>
      <c r="D136" s="164"/>
      <c r="E136" s="267"/>
      <c r="F136" s="268"/>
      <c r="G136" s="267"/>
      <c r="H136" s="267"/>
      <c r="I136" s="267"/>
      <c r="J136" s="269"/>
      <c r="K136" s="269"/>
      <c r="L136" s="269"/>
      <c r="M136" s="270"/>
      <c r="N136" s="268"/>
      <c r="O136" s="1163">
        <v>0.93490804699999996</v>
      </c>
    </row>
    <row r="137" spans="1:15" ht="18.95" customHeight="1">
      <c r="A137" s="340"/>
      <c r="B137" s="343" t="s">
        <v>245</v>
      </c>
      <c r="C137" s="760" t="s">
        <v>2581</v>
      </c>
      <c r="D137" s="164"/>
      <c r="E137" s="268">
        <v>1</v>
      </c>
      <c r="F137" s="269" t="s">
        <v>2560</v>
      </c>
      <c r="G137" s="267">
        <v>42679</v>
      </c>
      <c r="H137" s="267">
        <f t="shared" ref="H137" si="33">G137*O137</f>
        <v>39900.940537912997</v>
      </c>
      <c r="I137" s="267">
        <f t="shared" ref="I137" si="34">E137*H137</f>
        <v>39900.940537912997</v>
      </c>
      <c r="J137" s="269">
        <v>0</v>
      </c>
      <c r="K137" s="269"/>
      <c r="L137" s="269">
        <v>0</v>
      </c>
      <c r="M137" s="270">
        <f>SUM(I137)</f>
        <v>39900.940537912997</v>
      </c>
      <c r="N137" s="268"/>
      <c r="O137" s="1163">
        <v>0.93490804699999996</v>
      </c>
    </row>
    <row r="138" spans="1:15" ht="18.95" customHeight="1">
      <c r="A138" s="340"/>
      <c r="B138" s="343" t="s">
        <v>245</v>
      </c>
      <c r="C138" s="760" t="s">
        <v>2592</v>
      </c>
      <c r="D138" s="164"/>
      <c r="E138" s="268">
        <v>1</v>
      </c>
      <c r="F138" s="268" t="s">
        <v>2550</v>
      </c>
      <c r="G138" s="267">
        <v>5880</v>
      </c>
      <c r="H138" s="267">
        <f>G138*O138</f>
        <v>5497.2593163599995</v>
      </c>
      <c r="I138" s="267">
        <f>E138*H138</f>
        <v>5497.2593163599995</v>
      </c>
      <c r="J138" s="269">
        <v>0</v>
      </c>
      <c r="K138" s="269"/>
      <c r="L138" s="269">
        <v>0</v>
      </c>
      <c r="M138" s="270">
        <f>SUM(I138)</f>
        <v>5497.2593163599995</v>
      </c>
      <c r="N138" s="268"/>
      <c r="O138" s="1163">
        <v>0.93490804699999996</v>
      </c>
    </row>
    <row r="139" spans="1:15" ht="18.95" customHeight="1">
      <c r="A139" s="340"/>
      <c r="B139" s="343" t="s">
        <v>245</v>
      </c>
      <c r="C139" s="318" t="s">
        <v>2589</v>
      </c>
      <c r="D139" s="164"/>
      <c r="E139" s="268">
        <v>1</v>
      </c>
      <c r="F139" s="268" t="s">
        <v>2550</v>
      </c>
      <c r="G139" s="267">
        <v>27146</v>
      </c>
      <c r="H139" s="267">
        <f>G139*O139</f>
        <v>25379.013843861998</v>
      </c>
      <c r="I139" s="267">
        <f>E139*H139</f>
        <v>25379.013843861998</v>
      </c>
      <c r="J139" s="269">
        <v>0</v>
      </c>
      <c r="K139" s="269"/>
      <c r="L139" s="269">
        <v>0</v>
      </c>
      <c r="M139" s="270">
        <f>SUM(I139)</f>
        <v>25379.013843861998</v>
      </c>
      <c r="N139" s="268"/>
      <c r="O139" s="1163">
        <v>0.93490804699999996</v>
      </c>
    </row>
    <row r="140" spans="1:15" ht="18.95" customHeight="1">
      <c r="A140" s="340">
        <v>8.1999999999999993</v>
      </c>
      <c r="B140" s="341" t="s">
        <v>2561</v>
      </c>
      <c r="C140" s="318"/>
      <c r="D140" s="164"/>
      <c r="E140" s="268">
        <v>1</v>
      </c>
      <c r="F140" s="561" t="s">
        <v>351</v>
      </c>
      <c r="G140" s="267">
        <v>0</v>
      </c>
      <c r="H140" s="267"/>
      <c r="I140" s="267">
        <f>E140*G140</f>
        <v>0</v>
      </c>
      <c r="J140" s="269">
        <v>14700</v>
      </c>
      <c r="K140" s="269">
        <f>J140*O140</f>
        <v>13743.148290899999</v>
      </c>
      <c r="L140" s="269">
        <f xml:space="preserve"> E140*K140</f>
        <v>13743.148290899999</v>
      </c>
      <c r="M140" s="270">
        <f>SUM(L140+I140)</f>
        <v>13743.148290899999</v>
      </c>
      <c r="N140" s="268"/>
      <c r="O140" s="1163">
        <v>0.93490804699999996</v>
      </c>
    </row>
    <row r="141" spans="1:15" ht="18.95" customHeight="1">
      <c r="A141" s="340"/>
      <c r="B141" s="1301" t="s">
        <v>2593</v>
      </c>
      <c r="C141" s="1302"/>
      <c r="D141" s="1302"/>
      <c r="E141" s="267"/>
      <c r="F141" s="268"/>
      <c r="G141" s="267"/>
      <c r="H141" s="267"/>
      <c r="I141" s="267"/>
      <c r="J141" s="269"/>
      <c r="K141" s="269"/>
      <c r="L141" s="269"/>
      <c r="M141" s="288">
        <f>SUM(M137:M140)</f>
        <v>84520.361989034995</v>
      </c>
      <c r="N141" s="268"/>
      <c r="O141" s="1163">
        <v>0.93490804699999996</v>
      </c>
    </row>
    <row r="142" spans="1:15" ht="18.95" customHeight="1">
      <c r="A142" s="336">
        <v>9</v>
      </c>
      <c r="B142" s="740" t="s">
        <v>2542</v>
      </c>
      <c r="C142" s="318"/>
      <c r="D142" s="164"/>
      <c r="E142" s="267"/>
      <c r="F142" s="268"/>
      <c r="G142" s="267"/>
      <c r="H142" s="267"/>
      <c r="I142" s="267"/>
      <c r="J142" s="269"/>
      <c r="K142" s="269"/>
      <c r="L142" s="269"/>
      <c r="M142" s="270"/>
      <c r="N142" s="268"/>
      <c r="O142" s="1163">
        <v>0.93490804699999996</v>
      </c>
    </row>
    <row r="143" spans="1:15" ht="18.95" customHeight="1">
      <c r="A143" s="340">
        <v>9.1</v>
      </c>
      <c r="B143" s="341" t="s">
        <v>2587</v>
      </c>
      <c r="C143" s="318"/>
      <c r="D143" s="164"/>
      <c r="E143" s="267"/>
      <c r="F143" s="268"/>
      <c r="G143" s="267"/>
      <c r="H143" s="267"/>
      <c r="I143" s="267"/>
      <c r="J143" s="269"/>
      <c r="K143" s="269"/>
      <c r="L143" s="269"/>
      <c r="M143" s="270"/>
      <c r="N143" s="268"/>
      <c r="O143" s="1163">
        <v>0.93490804699999996</v>
      </c>
    </row>
    <row r="144" spans="1:15" ht="18.95" customHeight="1">
      <c r="A144" s="340"/>
      <c r="B144" s="343" t="s">
        <v>245</v>
      </c>
      <c r="C144" s="760" t="s">
        <v>2588</v>
      </c>
      <c r="D144" s="164"/>
      <c r="E144" s="268">
        <v>1</v>
      </c>
      <c r="F144" s="268" t="s">
        <v>2560</v>
      </c>
      <c r="G144" s="267">
        <v>27440</v>
      </c>
      <c r="H144" s="267">
        <f>G144*O144</f>
        <v>25653.876809679998</v>
      </c>
      <c r="I144" s="267">
        <f t="shared" ref="I144" si="35">E144*H144</f>
        <v>25653.876809679998</v>
      </c>
      <c r="J144" s="269">
        <v>0</v>
      </c>
      <c r="K144" s="269"/>
      <c r="L144" s="269">
        <v>0</v>
      </c>
      <c r="M144" s="270">
        <f>SUM(I144)</f>
        <v>25653.876809679998</v>
      </c>
      <c r="N144" s="268"/>
      <c r="O144" s="1163">
        <v>0.93490804699999996</v>
      </c>
    </row>
    <row r="145" spans="1:15" ht="18.95" customHeight="1">
      <c r="A145" s="340"/>
      <c r="B145" s="343" t="s">
        <v>245</v>
      </c>
      <c r="C145" s="760" t="s">
        <v>2589</v>
      </c>
      <c r="D145" s="164"/>
      <c r="E145" s="268">
        <v>1</v>
      </c>
      <c r="F145" s="268" t="s">
        <v>2550</v>
      </c>
      <c r="G145" s="267">
        <v>27146</v>
      </c>
      <c r="H145" s="267">
        <f>G145*O145</f>
        <v>25379.013843861998</v>
      </c>
      <c r="I145" s="267">
        <f>E145*H145</f>
        <v>25379.013843861998</v>
      </c>
      <c r="J145" s="269">
        <v>0</v>
      </c>
      <c r="K145" s="269"/>
      <c r="L145" s="269">
        <v>0</v>
      </c>
      <c r="M145" s="270">
        <f>SUM(I145)</f>
        <v>25379.013843861998</v>
      </c>
      <c r="N145" s="268"/>
      <c r="O145" s="1163">
        <v>0.93490804699999996</v>
      </c>
    </row>
    <row r="146" spans="1:15" ht="18.95" customHeight="1">
      <c r="A146" s="340">
        <v>9.1999999999999993</v>
      </c>
      <c r="B146" s="341" t="s">
        <v>2561</v>
      </c>
      <c r="C146" s="318"/>
      <c r="D146" s="164"/>
      <c r="E146" s="268">
        <v>1</v>
      </c>
      <c r="F146" s="561" t="s">
        <v>351</v>
      </c>
      <c r="G146" s="267">
        <v>0</v>
      </c>
      <c r="H146" s="267"/>
      <c r="I146" s="267">
        <f>E146*G146</f>
        <v>0</v>
      </c>
      <c r="J146" s="269">
        <v>11760</v>
      </c>
      <c r="K146" s="269">
        <f>J146*O146</f>
        <v>10994.518632719999</v>
      </c>
      <c r="L146" s="269">
        <f xml:space="preserve"> E146*K146</f>
        <v>10994.518632719999</v>
      </c>
      <c r="M146" s="270">
        <f>SUM(L146+I146)</f>
        <v>10994.518632719999</v>
      </c>
      <c r="N146" s="268"/>
      <c r="O146" s="1163">
        <v>0.93490804699999996</v>
      </c>
    </row>
    <row r="147" spans="1:15" ht="18.95" customHeight="1">
      <c r="A147" s="340"/>
      <c r="B147" s="1301" t="s">
        <v>2594</v>
      </c>
      <c r="C147" s="1302"/>
      <c r="D147" s="1302"/>
      <c r="E147" s="267"/>
      <c r="F147" s="268"/>
      <c r="G147" s="267"/>
      <c r="H147" s="267"/>
      <c r="I147" s="267"/>
      <c r="J147" s="269"/>
      <c r="K147" s="269"/>
      <c r="L147" s="269"/>
      <c r="M147" s="288">
        <f>SUM(M144:M146)</f>
        <v>62027.409286261995</v>
      </c>
      <c r="N147" s="270"/>
      <c r="O147" s="1163">
        <v>0.93490804699999996</v>
      </c>
    </row>
    <row r="148" spans="1:15" ht="18.95" customHeight="1">
      <c r="A148" s="340"/>
      <c r="B148" s="333"/>
      <c r="C148" s="334"/>
      <c r="D148" s="334"/>
      <c r="E148" s="267"/>
      <c r="F148" s="268"/>
      <c r="G148" s="267"/>
      <c r="H148" s="267"/>
      <c r="I148" s="267"/>
      <c r="J148" s="269"/>
      <c r="K148" s="269"/>
      <c r="L148" s="269"/>
      <c r="M148" s="288"/>
      <c r="N148" s="270"/>
      <c r="O148" s="1163">
        <v>0.93490804699999996</v>
      </c>
    </row>
    <row r="149" spans="1:15" ht="18.95" customHeight="1">
      <c r="A149" s="336">
        <v>10</v>
      </c>
      <c r="B149" s="740" t="s">
        <v>2543</v>
      </c>
      <c r="C149" s="318"/>
      <c r="D149" s="164"/>
      <c r="E149" s="267"/>
      <c r="F149" s="268"/>
      <c r="G149" s="267"/>
      <c r="H149" s="267"/>
      <c r="I149" s="267"/>
      <c r="J149" s="269"/>
      <c r="K149" s="269"/>
      <c r="L149" s="269"/>
      <c r="M149" s="270"/>
      <c r="N149" s="270"/>
      <c r="O149" s="1163">
        <v>0.93490804699999996</v>
      </c>
    </row>
    <row r="150" spans="1:15" ht="18.95" customHeight="1">
      <c r="A150" s="340">
        <v>10.1</v>
      </c>
      <c r="B150" s="341" t="s">
        <v>2587</v>
      </c>
      <c r="C150" s="318"/>
      <c r="D150" s="164"/>
      <c r="E150" s="267"/>
      <c r="F150" s="268"/>
      <c r="G150" s="267"/>
      <c r="H150" s="267"/>
      <c r="I150" s="267"/>
      <c r="J150" s="269"/>
      <c r="K150" s="269"/>
      <c r="L150" s="269"/>
      <c r="M150" s="270"/>
      <c r="N150" s="270"/>
      <c r="O150" s="1163">
        <v>0.93490804699999996</v>
      </c>
    </row>
    <row r="151" spans="1:15" ht="18.95" customHeight="1">
      <c r="A151" s="340"/>
      <c r="B151" s="343" t="s">
        <v>245</v>
      </c>
      <c r="C151" s="760" t="s">
        <v>2588</v>
      </c>
      <c r="D151" s="164"/>
      <c r="E151" s="268">
        <v>1</v>
      </c>
      <c r="F151" s="268" t="s">
        <v>2560</v>
      </c>
      <c r="G151" s="267">
        <v>27440</v>
      </c>
      <c r="H151" s="267">
        <f t="shared" ref="H151" si="36">G151*O151</f>
        <v>25653.876809679998</v>
      </c>
      <c r="I151" s="267">
        <f t="shared" ref="I151" si="37">E151*H151</f>
        <v>25653.876809679998</v>
      </c>
      <c r="J151" s="269">
        <v>0</v>
      </c>
      <c r="K151" s="269"/>
      <c r="L151" s="269">
        <v>0</v>
      </c>
      <c r="M151" s="270">
        <f>SUM(I151)</f>
        <v>25653.876809679998</v>
      </c>
      <c r="N151" s="270"/>
      <c r="O151" s="1163">
        <v>0.93490804699999996</v>
      </c>
    </row>
    <row r="152" spans="1:15" ht="18.95" customHeight="1">
      <c r="A152" s="340"/>
      <c r="B152" s="343" t="s">
        <v>245</v>
      </c>
      <c r="C152" s="760" t="s">
        <v>2589</v>
      </c>
      <c r="D152" s="164"/>
      <c r="E152" s="268">
        <v>1</v>
      </c>
      <c r="F152" s="268" t="s">
        <v>2550</v>
      </c>
      <c r="G152" s="267">
        <v>27146</v>
      </c>
      <c r="H152" s="267">
        <f>G152*O152</f>
        <v>25379.013843861998</v>
      </c>
      <c r="I152" s="267">
        <f>E152*H152</f>
        <v>25379.013843861998</v>
      </c>
      <c r="J152" s="269">
        <v>0</v>
      </c>
      <c r="K152" s="269"/>
      <c r="L152" s="269">
        <v>0</v>
      </c>
      <c r="M152" s="270">
        <f>SUM(I152)</f>
        <v>25379.013843861998</v>
      </c>
      <c r="N152" s="270"/>
      <c r="O152" s="1163">
        <v>0.93490804699999996</v>
      </c>
    </row>
    <row r="153" spans="1:15" ht="18.95" customHeight="1">
      <c r="A153" s="340">
        <v>10.199999999999999</v>
      </c>
      <c r="B153" s="341" t="s">
        <v>2561</v>
      </c>
      <c r="C153" s="318"/>
      <c r="D153" s="164"/>
      <c r="E153" s="268">
        <v>1</v>
      </c>
      <c r="F153" s="561" t="s">
        <v>351</v>
      </c>
      <c r="G153" s="267">
        <v>0</v>
      </c>
      <c r="H153" s="267"/>
      <c r="I153" s="267">
        <f>E153*G153</f>
        <v>0</v>
      </c>
      <c r="J153" s="269">
        <v>11760</v>
      </c>
      <c r="K153" s="269">
        <f>J153*O153</f>
        <v>10994.518632719999</v>
      </c>
      <c r="L153" s="269">
        <f xml:space="preserve"> E153*K153</f>
        <v>10994.518632719999</v>
      </c>
      <c r="M153" s="270">
        <f>SUM(L153+I153)</f>
        <v>10994.518632719999</v>
      </c>
      <c r="N153" s="270"/>
      <c r="O153" s="1163">
        <v>0.93490804699999996</v>
      </c>
    </row>
    <row r="154" spans="1:15" ht="18.95" customHeight="1">
      <c r="A154" s="340"/>
      <c r="B154" s="1301" t="s">
        <v>2595</v>
      </c>
      <c r="C154" s="1302"/>
      <c r="D154" s="1302"/>
      <c r="E154" s="267"/>
      <c r="F154" s="268"/>
      <c r="G154" s="267"/>
      <c r="H154" s="267"/>
      <c r="I154" s="267"/>
      <c r="J154" s="269"/>
      <c r="K154" s="269"/>
      <c r="L154" s="269"/>
      <c r="M154" s="288">
        <f>SUM(M151:M153)</f>
        <v>62027.409286261995</v>
      </c>
      <c r="N154" s="268"/>
      <c r="O154" s="1163">
        <v>0.93490804699999996</v>
      </c>
    </row>
    <row r="155" spans="1:15" ht="18.95" customHeight="1">
      <c r="A155" s="340"/>
      <c r="B155" s="333"/>
      <c r="C155" s="334"/>
      <c r="D155" s="334"/>
      <c r="E155" s="267"/>
      <c r="F155" s="268"/>
      <c r="G155" s="267"/>
      <c r="H155" s="267"/>
      <c r="I155" s="267"/>
      <c r="J155" s="269"/>
      <c r="K155" s="269"/>
      <c r="L155" s="269"/>
      <c r="M155" s="288"/>
      <c r="N155" s="268"/>
      <c r="O155" s="1163">
        <v>0.93490804699999996</v>
      </c>
    </row>
    <row r="156" spans="1:15" ht="18.95" customHeight="1">
      <c r="A156" s="336">
        <v>11</v>
      </c>
      <c r="B156" s="740" t="s">
        <v>2544</v>
      </c>
      <c r="C156" s="318"/>
      <c r="D156" s="164"/>
      <c r="E156" s="267"/>
      <c r="F156" s="268"/>
      <c r="G156" s="267"/>
      <c r="H156" s="267"/>
      <c r="I156" s="267"/>
      <c r="J156" s="269"/>
      <c r="K156" s="269"/>
      <c r="L156" s="269"/>
      <c r="M156" s="270"/>
      <c r="N156" s="268"/>
      <c r="O156" s="1163">
        <v>0.93490804699999996</v>
      </c>
    </row>
    <row r="157" spans="1:15" ht="18.95" customHeight="1">
      <c r="A157" s="340">
        <v>11.1</v>
      </c>
      <c r="B157" s="341" t="s">
        <v>2548</v>
      </c>
      <c r="C157" s="318"/>
      <c r="D157" s="164"/>
      <c r="E157" s="267"/>
      <c r="F157" s="268"/>
      <c r="G157" s="267"/>
      <c r="H157" s="267"/>
      <c r="I157" s="267"/>
      <c r="J157" s="269"/>
      <c r="K157" s="269"/>
      <c r="L157" s="269"/>
      <c r="M157" s="270"/>
      <c r="N157" s="268"/>
      <c r="O157" s="1163">
        <v>0.93490804699999996</v>
      </c>
    </row>
    <row r="158" spans="1:15" ht="18.95" customHeight="1">
      <c r="A158" s="340"/>
      <c r="B158" s="343" t="s">
        <v>245</v>
      </c>
      <c r="C158" s="760" t="s">
        <v>2574</v>
      </c>
      <c r="D158" s="164"/>
      <c r="E158" s="268">
        <v>1</v>
      </c>
      <c r="F158" s="269" t="s">
        <v>2552</v>
      </c>
      <c r="G158" s="267">
        <v>136964</v>
      </c>
      <c r="H158" s="267">
        <f t="shared" ref="H158" si="38">G158*O158</f>
        <v>128048.745749308</v>
      </c>
      <c r="I158" s="267">
        <f t="shared" ref="I158" si="39">E158*H158</f>
        <v>128048.745749308</v>
      </c>
      <c r="J158" s="269">
        <v>0</v>
      </c>
      <c r="K158" s="269"/>
      <c r="L158" s="269">
        <v>0</v>
      </c>
      <c r="M158" s="270">
        <f t="shared" ref="M158:M168" si="40">SUM(I158)</f>
        <v>128048.745749308</v>
      </c>
      <c r="N158" s="268"/>
      <c r="O158" s="1163">
        <v>0.93490804699999996</v>
      </c>
    </row>
    <row r="159" spans="1:15" ht="18.95" customHeight="1">
      <c r="A159" s="340"/>
      <c r="B159" s="343" t="s">
        <v>245</v>
      </c>
      <c r="C159" s="760" t="s">
        <v>2575</v>
      </c>
      <c r="D159" s="164"/>
      <c r="E159" s="268">
        <v>2</v>
      </c>
      <c r="F159" s="269" t="s">
        <v>2550</v>
      </c>
      <c r="G159" s="267">
        <v>6402</v>
      </c>
      <c r="H159" s="267">
        <f>G159*O159</f>
        <v>5985.2813168940002</v>
      </c>
      <c r="I159" s="267">
        <f>E159*H159</f>
        <v>11970.562633788</v>
      </c>
      <c r="J159" s="269">
        <v>0</v>
      </c>
      <c r="K159" s="269"/>
      <c r="L159" s="269">
        <v>0</v>
      </c>
      <c r="M159" s="270">
        <f t="shared" si="40"/>
        <v>11970.562633788</v>
      </c>
      <c r="N159" s="268"/>
      <c r="O159" s="1163">
        <v>0.93490804699999996</v>
      </c>
    </row>
    <row r="160" spans="1:15" ht="18.95" customHeight="1">
      <c r="A160" s="340"/>
      <c r="B160" s="343" t="s">
        <v>245</v>
      </c>
      <c r="C160" s="760" t="s">
        <v>2571</v>
      </c>
      <c r="D160" s="164"/>
      <c r="E160" s="268">
        <v>1</v>
      </c>
      <c r="F160" s="269" t="s">
        <v>2552</v>
      </c>
      <c r="G160" s="267">
        <v>17934</v>
      </c>
      <c r="H160" s="267">
        <f t="shared" ref="H160:H168" si="41">G160*O160</f>
        <v>16766.640914897998</v>
      </c>
      <c r="I160" s="267">
        <f t="shared" ref="I160:I168" si="42">E160*H160</f>
        <v>16766.640914897998</v>
      </c>
      <c r="J160" s="269">
        <v>0</v>
      </c>
      <c r="K160" s="269"/>
      <c r="L160" s="269">
        <v>0</v>
      </c>
      <c r="M160" s="270">
        <f t="shared" si="40"/>
        <v>16766.640914897998</v>
      </c>
      <c r="N160" s="268"/>
      <c r="O160" s="1163">
        <v>0.93490804699999996</v>
      </c>
    </row>
    <row r="161" spans="1:15" ht="18.95" customHeight="1">
      <c r="A161" s="346"/>
      <c r="B161" s="343" t="s">
        <v>245</v>
      </c>
      <c r="C161" s="760" t="s">
        <v>2549</v>
      </c>
      <c r="D161" s="164"/>
      <c r="E161" s="268">
        <v>8</v>
      </c>
      <c r="F161" s="269" t="s">
        <v>2550</v>
      </c>
      <c r="G161" s="267">
        <v>5917</v>
      </c>
      <c r="H161" s="267">
        <f t="shared" si="41"/>
        <v>5531.850914099</v>
      </c>
      <c r="I161" s="267">
        <f t="shared" si="42"/>
        <v>44254.807312792</v>
      </c>
      <c r="J161" s="269">
        <v>0</v>
      </c>
      <c r="K161" s="269"/>
      <c r="L161" s="269">
        <v>0</v>
      </c>
      <c r="M161" s="270">
        <f t="shared" si="40"/>
        <v>44254.807312792</v>
      </c>
      <c r="N161" s="268"/>
      <c r="O161" s="1163">
        <v>0.93490804699999996</v>
      </c>
    </row>
    <row r="162" spans="1:15" ht="18.95" customHeight="1">
      <c r="A162" s="340"/>
      <c r="B162" s="343" t="s">
        <v>245</v>
      </c>
      <c r="C162" s="760" t="s">
        <v>2596</v>
      </c>
      <c r="D162" s="164"/>
      <c r="E162" s="268">
        <v>1</v>
      </c>
      <c r="F162" s="269" t="s">
        <v>2552</v>
      </c>
      <c r="G162" s="267">
        <v>42680</v>
      </c>
      <c r="H162" s="267">
        <f t="shared" si="41"/>
        <v>39901.875445959995</v>
      </c>
      <c r="I162" s="267">
        <f t="shared" si="42"/>
        <v>39901.875445959995</v>
      </c>
      <c r="J162" s="269">
        <v>0</v>
      </c>
      <c r="K162" s="269"/>
      <c r="L162" s="269">
        <v>0</v>
      </c>
      <c r="M162" s="270">
        <f t="shared" si="40"/>
        <v>39901.875445959995</v>
      </c>
      <c r="N162" s="268"/>
      <c r="O162" s="1163">
        <v>0.93490804699999996</v>
      </c>
    </row>
    <row r="163" spans="1:15" ht="18.95" customHeight="1">
      <c r="A163" s="340"/>
      <c r="B163" s="343" t="s">
        <v>245</v>
      </c>
      <c r="C163" s="760" t="s">
        <v>2597</v>
      </c>
      <c r="D163" s="168"/>
      <c r="E163" s="268">
        <v>1</v>
      </c>
      <c r="F163" s="268" t="s">
        <v>2552</v>
      </c>
      <c r="G163" s="267">
        <v>64020</v>
      </c>
      <c r="H163" s="267">
        <f t="shared" si="41"/>
        <v>59852.813168939996</v>
      </c>
      <c r="I163" s="267">
        <f t="shared" si="42"/>
        <v>59852.813168939996</v>
      </c>
      <c r="J163" s="269">
        <v>0</v>
      </c>
      <c r="K163" s="269"/>
      <c r="L163" s="269">
        <v>0</v>
      </c>
      <c r="M163" s="270">
        <f t="shared" si="40"/>
        <v>59852.813168939996</v>
      </c>
      <c r="N163" s="268"/>
      <c r="O163" s="1163">
        <v>0.93490804699999996</v>
      </c>
    </row>
    <row r="164" spans="1:15" ht="18.95" customHeight="1">
      <c r="A164" s="340"/>
      <c r="B164" s="343" t="s">
        <v>245</v>
      </c>
      <c r="C164" s="760" t="s">
        <v>2576</v>
      </c>
      <c r="D164" s="214"/>
      <c r="E164" s="268">
        <v>1</v>
      </c>
      <c r="F164" s="269" t="s">
        <v>2550</v>
      </c>
      <c r="G164" s="267">
        <v>18430</v>
      </c>
      <c r="H164" s="267">
        <f t="shared" si="41"/>
        <v>17230.35530621</v>
      </c>
      <c r="I164" s="267">
        <f t="shared" si="42"/>
        <v>17230.35530621</v>
      </c>
      <c r="J164" s="269">
        <v>0</v>
      </c>
      <c r="K164" s="269"/>
      <c r="L164" s="269">
        <v>0</v>
      </c>
      <c r="M164" s="270">
        <f t="shared" si="40"/>
        <v>17230.35530621</v>
      </c>
      <c r="N164" s="268"/>
      <c r="O164" s="1163">
        <v>0.93490804699999996</v>
      </c>
    </row>
    <row r="165" spans="1:15" ht="18.95" customHeight="1">
      <c r="A165" s="346"/>
      <c r="B165" s="343" t="s">
        <v>245</v>
      </c>
      <c r="C165" s="760" t="s">
        <v>2577</v>
      </c>
      <c r="D165" s="214"/>
      <c r="E165" s="268">
        <v>24</v>
      </c>
      <c r="F165" s="269" t="s">
        <v>2550</v>
      </c>
      <c r="G165" s="267">
        <v>16490</v>
      </c>
      <c r="H165" s="267">
        <f t="shared" si="41"/>
        <v>15416.633695029999</v>
      </c>
      <c r="I165" s="267">
        <f t="shared" si="42"/>
        <v>369999.20868071995</v>
      </c>
      <c r="J165" s="269">
        <v>0</v>
      </c>
      <c r="K165" s="269"/>
      <c r="L165" s="269">
        <v>0</v>
      </c>
      <c r="M165" s="270">
        <f t="shared" si="40"/>
        <v>369999.20868071995</v>
      </c>
      <c r="N165" s="268"/>
      <c r="O165" s="1163">
        <v>0.93490804699999996</v>
      </c>
    </row>
    <row r="166" spans="1:15" ht="18.95" customHeight="1">
      <c r="A166" s="346"/>
      <c r="B166" s="343" t="s">
        <v>245</v>
      </c>
      <c r="C166" s="760" t="s">
        <v>2578</v>
      </c>
      <c r="D166" s="214"/>
      <c r="E166" s="268">
        <v>1</v>
      </c>
      <c r="F166" s="269" t="s">
        <v>2552</v>
      </c>
      <c r="G166" s="267">
        <v>53350</v>
      </c>
      <c r="H166" s="267">
        <f t="shared" si="41"/>
        <v>49877.344307449996</v>
      </c>
      <c r="I166" s="267">
        <f t="shared" si="42"/>
        <v>49877.344307449996</v>
      </c>
      <c r="J166" s="269">
        <v>0</v>
      </c>
      <c r="K166" s="269"/>
      <c r="L166" s="269">
        <v>0</v>
      </c>
      <c r="M166" s="270">
        <f t="shared" si="40"/>
        <v>49877.344307449996</v>
      </c>
      <c r="N166" s="268"/>
      <c r="O166" s="1163">
        <v>0.93490804699999996</v>
      </c>
    </row>
    <row r="167" spans="1:15" ht="18.95" customHeight="1">
      <c r="A167" s="346"/>
      <c r="B167" s="343" t="s">
        <v>245</v>
      </c>
      <c r="C167" s="760" t="s">
        <v>2566</v>
      </c>
      <c r="D167" s="214"/>
      <c r="E167" s="268">
        <v>2</v>
      </c>
      <c r="F167" s="268" t="s">
        <v>402</v>
      </c>
      <c r="G167" s="267">
        <v>24541</v>
      </c>
      <c r="H167" s="267">
        <f t="shared" si="41"/>
        <v>22943.578381427</v>
      </c>
      <c r="I167" s="267">
        <f t="shared" si="42"/>
        <v>45887.156762854</v>
      </c>
      <c r="J167" s="269">
        <v>0</v>
      </c>
      <c r="K167" s="269"/>
      <c r="L167" s="269">
        <v>0</v>
      </c>
      <c r="M167" s="270">
        <f t="shared" si="40"/>
        <v>45887.156762854</v>
      </c>
      <c r="N167" s="268"/>
      <c r="O167" s="1163">
        <v>0.93490804699999996</v>
      </c>
    </row>
    <row r="168" spans="1:15" ht="18.95" customHeight="1">
      <c r="A168" s="346"/>
      <c r="B168" s="343" t="s">
        <v>245</v>
      </c>
      <c r="C168" s="760" t="s">
        <v>2598</v>
      </c>
      <c r="D168" s="214"/>
      <c r="E168" s="268">
        <v>1</v>
      </c>
      <c r="F168" s="268" t="s">
        <v>2557</v>
      </c>
      <c r="G168" s="267">
        <v>15000</v>
      </c>
      <c r="H168" s="267">
        <f t="shared" si="41"/>
        <v>14023.620704999999</v>
      </c>
      <c r="I168" s="267">
        <f t="shared" si="42"/>
        <v>14023.620704999999</v>
      </c>
      <c r="J168" s="269">
        <v>0</v>
      </c>
      <c r="K168" s="269"/>
      <c r="L168" s="269">
        <v>0</v>
      </c>
      <c r="M168" s="270">
        <f t="shared" si="40"/>
        <v>14023.620704999999</v>
      </c>
      <c r="N168" s="268"/>
      <c r="O168" s="1163">
        <v>0.93490804699999996</v>
      </c>
    </row>
    <row r="169" spans="1:15" ht="18.95" customHeight="1">
      <c r="A169" s="346"/>
      <c r="B169" s="343"/>
      <c r="C169" s="760"/>
      <c r="D169" s="164"/>
      <c r="E169" s="268"/>
      <c r="F169" s="427"/>
      <c r="G169" s="267"/>
      <c r="H169" s="267"/>
      <c r="I169" s="267"/>
      <c r="J169" s="269"/>
      <c r="K169" s="269"/>
      <c r="L169" s="269"/>
      <c r="M169" s="270"/>
      <c r="N169" s="268"/>
      <c r="O169" s="1163">
        <v>0.93490804699999996</v>
      </c>
    </row>
    <row r="170" spans="1:15" ht="18.95" customHeight="1">
      <c r="A170" s="346"/>
      <c r="B170" s="343"/>
      <c r="C170" s="760"/>
      <c r="D170" s="164"/>
      <c r="E170" s="268"/>
      <c r="F170" s="766"/>
      <c r="G170" s="284"/>
      <c r="H170" s="284"/>
      <c r="I170" s="267"/>
      <c r="J170" s="269"/>
      <c r="K170" s="269"/>
      <c r="L170" s="269"/>
      <c r="M170" s="270"/>
      <c r="N170" s="268"/>
      <c r="O170" s="1163">
        <v>0.93490804699999996</v>
      </c>
    </row>
    <row r="171" spans="1:15" ht="18.95" customHeight="1">
      <c r="A171" s="340">
        <v>11.2</v>
      </c>
      <c r="B171" s="341" t="s">
        <v>2558</v>
      </c>
      <c r="C171" s="318"/>
      <c r="D171" s="164"/>
      <c r="E171" s="267"/>
      <c r="F171" s="268"/>
      <c r="G171" s="267"/>
      <c r="H171" s="267"/>
      <c r="I171" s="267"/>
      <c r="J171" s="269"/>
      <c r="K171" s="269"/>
      <c r="L171" s="269"/>
      <c r="M171" s="270"/>
      <c r="N171" s="268"/>
      <c r="O171" s="1163">
        <v>0.93490804699999996</v>
      </c>
    </row>
    <row r="172" spans="1:15" ht="18.95" customHeight="1">
      <c r="A172" s="346"/>
      <c r="B172" s="343" t="s">
        <v>245</v>
      </c>
      <c r="C172" s="760" t="s">
        <v>2599</v>
      </c>
      <c r="D172" s="168"/>
      <c r="E172" s="268">
        <v>1</v>
      </c>
      <c r="F172" s="268" t="s">
        <v>2552</v>
      </c>
      <c r="G172" s="267">
        <v>111550</v>
      </c>
      <c r="H172" s="267">
        <f t="shared" ref="H172" si="43">G172*O172</f>
        <v>104288.99264284999</v>
      </c>
      <c r="I172" s="267">
        <f t="shared" ref="I172" si="44">E172*H172</f>
        <v>104288.99264284999</v>
      </c>
      <c r="J172" s="269">
        <v>0</v>
      </c>
      <c r="K172" s="269"/>
      <c r="L172" s="269">
        <v>0</v>
      </c>
      <c r="M172" s="270">
        <f t="shared" ref="M172:M179" si="45">SUM(I172)</f>
        <v>104288.99264284999</v>
      </c>
      <c r="N172" s="268"/>
      <c r="O172" s="1163">
        <v>0.93490804699999996</v>
      </c>
    </row>
    <row r="173" spans="1:15" ht="18.95" customHeight="1">
      <c r="A173" s="340"/>
      <c r="B173" s="343" t="s">
        <v>245</v>
      </c>
      <c r="C173" s="760" t="s">
        <v>2600</v>
      </c>
      <c r="D173" s="214"/>
      <c r="E173" s="268">
        <v>1</v>
      </c>
      <c r="F173" s="269" t="s">
        <v>2560</v>
      </c>
      <c r="G173" s="267">
        <v>760000</v>
      </c>
      <c r="H173" s="267">
        <f t="shared" ref="H173:H179" si="46">G173*O173</f>
        <v>710530.11572</v>
      </c>
      <c r="I173" s="267">
        <f t="shared" ref="I173:I179" si="47">E173*H173</f>
        <v>710530.11572</v>
      </c>
      <c r="J173" s="269">
        <v>0</v>
      </c>
      <c r="K173" s="269"/>
      <c r="L173" s="269">
        <v>0</v>
      </c>
      <c r="M173" s="270">
        <f t="shared" si="45"/>
        <v>710530.11572</v>
      </c>
      <c r="N173" s="268"/>
      <c r="O173" s="1163">
        <v>0.93490804699999996</v>
      </c>
    </row>
    <row r="174" spans="1:15" ht="18.95" customHeight="1">
      <c r="A174" s="340"/>
      <c r="B174" s="343" t="s">
        <v>245</v>
      </c>
      <c r="C174" s="760" t="s">
        <v>2582</v>
      </c>
      <c r="D174" s="164"/>
      <c r="E174" s="268">
        <v>2</v>
      </c>
      <c r="F174" s="268" t="s">
        <v>402</v>
      </c>
      <c r="G174" s="267">
        <v>36860</v>
      </c>
      <c r="H174" s="267">
        <f t="shared" si="46"/>
        <v>34460.71061242</v>
      </c>
      <c r="I174" s="267">
        <f t="shared" si="47"/>
        <v>68921.42122484</v>
      </c>
      <c r="J174" s="269">
        <v>0</v>
      </c>
      <c r="K174" s="269"/>
      <c r="L174" s="269">
        <v>0</v>
      </c>
      <c r="M174" s="270">
        <f t="shared" si="45"/>
        <v>68921.42122484</v>
      </c>
      <c r="N174" s="268"/>
      <c r="O174" s="1163">
        <v>0.93490804699999996</v>
      </c>
    </row>
    <row r="175" spans="1:15" ht="18.95" customHeight="1">
      <c r="A175" s="340"/>
      <c r="B175" s="343" t="s">
        <v>245</v>
      </c>
      <c r="C175" s="760" t="s">
        <v>2569</v>
      </c>
      <c r="D175" s="242"/>
      <c r="E175" s="268">
        <v>3</v>
      </c>
      <c r="F175" s="268" t="s">
        <v>402</v>
      </c>
      <c r="G175" s="267">
        <v>24250</v>
      </c>
      <c r="H175" s="267">
        <f t="shared" si="46"/>
        <v>22671.520139749999</v>
      </c>
      <c r="I175" s="267">
        <f t="shared" si="47"/>
        <v>68014.560419249989</v>
      </c>
      <c r="J175" s="269">
        <v>0</v>
      </c>
      <c r="K175" s="269"/>
      <c r="L175" s="269">
        <v>0</v>
      </c>
      <c r="M175" s="270">
        <f t="shared" si="45"/>
        <v>68014.560419249989</v>
      </c>
      <c r="N175" s="270"/>
      <c r="O175" s="1163">
        <v>0.93490804699999996</v>
      </c>
    </row>
    <row r="176" spans="1:15" ht="18.95" customHeight="1">
      <c r="A176" s="340"/>
      <c r="B176" s="343" t="s">
        <v>245</v>
      </c>
      <c r="C176" s="760" t="s">
        <v>2601</v>
      </c>
      <c r="D176" s="164"/>
      <c r="E176" s="268">
        <v>3</v>
      </c>
      <c r="F176" s="268" t="s">
        <v>2550</v>
      </c>
      <c r="G176" s="267">
        <v>35280</v>
      </c>
      <c r="H176" s="267">
        <f t="shared" si="46"/>
        <v>32983.555898159997</v>
      </c>
      <c r="I176" s="267">
        <f t="shared" si="47"/>
        <v>98950.667694479984</v>
      </c>
      <c r="J176" s="269">
        <v>0</v>
      </c>
      <c r="K176" s="269"/>
      <c r="L176" s="269">
        <v>0</v>
      </c>
      <c r="M176" s="270">
        <f t="shared" si="45"/>
        <v>98950.667694479984</v>
      </c>
      <c r="N176" s="270"/>
      <c r="O176" s="1163">
        <v>0.93490804699999996</v>
      </c>
    </row>
    <row r="177" spans="1:15" ht="18.95" customHeight="1">
      <c r="A177" s="346"/>
      <c r="B177" s="343" t="s">
        <v>245</v>
      </c>
      <c r="C177" s="318" t="s">
        <v>2602</v>
      </c>
      <c r="D177" s="214"/>
      <c r="E177" s="268">
        <v>1</v>
      </c>
      <c r="F177" s="268" t="s">
        <v>402</v>
      </c>
      <c r="G177" s="267">
        <v>21462</v>
      </c>
      <c r="H177" s="267">
        <f t="shared" si="46"/>
        <v>20064.996504713999</v>
      </c>
      <c r="I177" s="267">
        <f t="shared" si="47"/>
        <v>20064.996504713999</v>
      </c>
      <c r="J177" s="269">
        <v>0</v>
      </c>
      <c r="K177" s="269"/>
      <c r="L177" s="269">
        <v>0</v>
      </c>
      <c r="M177" s="270">
        <f t="shared" si="45"/>
        <v>20064.996504713999</v>
      </c>
      <c r="N177" s="270"/>
      <c r="O177" s="1163">
        <v>0.93490804699999996</v>
      </c>
    </row>
    <row r="178" spans="1:15" ht="18.95" customHeight="1">
      <c r="A178" s="340"/>
      <c r="B178" s="343" t="s">
        <v>245</v>
      </c>
      <c r="C178" s="760" t="s">
        <v>2603</v>
      </c>
      <c r="D178" s="214"/>
      <c r="E178" s="268">
        <v>1</v>
      </c>
      <c r="F178" s="268" t="s">
        <v>2552</v>
      </c>
      <c r="G178" s="267">
        <v>21380</v>
      </c>
      <c r="H178" s="267">
        <f t="shared" si="46"/>
        <v>19988.334044859999</v>
      </c>
      <c r="I178" s="267">
        <f t="shared" si="47"/>
        <v>19988.334044859999</v>
      </c>
      <c r="J178" s="269">
        <v>0</v>
      </c>
      <c r="K178" s="269"/>
      <c r="L178" s="269">
        <v>0</v>
      </c>
      <c r="M178" s="270">
        <f t="shared" si="45"/>
        <v>19988.334044859999</v>
      </c>
      <c r="N178" s="270"/>
      <c r="O178" s="1163">
        <v>0.93490804699999996</v>
      </c>
    </row>
    <row r="179" spans="1:15" ht="18.95" customHeight="1">
      <c r="A179" s="340"/>
      <c r="B179" s="343" t="s">
        <v>245</v>
      </c>
      <c r="C179" s="760" t="s">
        <v>2583</v>
      </c>
      <c r="D179" s="242"/>
      <c r="E179" s="268">
        <v>1</v>
      </c>
      <c r="F179" s="268" t="s">
        <v>2552</v>
      </c>
      <c r="G179" s="267">
        <v>44100</v>
      </c>
      <c r="H179" s="267">
        <f t="shared" si="46"/>
        <v>41229.444872699998</v>
      </c>
      <c r="I179" s="267">
        <f t="shared" si="47"/>
        <v>41229.444872699998</v>
      </c>
      <c r="J179" s="269">
        <v>0</v>
      </c>
      <c r="K179" s="269"/>
      <c r="L179" s="269">
        <v>0</v>
      </c>
      <c r="M179" s="270">
        <f t="shared" si="45"/>
        <v>41229.444872699998</v>
      </c>
      <c r="N179" s="270"/>
      <c r="O179" s="1163">
        <v>0.93490804699999996</v>
      </c>
    </row>
    <row r="180" spans="1:15" ht="18.95" customHeight="1">
      <c r="A180" s="340"/>
      <c r="B180" s="343" t="s">
        <v>245</v>
      </c>
      <c r="C180" s="318" t="s">
        <v>2561</v>
      </c>
      <c r="D180" s="230"/>
      <c r="E180" s="268">
        <v>1</v>
      </c>
      <c r="F180" s="268" t="s">
        <v>351</v>
      </c>
      <c r="G180" s="267">
        <v>0</v>
      </c>
      <c r="H180" s="267"/>
      <c r="I180" s="267">
        <f t="shared" ref="I180" si="48">E180*G180</f>
        <v>0</v>
      </c>
      <c r="J180" s="269">
        <v>117600</v>
      </c>
      <c r="K180" s="269">
        <f>J180*O180</f>
        <v>109945.18632719999</v>
      </c>
      <c r="L180" s="269">
        <f xml:space="preserve"> E180*K180</f>
        <v>109945.18632719999</v>
      </c>
      <c r="M180" s="267">
        <f>I180+L180</f>
        <v>109945.18632719999</v>
      </c>
      <c r="N180" s="270"/>
      <c r="O180" s="1163">
        <v>0.93490804699999996</v>
      </c>
    </row>
    <row r="181" spans="1:15" ht="18.95" customHeight="1">
      <c r="A181" s="340">
        <v>11.3</v>
      </c>
      <c r="B181" s="341" t="s">
        <v>2604</v>
      </c>
      <c r="C181" s="318"/>
      <c r="D181" s="242"/>
      <c r="E181" s="268"/>
      <c r="F181" s="268"/>
      <c r="G181" s="267"/>
      <c r="H181" s="267"/>
      <c r="I181" s="267"/>
      <c r="J181" s="269"/>
      <c r="K181" s="269"/>
      <c r="L181" s="269"/>
      <c r="M181" s="267"/>
      <c r="N181" s="270"/>
      <c r="O181" s="1163">
        <v>0.93490804699999996</v>
      </c>
    </row>
    <row r="182" spans="1:15" ht="18.95" customHeight="1">
      <c r="A182" s="340"/>
      <c r="B182" s="343" t="s">
        <v>245</v>
      </c>
      <c r="C182" s="318" t="s">
        <v>2605</v>
      </c>
      <c r="D182" s="168"/>
      <c r="E182" s="268">
        <v>1</v>
      </c>
      <c r="F182" s="268" t="s">
        <v>2552</v>
      </c>
      <c r="G182" s="267">
        <v>48020</v>
      </c>
      <c r="H182" s="267">
        <f t="shared" ref="H182:H184" si="49">G182*O182</f>
        <v>44894.284416939998</v>
      </c>
      <c r="I182" s="267">
        <f t="shared" ref="I182:I184" si="50">E182*H182</f>
        <v>44894.284416939998</v>
      </c>
      <c r="J182" s="269">
        <v>0</v>
      </c>
      <c r="K182" s="269"/>
      <c r="L182" s="269">
        <v>0</v>
      </c>
      <c r="M182" s="267">
        <f>I182+L182</f>
        <v>44894.284416939998</v>
      </c>
      <c r="N182" s="270"/>
      <c r="O182" s="1163">
        <v>0.93490804699999996</v>
      </c>
    </row>
    <row r="183" spans="1:15" ht="18.95" customHeight="1">
      <c r="A183" s="340"/>
      <c r="B183" s="343" t="s">
        <v>245</v>
      </c>
      <c r="C183" s="318" t="s">
        <v>2606</v>
      </c>
      <c r="D183" s="168"/>
      <c r="E183" s="268">
        <v>1</v>
      </c>
      <c r="F183" s="268" t="s">
        <v>402</v>
      </c>
      <c r="G183" s="267">
        <v>23040</v>
      </c>
      <c r="H183" s="267">
        <f t="shared" si="49"/>
        <v>21540.281402879998</v>
      </c>
      <c r="I183" s="267">
        <f t="shared" si="50"/>
        <v>21540.281402879998</v>
      </c>
      <c r="J183" s="269">
        <v>0</v>
      </c>
      <c r="K183" s="269"/>
      <c r="L183" s="269">
        <v>0</v>
      </c>
      <c r="M183" s="267">
        <f>I183+L183</f>
        <v>21540.281402879998</v>
      </c>
      <c r="N183" s="270"/>
      <c r="O183" s="1163">
        <v>0.93490804699999996</v>
      </c>
    </row>
    <row r="184" spans="1:15" ht="18.95" customHeight="1">
      <c r="A184" s="340"/>
      <c r="B184" s="343" t="s">
        <v>245</v>
      </c>
      <c r="C184" s="318" t="s">
        <v>2607</v>
      </c>
      <c r="D184" s="168"/>
      <c r="E184" s="268">
        <v>1</v>
      </c>
      <c r="F184" s="268" t="s">
        <v>2552</v>
      </c>
      <c r="G184" s="267">
        <v>5390</v>
      </c>
      <c r="H184" s="267">
        <f t="shared" si="49"/>
        <v>5039.1543733299995</v>
      </c>
      <c r="I184" s="267">
        <f t="shared" si="50"/>
        <v>5039.1543733299995</v>
      </c>
      <c r="J184" s="269">
        <v>0</v>
      </c>
      <c r="K184" s="269"/>
      <c r="L184" s="269">
        <v>0</v>
      </c>
      <c r="M184" s="267">
        <f>I184+L184</f>
        <v>5039.1543733299995</v>
      </c>
      <c r="N184" s="270"/>
      <c r="O184" s="1163">
        <v>0.93490804699999996</v>
      </c>
    </row>
    <row r="185" spans="1:15" ht="18.95" customHeight="1">
      <c r="A185" s="340"/>
      <c r="B185" s="343" t="s">
        <v>245</v>
      </c>
      <c r="C185" s="318" t="s">
        <v>2608</v>
      </c>
      <c r="D185" s="168"/>
      <c r="E185" s="268">
        <v>1</v>
      </c>
      <c r="F185" s="268" t="s">
        <v>351</v>
      </c>
      <c r="G185" s="267">
        <v>0</v>
      </c>
      <c r="H185" s="267"/>
      <c r="I185" s="267">
        <f>E185*G185</f>
        <v>0</v>
      </c>
      <c r="J185" s="269">
        <v>19600</v>
      </c>
      <c r="K185" s="269">
        <f>J185*O185</f>
        <v>18324.197721199998</v>
      </c>
      <c r="L185" s="269">
        <f xml:space="preserve"> E185*K185</f>
        <v>18324.197721199998</v>
      </c>
      <c r="M185" s="267">
        <f>I185+L185</f>
        <v>18324.197721199998</v>
      </c>
      <c r="N185" s="270"/>
      <c r="O185" s="1163">
        <v>0.93490804699999996</v>
      </c>
    </row>
    <row r="186" spans="1:15" ht="18.95" customHeight="1">
      <c r="A186" s="340"/>
      <c r="B186" s="1301" t="s">
        <v>2609</v>
      </c>
      <c r="C186" s="1302"/>
      <c r="D186" s="1302"/>
      <c r="E186" s="267"/>
      <c r="F186" s="268"/>
      <c r="G186" s="267"/>
      <c r="H186" s="267"/>
      <c r="I186" s="267"/>
      <c r="J186" s="269"/>
      <c r="K186" s="269"/>
      <c r="L186" s="269"/>
      <c r="M186" s="288">
        <f>SUM(M158:M185)</f>
        <v>2129544.7683531637</v>
      </c>
      <c r="N186" s="270"/>
      <c r="O186" s="1163">
        <v>0.93490804699999996</v>
      </c>
    </row>
    <row r="187" spans="1:15" ht="18.95" customHeight="1">
      <c r="A187" s="340"/>
      <c r="B187" s="350"/>
      <c r="C187" s="351"/>
      <c r="D187" s="352"/>
      <c r="E187" s="267"/>
      <c r="F187" s="268"/>
      <c r="G187" s="267"/>
      <c r="H187" s="267"/>
      <c r="I187" s="267"/>
      <c r="J187" s="269"/>
      <c r="K187" s="269"/>
      <c r="L187" s="269"/>
      <c r="M187" s="288"/>
      <c r="N187" s="270"/>
      <c r="O187" s="1163">
        <v>0.93490804699999996</v>
      </c>
    </row>
    <row r="188" spans="1:15" ht="18.95" customHeight="1">
      <c r="A188" s="336">
        <v>12</v>
      </c>
      <c r="B188" s="740" t="s">
        <v>2545</v>
      </c>
      <c r="C188" s="318"/>
      <c r="D188" s="164"/>
      <c r="E188" s="267"/>
      <c r="F188" s="268"/>
      <c r="G188" s="267"/>
      <c r="H188" s="267"/>
      <c r="I188" s="267"/>
      <c r="J188" s="269"/>
      <c r="K188" s="269"/>
      <c r="L188" s="269"/>
      <c r="M188" s="270"/>
      <c r="N188" s="268"/>
      <c r="O188" s="1163">
        <v>0.93490804699999996</v>
      </c>
    </row>
    <row r="189" spans="1:15" ht="18.95" customHeight="1">
      <c r="A189" s="340">
        <v>12.1</v>
      </c>
      <c r="B189" s="341" t="s">
        <v>2587</v>
      </c>
      <c r="C189" s="318"/>
      <c r="D189" s="164"/>
      <c r="E189" s="267"/>
      <c r="F189" s="268"/>
      <c r="G189" s="267"/>
      <c r="H189" s="267"/>
      <c r="I189" s="267"/>
      <c r="J189" s="269"/>
      <c r="K189" s="269"/>
      <c r="L189" s="269"/>
      <c r="M189" s="270"/>
      <c r="N189" s="268"/>
      <c r="O189" s="1163">
        <v>0.93490804699999996</v>
      </c>
    </row>
    <row r="190" spans="1:15" ht="18.95" customHeight="1">
      <c r="A190" s="340"/>
      <c r="B190" s="343" t="s">
        <v>245</v>
      </c>
      <c r="C190" s="760" t="s">
        <v>2588</v>
      </c>
      <c r="D190" s="164"/>
      <c r="E190" s="268">
        <v>1</v>
      </c>
      <c r="F190" s="268" t="s">
        <v>2560</v>
      </c>
      <c r="G190" s="267">
        <v>27440</v>
      </c>
      <c r="H190" s="267">
        <f t="shared" ref="H190:H191" si="51">G190*O190</f>
        <v>25653.876809679998</v>
      </c>
      <c r="I190" s="267">
        <f t="shared" ref="I190:I191" si="52">E190*H190</f>
        <v>25653.876809679998</v>
      </c>
      <c r="J190" s="269">
        <v>0</v>
      </c>
      <c r="K190" s="269"/>
      <c r="L190" s="269">
        <v>0</v>
      </c>
      <c r="M190" s="270">
        <f>SUM(I190)</f>
        <v>25653.876809679998</v>
      </c>
      <c r="N190" s="268"/>
      <c r="O190" s="1163">
        <v>0.93490804699999996</v>
      </c>
    </row>
    <row r="191" spans="1:15" ht="18.95" customHeight="1">
      <c r="A191" s="340"/>
      <c r="B191" s="343" t="s">
        <v>245</v>
      </c>
      <c r="C191" s="760" t="s">
        <v>2589</v>
      </c>
      <c r="D191" s="164"/>
      <c r="E191" s="268">
        <v>1</v>
      </c>
      <c r="F191" s="268" t="s">
        <v>2550</v>
      </c>
      <c r="G191" s="267">
        <v>27146</v>
      </c>
      <c r="H191" s="267">
        <f t="shared" si="51"/>
        <v>25379.013843861998</v>
      </c>
      <c r="I191" s="267">
        <f t="shared" si="52"/>
        <v>25379.013843861998</v>
      </c>
      <c r="J191" s="269">
        <v>0</v>
      </c>
      <c r="K191" s="269"/>
      <c r="L191" s="269">
        <v>0</v>
      </c>
      <c r="M191" s="270">
        <f>SUM(I191)</f>
        <v>25379.013843861998</v>
      </c>
      <c r="N191" s="268"/>
      <c r="O191" s="1163">
        <v>0.93490804699999996</v>
      </c>
    </row>
    <row r="192" spans="1:15" ht="18.95" customHeight="1">
      <c r="A192" s="340">
        <v>12.2</v>
      </c>
      <c r="B192" s="341" t="s">
        <v>2561</v>
      </c>
      <c r="C192" s="318"/>
      <c r="D192" s="164"/>
      <c r="E192" s="268">
        <v>1</v>
      </c>
      <c r="F192" s="561" t="s">
        <v>351</v>
      </c>
      <c r="G192" s="267">
        <v>0</v>
      </c>
      <c r="H192" s="267"/>
      <c r="I192" s="267">
        <f>E192*G192</f>
        <v>0</v>
      </c>
      <c r="J192" s="269">
        <v>11760</v>
      </c>
      <c r="K192" s="269">
        <f>J192*O192</f>
        <v>10994.518632719999</v>
      </c>
      <c r="L192" s="269">
        <f xml:space="preserve"> E192*K192</f>
        <v>10994.518632719999</v>
      </c>
      <c r="M192" s="270">
        <f>SUM(L192+I192)</f>
        <v>10994.518632719999</v>
      </c>
      <c r="N192" s="268"/>
      <c r="O192" s="1163">
        <v>0.93490804699999996</v>
      </c>
    </row>
    <row r="193" spans="1:21" ht="18.95" customHeight="1">
      <c r="A193" s="340"/>
      <c r="B193" s="1301" t="s">
        <v>2610</v>
      </c>
      <c r="C193" s="1302"/>
      <c r="D193" s="1302"/>
      <c r="E193" s="267"/>
      <c r="F193" s="268"/>
      <c r="G193" s="267"/>
      <c r="H193" s="267"/>
      <c r="I193" s="267"/>
      <c r="J193" s="269"/>
      <c r="K193" s="269"/>
      <c r="L193" s="269"/>
      <c r="M193" s="288">
        <f>SUM(M190:M192)</f>
        <v>62027.409286261995</v>
      </c>
      <c r="N193" s="268"/>
      <c r="O193" s="1163">
        <v>0.93490804699999996</v>
      </c>
    </row>
    <row r="194" spans="1:21" ht="18.95" customHeight="1">
      <c r="A194" s="340"/>
      <c r="B194" s="333"/>
      <c r="C194" s="334"/>
      <c r="D194" s="334"/>
      <c r="E194" s="267"/>
      <c r="F194" s="268"/>
      <c r="G194" s="267"/>
      <c r="H194" s="267"/>
      <c r="I194" s="267"/>
      <c r="J194" s="269"/>
      <c r="K194" s="269"/>
      <c r="L194" s="269"/>
      <c r="M194" s="288"/>
      <c r="N194" s="268"/>
      <c r="O194" s="1163">
        <v>0.93490804699999996</v>
      </c>
    </row>
    <row r="195" spans="1:21" ht="18.95" customHeight="1">
      <c r="A195" s="340"/>
      <c r="B195" s="333"/>
      <c r="C195" s="334"/>
      <c r="D195" s="334"/>
      <c r="E195" s="267"/>
      <c r="F195" s="268"/>
      <c r="G195" s="267"/>
      <c r="H195" s="267"/>
      <c r="I195" s="267"/>
      <c r="J195" s="269"/>
      <c r="K195" s="269"/>
      <c r="L195" s="269"/>
      <c r="M195" s="288"/>
      <c r="N195" s="268"/>
      <c r="O195" s="1163">
        <v>0.93490804699999996</v>
      </c>
    </row>
    <row r="196" spans="1:21" ht="18.95" customHeight="1">
      <c r="A196" s="340"/>
      <c r="B196" s="333"/>
      <c r="C196" s="334"/>
      <c r="D196" s="334"/>
      <c r="E196" s="267"/>
      <c r="F196" s="268"/>
      <c r="G196" s="267"/>
      <c r="H196" s="267"/>
      <c r="I196" s="267"/>
      <c r="J196" s="269"/>
      <c r="K196" s="269"/>
      <c r="L196" s="269"/>
      <c r="M196" s="288"/>
      <c r="N196" s="268"/>
      <c r="O196" s="1163">
        <v>0.93490804699999996</v>
      </c>
    </row>
    <row r="197" spans="1:21" ht="18.95" customHeight="1">
      <c r="A197" s="340"/>
      <c r="B197" s="347"/>
      <c r="C197" s="163"/>
      <c r="D197" s="164"/>
      <c r="E197" s="267"/>
      <c r="F197" s="268"/>
      <c r="G197" s="267"/>
      <c r="H197" s="267"/>
      <c r="I197" s="267"/>
      <c r="J197" s="269"/>
      <c r="K197" s="269"/>
      <c r="L197" s="269"/>
      <c r="M197" s="270"/>
      <c r="N197" s="268"/>
      <c r="O197" s="1163">
        <v>0.93490804699999996</v>
      </c>
    </row>
    <row r="198" spans="1:21" ht="18.95" customHeight="1">
      <c r="A198" s="336">
        <v>13</v>
      </c>
      <c r="B198" s="740" t="s">
        <v>2546</v>
      </c>
      <c r="C198" s="318"/>
      <c r="D198" s="187"/>
      <c r="E198" s="267"/>
      <c r="F198" s="268"/>
      <c r="G198" s="267"/>
      <c r="H198" s="267"/>
      <c r="I198" s="267"/>
      <c r="J198" s="269"/>
      <c r="K198" s="269"/>
      <c r="L198" s="269"/>
      <c r="M198" s="270"/>
      <c r="N198" s="268"/>
      <c r="O198" s="1163">
        <v>0.93490804699999996</v>
      </c>
    </row>
    <row r="199" spans="1:21" ht="18.95" customHeight="1">
      <c r="A199" s="340">
        <v>13.1</v>
      </c>
      <c r="B199" s="341" t="s">
        <v>2548</v>
      </c>
      <c r="C199" s="318"/>
      <c r="D199" s="187"/>
      <c r="E199" s="267"/>
      <c r="F199" s="268"/>
      <c r="G199" s="267"/>
      <c r="H199" s="267"/>
      <c r="I199" s="267"/>
      <c r="J199" s="269"/>
      <c r="K199" s="269"/>
      <c r="L199" s="269"/>
      <c r="M199" s="270"/>
      <c r="N199" s="268"/>
      <c r="O199" s="1163">
        <v>0.93490804699999996</v>
      </c>
    </row>
    <row r="200" spans="1:21" ht="18.95" customHeight="1">
      <c r="A200" s="346"/>
      <c r="B200" s="343" t="s">
        <v>245</v>
      </c>
      <c r="C200" s="760" t="s">
        <v>2611</v>
      </c>
      <c r="D200" s="242"/>
      <c r="E200" s="268">
        <v>2</v>
      </c>
      <c r="F200" s="269" t="s">
        <v>402</v>
      </c>
      <c r="G200" s="267">
        <v>72750</v>
      </c>
      <c r="H200" s="267">
        <f t="shared" ref="H200:H201" si="53">G200*O200</f>
        <v>68014.560419250003</v>
      </c>
      <c r="I200" s="267">
        <f t="shared" ref="I200:I201" si="54">E200*H200</f>
        <v>136029.12083850001</v>
      </c>
      <c r="J200" s="269">
        <v>0</v>
      </c>
      <c r="K200" s="269"/>
      <c r="L200" s="269">
        <v>0</v>
      </c>
      <c r="M200" s="270">
        <f>SUM(I200)</f>
        <v>136029.12083850001</v>
      </c>
      <c r="N200" s="268"/>
      <c r="O200" s="1163">
        <v>0.93490804699999996</v>
      </c>
    </row>
    <row r="201" spans="1:21" ht="18.95" customHeight="1">
      <c r="A201" s="346"/>
      <c r="B201" s="343" t="s">
        <v>245</v>
      </c>
      <c r="C201" s="760" t="s">
        <v>2612</v>
      </c>
      <c r="D201" s="235"/>
      <c r="E201" s="268">
        <v>2</v>
      </c>
      <c r="F201" s="269" t="s">
        <v>402</v>
      </c>
      <c r="G201" s="267">
        <v>14700</v>
      </c>
      <c r="H201" s="267">
        <f t="shared" si="53"/>
        <v>13743.148290899999</v>
      </c>
      <c r="I201" s="267">
        <f t="shared" si="54"/>
        <v>27486.296581799998</v>
      </c>
      <c r="J201" s="269">
        <v>0</v>
      </c>
      <c r="K201" s="269"/>
      <c r="L201" s="269">
        <v>0</v>
      </c>
      <c r="M201" s="270">
        <f>SUM(I201)</f>
        <v>27486.296581799998</v>
      </c>
      <c r="N201" s="292"/>
      <c r="O201" s="1163">
        <v>0.93490804699999996</v>
      </c>
      <c r="P201" s="767"/>
      <c r="Q201" s="763"/>
      <c r="R201" s="764"/>
      <c r="S201" s="765"/>
      <c r="T201" s="765"/>
      <c r="U201" s="764"/>
    </row>
    <row r="202" spans="1:21" ht="18.95" customHeight="1">
      <c r="A202" s="346"/>
      <c r="B202" s="343" t="s">
        <v>245</v>
      </c>
      <c r="C202" s="760" t="s">
        <v>2597</v>
      </c>
      <c r="D202" s="168"/>
      <c r="E202" s="268">
        <v>1</v>
      </c>
      <c r="F202" s="268" t="s">
        <v>2552</v>
      </c>
      <c r="G202" s="267">
        <v>64020</v>
      </c>
      <c r="H202" s="267">
        <f>G202*O202</f>
        <v>59852.813168939996</v>
      </c>
      <c r="I202" s="267">
        <f t="shared" ref="I202:I207" si="55">E202*H202</f>
        <v>59852.813168939996</v>
      </c>
      <c r="J202" s="269">
        <v>0</v>
      </c>
      <c r="K202" s="269"/>
      <c r="L202" s="269">
        <v>0</v>
      </c>
      <c r="M202" s="270">
        <f>SUM(I202)</f>
        <v>59852.813168939996</v>
      </c>
      <c r="N202" s="268"/>
      <c r="O202" s="1163">
        <v>0.93490804699999996</v>
      </c>
      <c r="P202" s="768"/>
      <c r="Q202" s="763"/>
      <c r="R202" s="764"/>
      <c r="S202" s="765"/>
      <c r="T202" s="765"/>
      <c r="U202" s="764"/>
    </row>
    <row r="203" spans="1:21" ht="18.95" customHeight="1">
      <c r="A203" s="346"/>
      <c r="B203" s="343" t="s">
        <v>245</v>
      </c>
      <c r="C203" s="760" t="s">
        <v>2613</v>
      </c>
      <c r="D203" s="235"/>
      <c r="E203" s="268">
        <v>2</v>
      </c>
      <c r="F203" s="269" t="s">
        <v>402</v>
      </c>
      <c r="G203" s="267">
        <v>37442</v>
      </c>
      <c r="H203" s="267">
        <f>G203*O203</f>
        <v>35004.827095773995</v>
      </c>
      <c r="I203" s="267">
        <f t="shared" si="55"/>
        <v>70009.65419154799</v>
      </c>
      <c r="J203" s="269">
        <v>0</v>
      </c>
      <c r="K203" s="269"/>
      <c r="L203" s="269">
        <v>0</v>
      </c>
      <c r="M203" s="270">
        <f>SUM(I203)</f>
        <v>70009.65419154799</v>
      </c>
      <c r="N203" s="268"/>
      <c r="O203" s="1163">
        <v>0.93490804699999996</v>
      </c>
      <c r="P203" s="767"/>
      <c r="Q203" s="763"/>
      <c r="R203" s="407"/>
      <c r="S203" s="765"/>
      <c r="T203" s="765"/>
      <c r="U203" s="764"/>
    </row>
    <row r="204" spans="1:21" ht="18.95" customHeight="1">
      <c r="A204" s="346"/>
      <c r="B204" s="343" t="s">
        <v>245</v>
      </c>
      <c r="C204" s="760" t="s">
        <v>2614</v>
      </c>
      <c r="D204" s="242"/>
      <c r="E204" s="268">
        <v>1</v>
      </c>
      <c r="F204" s="269" t="s">
        <v>2557</v>
      </c>
      <c r="G204" s="267">
        <v>14700</v>
      </c>
      <c r="H204" s="267">
        <f>G204*O204</f>
        <v>13743.148290899999</v>
      </c>
      <c r="I204" s="267">
        <f t="shared" si="55"/>
        <v>13743.148290899999</v>
      </c>
      <c r="J204" s="269">
        <v>0</v>
      </c>
      <c r="K204" s="269"/>
      <c r="L204" s="269">
        <v>0</v>
      </c>
      <c r="M204" s="270">
        <f>SUM(I204)</f>
        <v>13743.148290899999</v>
      </c>
      <c r="N204" s="292"/>
      <c r="O204" s="1163">
        <v>0.93490804699999996</v>
      </c>
      <c r="P204" s="768"/>
      <c r="Q204" s="763"/>
      <c r="R204" s="764"/>
      <c r="S204" s="765"/>
      <c r="T204" s="765"/>
      <c r="U204" s="764"/>
    </row>
    <row r="205" spans="1:21" ht="18.95" customHeight="1">
      <c r="A205" s="346"/>
      <c r="B205" s="343" t="s">
        <v>245</v>
      </c>
      <c r="C205" s="318" t="s">
        <v>2561</v>
      </c>
      <c r="D205" s="230"/>
      <c r="E205" s="268">
        <v>1</v>
      </c>
      <c r="F205" s="268" t="s">
        <v>351</v>
      </c>
      <c r="G205" s="267">
        <v>0</v>
      </c>
      <c r="H205" s="267">
        <f>G205*O205</f>
        <v>0</v>
      </c>
      <c r="I205" s="267">
        <f t="shared" si="55"/>
        <v>0</v>
      </c>
      <c r="J205" s="269">
        <v>11760</v>
      </c>
      <c r="K205" s="269">
        <f>J205*O205</f>
        <v>10994.518632719999</v>
      </c>
      <c r="L205" s="269">
        <f xml:space="preserve"> E205*K205</f>
        <v>10994.518632719999</v>
      </c>
      <c r="M205" s="270">
        <f>SUM(L205+I205)</f>
        <v>10994.518632719999</v>
      </c>
      <c r="N205" s="268"/>
      <c r="O205" s="1163">
        <v>0.93490804699999996</v>
      </c>
      <c r="P205" s="767"/>
      <c r="Q205" s="763"/>
      <c r="R205" s="764"/>
      <c r="S205" s="765"/>
      <c r="T205" s="765"/>
      <c r="U205" s="764"/>
    </row>
    <row r="206" spans="1:21" ht="18.95" customHeight="1">
      <c r="A206" s="340">
        <v>13.2</v>
      </c>
      <c r="B206" s="341" t="s">
        <v>2558</v>
      </c>
      <c r="C206" s="318"/>
      <c r="D206" s="164"/>
      <c r="E206" s="267"/>
      <c r="F206" s="268"/>
      <c r="G206" s="267"/>
      <c r="H206" s="267"/>
      <c r="I206" s="267"/>
      <c r="J206" s="269"/>
      <c r="K206" s="269"/>
      <c r="L206" s="269"/>
      <c r="M206" s="270"/>
      <c r="N206" s="268"/>
      <c r="O206" s="1163">
        <v>0.93490804699999996</v>
      </c>
      <c r="P206" s="769"/>
      <c r="Q206" s="763"/>
      <c r="R206" s="407"/>
      <c r="S206" s="765"/>
      <c r="T206" s="765"/>
      <c r="U206" s="764"/>
    </row>
    <row r="207" spans="1:21" ht="18.95" customHeight="1">
      <c r="A207" s="346"/>
      <c r="B207" s="343" t="s">
        <v>245</v>
      </c>
      <c r="C207" s="760" t="s">
        <v>2615</v>
      </c>
      <c r="D207" s="164"/>
      <c r="E207" s="268">
        <v>1</v>
      </c>
      <c r="F207" s="269" t="s">
        <v>2560</v>
      </c>
      <c r="G207" s="267">
        <v>48412</v>
      </c>
      <c r="H207" s="267">
        <f>G207*O207</f>
        <v>45260.768371364</v>
      </c>
      <c r="I207" s="267">
        <f t="shared" si="55"/>
        <v>45260.768371364</v>
      </c>
      <c r="J207" s="269">
        <v>0</v>
      </c>
      <c r="K207" s="269"/>
      <c r="L207" s="269">
        <v>0</v>
      </c>
      <c r="M207" s="270">
        <f>SUM(I207)</f>
        <v>45260.768371364</v>
      </c>
      <c r="N207" s="268"/>
      <c r="O207" s="1163">
        <v>0.93490804699999996</v>
      </c>
    </row>
    <row r="208" spans="1:21" ht="18.95" customHeight="1">
      <c r="A208" s="505"/>
      <c r="B208" s="1301" t="s">
        <v>2616</v>
      </c>
      <c r="C208" s="1302"/>
      <c r="D208" s="1302"/>
      <c r="E208" s="267"/>
      <c r="F208" s="268"/>
      <c r="G208" s="267"/>
      <c r="H208" s="267"/>
      <c r="I208" s="267"/>
      <c r="J208" s="269"/>
      <c r="K208" s="269"/>
      <c r="L208" s="269"/>
      <c r="M208" s="288">
        <f>SUM(M200:M207)</f>
        <v>363376.32007577195</v>
      </c>
      <c r="N208" s="268"/>
      <c r="O208" s="1163"/>
    </row>
    <row r="209" spans="1:15" ht="18.95" customHeight="1">
      <c r="A209" s="340"/>
      <c r="B209" s="341"/>
      <c r="C209" s="318"/>
      <c r="D209" s="164"/>
      <c r="E209" s="267"/>
      <c r="F209" s="268"/>
      <c r="G209" s="267"/>
      <c r="H209" s="267"/>
      <c r="I209" s="267"/>
      <c r="J209" s="269"/>
      <c r="K209" s="269"/>
      <c r="L209" s="269"/>
      <c r="M209" s="270"/>
      <c r="N209" s="268"/>
      <c r="O209" s="1163"/>
    </row>
    <row r="210" spans="1:15" ht="18.95" customHeight="1">
      <c r="A210" s="340"/>
      <c r="B210" s="341"/>
      <c r="C210" s="318"/>
      <c r="D210" s="167"/>
      <c r="E210" s="267"/>
      <c r="F210" s="268"/>
      <c r="G210" s="267"/>
      <c r="H210" s="267"/>
      <c r="I210" s="267"/>
      <c r="J210" s="269"/>
      <c r="K210" s="269"/>
      <c r="L210" s="269"/>
      <c r="M210" s="270"/>
      <c r="N210" s="268"/>
      <c r="O210" s="1163"/>
    </row>
    <row r="211" spans="1:15" ht="18.95" customHeight="1">
      <c r="A211" s="505"/>
      <c r="B211" s="345"/>
      <c r="C211" s="318"/>
      <c r="D211" s="164"/>
      <c r="E211" s="267"/>
      <c r="F211" s="268"/>
      <c r="G211" s="267"/>
      <c r="H211" s="267"/>
      <c r="I211" s="267"/>
      <c r="J211" s="269"/>
      <c r="K211" s="269"/>
      <c r="L211" s="269"/>
      <c r="M211" s="270"/>
      <c r="N211" s="268"/>
      <c r="O211" s="1163"/>
    </row>
    <row r="212" spans="1:15" ht="18.95" customHeight="1">
      <c r="A212" s="340"/>
      <c r="B212" s="1301"/>
      <c r="C212" s="1302"/>
      <c r="D212" s="1303"/>
      <c r="E212" s="267"/>
      <c r="F212" s="268"/>
      <c r="G212" s="267"/>
      <c r="H212" s="267"/>
      <c r="I212" s="267"/>
      <c r="J212" s="269"/>
      <c r="K212" s="269"/>
      <c r="L212" s="269"/>
      <c r="M212" s="288"/>
      <c r="N212" s="268"/>
    </row>
    <row r="213" spans="1:15" ht="18.95" customHeight="1">
      <c r="A213" s="340"/>
      <c r="B213" s="347"/>
      <c r="C213" s="163"/>
      <c r="D213" s="167"/>
      <c r="E213" s="267"/>
      <c r="F213" s="268"/>
      <c r="G213" s="267"/>
      <c r="H213" s="267"/>
      <c r="I213" s="267"/>
      <c r="J213" s="269"/>
      <c r="K213" s="269"/>
      <c r="L213" s="269"/>
      <c r="M213" s="270"/>
      <c r="N213" s="268"/>
    </row>
    <row r="214" spans="1:15" ht="18.95" customHeight="1">
      <c r="A214" s="340"/>
      <c r="B214" s="347"/>
      <c r="C214" s="163"/>
      <c r="D214" s="164"/>
      <c r="E214" s="267"/>
      <c r="F214" s="268"/>
      <c r="G214" s="267"/>
      <c r="H214" s="267"/>
      <c r="I214" s="267"/>
      <c r="J214" s="269"/>
      <c r="K214" s="269"/>
      <c r="L214" s="269"/>
      <c r="M214" s="270"/>
      <c r="N214" s="268"/>
    </row>
    <row r="215" spans="1:15" ht="18.95" customHeight="1">
      <c r="A215" s="340"/>
      <c r="B215" s="341"/>
      <c r="C215" s="242"/>
      <c r="D215" s="168"/>
      <c r="E215" s="267"/>
      <c r="F215" s="268"/>
      <c r="G215" s="267"/>
      <c r="H215" s="267"/>
      <c r="I215" s="267"/>
      <c r="J215" s="269"/>
      <c r="K215" s="269"/>
      <c r="L215" s="269"/>
      <c r="M215" s="270"/>
      <c r="N215" s="268"/>
    </row>
    <row r="216" spans="1:15" ht="18.95" customHeight="1">
      <c r="A216" s="340"/>
      <c r="B216" s="341"/>
      <c r="C216" s="242"/>
      <c r="D216" s="187"/>
      <c r="E216" s="267"/>
      <c r="F216" s="268"/>
      <c r="G216" s="267"/>
      <c r="H216" s="267"/>
      <c r="I216" s="267"/>
      <c r="J216" s="269"/>
      <c r="K216" s="269"/>
      <c r="L216" s="269"/>
      <c r="M216" s="270"/>
      <c r="N216" s="268"/>
    </row>
    <row r="217" spans="1:15" ht="18.95" customHeight="1">
      <c r="A217" s="340"/>
      <c r="B217" s="348"/>
      <c r="C217" s="190"/>
      <c r="D217" s="168"/>
      <c r="E217" s="267"/>
      <c r="F217" s="268"/>
      <c r="G217" s="267"/>
      <c r="H217" s="267"/>
      <c r="I217" s="267"/>
      <c r="J217" s="269"/>
      <c r="K217" s="269"/>
      <c r="L217" s="269"/>
      <c r="M217" s="270"/>
      <c r="N217" s="268"/>
    </row>
    <row r="218" spans="1:15" ht="18.95" customHeight="1">
      <c r="A218" s="340"/>
      <c r="B218" s="344"/>
      <c r="C218" s="242"/>
      <c r="D218" s="187"/>
      <c r="E218" s="267"/>
      <c r="F218" s="268"/>
      <c r="G218" s="267"/>
      <c r="H218" s="267"/>
      <c r="I218" s="267"/>
      <c r="J218" s="269"/>
      <c r="K218" s="269"/>
      <c r="L218" s="269"/>
      <c r="M218" s="270"/>
      <c r="N218" s="268"/>
    </row>
    <row r="219" spans="1:15" ht="18.95" customHeight="1">
      <c r="A219" s="346"/>
      <c r="B219" s="349"/>
      <c r="C219" s="242"/>
      <c r="D219" s="168"/>
      <c r="E219" s="367"/>
      <c r="F219" s="388"/>
      <c r="G219" s="367"/>
      <c r="H219" s="367"/>
      <c r="I219" s="367"/>
      <c r="J219" s="372"/>
      <c r="K219" s="372"/>
      <c r="L219" s="372"/>
      <c r="M219" s="370"/>
      <c r="N219" s="224"/>
    </row>
    <row r="220" spans="1:15" ht="18.95" customHeight="1">
      <c r="A220" s="346"/>
      <c r="B220" s="349"/>
      <c r="C220" s="318"/>
      <c r="D220" s="235"/>
      <c r="E220" s="367"/>
      <c r="F220" s="388"/>
      <c r="G220" s="367"/>
      <c r="H220" s="367"/>
      <c r="I220" s="367"/>
      <c r="J220" s="372"/>
      <c r="K220" s="372"/>
      <c r="L220" s="372"/>
      <c r="M220" s="370"/>
      <c r="N220" s="224"/>
    </row>
    <row r="221" spans="1:15" ht="18.95" customHeight="1">
      <c r="A221" s="346"/>
      <c r="B221" s="349"/>
      <c r="C221" s="318"/>
      <c r="D221" s="235"/>
      <c r="E221" s="367"/>
      <c r="F221" s="388"/>
      <c r="G221" s="367"/>
      <c r="H221" s="367"/>
      <c r="I221" s="367"/>
      <c r="J221" s="372"/>
      <c r="K221" s="372"/>
      <c r="L221" s="372"/>
      <c r="M221" s="370"/>
      <c r="N221" s="224"/>
    </row>
    <row r="222" spans="1:15" ht="18.95" customHeight="1">
      <c r="A222" s="346"/>
      <c r="B222" s="349"/>
      <c r="C222" s="152"/>
      <c r="D222" s="235"/>
      <c r="E222" s="367"/>
      <c r="F222" s="388"/>
      <c r="G222" s="367"/>
      <c r="H222" s="367"/>
      <c r="I222" s="367"/>
      <c r="J222" s="372"/>
      <c r="K222" s="372"/>
      <c r="L222" s="372"/>
      <c r="M222" s="370"/>
      <c r="N222" s="224"/>
    </row>
    <row r="223" spans="1:15" ht="18.95" customHeight="1">
      <c r="A223" s="748"/>
      <c r="B223" s="603"/>
      <c r="C223" s="242"/>
      <c r="D223" s="168"/>
      <c r="E223" s="675"/>
      <c r="F223" s="770"/>
      <c r="G223" s="675"/>
      <c r="H223" s="675"/>
      <c r="I223" s="675"/>
      <c r="J223" s="771"/>
      <c r="K223" s="771"/>
      <c r="L223" s="771"/>
      <c r="M223" s="694"/>
      <c r="N223" s="678"/>
    </row>
    <row r="224" spans="1:15" ht="18.95" customHeight="1">
      <c r="A224" s="401"/>
      <c r="B224" s="133"/>
      <c r="C224" s="402"/>
      <c r="D224" s="403"/>
      <c r="E224" s="404"/>
      <c r="F224" s="772"/>
      <c r="G224" s="404"/>
      <c r="H224" s="404"/>
      <c r="I224" s="404"/>
      <c r="J224" s="404"/>
      <c r="K224" s="404"/>
      <c r="L224" s="696"/>
      <c r="M224" s="404"/>
      <c r="N224" s="401"/>
    </row>
    <row r="225" spans="1:14" ht="18.95" customHeight="1">
      <c r="A225" s="737"/>
      <c r="B225" s="738"/>
      <c r="C225" s="619"/>
      <c r="D225" s="228"/>
      <c r="E225" s="669"/>
      <c r="F225" s="312"/>
      <c r="G225" s="669"/>
      <c r="H225" s="669"/>
      <c r="I225" s="669"/>
      <c r="J225" s="668"/>
      <c r="K225" s="668"/>
      <c r="L225" s="669"/>
      <c r="M225" s="773"/>
      <c r="N225" s="312"/>
    </row>
    <row r="226" spans="1:14" ht="18.95" customHeight="1">
      <c r="A226" s="340"/>
      <c r="B226" s="343"/>
      <c r="C226" s="318"/>
      <c r="D226" s="753"/>
      <c r="E226" s="367"/>
      <c r="F226" s="388"/>
      <c r="G226" s="367"/>
      <c r="H226" s="367"/>
      <c r="I226" s="367"/>
      <c r="J226" s="372"/>
      <c r="K226" s="372"/>
      <c r="L226" s="372"/>
      <c r="M226" s="370"/>
      <c r="N226" s="362"/>
    </row>
    <row r="227" spans="1:14" ht="18.95" customHeight="1">
      <c r="A227" s="340"/>
      <c r="B227" s="343"/>
      <c r="C227" s="318"/>
      <c r="D227" s="754"/>
      <c r="E227" s="367"/>
      <c r="F227" s="388"/>
      <c r="G227" s="367"/>
      <c r="H227" s="367"/>
      <c r="I227" s="367"/>
      <c r="J227" s="372"/>
      <c r="K227" s="372"/>
      <c r="L227" s="372"/>
      <c r="M227" s="370"/>
      <c r="N227" s="362"/>
    </row>
    <row r="228" spans="1:14" ht="18.95" customHeight="1">
      <c r="A228" s="340"/>
      <c r="B228" s="343"/>
      <c r="C228" s="318"/>
      <c r="D228" s="755"/>
      <c r="E228" s="367"/>
      <c r="F228" s="388"/>
      <c r="G228" s="367"/>
      <c r="H228" s="367"/>
      <c r="I228" s="367"/>
      <c r="J228" s="372"/>
      <c r="K228" s="372"/>
      <c r="L228" s="372"/>
      <c r="M228" s="370"/>
      <c r="N228" s="370"/>
    </row>
    <row r="229" spans="1:14" ht="18.95" customHeight="1">
      <c r="A229" s="340"/>
      <c r="B229" s="343"/>
      <c r="C229" s="318"/>
      <c r="D229" s="753"/>
      <c r="E229" s="367"/>
      <c r="F229" s="388"/>
      <c r="G229" s="367"/>
      <c r="H229" s="367"/>
      <c r="I229" s="367"/>
      <c r="J229" s="372"/>
      <c r="K229" s="372"/>
      <c r="L229" s="372"/>
      <c r="M229" s="370"/>
      <c r="N229" s="370"/>
    </row>
    <row r="230" spans="1:14" ht="18.95" customHeight="1">
      <c r="A230" s="340"/>
      <c r="B230" s="343"/>
      <c r="C230" s="318"/>
      <c r="D230" s="755"/>
      <c r="E230" s="367"/>
      <c r="F230" s="388"/>
      <c r="G230" s="367"/>
      <c r="H230" s="367"/>
      <c r="I230" s="367"/>
      <c r="J230" s="372"/>
      <c r="K230" s="372"/>
      <c r="L230" s="372"/>
      <c r="M230" s="370"/>
      <c r="N230" s="370"/>
    </row>
    <row r="231" spans="1:14" ht="18.95" customHeight="1">
      <c r="A231" s="340"/>
      <c r="B231" s="343"/>
      <c r="C231" s="318"/>
      <c r="D231" s="755"/>
      <c r="E231" s="367"/>
      <c r="F231" s="388"/>
      <c r="G231" s="367"/>
      <c r="H231" s="367"/>
      <c r="I231" s="367"/>
      <c r="J231" s="372"/>
      <c r="K231" s="372"/>
      <c r="L231" s="372"/>
      <c r="M231" s="370"/>
      <c r="N231" s="370"/>
    </row>
    <row r="232" spans="1:14" ht="18.95" customHeight="1">
      <c r="A232" s="340"/>
      <c r="B232" s="343"/>
      <c r="C232" s="318"/>
      <c r="D232" s="755"/>
      <c r="E232" s="367"/>
      <c r="F232" s="388"/>
      <c r="G232" s="367"/>
      <c r="H232" s="367"/>
      <c r="I232" s="367"/>
      <c r="J232" s="372"/>
      <c r="K232" s="372"/>
      <c r="L232" s="372"/>
      <c r="M232" s="370"/>
      <c r="N232" s="370"/>
    </row>
    <row r="233" spans="1:14" ht="18.95" customHeight="1">
      <c r="A233" s="340"/>
      <c r="B233" s="343"/>
      <c r="C233" s="318"/>
      <c r="D233" s="755"/>
      <c r="E233" s="367"/>
      <c r="F233" s="388"/>
      <c r="G233" s="367"/>
      <c r="H233" s="367"/>
      <c r="I233" s="367"/>
      <c r="J233" s="372"/>
      <c r="K233" s="372"/>
      <c r="L233" s="372"/>
      <c r="M233" s="370"/>
      <c r="N233" s="370"/>
    </row>
    <row r="234" spans="1:14" ht="18.95" customHeight="1">
      <c r="A234" s="340"/>
      <c r="B234" s="343"/>
      <c r="C234" s="318"/>
      <c r="D234" s="755"/>
      <c r="E234" s="367"/>
      <c r="F234" s="388"/>
      <c r="G234" s="367"/>
      <c r="H234" s="367"/>
      <c r="I234" s="367"/>
      <c r="J234" s="372"/>
      <c r="K234" s="372"/>
      <c r="L234" s="372"/>
      <c r="M234" s="370"/>
      <c r="N234" s="370"/>
    </row>
    <row r="235" spans="1:14" ht="18.95" customHeight="1">
      <c r="A235" s="340"/>
      <c r="B235" s="343"/>
      <c r="C235" s="318"/>
      <c r="D235" s="755"/>
      <c r="E235" s="367"/>
      <c r="F235" s="388"/>
      <c r="G235" s="367"/>
      <c r="H235" s="367"/>
      <c r="I235" s="367"/>
      <c r="J235" s="372"/>
      <c r="K235" s="372"/>
      <c r="L235" s="372"/>
      <c r="M235" s="370"/>
      <c r="N235" s="224"/>
    </row>
    <row r="236" spans="1:14" ht="18.95" customHeight="1">
      <c r="A236" s="346"/>
      <c r="B236" s="343"/>
      <c r="C236" s="318"/>
      <c r="D236" s="755"/>
      <c r="E236" s="367"/>
      <c r="F236" s="388"/>
      <c r="G236" s="367"/>
      <c r="H236" s="367"/>
      <c r="I236" s="367"/>
      <c r="J236" s="372"/>
      <c r="K236" s="372"/>
      <c r="L236" s="372"/>
      <c r="M236" s="370"/>
      <c r="N236" s="224"/>
    </row>
    <row r="237" spans="1:14" ht="18.95" customHeight="1">
      <c r="A237" s="346"/>
      <c r="B237" s="343"/>
      <c r="C237" s="318"/>
      <c r="D237" s="663"/>
      <c r="E237" s="367"/>
      <c r="F237" s="388"/>
      <c r="G237" s="367"/>
      <c r="H237" s="367"/>
      <c r="I237" s="367"/>
      <c r="J237" s="372"/>
      <c r="K237" s="372"/>
      <c r="L237" s="372"/>
      <c r="M237" s="370"/>
      <c r="N237" s="224"/>
    </row>
    <row r="238" spans="1:14" ht="18.95" customHeight="1">
      <c r="A238" s="346"/>
      <c r="B238" s="343"/>
      <c r="C238" s="318"/>
      <c r="D238" s="755"/>
      <c r="E238" s="367"/>
      <c r="F238" s="388"/>
      <c r="G238" s="367"/>
      <c r="H238" s="367"/>
      <c r="I238" s="367"/>
      <c r="J238" s="372"/>
      <c r="K238" s="372"/>
      <c r="L238" s="372"/>
      <c r="M238" s="370"/>
      <c r="N238" s="224"/>
    </row>
    <row r="239" spans="1:14" ht="18.95" customHeight="1">
      <c r="A239" s="505"/>
      <c r="B239" s="343"/>
      <c r="C239" s="318"/>
      <c r="D239" s="755"/>
      <c r="E239" s="367"/>
      <c r="F239" s="388"/>
      <c r="G239" s="367"/>
      <c r="H239" s="367"/>
      <c r="I239" s="367"/>
      <c r="J239" s="372"/>
      <c r="K239" s="372"/>
      <c r="L239" s="372"/>
      <c r="M239" s="370"/>
      <c r="N239" s="224"/>
    </row>
    <row r="240" spans="1:14" ht="18.95" customHeight="1">
      <c r="A240" s="340"/>
      <c r="B240" s="343"/>
      <c r="C240" s="318"/>
      <c r="D240" s="755"/>
      <c r="E240" s="367"/>
      <c r="F240" s="388"/>
      <c r="G240" s="367"/>
      <c r="H240" s="367"/>
      <c r="I240" s="367"/>
      <c r="J240" s="372"/>
      <c r="K240" s="372"/>
      <c r="L240" s="372"/>
      <c r="M240" s="370"/>
      <c r="N240" s="224"/>
    </row>
    <row r="241" spans="1:14" ht="18.95" customHeight="1">
      <c r="A241" s="340"/>
      <c r="B241" s="343"/>
      <c r="C241" s="318"/>
      <c r="D241" s="756"/>
      <c r="E241" s="367"/>
      <c r="F241" s="388"/>
      <c r="G241" s="367"/>
      <c r="H241" s="367"/>
      <c r="I241" s="367"/>
      <c r="J241" s="372"/>
      <c r="K241" s="372"/>
      <c r="L241" s="372"/>
      <c r="M241" s="370"/>
      <c r="N241" s="224"/>
    </row>
    <row r="242" spans="1:14" ht="18.95" customHeight="1">
      <c r="A242" s="340"/>
      <c r="B242" s="343"/>
      <c r="C242" s="318"/>
      <c r="D242" s="755"/>
      <c r="E242" s="367"/>
      <c r="F242" s="388"/>
      <c r="G242" s="367"/>
      <c r="H242" s="367"/>
      <c r="I242" s="367"/>
      <c r="J242" s="372"/>
      <c r="K242" s="372"/>
      <c r="L242" s="372"/>
      <c r="M242" s="370"/>
      <c r="N242" s="224"/>
    </row>
    <row r="243" spans="1:14" ht="18.95" customHeight="1">
      <c r="A243" s="340"/>
      <c r="B243" s="343"/>
      <c r="C243" s="242"/>
      <c r="D243" s="663"/>
      <c r="E243" s="367"/>
      <c r="F243" s="388"/>
      <c r="G243" s="367"/>
      <c r="H243" s="367"/>
      <c r="I243" s="367"/>
      <c r="J243" s="372"/>
      <c r="K243" s="372"/>
      <c r="L243" s="372"/>
      <c r="M243" s="370"/>
      <c r="N243" s="224"/>
    </row>
    <row r="244" spans="1:14" ht="18.95" customHeight="1">
      <c r="A244" s="340"/>
      <c r="B244" s="343"/>
      <c r="C244" s="242"/>
      <c r="D244" s="757"/>
      <c r="E244" s="367"/>
      <c r="F244" s="388"/>
      <c r="G244" s="367"/>
      <c r="H244" s="367"/>
      <c r="I244" s="367"/>
      <c r="J244" s="372"/>
      <c r="K244" s="372"/>
      <c r="L244" s="372"/>
      <c r="M244" s="370"/>
      <c r="N244" s="224"/>
    </row>
    <row r="245" spans="1:14" ht="18.95" customHeight="1">
      <c r="A245" s="340"/>
      <c r="B245" s="343"/>
      <c r="C245" s="318"/>
      <c r="D245" s="663"/>
      <c r="E245" s="367"/>
      <c r="F245" s="388"/>
      <c r="G245" s="367"/>
      <c r="H245" s="367"/>
      <c r="I245" s="367"/>
      <c r="J245" s="372"/>
      <c r="K245" s="372"/>
      <c r="L245" s="372"/>
      <c r="M245" s="370"/>
      <c r="N245" s="224"/>
    </row>
    <row r="246" spans="1:14" ht="18.95" customHeight="1">
      <c r="A246" s="340"/>
      <c r="B246" s="343"/>
      <c r="C246" s="318"/>
      <c r="D246" s="757"/>
      <c r="E246" s="367"/>
      <c r="F246" s="388"/>
      <c r="G246" s="367"/>
      <c r="H246" s="367"/>
      <c r="I246" s="367"/>
      <c r="J246" s="372"/>
      <c r="K246" s="372"/>
      <c r="L246" s="372"/>
      <c r="M246" s="370"/>
      <c r="N246" s="224"/>
    </row>
    <row r="247" spans="1:14" ht="18.95" customHeight="1">
      <c r="A247" s="346"/>
      <c r="B247" s="349"/>
      <c r="C247" s="242"/>
      <c r="D247" s="168"/>
      <c r="E247" s="367"/>
      <c r="F247" s="388"/>
      <c r="G247" s="367"/>
      <c r="H247" s="367"/>
      <c r="I247" s="367"/>
      <c r="J247" s="372"/>
      <c r="K247" s="372"/>
      <c r="L247" s="372"/>
      <c r="M247" s="370"/>
      <c r="N247" s="224"/>
    </row>
    <row r="248" spans="1:14" ht="18.95" customHeight="1">
      <c r="A248" s="346"/>
      <c r="B248" s="1301"/>
      <c r="C248" s="1302"/>
      <c r="D248" s="1303"/>
      <c r="E248" s="367"/>
      <c r="F248" s="388"/>
      <c r="G248" s="367"/>
      <c r="H248" s="367"/>
      <c r="I248" s="367"/>
      <c r="J248" s="372"/>
      <c r="K248" s="372"/>
      <c r="L248" s="372"/>
      <c r="M248" s="393"/>
      <c r="N248" s="224"/>
    </row>
    <row r="249" spans="1:14" ht="18.95" customHeight="1">
      <c r="A249" s="346"/>
      <c r="B249" s="349"/>
      <c r="C249" s="318"/>
      <c r="D249" s="235"/>
      <c r="E249" s="367"/>
      <c r="F249" s="388"/>
      <c r="G249" s="367"/>
      <c r="H249" s="367"/>
      <c r="I249" s="367"/>
      <c r="J249" s="372"/>
      <c r="K249" s="372"/>
      <c r="L249" s="372"/>
      <c r="M249" s="370"/>
      <c r="N249" s="224"/>
    </row>
    <row r="250" spans="1:14" ht="18.95" customHeight="1">
      <c r="A250" s="346"/>
      <c r="B250" s="349"/>
      <c r="C250" s="152"/>
      <c r="D250" s="235"/>
      <c r="E250" s="367"/>
      <c r="F250" s="388"/>
      <c r="G250" s="367"/>
      <c r="H250" s="367"/>
      <c r="I250" s="367"/>
      <c r="J250" s="372"/>
      <c r="K250" s="372"/>
      <c r="L250" s="372"/>
      <c r="M250" s="370"/>
      <c r="N250" s="224"/>
    </row>
    <row r="251" spans="1:14" ht="18.95" customHeight="1">
      <c r="A251" s="748"/>
      <c r="B251" s="603"/>
      <c r="C251" s="242"/>
      <c r="D251" s="168"/>
      <c r="E251" s="675"/>
      <c r="F251" s="770"/>
      <c r="G251" s="675"/>
      <c r="H251" s="675"/>
      <c r="I251" s="675"/>
      <c r="J251" s="771"/>
      <c r="K251" s="771"/>
      <c r="L251" s="771"/>
      <c r="M251" s="694"/>
      <c r="N251" s="678"/>
    </row>
    <row r="252" spans="1:14" ht="18.95" customHeight="1">
      <c r="A252" s="401"/>
      <c r="B252" s="133"/>
      <c r="C252" s="402"/>
      <c r="D252" s="403"/>
      <c r="E252" s="404"/>
      <c r="F252" s="772"/>
      <c r="G252" s="404"/>
      <c r="H252" s="404"/>
      <c r="I252" s="404"/>
      <c r="J252" s="404"/>
      <c r="K252" s="404"/>
      <c r="L252" s="696"/>
      <c r="M252" s="404"/>
      <c r="N252" s="401"/>
    </row>
    <row r="253" spans="1:14" ht="18.95" customHeight="1">
      <c r="A253" s="749"/>
      <c r="B253" s="750"/>
      <c r="C253" s="619"/>
      <c r="D253" s="228"/>
      <c r="E253" s="669"/>
      <c r="F253" s="312"/>
      <c r="G253" s="669"/>
      <c r="H253" s="669"/>
      <c r="I253" s="669"/>
      <c r="J253" s="668"/>
      <c r="K253" s="668"/>
      <c r="L253" s="669"/>
      <c r="M253" s="773"/>
      <c r="N253" s="312"/>
    </row>
    <row r="254" spans="1:14" ht="18.95" customHeight="1">
      <c r="A254" s="747"/>
      <c r="B254" s="341"/>
      <c r="C254" s="318"/>
      <c r="D254" s="164"/>
      <c r="E254" s="364"/>
      <c r="F254" s="362"/>
      <c r="G254" s="364"/>
      <c r="H254" s="364"/>
      <c r="I254" s="364"/>
      <c r="J254" s="365"/>
      <c r="K254" s="365"/>
      <c r="L254" s="364"/>
      <c r="M254" s="774"/>
      <c r="N254" s="362"/>
    </row>
    <row r="255" spans="1:14" ht="18.95" customHeight="1">
      <c r="A255" s="340"/>
      <c r="B255" s="343"/>
      <c r="C255" s="354"/>
      <c r="D255" s="353"/>
      <c r="E255" s="367"/>
      <c r="F255" s="388"/>
      <c r="G255" s="367"/>
      <c r="H255" s="367"/>
      <c r="I255" s="367"/>
      <c r="J255" s="372"/>
      <c r="K255" s="372"/>
      <c r="L255" s="372"/>
      <c r="M255" s="370"/>
      <c r="N255" s="362"/>
    </row>
    <row r="256" spans="1:14" ht="18.95" customHeight="1">
      <c r="A256" s="340"/>
      <c r="B256" s="344"/>
      <c r="C256" s="163"/>
      <c r="D256" s="164"/>
      <c r="E256" s="367"/>
      <c r="F256" s="388"/>
      <c r="G256" s="367"/>
      <c r="H256" s="367"/>
      <c r="I256" s="367"/>
      <c r="J256" s="372"/>
      <c r="K256" s="372"/>
      <c r="L256" s="372"/>
      <c r="M256" s="370"/>
      <c r="N256" s="370"/>
    </row>
    <row r="257" spans="1:14" ht="18.95" customHeight="1">
      <c r="A257" s="340"/>
      <c r="B257" s="343"/>
      <c r="C257" s="354"/>
      <c r="D257" s="353"/>
      <c r="E257" s="367"/>
      <c r="F257" s="388"/>
      <c r="G257" s="367"/>
      <c r="H257" s="367"/>
      <c r="I257" s="367"/>
      <c r="J257" s="372"/>
      <c r="K257" s="372"/>
      <c r="L257" s="372"/>
      <c r="M257" s="370"/>
      <c r="N257" s="370"/>
    </row>
    <row r="258" spans="1:14" ht="18.95" customHeight="1">
      <c r="A258" s="340"/>
      <c r="B258" s="341"/>
      <c r="C258" s="163"/>
      <c r="D258" s="164"/>
      <c r="E258" s="367"/>
      <c r="F258" s="388"/>
      <c r="G258" s="367"/>
      <c r="H258" s="367"/>
      <c r="I258" s="367"/>
      <c r="J258" s="372"/>
      <c r="K258" s="372"/>
      <c r="L258" s="372"/>
      <c r="M258" s="370"/>
      <c r="N258" s="370"/>
    </row>
    <row r="259" spans="1:14" ht="18.95" customHeight="1">
      <c r="A259" s="340"/>
      <c r="B259" s="343"/>
      <c r="C259" s="318"/>
      <c r="D259" s="164"/>
      <c r="E259" s="367"/>
      <c r="F259" s="388"/>
      <c r="G259" s="367"/>
      <c r="H259" s="367"/>
      <c r="I259" s="367"/>
      <c r="J259" s="372"/>
      <c r="K259" s="372"/>
      <c r="L259" s="372"/>
      <c r="M259" s="370"/>
      <c r="N259" s="370"/>
    </row>
    <row r="260" spans="1:14" ht="18.95" customHeight="1">
      <c r="A260" s="340"/>
      <c r="B260" s="345"/>
      <c r="C260" s="318"/>
      <c r="D260" s="164"/>
      <c r="E260" s="367"/>
      <c r="F260" s="388"/>
      <c r="G260" s="367"/>
      <c r="H260" s="367"/>
      <c r="I260" s="367"/>
      <c r="J260" s="372"/>
      <c r="K260" s="372"/>
      <c r="L260" s="372"/>
      <c r="M260" s="370"/>
      <c r="N260" s="370"/>
    </row>
    <row r="261" spans="1:14" ht="18.95" customHeight="1">
      <c r="A261" s="340"/>
      <c r="B261" s="344"/>
      <c r="C261" s="318"/>
      <c r="D261" s="164"/>
      <c r="E261" s="367"/>
      <c r="F261" s="388"/>
      <c r="G261" s="367"/>
      <c r="H261" s="367"/>
      <c r="I261" s="367"/>
      <c r="J261" s="372"/>
      <c r="K261" s="372"/>
      <c r="L261" s="372"/>
      <c r="M261" s="370"/>
      <c r="N261" s="370"/>
    </row>
    <row r="262" spans="1:14" ht="18.95" customHeight="1">
      <c r="A262" s="340"/>
      <c r="B262" s="345"/>
      <c r="C262" s="318"/>
      <c r="D262" s="164"/>
      <c r="E262" s="367"/>
      <c r="F262" s="388"/>
      <c r="G262" s="367"/>
      <c r="H262" s="367"/>
      <c r="I262" s="367"/>
      <c r="J262" s="372"/>
      <c r="K262" s="372"/>
      <c r="L262" s="372"/>
      <c r="M262" s="370"/>
      <c r="N262" s="370"/>
    </row>
    <row r="263" spans="1:14" ht="18.95" customHeight="1">
      <c r="A263" s="340"/>
      <c r="B263" s="345"/>
      <c r="C263" s="318"/>
      <c r="D263" s="164"/>
      <c r="E263" s="367"/>
      <c r="F263" s="388"/>
      <c r="G263" s="367"/>
      <c r="H263" s="367"/>
      <c r="I263" s="367"/>
      <c r="J263" s="372"/>
      <c r="K263" s="372"/>
      <c r="L263" s="372"/>
      <c r="M263" s="370"/>
      <c r="N263" s="224"/>
    </row>
    <row r="264" spans="1:14" ht="18.95" customHeight="1">
      <c r="A264" s="346"/>
      <c r="B264" s="345"/>
      <c r="C264" s="318"/>
      <c r="D264" s="164"/>
      <c r="E264" s="367"/>
      <c r="F264" s="388"/>
      <c r="G264" s="367"/>
      <c r="H264" s="367"/>
      <c r="I264" s="367"/>
      <c r="J264" s="372"/>
      <c r="K264" s="372"/>
      <c r="L264" s="372"/>
      <c r="M264" s="370"/>
      <c r="N264" s="224"/>
    </row>
    <row r="265" spans="1:14" ht="18.95" customHeight="1">
      <c r="A265" s="346"/>
      <c r="B265" s="603"/>
      <c r="C265" s="242"/>
      <c r="D265" s="168"/>
      <c r="E265" s="367"/>
      <c r="F265" s="388"/>
      <c r="G265" s="367"/>
      <c r="H265" s="367"/>
      <c r="I265" s="367"/>
      <c r="J265" s="372"/>
      <c r="K265" s="372"/>
      <c r="L265" s="372"/>
      <c r="M265" s="370"/>
      <c r="N265" s="224"/>
    </row>
    <row r="266" spans="1:14" ht="18.95" customHeight="1">
      <c r="A266" s="346"/>
      <c r="B266" s="344"/>
      <c r="C266" s="318"/>
      <c r="D266" s="164"/>
      <c r="E266" s="367"/>
      <c r="F266" s="388"/>
      <c r="G266" s="367"/>
      <c r="H266" s="367"/>
      <c r="I266" s="367"/>
      <c r="J266" s="372"/>
      <c r="K266" s="372"/>
      <c r="L266" s="372"/>
      <c r="M266" s="370"/>
      <c r="N266" s="224"/>
    </row>
    <row r="267" spans="1:14" ht="18.95" customHeight="1">
      <c r="A267" s="505"/>
      <c r="B267" s="345"/>
      <c r="C267" s="318"/>
      <c r="D267" s="164"/>
      <c r="E267" s="367"/>
      <c r="F267" s="388"/>
      <c r="G267" s="367"/>
      <c r="H267" s="367"/>
      <c r="I267" s="367"/>
      <c r="J267" s="372"/>
      <c r="K267" s="372"/>
      <c r="L267" s="372"/>
      <c r="M267" s="370"/>
      <c r="N267" s="224"/>
    </row>
    <row r="268" spans="1:14" ht="18.95" customHeight="1">
      <c r="A268" s="340"/>
      <c r="B268" s="341"/>
      <c r="C268" s="318"/>
      <c r="D268" s="164"/>
      <c r="E268" s="367"/>
      <c r="F268" s="388"/>
      <c r="G268" s="367"/>
      <c r="H268" s="367"/>
      <c r="I268" s="367"/>
      <c r="J268" s="372"/>
      <c r="K268" s="372"/>
      <c r="L268" s="372"/>
      <c r="M268" s="370"/>
      <c r="N268" s="224"/>
    </row>
    <row r="269" spans="1:14" ht="18.95" customHeight="1">
      <c r="A269" s="340"/>
      <c r="B269" s="347"/>
      <c r="C269" s="163"/>
      <c r="D269" s="167"/>
      <c r="E269" s="367"/>
      <c r="F269" s="388"/>
      <c r="G269" s="367"/>
      <c r="H269" s="367"/>
      <c r="I269" s="367"/>
      <c r="J269" s="372"/>
      <c r="K269" s="372"/>
      <c r="L269" s="372"/>
      <c r="M269" s="370"/>
      <c r="N269" s="224"/>
    </row>
    <row r="270" spans="1:14" ht="18.95" customHeight="1">
      <c r="A270" s="340"/>
      <c r="B270" s="347"/>
      <c r="C270" s="163"/>
      <c r="D270" s="164"/>
      <c r="E270" s="367"/>
      <c r="F270" s="388"/>
      <c r="G270" s="367"/>
      <c r="H270" s="367"/>
      <c r="I270" s="367"/>
      <c r="J270" s="372"/>
      <c r="K270" s="372"/>
      <c r="L270" s="372"/>
      <c r="M270" s="370"/>
      <c r="N270" s="224"/>
    </row>
    <row r="271" spans="1:14" ht="18.95" customHeight="1">
      <c r="A271" s="340"/>
      <c r="B271" s="341"/>
      <c r="C271" s="242"/>
      <c r="D271" s="168"/>
      <c r="E271" s="367"/>
      <c r="F271" s="388"/>
      <c r="G271" s="367"/>
      <c r="H271" s="367"/>
      <c r="I271" s="367"/>
      <c r="J271" s="372"/>
      <c r="K271" s="372"/>
      <c r="L271" s="372"/>
      <c r="M271" s="370"/>
      <c r="N271" s="224"/>
    </row>
    <row r="272" spans="1:14" ht="18.95" customHeight="1">
      <c r="A272" s="340"/>
      <c r="B272" s="341"/>
      <c r="C272" s="242"/>
      <c r="D272" s="187"/>
      <c r="E272" s="367"/>
      <c r="F272" s="388"/>
      <c r="G272" s="367"/>
      <c r="H272" s="367"/>
      <c r="I272" s="367"/>
      <c r="J272" s="372"/>
      <c r="K272" s="372"/>
      <c r="L272" s="372"/>
      <c r="M272" s="370"/>
      <c r="N272" s="224"/>
    </row>
    <row r="273" spans="1:14" ht="18.95" customHeight="1">
      <c r="A273" s="340"/>
      <c r="B273" s="348"/>
      <c r="C273" s="190"/>
      <c r="D273" s="168"/>
      <c r="E273" s="367"/>
      <c r="F273" s="388"/>
      <c r="G273" s="367"/>
      <c r="H273" s="367"/>
      <c r="I273" s="367"/>
      <c r="J273" s="372"/>
      <c r="K273" s="372"/>
      <c r="L273" s="372"/>
      <c r="M273" s="370"/>
      <c r="N273" s="224"/>
    </row>
    <row r="274" spans="1:14" ht="18.95" customHeight="1">
      <c r="A274" s="340"/>
      <c r="B274" s="344"/>
      <c r="C274" s="242"/>
      <c r="D274" s="187"/>
      <c r="E274" s="367"/>
      <c r="F274" s="388"/>
      <c r="G274" s="367"/>
      <c r="H274" s="367"/>
      <c r="I274" s="367"/>
      <c r="J274" s="372"/>
      <c r="K274" s="372"/>
      <c r="L274" s="372"/>
      <c r="M274" s="370"/>
      <c r="N274" s="224"/>
    </row>
    <row r="275" spans="1:14" ht="18.95" customHeight="1">
      <c r="A275" s="346"/>
      <c r="B275" s="349"/>
      <c r="C275" s="242"/>
      <c r="D275" s="168"/>
      <c r="E275" s="367"/>
      <c r="F275" s="388"/>
      <c r="G275" s="367"/>
      <c r="H275" s="367"/>
      <c r="I275" s="367"/>
      <c r="J275" s="372"/>
      <c r="K275" s="372"/>
      <c r="L275" s="372"/>
      <c r="M275" s="370"/>
      <c r="N275" s="224"/>
    </row>
    <row r="276" spans="1:14" ht="18.95" customHeight="1">
      <c r="A276" s="346"/>
      <c r="B276" s="349"/>
      <c r="C276" s="318"/>
      <c r="D276" s="235"/>
      <c r="E276" s="367"/>
      <c r="F276" s="388"/>
      <c r="G276" s="367"/>
      <c r="H276" s="367"/>
      <c r="I276" s="367"/>
      <c r="J276" s="372"/>
      <c r="K276" s="372"/>
      <c r="L276" s="372"/>
      <c r="M276" s="370"/>
      <c r="N276" s="224"/>
    </row>
    <row r="277" spans="1:14" ht="18.95" customHeight="1">
      <c r="A277" s="346"/>
      <c r="B277" s="349"/>
      <c r="C277" s="318"/>
      <c r="D277" s="235"/>
      <c r="E277" s="367"/>
      <c r="F277" s="388"/>
      <c r="G277" s="367"/>
      <c r="H277" s="367"/>
      <c r="I277" s="367"/>
      <c r="J277" s="372"/>
      <c r="K277" s="372"/>
      <c r="L277" s="372"/>
      <c r="M277" s="370"/>
      <c r="N277" s="224"/>
    </row>
    <row r="278" spans="1:14" ht="18.95" customHeight="1">
      <c r="A278" s="346"/>
      <c r="B278" s="349"/>
      <c r="C278" s="152"/>
      <c r="D278" s="235"/>
      <c r="E278" s="367"/>
      <c r="F278" s="388"/>
      <c r="G278" s="367"/>
      <c r="H278" s="367"/>
      <c r="I278" s="367"/>
      <c r="J278" s="372"/>
      <c r="K278" s="372"/>
      <c r="L278" s="372"/>
      <c r="M278" s="370"/>
      <c r="N278" s="224"/>
    </row>
    <row r="279" spans="1:14" ht="18.95" customHeight="1">
      <c r="A279" s="748"/>
      <c r="B279" s="603"/>
      <c r="C279" s="242"/>
      <c r="D279" s="168"/>
      <c r="E279" s="675"/>
      <c r="F279" s="770"/>
      <c r="G279" s="675"/>
      <c r="H279" s="675"/>
      <c r="I279" s="675"/>
      <c r="J279" s="771"/>
      <c r="K279" s="771"/>
      <c r="L279" s="771"/>
      <c r="M279" s="694"/>
      <c r="N279" s="678"/>
    </row>
    <row r="280" spans="1:14" ht="18.95" customHeight="1">
      <c r="A280" s="401"/>
      <c r="B280" s="133"/>
      <c r="C280" s="402"/>
      <c r="D280" s="403"/>
      <c r="E280" s="404"/>
      <c r="F280" s="772"/>
      <c r="G280" s="404"/>
      <c r="H280" s="404"/>
      <c r="I280" s="404"/>
      <c r="J280" s="404"/>
      <c r="K280" s="404"/>
      <c r="L280" s="696"/>
      <c r="M280" s="404"/>
      <c r="N280" s="401"/>
    </row>
    <row r="281" spans="1:14" ht="18.95" customHeight="1">
      <c r="A281" s="749"/>
      <c r="B281" s="750"/>
      <c r="C281" s="619"/>
      <c r="D281" s="228"/>
      <c r="E281" s="669"/>
      <c r="F281" s="312"/>
      <c r="G281" s="669"/>
      <c r="H281" s="669"/>
      <c r="I281" s="669"/>
      <c r="J281" s="668"/>
      <c r="K281" s="668"/>
      <c r="L281" s="669"/>
      <c r="M281" s="773"/>
      <c r="N281" s="312"/>
    </row>
    <row r="282" spans="1:14" ht="18.95" customHeight="1">
      <c r="A282" s="747"/>
      <c r="B282" s="341"/>
      <c r="C282" s="318"/>
      <c r="D282" s="164"/>
      <c r="E282" s="364"/>
      <c r="F282" s="362"/>
      <c r="G282" s="364"/>
      <c r="H282" s="364"/>
      <c r="I282" s="364"/>
      <c r="J282" s="365"/>
      <c r="K282" s="365"/>
      <c r="L282" s="364"/>
      <c r="M282" s="774"/>
      <c r="N282" s="362"/>
    </row>
    <row r="283" spans="1:14" ht="18.95" customHeight="1">
      <c r="A283" s="340"/>
      <c r="B283" s="343"/>
      <c r="C283" s="354"/>
      <c r="D283" s="353"/>
      <c r="E283" s="367"/>
      <c r="F283" s="388"/>
      <c r="G283" s="367"/>
      <c r="H283" s="367"/>
      <c r="I283" s="367"/>
      <c r="J283" s="372"/>
      <c r="K283" s="372"/>
      <c r="L283" s="372"/>
      <c r="M283" s="370"/>
      <c r="N283" s="362"/>
    </row>
    <row r="284" spans="1:14" ht="18.95" customHeight="1">
      <c r="A284" s="340"/>
      <c r="B284" s="344"/>
      <c r="C284" s="163"/>
      <c r="D284" s="164"/>
      <c r="E284" s="367"/>
      <c r="F284" s="388"/>
      <c r="G284" s="367"/>
      <c r="H284" s="367"/>
      <c r="I284" s="367"/>
      <c r="J284" s="372"/>
      <c r="K284" s="372"/>
      <c r="L284" s="372"/>
      <c r="M284" s="370"/>
      <c r="N284" s="370"/>
    </row>
    <row r="285" spans="1:14" ht="18.95" customHeight="1">
      <c r="A285" s="340"/>
      <c r="B285" s="343"/>
      <c r="C285" s="354"/>
      <c r="D285" s="353"/>
      <c r="E285" s="367"/>
      <c r="F285" s="388"/>
      <c r="G285" s="367"/>
      <c r="H285" s="367"/>
      <c r="I285" s="367"/>
      <c r="J285" s="372"/>
      <c r="K285" s="372"/>
      <c r="L285" s="372"/>
      <c r="M285" s="370"/>
      <c r="N285" s="370"/>
    </row>
    <row r="286" spans="1:14" ht="18.95" customHeight="1">
      <c r="A286" s="340"/>
      <c r="B286" s="341"/>
      <c r="C286" s="163"/>
      <c r="D286" s="164"/>
      <c r="E286" s="367"/>
      <c r="F286" s="388"/>
      <c r="G286" s="367"/>
      <c r="H286" s="367"/>
      <c r="I286" s="367"/>
      <c r="J286" s="372"/>
      <c r="K286" s="372"/>
      <c r="L286" s="372"/>
      <c r="M286" s="370"/>
      <c r="N286" s="370"/>
    </row>
    <row r="287" spans="1:14" ht="18.95" customHeight="1">
      <c r="A287" s="340"/>
      <c r="B287" s="343"/>
      <c r="C287" s="318"/>
      <c r="D287" s="164"/>
      <c r="E287" s="367"/>
      <c r="F287" s="388"/>
      <c r="G287" s="367"/>
      <c r="H287" s="367"/>
      <c r="I287" s="367"/>
      <c r="J287" s="372"/>
      <c r="K287" s="372"/>
      <c r="L287" s="372"/>
      <c r="M287" s="370"/>
      <c r="N287" s="370"/>
    </row>
    <row r="288" spans="1:14" ht="18.95" customHeight="1">
      <c r="A288" s="340"/>
      <c r="B288" s="345"/>
      <c r="C288" s="318"/>
      <c r="D288" s="164"/>
      <c r="E288" s="367"/>
      <c r="F288" s="388"/>
      <c r="G288" s="367"/>
      <c r="H288" s="367"/>
      <c r="I288" s="367"/>
      <c r="J288" s="372"/>
      <c r="K288" s="372"/>
      <c r="L288" s="372"/>
      <c r="M288" s="370"/>
      <c r="N288" s="370"/>
    </row>
    <row r="289" spans="1:14" ht="18.95" customHeight="1">
      <c r="A289" s="340"/>
      <c r="B289" s="344"/>
      <c r="C289" s="318"/>
      <c r="D289" s="164"/>
      <c r="E289" s="367"/>
      <c r="F289" s="388"/>
      <c r="G289" s="367"/>
      <c r="H289" s="367"/>
      <c r="I289" s="367"/>
      <c r="J289" s="372"/>
      <c r="K289" s="372"/>
      <c r="L289" s="372"/>
      <c r="M289" s="370"/>
      <c r="N289" s="370"/>
    </row>
    <row r="290" spans="1:14" ht="18.95" customHeight="1">
      <c r="A290" s="340"/>
      <c r="B290" s="345"/>
      <c r="C290" s="318"/>
      <c r="D290" s="164"/>
      <c r="E290" s="367"/>
      <c r="F290" s="388"/>
      <c r="G290" s="367"/>
      <c r="H290" s="367"/>
      <c r="I290" s="367"/>
      <c r="J290" s="372"/>
      <c r="K290" s="372"/>
      <c r="L290" s="372"/>
      <c r="M290" s="370"/>
      <c r="N290" s="370"/>
    </row>
    <row r="291" spans="1:14" ht="18.95" customHeight="1">
      <c r="A291" s="340"/>
      <c r="B291" s="345"/>
      <c r="C291" s="318"/>
      <c r="D291" s="164"/>
      <c r="E291" s="367"/>
      <c r="F291" s="388"/>
      <c r="G291" s="367"/>
      <c r="H291" s="367"/>
      <c r="I291" s="367"/>
      <c r="J291" s="372"/>
      <c r="K291" s="372"/>
      <c r="L291" s="372"/>
      <c r="M291" s="370"/>
      <c r="N291" s="224"/>
    </row>
    <row r="292" spans="1:14" ht="18.95" customHeight="1">
      <c r="A292" s="346"/>
      <c r="B292" s="345"/>
      <c r="C292" s="318"/>
      <c r="D292" s="164"/>
      <c r="E292" s="367"/>
      <c r="F292" s="388"/>
      <c r="G292" s="367"/>
      <c r="H292" s="367"/>
      <c r="I292" s="367"/>
      <c r="J292" s="372"/>
      <c r="K292" s="372"/>
      <c r="L292" s="372"/>
      <c r="M292" s="370"/>
      <c r="N292" s="224"/>
    </row>
    <row r="293" spans="1:14" ht="18.95" customHeight="1">
      <c r="A293" s="346"/>
      <c r="B293" s="603"/>
      <c r="C293" s="242"/>
      <c r="D293" s="168"/>
      <c r="E293" s="367"/>
      <c r="F293" s="388"/>
      <c r="G293" s="367"/>
      <c r="H293" s="367"/>
      <c r="I293" s="367"/>
      <c r="J293" s="372"/>
      <c r="K293" s="372"/>
      <c r="L293" s="372"/>
      <c r="M293" s="370"/>
      <c r="N293" s="224"/>
    </row>
    <row r="294" spans="1:14" ht="18.95" customHeight="1">
      <c r="A294" s="346"/>
      <c r="B294" s="344"/>
      <c r="C294" s="318"/>
      <c r="D294" s="164"/>
      <c r="E294" s="367"/>
      <c r="F294" s="388"/>
      <c r="G294" s="367"/>
      <c r="H294" s="367"/>
      <c r="I294" s="367"/>
      <c r="J294" s="372"/>
      <c r="K294" s="372"/>
      <c r="L294" s="372"/>
      <c r="M294" s="370"/>
      <c r="N294" s="224"/>
    </row>
    <row r="295" spans="1:14" ht="18.95" customHeight="1">
      <c r="A295" s="505"/>
      <c r="B295" s="345"/>
      <c r="C295" s="318"/>
      <c r="D295" s="164"/>
      <c r="E295" s="367"/>
      <c r="F295" s="388"/>
      <c r="G295" s="367"/>
      <c r="H295" s="367"/>
      <c r="I295" s="367"/>
      <c r="J295" s="372"/>
      <c r="K295" s="372"/>
      <c r="L295" s="372"/>
      <c r="M295" s="370"/>
      <c r="N295" s="224"/>
    </row>
    <row r="296" spans="1:14" ht="18.95" customHeight="1">
      <c r="A296" s="340"/>
      <c r="B296" s="341"/>
      <c r="C296" s="318"/>
      <c r="D296" s="164"/>
      <c r="E296" s="367"/>
      <c r="F296" s="388"/>
      <c r="G296" s="367"/>
      <c r="H296" s="367"/>
      <c r="I296" s="367"/>
      <c r="J296" s="372"/>
      <c r="K296" s="372"/>
      <c r="L296" s="372"/>
      <c r="M296" s="370"/>
      <c r="N296" s="224"/>
    </row>
    <row r="297" spans="1:14" ht="18.95" customHeight="1">
      <c r="A297" s="340"/>
      <c r="B297" s="347"/>
      <c r="C297" s="163"/>
      <c r="D297" s="167"/>
      <c r="E297" s="367"/>
      <c r="F297" s="388"/>
      <c r="G297" s="367"/>
      <c r="H297" s="367"/>
      <c r="I297" s="367"/>
      <c r="J297" s="372"/>
      <c r="K297" s="372"/>
      <c r="L297" s="372"/>
      <c r="M297" s="370"/>
      <c r="N297" s="224"/>
    </row>
    <row r="298" spans="1:14" ht="18.95" customHeight="1">
      <c r="A298" s="340"/>
      <c r="B298" s="347"/>
      <c r="C298" s="163"/>
      <c r="D298" s="164"/>
      <c r="E298" s="367"/>
      <c r="F298" s="388"/>
      <c r="G298" s="367"/>
      <c r="H298" s="367"/>
      <c r="I298" s="367"/>
      <c r="J298" s="372"/>
      <c r="K298" s="372"/>
      <c r="L298" s="372"/>
      <c r="M298" s="370"/>
      <c r="N298" s="224"/>
    </row>
    <row r="299" spans="1:14" ht="18.95" customHeight="1">
      <c r="A299" s="340"/>
      <c r="B299" s="341"/>
      <c r="C299" s="242"/>
      <c r="D299" s="168"/>
      <c r="E299" s="367"/>
      <c r="F299" s="388"/>
      <c r="G299" s="367"/>
      <c r="H299" s="367"/>
      <c r="I299" s="367"/>
      <c r="J299" s="372"/>
      <c r="K299" s="372"/>
      <c r="L299" s="372"/>
      <c r="M299" s="370"/>
      <c r="N299" s="224"/>
    </row>
    <row r="300" spans="1:14" ht="18.95" customHeight="1">
      <c r="A300" s="340"/>
      <c r="B300" s="341"/>
      <c r="C300" s="242"/>
      <c r="D300" s="187"/>
      <c r="E300" s="367"/>
      <c r="F300" s="388"/>
      <c r="G300" s="367"/>
      <c r="H300" s="367"/>
      <c r="I300" s="367"/>
      <c r="J300" s="372"/>
      <c r="K300" s="372"/>
      <c r="L300" s="372"/>
      <c r="M300" s="370"/>
      <c r="N300" s="224"/>
    </row>
    <row r="301" spans="1:14" ht="18.95" customHeight="1">
      <c r="A301" s="340"/>
      <c r="B301" s="348"/>
      <c r="C301" s="190"/>
      <c r="D301" s="168"/>
      <c r="E301" s="367"/>
      <c r="F301" s="388"/>
      <c r="G301" s="367"/>
      <c r="H301" s="367"/>
      <c r="I301" s="367"/>
      <c r="J301" s="372"/>
      <c r="K301" s="372"/>
      <c r="L301" s="372"/>
      <c r="M301" s="370"/>
      <c r="N301" s="224"/>
    </row>
    <row r="302" spans="1:14" ht="18.95" customHeight="1">
      <c r="A302" s="340"/>
      <c r="B302" s="344"/>
      <c r="C302" s="242"/>
      <c r="D302" s="187"/>
      <c r="E302" s="367"/>
      <c r="F302" s="388"/>
      <c r="G302" s="367"/>
      <c r="H302" s="367"/>
      <c r="I302" s="367"/>
      <c r="J302" s="372"/>
      <c r="K302" s="372"/>
      <c r="L302" s="372"/>
      <c r="M302" s="370"/>
      <c r="N302" s="224"/>
    </row>
    <row r="303" spans="1:14" ht="18.95" customHeight="1">
      <c r="A303" s="346"/>
      <c r="B303" s="349"/>
      <c r="C303" s="242"/>
      <c r="D303" s="168"/>
      <c r="E303" s="367"/>
      <c r="F303" s="388"/>
      <c r="G303" s="367"/>
      <c r="H303" s="367"/>
      <c r="I303" s="367"/>
      <c r="J303" s="372"/>
      <c r="K303" s="372"/>
      <c r="L303" s="372"/>
      <c r="M303" s="370"/>
      <c r="N303" s="224"/>
    </row>
    <row r="304" spans="1:14" ht="18.95" customHeight="1">
      <c r="A304" s="346"/>
      <c r="B304" s="349"/>
      <c r="C304" s="318"/>
      <c r="D304" s="235"/>
      <c r="E304" s="367"/>
      <c r="F304" s="388"/>
      <c r="G304" s="367"/>
      <c r="H304" s="367"/>
      <c r="I304" s="367"/>
      <c r="J304" s="372"/>
      <c r="K304" s="372"/>
      <c r="L304" s="372"/>
      <c r="M304" s="370"/>
      <c r="N304" s="224"/>
    </row>
    <row r="305" spans="1:14" ht="18.95" customHeight="1">
      <c r="A305" s="346"/>
      <c r="B305" s="349"/>
      <c r="C305" s="318"/>
      <c r="D305" s="235"/>
      <c r="E305" s="367"/>
      <c r="F305" s="388"/>
      <c r="G305" s="367"/>
      <c r="H305" s="367"/>
      <c r="I305" s="367"/>
      <c r="J305" s="372"/>
      <c r="K305" s="372"/>
      <c r="L305" s="372"/>
      <c r="M305" s="370"/>
      <c r="N305" s="224"/>
    </row>
    <row r="306" spans="1:14" ht="18.95" customHeight="1">
      <c r="A306" s="346"/>
      <c r="B306" s="349"/>
      <c r="C306" s="152"/>
      <c r="D306" s="235"/>
      <c r="E306" s="367"/>
      <c r="F306" s="388"/>
      <c r="G306" s="367"/>
      <c r="H306" s="367"/>
      <c r="I306" s="367"/>
      <c r="J306" s="372"/>
      <c r="K306" s="372"/>
      <c r="L306" s="372"/>
      <c r="M306" s="370"/>
      <c r="N306" s="224"/>
    </row>
    <row r="307" spans="1:14" ht="18.95" customHeight="1">
      <c r="A307" s="748"/>
      <c r="B307" s="603"/>
      <c r="C307" s="242"/>
      <c r="D307" s="168"/>
      <c r="E307" s="675"/>
      <c r="F307" s="770"/>
      <c r="G307" s="675"/>
      <c r="H307" s="675"/>
      <c r="I307" s="675"/>
      <c r="J307" s="771"/>
      <c r="K307" s="771"/>
      <c r="L307" s="771"/>
      <c r="M307" s="694"/>
      <c r="N307" s="678"/>
    </row>
    <row r="308" spans="1:14" ht="18.95" customHeight="1">
      <c r="A308" s="401"/>
      <c r="B308" s="133"/>
      <c r="C308" s="402"/>
      <c r="D308" s="403"/>
      <c r="E308" s="404"/>
      <c r="F308" s="772"/>
      <c r="G308" s="404"/>
      <c r="H308" s="404"/>
      <c r="I308" s="404"/>
      <c r="J308" s="404"/>
      <c r="K308" s="404"/>
      <c r="L308" s="696"/>
      <c r="M308" s="404"/>
      <c r="N308" s="401"/>
    </row>
  </sheetData>
  <mergeCells count="27">
    <mergeCell ref="B248:D248"/>
    <mergeCell ref="B42:D42"/>
    <mergeCell ref="B56:D56"/>
    <mergeCell ref="B71:D71"/>
    <mergeCell ref="B96:D96"/>
    <mergeCell ref="B119:D119"/>
    <mergeCell ref="B126:D126"/>
    <mergeCell ref="B133:D133"/>
    <mergeCell ref="B141:D141"/>
    <mergeCell ref="B147:D147"/>
    <mergeCell ref="B154:D154"/>
    <mergeCell ref="N5:N6"/>
    <mergeCell ref="B212:D212"/>
    <mergeCell ref="B24:D24"/>
    <mergeCell ref="E5:E6"/>
    <mergeCell ref="F5:F6"/>
    <mergeCell ref="G5:I5"/>
    <mergeCell ref="J5:L5"/>
    <mergeCell ref="B186:D186"/>
    <mergeCell ref="B193:D193"/>
    <mergeCell ref="B208:D208"/>
    <mergeCell ref="A1:C1"/>
    <mergeCell ref="A2:C2"/>
    <mergeCell ref="A3:C3"/>
    <mergeCell ref="A5:A6"/>
    <mergeCell ref="B5:D6"/>
    <mergeCell ref="D1:I1"/>
  </mergeCells>
  <phoneticPr fontId="10" type="noConversion"/>
  <printOptions horizontalCentered="1"/>
  <pageMargins left="0.39370078740157483" right="0.39370078740157483" top="1.1811023622047245" bottom="0" header="0.78740157480314965" footer="0"/>
  <pageSetup paperSize="9" scale="81" firstPageNumber="20" orientation="landscape" useFirstPageNumber="1" r:id="rId1"/>
  <headerFooter alignWithMargins="0">
    <oddHeader xml:space="preserve">&amp;C&amp;"Cordia New,Regular"&amp;14แบบแสดงรายการ ปริมาณงาน และราคา&amp;R&amp;"Cordia New,Regular"&amp;14แบบปร.4(ข) แผ่นที่ &amp;P/30    </oddHeader>
  </headerFooter>
  <rowBreaks count="10" manualBreakCount="10">
    <brk id="30" max="11" man="1"/>
    <brk id="58" max="11" man="1"/>
    <brk id="86" max="11" man="1"/>
    <brk id="113" max="11" man="1"/>
    <brk id="141" max="11" man="1"/>
    <brk id="169" max="11" man="1"/>
    <brk id="197" max="11" man="1"/>
    <brk id="224" max="11" man="1"/>
    <brk id="252" max="11" man="1"/>
    <brk id="280" max="11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P758"/>
  <sheetViews>
    <sheetView showGridLines="0" view="pageBreakPreview" zoomScaleNormal="70" zoomScaleSheetLayoutView="100" workbookViewId="0">
      <selection activeCell="L16" sqref="L16"/>
    </sheetView>
  </sheetViews>
  <sheetFormatPr defaultColWidth="10.42578125" defaultRowHeight="18.95" customHeight="1"/>
  <cols>
    <col min="1" max="1" width="6.7109375" style="250" customWidth="1"/>
    <col min="2" max="2" width="6.42578125" style="490" customWidth="1"/>
    <col min="3" max="3" width="24.42578125" style="251" customWidth="1"/>
    <col min="4" max="4" width="40.7109375" style="252" customWidth="1"/>
    <col min="5" max="5" width="11.42578125" style="408" customWidth="1"/>
    <col min="6" max="6" width="9.5703125" style="250" customWidth="1"/>
    <col min="7" max="7" width="13.5703125" style="408" hidden="1" customWidth="1"/>
    <col min="8" max="8" width="14.42578125" style="408" customWidth="1"/>
    <col min="9" max="9" width="13.5703125" style="408" customWidth="1"/>
    <col min="10" max="10" width="13.5703125" style="250" hidden="1" customWidth="1"/>
    <col min="11" max="11" width="14.140625" style="250" customWidth="1"/>
    <col min="12" max="12" width="13.5703125" style="250" customWidth="1"/>
    <col min="13" max="13" width="14.5703125" style="252" customWidth="1"/>
    <col min="14" max="14" width="18.140625" style="491" customWidth="1"/>
    <col min="15" max="15" width="14.140625" style="250" customWidth="1"/>
    <col min="16" max="16" width="11.28515625" style="250" bestFit="1" customWidth="1"/>
    <col min="17" max="16384" width="10.42578125" style="250"/>
  </cols>
  <sheetData>
    <row r="1" spans="1:16" s="116" customFormat="1" ht="18.95" customHeight="1">
      <c r="A1" s="1368" t="s">
        <v>1168</v>
      </c>
      <c r="B1" s="1368"/>
      <c r="C1" s="1368"/>
      <c r="D1" s="1425" t="e">
        <f>+'แบบ ปร.5(ข)'!C4</f>
        <v>#REF!</v>
      </c>
      <c r="E1" s="1425"/>
      <c r="F1" s="1425"/>
      <c r="G1" s="1425"/>
      <c r="H1" s="1425"/>
      <c r="I1" s="1425"/>
      <c r="J1" s="296" t="s">
        <v>1169</v>
      </c>
      <c r="K1" s="296" t="s">
        <v>1169</v>
      </c>
      <c r="L1" s="1383" t="s">
        <v>2617</v>
      </c>
      <c r="M1" s="1383"/>
      <c r="N1" s="1383"/>
    </row>
    <row r="2" spans="1:16" s="116" customFormat="1" ht="18.95" customHeight="1">
      <c r="A2" s="1369" t="s">
        <v>4</v>
      </c>
      <c r="B2" s="1369"/>
      <c r="C2" s="1369"/>
      <c r="D2" s="115" t="e">
        <f>+'แบบ ปร.5(ข)'!C5</f>
        <v>#REF!</v>
      </c>
      <c r="E2" s="298"/>
      <c r="F2" s="115"/>
      <c r="G2" s="299"/>
      <c r="H2" s="299"/>
      <c r="I2" s="299"/>
      <c r="J2" s="300" t="s">
        <v>1171</v>
      </c>
      <c r="K2" s="300" t="s">
        <v>1171</v>
      </c>
      <c r="L2" s="301" t="e">
        <f>+'RC2_ปร.5 (ก)'!#REF!</f>
        <v>#REF!</v>
      </c>
      <c r="M2" s="775"/>
      <c r="N2" s="115"/>
    </row>
    <row r="3" spans="1:16" s="116" customFormat="1" ht="18.95" customHeight="1">
      <c r="A3" s="1369" t="s">
        <v>1172</v>
      </c>
      <c r="B3" s="1369"/>
      <c r="C3" s="1369"/>
      <c r="D3" s="115" t="e">
        <f>+'RC2_ปร.5 (ก)'!#REF!</f>
        <v>#REF!</v>
      </c>
      <c r="E3" s="298"/>
      <c r="F3" s="115"/>
      <c r="G3" s="299"/>
      <c r="H3" s="299"/>
      <c r="I3" s="303"/>
      <c r="J3" s="303"/>
      <c r="K3" s="303"/>
      <c r="L3" s="304"/>
      <c r="M3" s="776"/>
      <c r="N3" s="115"/>
    </row>
    <row r="4" spans="1:16" s="116" customFormat="1" ht="18.95" customHeight="1">
      <c r="B4" s="777"/>
      <c r="C4" s="117"/>
      <c r="D4" s="118"/>
      <c r="E4" s="307"/>
      <c r="G4" s="307"/>
      <c r="H4" s="307"/>
      <c r="I4" s="307"/>
      <c r="M4" s="118"/>
      <c r="N4" s="418"/>
    </row>
    <row r="5" spans="1:16" ht="18.95" customHeight="1">
      <c r="A5" s="1370" t="s">
        <v>1007</v>
      </c>
      <c r="B5" s="1384" t="s">
        <v>17</v>
      </c>
      <c r="C5" s="1385"/>
      <c r="D5" s="1386"/>
      <c r="E5" s="1390" t="s">
        <v>1173</v>
      </c>
      <c r="F5" s="1360" t="s">
        <v>1174</v>
      </c>
      <c r="G5" s="1362" t="s">
        <v>1008</v>
      </c>
      <c r="H5" s="1363"/>
      <c r="I5" s="1364"/>
      <c r="J5" s="1365" t="s">
        <v>1010</v>
      </c>
      <c r="K5" s="1366"/>
      <c r="L5" s="1367"/>
      <c r="M5" s="778" t="s">
        <v>1175</v>
      </c>
      <c r="N5" s="1360" t="s">
        <v>19</v>
      </c>
    </row>
    <row r="6" spans="1:16" ht="18.95" customHeight="1">
      <c r="A6" s="1373"/>
      <c r="B6" s="1387"/>
      <c r="C6" s="1388"/>
      <c r="D6" s="1389"/>
      <c r="E6" s="1391"/>
      <c r="F6" s="1361"/>
      <c r="G6" s="311" t="s">
        <v>203</v>
      </c>
      <c r="H6" s="311" t="s">
        <v>203</v>
      </c>
      <c r="I6" s="310" t="s">
        <v>1176</v>
      </c>
      <c r="J6" s="311" t="s">
        <v>203</v>
      </c>
      <c r="K6" s="311" t="s">
        <v>203</v>
      </c>
      <c r="L6" s="309" t="s">
        <v>1176</v>
      </c>
      <c r="M6" s="779" t="s">
        <v>1177</v>
      </c>
      <c r="N6" s="1361"/>
    </row>
    <row r="7" spans="1:16" ht="20.100000000000001" customHeight="1">
      <c r="A7" s="119"/>
      <c r="B7" s="581" t="s">
        <v>2618</v>
      </c>
      <c r="C7" s="120"/>
      <c r="D7" s="121"/>
      <c r="E7" s="263"/>
      <c r="F7" s="264"/>
      <c r="G7" s="263"/>
      <c r="H7" s="263"/>
      <c r="I7" s="263"/>
      <c r="J7" s="265"/>
      <c r="K7" s="265"/>
      <c r="L7" s="266"/>
      <c r="M7" s="264"/>
      <c r="N7" s="264"/>
    </row>
    <row r="8" spans="1:16" ht="20.100000000000001" customHeight="1">
      <c r="A8" s="122"/>
      <c r="B8" s="409" t="s">
        <v>22</v>
      </c>
      <c r="C8" s="123"/>
      <c r="D8" s="124"/>
      <c r="E8" s="267"/>
      <c r="F8" s="268"/>
      <c r="G8" s="267"/>
      <c r="H8" s="267"/>
      <c r="I8" s="267"/>
      <c r="J8" s="269"/>
      <c r="K8" s="269"/>
      <c r="L8" s="269"/>
      <c r="M8" s="270"/>
      <c r="N8" s="268"/>
    </row>
    <row r="9" spans="1:16" ht="20.100000000000001" customHeight="1">
      <c r="A9" s="125"/>
      <c r="B9" s="411"/>
      <c r="C9" s="123"/>
      <c r="D9" s="126"/>
      <c r="E9" s="267"/>
      <c r="F9" s="268"/>
      <c r="G9" s="267"/>
      <c r="H9" s="267"/>
      <c r="I9" s="267"/>
      <c r="J9" s="269"/>
      <c r="K9" s="269"/>
      <c r="L9" s="269"/>
      <c r="M9" s="270"/>
      <c r="N9" s="268"/>
    </row>
    <row r="10" spans="1:16" ht="20.100000000000001" customHeight="1">
      <c r="A10" s="505">
        <v>1</v>
      </c>
      <c r="B10" s="344" t="s">
        <v>2191</v>
      </c>
      <c r="C10" s="318"/>
      <c r="D10" s="126"/>
      <c r="E10" s="267"/>
      <c r="F10" s="268"/>
      <c r="G10" s="267"/>
      <c r="H10" s="267"/>
      <c r="I10" s="267"/>
      <c r="J10" s="269"/>
      <c r="K10" s="269"/>
      <c r="L10" s="269"/>
      <c r="M10" s="270">
        <f>M46</f>
        <v>346607.85609018226</v>
      </c>
      <c r="N10" s="268"/>
      <c r="O10" s="293">
        <f>P10*0.934908047</f>
        <v>346607.85609018232</v>
      </c>
      <c r="P10" s="293">
        <v>370740.05</v>
      </c>
    </row>
    <row r="11" spans="1:16" ht="20.100000000000001" customHeight="1">
      <c r="A11" s="505">
        <v>2</v>
      </c>
      <c r="B11" s="344" t="s">
        <v>2619</v>
      </c>
      <c r="C11" s="344"/>
      <c r="D11" s="126"/>
      <c r="E11" s="267"/>
      <c r="F11" s="268"/>
      <c r="G11" s="267"/>
      <c r="H11" s="267"/>
      <c r="I11" s="267"/>
      <c r="J11" s="269"/>
      <c r="K11" s="269"/>
      <c r="L11" s="269"/>
      <c r="M11" s="270">
        <f>M82</f>
        <v>364118.63706508989</v>
      </c>
      <c r="N11" s="268"/>
      <c r="O11" s="293">
        <f>P11*0.934908047</f>
        <v>364118.63706509001</v>
      </c>
      <c r="P11" s="293">
        <v>389470</v>
      </c>
    </row>
    <row r="12" spans="1:16" ht="20.100000000000001" customHeight="1">
      <c r="A12" s="125"/>
      <c r="B12" s="344"/>
      <c r="C12" s="123"/>
      <c r="D12" s="126"/>
      <c r="E12" s="267"/>
      <c r="F12" s="268"/>
      <c r="G12" s="269"/>
      <c r="H12" s="269"/>
      <c r="I12" s="269"/>
      <c r="J12" s="269"/>
      <c r="K12" s="269"/>
      <c r="L12" s="270"/>
      <c r="M12" s="270"/>
      <c r="N12" s="268"/>
      <c r="O12" s="293">
        <f t="shared" ref="O12" si="0">P12*0.934899332</f>
        <v>0</v>
      </c>
      <c r="P12" s="293"/>
    </row>
    <row r="13" spans="1:16" ht="20.100000000000001" customHeight="1">
      <c r="A13" s="125"/>
      <c r="B13" s="1301" t="s">
        <v>2190</v>
      </c>
      <c r="C13" s="1302"/>
      <c r="D13" s="1303"/>
      <c r="E13" s="267"/>
      <c r="F13" s="268"/>
      <c r="G13" s="267"/>
      <c r="H13" s="267"/>
      <c r="I13" s="267"/>
      <c r="J13" s="269"/>
      <c r="K13" s="269"/>
      <c r="L13" s="269"/>
      <c r="M13" s="288">
        <f>SUM(M10:M11)</f>
        <v>710726.49315527221</v>
      </c>
      <c r="N13" s="268"/>
      <c r="O13" s="293">
        <f>SUM(O10:O12)</f>
        <v>710726.49315527233</v>
      </c>
      <c r="P13" s="293">
        <f>SUM(P10:P12)</f>
        <v>760210.05</v>
      </c>
    </row>
    <row r="14" spans="1:16" ht="20.100000000000001" customHeight="1">
      <c r="A14" s="125"/>
      <c r="B14" s="411"/>
      <c r="C14" s="123"/>
      <c r="D14" s="127"/>
      <c r="E14" s="267"/>
      <c r="F14" s="268"/>
      <c r="G14" s="269"/>
      <c r="H14" s="269"/>
      <c r="I14" s="269"/>
      <c r="J14" s="269"/>
      <c r="K14" s="269"/>
      <c r="L14" s="270"/>
      <c r="M14" s="270"/>
      <c r="N14" s="268"/>
    </row>
    <row r="15" spans="1:16" ht="20.100000000000001" customHeight="1">
      <c r="A15" s="125"/>
      <c r="B15" s="411"/>
      <c r="C15" s="123"/>
      <c r="D15" s="124"/>
      <c r="E15" s="267"/>
      <c r="F15" s="268"/>
      <c r="G15" s="269"/>
      <c r="H15" s="269"/>
      <c r="I15" s="269"/>
      <c r="J15" s="269"/>
      <c r="K15" s="269"/>
      <c r="L15" s="270"/>
      <c r="M15" s="270"/>
      <c r="N15" s="268"/>
    </row>
    <row r="16" spans="1:16" ht="20.100000000000001" customHeight="1">
      <c r="A16" s="125"/>
      <c r="B16" s="411"/>
      <c r="C16" s="123"/>
      <c r="D16" s="124"/>
      <c r="E16" s="267"/>
      <c r="F16" s="268"/>
      <c r="G16" s="269"/>
      <c r="H16" s="269"/>
      <c r="I16" s="269"/>
      <c r="J16" s="269"/>
      <c r="K16" s="269"/>
      <c r="L16" s="270"/>
      <c r="M16" s="270"/>
      <c r="N16" s="268"/>
    </row>
    <row r="17" spans="1:14" ht="20.100000000000001" customHeight="1">
      <c r="A17" s="125"/>
      <c r="B17" s="411"/>
      <c r="C17" s="123"/>
      <c r="D17" s="124"/>
      <c r="E17" s="267"/>
      <c r="F17" s="268"/>
      <c r="G17" s="269"/>
      <c r="H17" s="269"/>
      <c r="I17" s="269"/>
      <c r="J17" s="269"/>
      <c r="K17" s="269"/>
      <c r="L17" s="270"/>
      <c r="M17" s="270"/>
      <c r="N17" s="268"/>
    </row>
    <row r="18" spans="1:14" ht="20.100000000000001" customHeight="1">
      <c r="A18" s="125"/>
      <c r="B18" s="411"/>
      <c r="C18" s="123"/>
      <c r="D18" s="124"/>
      <c r="E18" s="267"/>
      <c r="F18" s="268"/>
      <c r="G18" s="269"/>
      <c r="H18" s="269"/>
      <c r="I18" s="269"/>
      <c r="J18" s="269"/>
      <c r="K18" s="269"/>
      <c r="L18" s="270"/>
      <c r="M18" s="270"/>
      <c r="N18" s="268"/>
    </row>
    <row r="19" spans="1:14" ht="20.100000000000001" customHeight="1">
      <c r="A19" s="505"/>
      <c r="B19" s="344"/>
      <c r="C19" s="318"/>
      <c r="D19" s="126"/>
      <c r="E19" s="267"/>
      <c r="F19" s="268"/>
      <c r="G19" s="269"/>
      <c r="H19" s="269"/>
      <c r="I19" s="269"/>
      <c r="J19" s="269"/>
      <c r="K19" s="269"/>
      <c r="L19" s="270"/>
      <c r="M19" s="268"/>
      <c r="N19" s="268"/>
    </row>
    <row r="20" spans="1:14" ht="20.100000000000001" customHeight="1">
      <c r="A20" s="122"/>
      <c r="B20" s="1422"/>
      <c r="C20" s="1423"/>
      <c r="D20" s="1424"/>
      <c r="E20" s="267"/>
      <c r="F20" s="268"/>
      <c r="G20" s="267"/>
      <c r="H20" s="267"/>
      <c r="I20" s="267"/>
      <c r="J20" s="267"/>
      <c r="K20" s="267"/>
      <c r="L20" s="269"/>
      <c r="M20" s="271"/>
      <c r="N20" s="268"/>
    </row>
    <row r="21" spans="1:14" ht="20.100000000000001" customHeight="1">
      <c r="A21" s="122"/>
      <c r="B21" s="128"/>
      <c r="C21" s="129"/>
      <c r="D21" s="130"/>
      <c r="E21" s="267"/>
      <c r="F21" s="268"/>
      <c r="G21" s="267"/>
      <c r="H21" s="267"/>
      <c r="I21" s="267"/>
      <c r="J21" s="267"/>
      <c r="K21" s="267"/>
      <c r="L21" s="269"/>
      <c r="M21" s="271"/>
      <c r="N21" s="268"/>
    </row>
    <row r="22" spans="1:14" ht="20.100000000000001" customHeight="1">
      <c r="A22" s="122"/>
      <c r="B22" s="128"/>
      <c r="C22" s="129"/>
      <c r="D22" s="130"/>
      <c r="E22" s="267"/>
      <c r="F22" s="268"/>
      <c r="G22" s="267"/>
      <c r="H22" s="267"/>
      <c r="I22" s="267"/>
      <c r="J22" s="267"/>
      <c r="K22" s="267"/>
      <c r="L22" s="269"/>
      <c r="M22" s="271"/>
      <c r="N22" s="268"/>
    </row>
    <row r="23" spans="1:14" ht="20.100000000000001" customHeight="1">
      <c r="A23" s="122"/>
      <c r="B23" s="122"/>
      <c r="C23" s="131"/>
      <c r="D23" s="132"/>
      <c r="E23" s="267"/>
      <c r="F23" s="268"/>
      <c r="G23" s="267"/>
      <c r="H23" s="267"/>
      <c r="I23" s="267"/>
      <c r="J23" s="267"/>
      <c r="K23" s="267"/>
      <c r="L23" s="269"/>
      <c r="M23" s="267"/>
      <c r="N23" s="268"/>
    </row>
    <row r="24" spans="1:14" ht="20.100000000000001" customHeight="1">
      <c r="A24" s="122"/>
      <c r="B24" s="122"/>
      <c r="C24" s="131"/>
      <c r="D24" s="132"/>
      <c r="E24" s="267"/>
      <c r="F24" s="268"/>
      <c r="G24" s="267"/>
      <c r="H24" s="267"/>
      <c r="I24" s="267"/>
      <c r="J24" s="267"/>
      <c r="K24" s="267"/>
      <c r="L24" s="269"/>
      <c r="M24" s="267"/>
      <c r="N24" s="268"/>
    </row>
    <row r="25" spans="1:14" ht="20.100000000000001" customHeight="1">
      <c r="A25" s="122"/>
      <c r="B25" s="122"/>
      <c r="C25" s="131"/>
      <c r="D25" s="132"/>
      <c r="E25" s="267"/>
      <c r="F25" s="268"/>
      <c r="G25" s="267"/>
      <c r="H25" s="267"/>
      <c r="I25" s="267"/>
      <c r="J25" s="267"/>
      <c r="K25" s="267"/>
      <c r="L25" s="269"/>
      <c r="M25" s="267"/>
      <c r="N25" s="268"/>
    </row>
    <row r="26" spans="1:14" ht="20.100000000000001" customHeight="1">
      <c r="A26" s="122"/>
      <c r="B26" s="411"/>
      <c r="C26" s="131"/>
      <c r="D26" s="132"/>
      <c r="E26" s="267"/>
      <c r="F26" s="268"/>
      <c r="G26" s="267"/>
      <c r="H26" s="267"/>
      <c r="I26" s="267"/>
      <c r="J26" s="267"/>
      <c r="K26" s="267"/>
      <c r="L26" s="269"/>
      <c r="M26" s="267"/>
      <c r="N26" s="268"/>
    </row>
    <row r="27" spans="1:14" ht="20.100000000000001" customHeight="1">
      <c r="A27" s="122"/>
      <c r="B27" s="411"/>
      <c r="C27" s="131"/>
      <c r="D27" s="132"/>
      <c r="E27" s="267"/>
      <c r="F27" s="268"/>
      <c r="G27" s="267"/>
      <c r="H27" s="267"/>
      <c r="I27" s="267"/>
      <c r="J27" s="267"/>
      <c r="K27" s="267"/>
      <c r="L27" s="269"/>
      <c r="M27" s="267"/>
      <c r="N27" s="268"/>
    </row>
    <row r="28" spans="1:14" ht="20.100000000000001" customHeight="1">
      <c r="A28" s="122"/>
      <c r="B28" s="122"/>
      <c r="C28" s="131"/>
      <c r="D28" s="132"/>
      <c r="E28" s="267"/>
      <c r="F28" s="268"/>
      <c r="G28" s="267"/>
      <c r="H28" s="267"/>
      <c r="I28" s="267"/>
      <c r="J28" s="267"/>
      <c r="K28" s="267"/>
      <c r="L28" s="269"/>
      <c r="M28" s="267"/>
      <c r="N28" s="268"/>
    </row>
    <row r="29" spans="1:14" ht="20.100000000000001" customHeight="1">
      <c r="A29" s="122"/>
      <c r="B29" s="122"/>
      <c r="C29" s="131"/>
      <c r="D29" s="132"/>
      <c r="E29" s="267"/>
      <c r="F29" s="268"/>
      <c r="G29" s="267"/>
      <c r="H29" s="267"/>
      <c r="I29" s="267"/>
      <c r="J29" s="267"/>
      <c r="K29" s="267"/>
      <c r="L29" s="269"/>
      <c r="M29" s="267"/>
      <c r="N29" s="268"/>
    </row>
    <row r="30" spans="1:14" ht="20.100000000000001" customHeight="1">
      <c r="A30" s="133"/>
      <c r="B30" s="133"/>
      <c r="C30" s="134"/>
      <c r="D30" s="135"/>
      <c r="E30" s="272"/>
      <c r="F30" s="273"/>
      <c r="G30" s="272"/>
      <c r="H30" s="272"/>
      <c r="I30" s="272"/>
      <c r="J30" s="272"/>
      <c r="K30" s="272"/>
      <c r="L30" s="274"/>
      <c r="M30" s="272"/>
      <c r="N30" s="268"/>
    </row>
    <row r="31" spans="1:14" ht="20.100000000000001" customHeight="1">
      <c r="A31" s="652"/>
      <c r="B31" s="653" t="s">
        <v>2620</v>
      </c>
      <c r="C31" s="172"/>
      <c r="D31" s="197"/>
      <c r="E31" s="263"/>
      <c r="F31" s="264"/>
      <c r="G31" s="263"/>
      <c r="H31" s="263"/>
      <c r="I31" s="263"/>
      <c r="J31" s="263"/>
      <c r="K31" s="263"/>
      <c r="L31" s="265"/>
      <c r="M31" s="263"/>
      <c r="N31" s="264"/>
    </row>
    <row r="32" spans="1:14" ht="20.100000000000001" customHeight="1">
      <c r="A32" s="654"/>
      <c r="B32" s="660" t="s">
        <v>2191</v>
      </c>
      <c r="C32" s="656"/>
      <c r="D32" s="656"/>
      <c r="E32" s="742"/>
      <c r="F32" s="275"/>
      <c r="G32" s="280"/>
      <c r="H32" s="280"/>
      <c r="I32" s="280"/>
      <c r="J32" s="280"/>
      <c r="K32" s="280"/>
      <c r="L32" s="282"/>
      <c r="M32" s="280"/>
      <c r="N32" s="275"/>
    </row>
    <row r="33" spans="1:16" ht="20.100000000000001" customHeight="1">
      <c r="A33" s="780">
        <v>1</v>
      </c>
      <c r="B33" s="337" t="s">
        <v>2621</v>
      </c>
      <c r="C33" s="338"/>
      <c r="D33" s="328"/>
      <c r="E33" s="267"/>
      <c r="F33" s="269"/>
      <c r="G33" s="267"/>
      <c r="H33" s="267"/>
      <c r="I33" s="267"/>
      <c r="J33" s="267"/>
      <c r="K33" s="267"/>
      <c r="L33" s="269"/>
      <c r="M33" s="267"/>
      <c r="N33" s="270"/>
    </row>
    <row r="34" spans="1:16" ht="20.100000000000001" customHeight="1">
      <c r="A34" s="781"/>
      <c r="B34" s="344" t="s">
        <v>2622</v>
      </c>
      <c r="C34" s="620"/>
      <c r="D34" s="663"/>
      <c r="E34" s="267"/>
      <c r="F34" s="269"/>
      <c r="G34" s="284"/>
      <c r="H34" s="284"/>
      <c r="I34" s="267"/>
      <c r="J34" s="267"/>
      <c r="K34" s="267"/>
      <c r="L34" s="284"/>
      <c r="M34" s="267"/>
      <c r="N34" s="270"/>
    </row>
    <row r="35" spans="1:16" ht="20.100000000000001" customHeight="1">
      <c r="A35" s="781"/>
      <c r="B35" s="344" t="s">
        <v>2623</v>
      </c>
      <c r="C35" s="620"/>
      <c r="D35" s="663"/>
      <c r="E35" s="284">
        <v>9</v>
      </c>
      <c r="F35" s="269" t="s">
        <v>402</v>
      </c>
      <c r="G35" s="284">
        <v>3752.39</v>
      </c>
      <c r="H35" s="284">
        <f>G35*O35</f>
        <v>3508.1396064823298</v>
      </c>
      <c r="I35" s="267">
        <f>E35*H35</f>
        <v>31573.256458340969</v>
      </c>
      <c r="J35" s="267">
        <v>2419.2600000000002</v>
      </c>
      <c r="K35" s="267">
        <f>J35*O35</f>
        <v>2261.7856417852199</v>
      </c>
      <c r="L35" s="284">
        <f>E35*K35</f>
        <v>20356.070776066979</v>
      </c>
      <c r="M35" s="267">
        <f>I35+L35</f>
        <v>51929.327234407945</v>
      </c>
      <c r="N35" s="270"/>
      <c r="O35" s="1171">
        <v>0.93490804699999996</v>
      </c>
      <c r="P35" s="252"/>
    </row>
    <row r="36" spans="1:16" ht="20.100000000000001" customHeight="1">
      <c r="A36" s="780">
        <v>2</v>
      </c>
      <c r="B36" s="337" t="s">
        <v>2624</v>
      </c>
      <c r="C36" s="338"/>
      <c r="D36" s="328"/>
      <c r="E36" s="267"/>
      <c r="F36" s="269"/>
      <c r="G36" s="267"/>
      <c r="H36" s="267"/>
      <c r="I36" s="267"/>
      <c r="J36" s="267"/>
      <c r="K36" s="267"/>
      <c r="L36" s="269"/>
      <c r="M36" s="267"/>
      <c r="N36" s="270"/>
      <c r="O36" s="1171">
        <v>0.93490804699999996</v>
      </c>
      <c r="P36" s="252"/>
    </row>
    <row r="37" spans="1:16" ht="20.100000000000001" customHeight="1">
      <c r="A37" s="781">
        <v>2.1</v>
      </c>
      <c r="B37" s="344" t="s">
        <v>2625</v>
      </c>
      <c r="C37" s="620"/>
      <c r="D37" s="663"/>
      <c r="E37" s="267">
        <v>12</v>
      </c>
      <c r="F37" s="269" t="s">
        <v>402</v>
      </c>
      <c r="G37" s="284">
        <v>6695.58</v>
      </c>
      <c r="H37" s="284">
        <f>G37*O37</f>
        <v>6259.7516213322597</v>
      </c>
      <c r="I37" s="267">
        <f>E37*H37</f>
        <v>75117.019455987116</v>
      </c>
      <c r="J37" s="267">
        <v>3313.7</v>
      </c>
      <c r="K37" s="267">
        <f>J37*O37</f>
        <v>3098.0047953438998</v>
      </c>
      <c r="L37" s="284">
        <f>E37*K37</f>
        <v>37176.057544126801</v>
      </c>
      <c r="M37" s="267">
        <f>I37+L37</f>
        <v>112293.07700011392</v>
      </c>
      <c r="N37" s="270"/>
      <c r="O37" s="1171">
        <v>0.93490804699999996</v>
      </c>
      <c r="P37" s="252"/>
    </row>
    <row r="38" spans="1:16" ht="20.100000000000001" customHeight="1">
      <c r="A38" s="715">
        <v>2.2000000000000002</v>
      </c>
      <c r="B38" s="782" t="s">
        <v>2626</v>
      </c>
      <c r="C38" s="783"/>
      <c r="D38" s="784"/>
      <c r="E38" s="284">
        <v>16</v>
      </c>
      <c r="F38" s="269" t="s">
        <v>402</v>
      </c>
      <c r="G38" s="284">
        <v>2728.36</v>
      </c>
      <c r="H38" s="284">
        <f>G38*O38</f>
        <v>2550.7657191129201</v>
      </c>
      <c r="I38" s="267">
        <f>E38*H38</f>
        <v>40812.251505806722</v>
      </c>
      <c r="J38" s="267">
        <v>828.1</v>
      </c>
      <c r="K38" s="267">
        <f>J38*O38</f>
        <v>774.19735372069999</v>
      </c>
      <c r="L38" s="284">
        <f>E38*K38</f>
        <v>12387.1576595312</v>
      </c>
      <c r="M38" s="267">
        <f>I38+L38</f>
        <v>53199.409165337922</v>
      </c>
      <c r="N38" s="268"/>
      <c r="O38" s="1171">
        <v>0.93490804699999996</v>
      </c>
      <c r="P38" s="252"/>
    </row>
    <row r="39" spans="1:16" ht="20.100000000000001" customHeight="1">
      <c r="A39" s="715"/>
      <c r="B39" s="782" t="s">
        <v>2627</v>
      </c>
      <c r="C39" s="783"/>
      <c r="D39" s="784"/>
      <c r="E39" s="284"/>
      <c r="F39" s="269"/>
      <c r="G39" s="284"/>
      <c r="H39" s="284"/>
      <c r="I39" s="267"/>
      <c r="J39" s="267"/>
      <c r="K39" s="267"/>
      <c r="L39" s="284"/>
      <c r="M39" s="267"/>
      <c r="N39" s="268"/>
      <c r="O39" s="1171">
        <v>0.93490804699999996</v>
      </c>
      <c r="P39" s="252"/>
    </row>
    <row r="40" spans="1:16" ht="20.100000000000001" customHeight="1">
      <c r="A40" s="780">
        <v>3</v>
      </c>
      <c r="B40" s="337" t="s">
        <v>2628</v>
      </c>
      <c r="C40" s="338"/>
      <c r="D40" s="328"/>
      <c r="E40" s="267"/>
      <c r="F40" s="269"/>
      <c r="G40" s="267"/>
      <c r="H40" s="267"/>
      <c r="I40" s="267"/>
      <c r="J40" s="267"/>
      <c r="K40" s="267"/>
      <c r="L40" s="269"/>
      <c r="M40" s="267"/>
      <c r="N40" s="268"/>
      <c r="O40" s="1171">
        <v>0.93490804699999996</v>
      </c>
      <c r="P40" s="252"/>
    </row>
    <row r="41" spans="1:16" ht="20.100000000000001" customHeight="1">
      <c r="A41" s="781"/>
      <c r="B41" s="344" t="s">
        <v>2629</v>
      </c>
      <c r="C41" s="620"/>
      <c r="D41" s="663"/>
      <c r="E41" s="267">
        <v>16</v>
      </c>
      <c r="F41" s="269" t="s">
        <v>402</v>
      </c>
      <c r="G41" s="284">
        <v>2855.79</v>
      </c>
      <c r="H41" s="284">
        <f>G41*O41</f>
        <v>2669.9010515421301</v>
      </c>
      <c r="I41" s="267">
        <f>E41*H41</f>
        <v>42718.416824674081</v>
      </c>
      <c r="J41" s="267">
        <v>1655.49</v>
      </c>
      <c r="K41" s="267">
        <f>J41*O41</f>
        <v>1547.73092272803</v>
      </c>
      <c r="L41" s="284">
        <f>E41*K41</f>
        <v>24763.69476364848</v>
      </c>
      <c r="M41" s="267">
        <f>I41+L41</f>
        <v>67482.111588322558</v>
      </c>
      <c r="N41" s="268"/>
      <c r="O41" s="1171">
        <v>0.93490804699999996</v>
      </c>
      <c r="P41" s="252"/>
    </row>
    <row r="42" spans="1:16" ht="20.100000000000001" customHeight="1">
      <c r="A42" s="780">
        <v>4</v>
      </c>
      <c r="B42" s="337" t="s">
        <v>2630</v>
      </c>
      <c r="C42" s="338"/>
      <c r="D42" s="328"/>
      <c r="E42" s="267"/>
      <c r="F42" s="269"/>
      <c r="G42" s="267"/>
      <c r="H42" s="267"/>
      <c r="I42" s="267"/>
      <c r="J42" s="267"/>
      <c r="K42" s="267"/>
      <c r="L42" s="269"/>
      <c r="M42" s="267"/>
      <c r="N42" s="268"/>
      <c r="O42" s="1171">
        <v>0.93490804699999996</v>
      </c>
      <c r="P42" s="252"/>
    </row>
    <row r="43" spans="1:16" ht="20.100000000000001" customHeight="1">
      <c r="A43" s="781">
        <v>4.0999999999999996</v>
      </c>
      <c r="B43" s="344" t="s">
        <v>2631</v>
      </c>
      <c r="C43" s="620"/>
      <c r="D43" s="663"/>
      <c r="E43" s="267">
        <v>1</v>
      </c>
      <c r="F43" s="269" t="s">
        <v>402</v>
      </c>
      <c r="G43" s="284">
        <v>57000</v>
      </c>
      <c r="H43" s="284">
        <f>G43*O43</f>
        <v>53289.758678999999</v>
      </c>
      <c r="I43" s="267">
        <f>E43*H43</f>
        <v>53289.758678999999</v>
      </c>
      <c r="J43" s="267">
        <v>5700</v>
      </c>
      <c r="K43" s="267">
        <f>J43*O43</f>
        <v>5328.9758678999997</v>
      </c>
      <c r="L43" s="284">
        <f>E43*K43</f>
        <v>5328.9758678999997</v>
      </c>
      <c r="M43" s="267">
        <f>I43+L43</f>
        <v>58618.734546899999</v>
      </c>
      <c r="N43" s="268"/>
      <c r="O43" s="1171">
        <v>0.93490804699999996</v>
      </c>
      <c r="P43" s="252"/>
    </row>
    <row r="44" spans="1:16" ht="20.100000000000001" customHeight="1">
      <c r="A44" s="781">
        <v>4.2</v>
      </c>
      <c r="B44" s="344" t="s">
        <v>2632</v>
      </c>
      <c r="C44" s="620"/>
      <c r="D44" s="663"/>
      <c r="E44" s="267">
        <v>11</v>
      </c>
      <c r="F44" s="269" t="s">
        <v>402</v>
      </c>
      <c r="G44" s="284">
        <v>300</v>
      </c>
      <c r="H44" s="284">
        <f>G44*O44</f>
        <v>280.47241409999998</v>
      </c>
      <c r="I44" s="267">
        <f>E44*H44</f>
        <v>3085.1965550999998</v>
      </c>
      <c r="J44" s="267">
        <v>0</v>
      </c>
      <c r="K44" s="267"/>
      <c r="L44" s="284">
        <f>E44*J44</f>
        <v>0</v>
      </c>
      <c r="M44" s="267">
        <f>I44+L44</f>
        <v>3085.1965550999998</v>
      </c>
      <c r="N44" s="268"/>
      <c r="O44" s="1171">
        <v>0.93490804699999996</v>
      </c>
      <c r="P44" s="252"/>
    </row>
    <row r="45" spans="1:16" ht="20.100000000000001" customHeight="1">
      <c r="A45" s="781"/>
      <c r="B45" s="344"/>
      <c r="C45" s="620"/>
      <c r="D45" s="663"/>
      <c r="E45" s="267"/>
      <c r="F45" s="269"/>
      <c r="G45" s="284"/>
      <c r="H45" s="284"/>
      <c r="I45" s="267"/>
      <c r="J45" s="267"/>
      <c r="K45" s="267"/>
      <c r="L45" s="284"/>
      <c r="M45" s="267"/>
      <c r="N45" s="268"/>
      <c r="O45" s="1171">
        <v>0.93490804699999996</v>
      </c>
    </row>
    <row r="46" spans="1:16" ht="20.100000000000001" customHeight="1">
      <c r="A46" s="340"/>
      <c r="B46" s="1345" t="s">
        <v>2633</v>
      </c>
      <c r="C46" s="1346"/>
      <c r="D46" s="1356"/>
      <c r="E46" s="267"/>
      <c r="F46" s="269"/>
      <c r="G46" s="267"/>
      <c r="H46" s="267"/>
      <c r="I46" s="267"/>
      <c r="J46" s="267"/>
      <c r="K46" s="267"/>
      <c r="L46" s="267"/>
      <c r="M46" s="271">
        <f>SUM(M35:M44)</f>
        <v>346607.85609018226</v>
      </c>
      <c r="N46" s="268"/>
      <c r="O46" s="1171"/>
    </row>
    <row r="47" spans="1:16" ht="20.100000000000001" customHeight="1">
      <c r="A47" s="340"/>
      <c r="B47" s="422"/>
      <c r="C47" s="451"/>
      <c r="D47" s="452"/>
      <c r="E47" s="267"/>
      <c r="F47" s="268"/>
      <c r="G47" s="267"/>
      <c r="H47" s="267"/>
      <c r="I47" s="267"/>
      <c r="J47" s="267"/>
      <c r="K47" s="267"/>
      <c r="L47" s="267"/>
      <c r="M47" s="271"/>
      <c r="N47" s="268"/>
      <c r="O47" s="1171"/>
    </row>
    <row r="48" spans="1:16" ht="20.100000000000001" customHeight="1">
      <c r="A48" s="340"/>
      <c r="B48" s="422"/>
      <c r="C48" s="451"/>
      <c r="D48" s="452"/>
      <c r="E48" s="267"/>
      <c r="F48" s="268"/>
      <c r="G48" s="267"/>
      <c r="H48" s="267"/>
      <c r="I48" s="267"/>
      <c r="J48" s="267"/>
      <c r="K48" s="267"/>
      <c r="L48" s="267"/>
      <c r="M48" s="271"/>
      <c r="N48" s="268"/>
      <c r="O48" s="1171"/>
    </row>
    <row r="49" spans="1:15" ht="20.100000000000001" customHeight="1">
      <c r="A49" s="340"/>
      <c r="B49" s="422"/>
      <c r="C49" s="451"/>
      <c r="D49" s="452"/>
      <c r="E49" s="267"/>
      <c r="F49" s="268"/>
      <c r="G49" s="267"/>
      <c r="H49" s="267"/>
      <c r="I49" s="267"/>
      <c r="J49" s="267"/>
      <c r="K49" s="267"/>
      <c r="L49" s="267"/>
      <c r="M49" s="271"/>
      <c r="N49" s="268"/>
      <c r="O49" s="1171"/>
    </row>
    <row r="50" spans="1:15" ht="20.100000000000001" customHeight="1">
      <c r="A50" s="340"/>
      <c r="B50" s="422"/>
      <c r="C50" s="451"/>
      <c r="D50" s="452"/>
      <c r="E50" s="267"/>
      <c r="F50" s="268"/>
      <c r="G50" s="267"/>
      <c r="H50" s="267"/>
      <c r="I50" s="267"/>
      <c r="J50" s="267"/>
      <c r="K50" s="267"/>
      <c r="L50" s="267"/>
      <c r="M50" s="271"/>
      <c r="N50" s="268"/>
      <c r="O50" s="1171"/>
    </row>
    <row r="51" spans="1:15" ht="20.100000000000001" customHeight="1">
      <c r="A51" s="202"/>
      <c r="B51" s="349"/>
      <c r="C51" s="318"/>
      <c r="D51" s="663"/>
      <c r="E51" s="267"/>
      <c r="F51" s="268"/>
      <c r="G51" s="284"/>
      <c r="H51" s="284"/>
      <c r="I51" s="267"/>
      <c r="J51" s="269"/>
      <c r="K51" s="269"/>
      <c r="L51" s="284"/>
      <c r="M51" s="267"/>
      <c r="N51" s="268"/>
      <c r="O51" s="1171"/>
    </row>
    <row r="52" spans="1:15" ht="20.100000000000001" customHeight="1">
      <c r="A52" s="122"/>
      <c r="B52" s="1345"/>
      <c r="C52" s="1346"/>
      <c r="D52" s="1356"/>
      <c r="E52" s="267"/>
      <c r="F52" s="268"/>
      <c r="G52" s="270"/>
      <c r="H52" s="270"/>
      <c r="I52" s="270"/>
      <c r="J52" s="270"/>
      <c r="K52" s="270"/>
      <c r="L52" s="270"/>
      <c r="M52" s="288"/>
      <c r="N52" s="268"/>
      <c r="O52" s="1171"/>
    </row>
    <row r="53" spans="1:15" ht="20.100000000000001" customHeight="1">
      <c r="A53" s="654"/>
      <c r="B53" s="116"/>
      <c r="C53" s="116"/>
      <c r="D53" s="664"/>
      <c r="E53" s="280"/>
      <c r="F53" s="275"/>
      <c r="G53" s="665"/>
      <c r="H53" s="665"/>
      <c r="I53" s="280"/>
      <c r="J53" s="282"/>
      <c r="K53" s="282"/>
      <c r="L53" s="665"/>
      <c r="M53" s="280"/>
      <c r="N53" s="268"/>
      <c r="O53" s="1171"/>
    </row>
    <row r="54" spans="1:15" ht="20.100000000000001" customHeight="1">
      <c r="A54" s="202"/>
      <c r="B54" s="657"/>
      <c r="C54" s="244"/>
      <c r="D54" s="454"/>
      <c r="E54" s="267"/>
      <c r="F54" s="268"/>
      <c r="G54" s="284"/>
      <c r="H54" s="284"/>
      <c r="I54" s="267"/>
      <c r="J54" s="269"/>
      <c r="K54" s="269"/>
      <c r="L54" s="284"/>
      <c r="M54" s="267"/>
      <c r="N54" s="268"/>
      <c r="O54" s="1171"/>
    </row>
    <row r="55" spans="1:15" ht="20.100000000000001" customHeight="1">
      <c r="A55" s="139"/>
      <c r="B55" s="1345"/>
      <c r="C55" s="1346"/>
      <c r="D55" s="1356"/>
      <c r="E55" s="267"/>
      <c r="F55" s="268"/>
      <c r="G55" s="269"/>
      <c r="H55" s="269"/>
      <c r="I55" s="270"/>
      <c r="J55" s="269"/>
      <c r="K55" s="269"/>
      <c r="L55" s="270"/>
      <c r="M55" s="288"/>
      <c r="N55" s="268"/>
      <c r="O55" s="1171"/>
    </row>
    <row r="56" spans="1:15" ht="20.100000000000001" customHeight="1">
      <c r="A56" s="122"/>
      <c r="B56" s="357"/>
      <c r="C56" s="140"/>
      <c r="D56" s="132"/>
      <c r="E56" s="267"/>
      <c r="F56" s="268"/>
      <c r="G56" s="270"/>
      <c r="H56" s="270"/>
      <c r="I56" s="270"/>
      <c r="J56" s="270"/>
      <c r="K56" s="270"/>
      <c r="L56" s="270"/>
      <c r="M56" s="270"/>
      <c r="N56" s="268"/>
      <c r="O56" s="1171"/>
    </row>
    <row r="57" spans="1:15" ht="20.100000000000001" customHeight="1">
      <c r="A57" s="139"/>
      <c r="B57" s="357"/>
      <c r="C57" s="131"/>
      <c r="D57" s="142"/>
      <c r="E57" s="267"/>
      <c r="F57" s="268"/>
      <c r="G57" s="267"/>
      <c r="H57" s="267"/>
      <c r="I57" s="270"/>
      <c r="J57" s="269"/>
      <c r="K57" s="269"/>
      <c r="L57" s="270"/>
      <c r="M57" s="270"/>
      <c r="N57" s="268"/>
      <c r="O57" s="1171"/>
    </row>
    <row r="58" spans="1:15" ht="20.100000000000001" customHeight="1">
      <c r="A58" s="133"/>
      <c r="B58" s="679"/>
      <c r="C58" s="143"/>
      <c r="D58" s="144"/>
      <c r="E58" s="272"/>
      <c r="F58" s="273"/>
      <c r="G58" s="278"/>
      <c r="H58" s="278"/>
      <c r="I58" s="278"/>
      <c r="J58" s="278"/>
      <c r="K58" s="278"/>
      <c r="L58" s="278"/>
      <c r="M58" s="278"/>
      <c r="N58" s="273"/>
      <c r="O58" s="1171"/>
    </row>
    <row r="59" spans="1:15" ht="20.100000000000001" customHeight="1">
      <c r="A59" s="195">
        <v>2</v>
      </c>
      <c r="B59" s="581" t="s">
        <v>2619</v>
      </c>
      <c r="C59" s="145"/>
      <c r="D59" s="121"/>
      <c r="E59" s="263"/>
      <c r="F59" s="264"/>
      <c r="G59" s="263"/>
      <c r="H59" s="263"/>
      <c r="I59" s="279"/>
      <c r="J59" s="265"/>
      <c r="K59" s="265"/>
      <c r="L59" s="279"/>
      <c r="M59" s="279"/>
      <c r="N59" s="264"/>
      <c r="O59" s="1171"/>
    </row>
    <row r="60" spans="1:15" ht="20.100000000000001" customHeight="1">
      <c r="A60" s="785">
        <v>1</v>
      </c>
      <c r="B60" s="1450" t="s">
        <v>2634</v>
      </c>
      <c r="C60" s="1451"/>
      <c r="D60" s="1452"/>
      <c r="E60" s="267"/>
      <c r="F60" s="268"/>
      <c r="G60" s="284"/>
      <c r="H60" s="284"/>
      <c r="I60" s="267"/>
      <c r="J60" s="267"/>
      <c r="K60" s="267"/>
      <c r="L60" s="284"/>
      <c r="M60" s="267"/>
      <c r="N60" s="275"/>
      <c r="O60" s="1171"/>
    </row>
    <row r="61" spans="1:15" ht="20.100000000000001" customHeight="1">
      <c r="A61" s="787">
        <v>1.1000000000000001</v>
      </c>
      <c r="B61" s="1453" t="s">
        <v>2635</v>
      </c>
      <c r="C61" s="1454"/>
      <c r="D61" s="1455"/>
      <c r="E61" s="267">
        <v>1</v>
      </c>
      <c r="F61" s="427" t="s">
        <v>1028</v>
      </c>
      <c r="G61" s="284">
        <v>32500</v>
      </c>
      <c r="H61" s="284">
        <f>G61*O61</f>
        <v>30384.511527499999</v>
      </c>
      <c r="I61" s="267">
        <f>E61*H61</f>
        <v>30384.511527499999</v>
      </c>
      <c r="J61" s="267">
        <v>2500</v>
      </c>
      <c r="K61" s="267">
        <f>J61*O61</f>
        <v>2337.2701174999997</v>
      </c>
      <c r="L61" s="284">
        <f>E61*K61</f>
        <v>2337.2701174999997</v>
      </c>
      <c r="M61" s="267">
        <f>I61+L61</f>
        <v>32721.781644999999</v>
      </c>
      <c r="N61" s="270"/>
      <c r="O61" s="1171">
        <v>0.93490804699999996</v>
      </c>
    </row>
    <row r="62" spans="1:15" ht="20.100000000000001" customHeight="1">
      <c r="A62" s="787">
        <v>1.2</v>
      </c>
      <c r="B62" s="1453" t="s">
        <v>2636</v>
      </c>
      <c r="C62" s="1454"/>
      <c r="D62" s="1455"/>
      <c r="E62" s="267">
        <v>16</v>
      </c>
      <c r="F62" s="427" t="s">
        <v>1028</v>
      </c>
      <c r="G62" s="284">
        <v>3000</v>
      </c>
      <c r="H62" s="284">
        <f>G62*O62</f>
        <v>2804.7241409999997</v>
      </c>
      <c r="I62" s="267">
        <f>E62*H62</f>
        <v>44875.586255999995</v>
      </c>
      <c r="J62" s="267">
        <v>1500</v>
      </c>
      <c r="K62" s="267">
        <f>J62*O62</f>
        <v>1402.3620704999998</v>
      </c>
      <c r="L62" s="284">
        <f>E62*K62</f>
        <v>22437.793127999998</v>
      </c>
      <c r="M62" s="267">
        <f>I62+L62</f>
        <v>67313.379384</v>
      </c>
      <c r="N62" s="270"/>
      <c r="O62" s="1171">
        <v>0.93490804699999996</v>
      </c>
    </row>
    <row r="63" spans="1:15" ht="20.100000000000001" customHeight="1">
      <c r="A63" s="787"/>
      <c r="B63" s="1450" t="s">
        <v>2637</v>
      </c>
      <c r="C63" s="1451"/>
      <c r="D63" s="1452"/>
      <c r="E63" s="267"/>
      <c r="F63" s="427"/>
      <c r="G63" s="284"/>
      <c r="H63" s="284"/>
      <c r="I63" s="267"/>
      <c r="J63" s="267"/>
      <c r="K63" s="267"/>
      <c r="L63" s="284"/>
      <c r="M63" s="271"/>
      <c r="N63" s="270"/>
      <c r="O63" s="1171">
        <v>0.93490804699999996</v>
      </c>
    </row>
    <row r="64" spans="1:15" ht="20.100000000000001" customHeight="1">
      <c r="A64" s="785">
        <v>2</v>
      </c>
      <c r="B64" s="786" t="s">
        <v>2638</v>
      </c>
      <c r="C64" s="247"/>
      <c r="D64" s="164"/>
      <c r="E64" s="267"/>
      <c r="F64" s="268"/>
      <c r="G64" s="284"/>
      <c r="H64" s="284"/>
      <c r="I64" s="267"/>
      <c r="J64" s="267"/>
      <c r="K64" s="267"/>
      <c r="L64" s="284"/>
      <c r="M64" s="267"/>
      <c r="N64" s="270"/>
      <c r="O64" s="1171">
        <v>0.93490804699999996</v>
      </c>
    </row>
    <row r="65" spans="1:15" ht="20.100000000000001" customHeight="1">
      <c r="A65" s="203">
        <v>2.1</v>
      </c>
      <c r="B65" s="1453" t="s">
        <v>2639</v>
      </c>
      <c r="C65" s="1454"/>
      <c r="D65" s="1455"/>
      <c r="E65" s="284">
        <v>8</v>
      </c>
      <c r="F65" s="427" t="s">
        <v>1028</v>
      </c>
      <c r="G65" s="284">
        <v>4000</v>
      </c>
      <c r="H65" s="284">
        <f>G65*O65</f>
        <v>3739.632188</v>
      </c>
      <c r="I65" s="267">
        <f>E65*H65</f>
        <v>29917.057504</v>
      </c>
      <c r="J65" s="267">
        <v>500</v>
      </c>
      <c r="K65" s="267">
        <f>J65*O65</f>
        <v>467.45402350000001</v>
      </c>
      <c r="L65" s="284">
        <f>E65*K65</f>
        <v>3739.632188</v>
      </c>
      <c r="M65" s="267">
        <f>I65+L65</f>
        <v>33656.689692</v>
      </c>
      <c r="N65" s="270"/>
      <c r="O65" s="1171">
        <v>0.93490804699999996</v>
      </c>
    </row>
    <row r="66" spans="1:15" ht="20.100000000000001" customHeight="1">
      <c r="A66" s="203">
        <v>2.2000000000000002</v>
      </c>
      <c r="B66" s="1453" t="s">
        <v>2640</v>
      </c>
      <c r="C66" s="1454"/>
      <c r="D66" s="1455"/>
      <c r="E66" s="284">
        <v>771</v>
      </c>
      <c r="F66" s="427" t="s">
        <v>1028</v>
      </c>
      <c r="G66" s="284">
        <v>80</v>
      </c>
      <c r="H66" s="284">
        <f>G66*O66</f>
        <v>74.792643760000004</v>
      </c>
      <c r="I66" s="267">
        <f>E66*H66</f>
        <v>57665.128338960007</v>
      </c>
      <c r="J66" s="267">
        <v>10</v>
      </c>
      <c r="K66" s="267">
        <f t="shared" ref="K66:K69" si="1">J66*O66</f>
        <v>9.3490804700000005</v>
      </c>
      <c r="L66" s="284">
        <f t="shared" ref="L66:L69" si="2">E66*K66</f>
        <v>7208.1410423700008</v>
      </c>
      <c r="M66" s="267">
        <f>I66+L66</f>
        <v>64873.269381330007</v>
      </c>
      <c r="N66" s="268"/>
      <c r="O66" s="1171">
        <v>0.93490804699999996</v>
      </c>
    </row>
    <row r="67" spans="1:15" ht="20.100000000000001" customHeight="1">
      <c r="A67" s="203">
        <v>2.2999999999999998</v>
      </c>
      <c r="B67" s="1453" t="s">
        <v>2641</v>
      </c>
      <c r="C67" s="1454"/>
      <c r="D67" s="1455"/>
      <c r="E67" s="284">
        <v>430</v>
      </c>
      <c r="F67" s="427" t="s">
        <v>1028</v>
      </c>
      <c r="G67" s="284">
        <v>40</v>
      </c>
      <c r="H67" s="284">
        <f t="shared" ref="H67:H69" si="3">G67*O67</f>
        <v>37.396321880000002</v>
      </c>
      <c r="I67" s="267">
        <f t="shared" ref="I67:I69" si="4">E67*H67</f>
        <v>16080.418408400001</v>
      </c>
      <c r="J67" s="267">
        <v>10</v>
      </c>
      <c r="K67" s="267">
        <f t="shared" si="1"/>
        <v>9.3490804700000005</v>
      </c>
      <c r="L67" s="284">
        <f t="shared" si="2"/>
        <v>4020.1046021000002</v>
      </c>
      <c r="M67" s="267">
        <f>I67+L67</f>
        <v>20100.523010500001</v>
      </c>
      <c r="N67" s="268"/>
      <c r="O67" s="1171">
        <v>0.93490804699999996</v>
      </c>
    </row>
    <row r="68" spans="1:15" ht="20.100000000000001" customHeight="1">
      <c r="A68" s="203">
        <v>2.4</v>
      </c>
      <c r="B68" s="1453" t="s">
        <v>2642</v>
      </c>
      <c r="C68" s="1454"/>
      <c r="D68" s="1455"/>
      <c r="E68" s="284">
        <v>660</v>
      </c>
      <c r="F68" s="427" t="s">
        <v>1028</v>
      </c>
      <c r="G68" s="284">
        <v>30</v>
      </c>
      <c r="H68" s="284">
        <f t="shared" si="3"/>
        <v>28.047241409999998</v>
      </c>
      <c r="I68" s="267">
        <f t="shared" si="4"/>
        <v>18511.1793306</v>
      </c>
      <c r="J68" s="267">
        <v>10</v>
      </c>
      <c r="K68" s="267">
        <f t="shared" si="1"/>
        <v>9.3490804700000005</v>
      </c>
      <c r="L68" s="284">
        <f t="shared" si="2"/>
        <v>6170.3931102000006</v>
      </c>
      <c r="M68" s="267">
        <f>I68+L68</f>
        <v>24681.572440800002</v>
      </c>
      <c r="N68" s="268"/>
      <c r="O68" s="1171">
        <v>0.93490804699999996</v>
      </c>
    </row>
    <row r="69" spans="1:15" ht="20.100000000000001" customHeight="1">
      <c r="A69" s="203">
        <v>2.5</v>
      </c>
      <c r="B69" s="1453" t="s">
        <v>2643</v>
      </c>
      <c r="C69" s="1454"/>
      <c r="D69" s="1455"/>
      <c r="E69" s="284">
        <v>46</v>
      </c>
      <c r="F69" s="427" t="s">
        <v>1620</v>
      </c>
      <c r="G69" s="284">
        <v>40</v>
      </c>
      <c r="H69" s="284">
        <f t="shared" si="3"/>
        <v>37.396321880000002</v>
      </c>
      <c r="I69" s="267">
        <f t="shared" si="4"/>
        <v>1720.2308064800002</v>
      </c>
      <c r="J69" s="267">
        <v>10</v>
      </c>
      <c r="K69" s="267">
        <f t="shared" si="1"/>
        <v>9.3490804700000005</v>
      </c>
      <c r="L69" s="284">
        <f t="shared" si="2"/>
        <v>430.05770162000005</v>
      </c>
      <c r="M69" s="267">
        <f>I69+L69</f>
        <v>2150.2885081000004</v>
      </c>
      <c r="N69" s="268"/>
      <c r="O69" s="1171">
        <v>0.93490804699999996</v>
      </c>
    </row>
    <row r="70" spans="1:15" ht="20.100000000000001" customHeight="1">
      <c r="A70" s="785">
        <v>3</v>
      </c>
      <c r="B70" s="786" t="s">
        <v>2644</v>
      </c>
      <c r="C70" s="788"/>
      <c r="D70" s="164"/>
      <c r="E70" s="267"/>
      <c r="F70" s="268"/>
      <c r="G70" s="284"/>
      <c r="H70" s="284"/>
      <c r="I70" s="267"/>
      <c r="J70" s="267"/>
      <c r="K70" s="267"/>
      <c r="L70" s="284"/>
      <c r="M70" s="267"/>
      <c r="N70" s="268"/>
      <c r="O70" s="1171">
        <v>0.93490804699999996</v>
      </c>
    </row>
    <row r="71" spans="1:15" ht="20.100000000000001" customHeight="1">
      <c r="A71" s="203">
        <v>3.1</v>
      </c>
      <c r="B71" s="1453" t="s">
        <v>2641</v>
      </c>
      <c r="C71" s="1454"/>
      <c r="D71" s="1455"/>
      <c r="E71" s="284">
        <v>54</v>
      </c>
      <c r="F71" s="427" t="s">
        <v>1028</v>
      </c>
      <c r="G71" s="284">
        <v>40</v>
      </c>
      <c r="H71" s="284">
        <f t="shared" ref="H71" si="5">G71*O71</f>
        <v>37.396321880000002</v>
      </c>
      <c r="I71" s="267">
        <f t="shared" ref="I71" si="6">E71*H71</f>
        <v>2019.4013815200001</v>
      </c>
      <c r="J71" s="267">
        <v>20</v>
      </c>
      <c r="K71" s="267">
        <f>J71*O71</f>
        <v>18.698160940000001</v>
      </c>
      <c r="L71" s="284">
        <f>E71*K71</f>
        <v>1009.70069076</v>
      </c>
      <c r="M71" s="267">
        <f>I71+L71</f>
        <v>3029.1020722800004</v>
      </c>
      <c r="N71" s="268"/>
      <c r="O71" s="1171">
        <v>0.93490804699999996</v>
      </c>
    </row>
    <row r="72" spans="1:15" ht="20.100000000000001" customHeight="1">
      <c r="A72" s="785">
        <v>4</v>
      </c>
      <c r="B72" s="786" t="s">
        <v>2645</v>
      </c>
      <c r="C72" s="788"/>
      <c r="D72" s="164"/>
      <c r="E72" s="267"/>
      <c r="F72" s="268"/>
      <c r="G72" s="284"/>
      <c r="H72" s="284"/>
      <c r="I72" s="267"/>
      <c r="J72" s="267"/>
      <c r="K72" s="267"/>
      <c r="L72" s="284"/>
      <c r="M72" s="267"/>
      <c r="N72" s="268"/>
      <c r="O72" s="1171">
        <v>0.93490804699999996</v>
      </c>
    </row>
    <row r="73" spans="1:15" ht="20.100000000000001" customHeight="1">
      <c r="A73" s="203">
        <v>4.0999999999999996</v>
      </c>
      <c r="B73" s="1453" t="s">
        <v>2646</v>
      </c>
      <c r="C73" s="1454"/>
      <c r="D73" s="1455"/>
      <c r="E73" s="284">
        <v>1</v>
      </c>
      <c r="F73" s="427" t="s">
        <v>402</v>
      </c>
      <c r="G73" s="284">
        <v>1500</v>
      </c>
      <c r="H73" s="284">
        <f t="shared" ref="H73" si="7">G73*O73</f>
        <v>1402.3620704999998</v>
      </c>
      <c r="I73" s="267">
        <f t="shared" ref="I73" si="8">E73*H73</f>
        <v>1402.3620704999998</v>
      </c>
      <c r="J73" s="267">
        <v>0</v>
      </c>
      <c r="K73" s="267"/>
      <c r="L73" s="284">
        <f t="shared" ref="L73:L81" si="9">E73*J73</f>
        <v>0</v>
      </c>
      <c r="M73" s="267">
        <f t="shared" ref="M73:M81" si="10">I73+L73</f>
        <v>1402.3620704999998</v>
      </c>
      <c r="N73" s="268"/>
      <c r="O73" s="1171">
        <v>0.93490804699999996</v>
      </c>
    </row>
    <row r="74" spans="1:15" ht="20.100000000000001" customHeight="1">
      <c r="A74" s="789"/>
      <c r="B74" s="1453" t="s">
        <v>2647</v>
      </c>
      <c r="C74" s="1454"/>
      <c r="D74" s="1455"/>
      <c r="E74" s="284"/>
      <c r="F74" s="427"/>
      <c r="G74" s="284"/>
      <c r="H74" s="284"/>
      <c r="I74" s="267"/>
      <c r="J74" s="267"/>
      <c r="K74" s="267"/>
      <c r="L74" s="284"/>
      <c r="M74" s="267"/>
      <c r="N74" s="268"/>
      <c r="O74" s="1171">
        <v>0.93490804699999996</v>
      </c>
    </row>
    <row r="75" spans="1:15" ht="20.100000000000001" customHeight="1">
      <c r="A75" s="203">
        <v>4.2</v>
      </c>
      <c r="B75" s="1453" t="s">
        <v>2648</v>
      </c>
      <c r="C75" s="1454"/>
      <c r="D75" s="1455"/>
      <c r="E75" s="284">
        <v>8</v>
      </c>
      <c r="F75" s="427" t="s">
        <v>402</v>
      </c>
      <c r="G75" s="284">
        <v>1000</v>
      </c>
      <c r="H75" s="284">
        <f t="shared" ref="H75" si="11">G75*O75</f>
        <v>934.90804700000001</v>
      </c>
      <c r="I75" s="267">
        <f t="shared" ref="I75" si="12">E75*H75</f>
        <v>7479.2643760000001</v>
      </c>
      <c r="J75" s="267">
        <v>0</v>
      </c>
      <c r="K75" s="267"/>
      <c r="L75" s="284">
        <f t="shared" si="9"/>
        <v>0</v>
      </c>
      <c r="M75" s="267">
        <f t="shared" si="10"/>
        <v>7479.2643760000001</v>
      </c>
      <c r="N75" s="268"/>
      <c r="O75" s="1171">
        <v>0.93490804699999996</v>
      </c>
    </row>
    <row r="76" spans="1:15" ht="20.100000000000001" customHeight="1">
      <c r="A76" s="789"/>
      <c r="B76" s="1453" t="s">
        <v>2649</v>
      </c>
      <c r="C76" s="1454"/>
      <c r="D76" s="1455"/>
      <c r="E76" s="284"/>
      <c r="F76" s="427"/>
      <c r="G76" s="284"/>
      <c r="H76" s="284"/>
      <c r="I76" s="267"/>
      <c r="J76" s="267"/>
      <c r="K76" s="267"/>
      <c r="L76" s="284"/>
      <c r="M76" s="267"/>
      <c r="N76" s="268"/>
      <c r="O76" s="1171">
        <v>0.93490804699999996</v>
      </c>
    </row>
    <row r="77" spans="1:15" ht="20.100000000000001" customHeight="1">
      <c r="A77" s="203">
        <v>4.3</v>
      </c>
      <c r="B77" s="1453" t="s">
        <v>2650</v>
      </c>
      <c r="C77" s="1454"/>
      <c r="D77" s="1455"/>
      <c r="E77" s="284">
        <v>2</v>
      </c>
      <c r="F77" s="427" t="s">
        <v>1620</v>
      </c>
      <c r="G77" s="284">
        <v>45</v>
      </c>
      <c r="H77" s="284">
        <f t="shared" ref="H77" si="13">G77*O77</f>
        <v>42.070862114999997</v>
      </c>
      <c r="I77" s="267">
        <f t="shared" ref="I77" si="14">E77*H77</f>
        <v>84.141724229999994</v>
      </c>
      <c r="J77" s="267">
        <v>0</v>
      </c>
      <c r="K77" s="267"/>
      <c r="L77" s="284">
        <f t="shared" si="9"/>
        <v>0</v>
      </c>
      <c r="M77" s="267">
        <f t="shared" si="10"/>
        <v>84.141724229999994</v>
      </c>
      <c r="N77" s="268"/>
      <c r="O77" s="1171">
        <v>0.93490804699999996</v>
      </c>
    </row>
    <row r="78" spans="1:15" ht="20.100000000000001" customHeight="1">
      <c r="A78" s="203">
        <v>4.4000000000000004</v>
      </c>
      <c r="B78" s="1453" t="s">
        <v>2651</v>
      </c>
      <c r="C78" s="1454"/>
      <c r="D78" s="1455"/>
      <c r="E78" s="284">
        <v>110</v>
      </c>
      <c r="F78" s="427" t="s">
        <v>2652</v>
      </c>
      <c r="G78" s="284">
        <v>950</v>
      </c>
      <c r="H78" s="284">
        <f t="shared" ref="H78:H81" si="15">G78*O78</f>
        <v>888.16264464999995</v>
      </c>
      <c r="I78" s="267">
        <f t="shared" ref="I78:I81" si="16">E78*H78</f>
        <v>97697.890911499999</v>
      </c>
      <c r="J78" s="267">
        <v>0</v>
      </c>
      <c r="K78" s="267"/>
      <c r="L78" s="284">
        <f t="shared" si="9"/>
        <v>0</v>
      </c>
      <c r="M78" s="267">
        <f t="shared" si="10"/>
        <v>97697.890911499999</v>
      </c>
      <c r="N78" s="268"/>
      <c r="O78" s="1171">
        <v>0.93490804699999996</v>
      </c>
    </row>
    <row r="79" spans="1:15" ht="20.100000000000001" customHeight="1">
      <c r="A79" s="203">
        <v>4.5</v>
      </c>
      <c r="B79" s="1453" t="s">
        <v>2653</v>
      </c>
      <c r="C79" s="1454"/>
      <c r="D79" s="1455"/>
      <c r="E79" s="284">
        <v>5</v>
      </c>
      <c r="F79" s="427" t="s">
        <v>2652</v>
      </c>
      <c r="G79" s="284">
        <v>950</v>
      </c>
      <c r="H79" s="284">
        <f t="shared" si="15"/>
        <v>888.16264464999995</v>
      </c>
      <c r="I79" s="267">
        <f t="shared" si="16"/>
        <v>4440.8132232499993</v>
      </c>
      <c r="J79" s="267">
        <v>0</v>
      </c>
      <c r="K79" s="267"/>
      <c r="L79" s="284">
        <f t="shared" si="9"/>
        <v>0</v>
      </c>
      <c r="M79" s="267">
        <f t="shared" si="10"/>
        <v>4440.8132232499993</v>
      </c>
      <c r="N79" s="268"/>
      <c r="O79" s="1171">
        <v>0.93490804699999996</v>
      </c>
    </row>
    <row r="80" spans="1:15" ht="20.100000000000001" customHeight="1">
      <c r="A80" s="203">
        <v>4.5999999999999996</v>
      </c>
      <c r="B80" s="1453" t="s">
        <v>2654</v>
      </c>
      <c r="C80" s="1454"/>
      <c r="D80" s="1455"/>
      <c r="E80" s="284">
        <v>3</v>
      </c>
      <c r="F80" s="427" t="s">
        <v>2652</v>
      </c>
      <c r="G80" s="284">
        <v>800</v>
      </c>
      <c r="H80" s="284">
        <f t="shared" si="15"/>
        <v>747.92643759999999</v>
      </c>
      <c r="I80" s="267">
        <f t="shared" si="16"/>
        <v>2243.7793127999998</v>
      </c>
      <c r="J80" s="267">
        <v>0</v>
      </c>
      <c r="K80" s="267"/>
      <c r="L80" s="284">
        <f t="shared" si="9"/>
        <v>0</v>
      </c>
      <c r="M80" s="267">
        <f t="shared" si="10"/>
        <v>2243.7793127999998</v>
      </c>
      <c r="N80" s="268"/>
      <c r="O80" s="1171">
        <v>0.93490804699999996</v>
      </c>
    </row>
    <row r="81" spans="1:15" ht="20.100000000000001" customHeight="1">
      <c r="A81" s="203">
        <v>4.7</v>
      </c>
      <c r="B81" s="1453" t="s">
        <v>2655</v>
      </c>
      <c r="C81" s="1454"/>
      <c r="D81" s="1455"/>
      <c r="E81" s="284">
        <v>3</v>
      </c>
      <c r="F81" s="427" t="s">
        <v>2652</v>
      </c>
      <c r="G81" s="284">
        <v>800</v>
      </c>
      <c r="H81" s="284">
        <f t="shared" si="15"/>
        <v>747.92643759999999</v>
      </c>
      <c r="I81" s="267">
        <f t="shared" si="16"/>
        <v>2243.7793127999998</v>
      </c>
      <c r="J81" s="267">
        <v>0</v>
      </c>
      <c r="K81" s="267"/>
      <c r="L81" s="284">
        <f t="shared" si="9"/>
        <v>0</v>
      </c>
      <c r="M81" s="267">
        <f t="shared" si="10"/>
        <v>2243.7793127999998</v>
      </c>
      <c r="N81" s="268"/>
      <c r="O81" s="1171">
        <v>0.93490804699999996</v>
      </c>
    </row>
    <row r="82" spans="1:15" ht="20.100000000000001" customHeight="1">
      <c r="A82" s="787"/>
      <c r="B82" s="1345" t="s">
        <v>2656</v>
      </c>
      <c r="C82" s="1346"/>
      <c r="D82" s="1356"/>
      <c r="E82" s="270"/>
      <c r="F82" s="268"/>
      <c r="G82" s="267"/>
      <c r="H82" s="267"/>
      <c r="I82" s="267"/>
      <c r="J82" s="267"/>
      <c r="K82" s="267"/>
      <c r="L82" s="267"/>
      <c r="M82" s="271">
        <f>SUM(M61:M81)</f>
        <v>364118.63706508989</v>
      </c>
      <c r="N82" s="268"/>
    </row>
    <row r="83" spans="1:15" ht="20.100000000000001" customHeight="1">
      <c r="A83" s="122"/>
      <c r="B83" s="411"/>
      <c r="C83" s="131"/>
      <c r="D83" s="132"/>
      <c r="E83" s="267"/>
      <c r="F83" s="268"/>
      <c r="G83" s="267"/>
      <c r="H83" s="267"/>
      <c r="I83" s="267"/>
      <c r="J83" s="267"/>
      <c r="K83" s="267"/>
      <c r="L83" s="269"/>
      <c r="M83" s="267"/>
      <c r="N83" s="268"/>
    </row>
    <row r="84" spans="1:15" ht="20.100000000000001" customHeight="1">
      <c r="A84" s="122"/>
      <c r="B84" s="122"/>
      <c r="C84" s="131"/>
      <c r="D84" s="132"/>
      <c r="E84" s="267"/>
      <c r="F84" s="268"/>
      <c r="G84" s="267"/>
      <c r="H84" s="267"/>
      <c r="I84" s="267"/>
      <c r="J84" s="267"/>
      <c r="K84" s="267"/>
      <c r="L84" s="269"/>
      <c r="M84" s="267"/>
      <c r="N84" s="268"/>
    </row>
    <row r="85" spans="1:15" ht="20.100000000000001" customHeight="1">
      <c r="A85" s="122"/>
      <c r="B85" s="122"/>
      <c r="C85" s="131"/>
      <c r="D85" s="132"/>
      <c r="E85" s="267"/>
      <c r="F85" s="268"/>
      <c r="G85" s="267"/>
      <c r="H85" s="267"/>
      <c r="I85" s="267"/>
      <c r="J85" s="267"/>
      <c r="K85" s="267"/>
      <c r="L85" s="269"/>
      <c r="M85" s="267"/>
      <c r="N85" s="268"/>
    </row>
    <row r="86" spans="1:15" ht="20.100000000000001" customHeight="1">
      <c r="A86" s="133"/>
      <c r="B86" s="133"/>
      <c r="C86" s="134"/>
      <c r="D86" s="135"/>
      <c r="E86" s="272"/>
      <c r="F86" s="273"/>
      <c r="G86" s="272"/>
      <c r="H86" s="272"/>
      <c r="I86" s="272"/>
      <c r="J86" s="272"/>
      <c r="K86" s="272"/>
      <c r="L86" s="274"/>
      <c r="M86" s="272"/>
      <c r="N86" s="273"/>
    </row>
    <row r="87" spans="1:15" ht="18.95" customHeight="1">
      <c r="A87" s="158"/>
      <c r="B87" s="666"/>
      <c r="C87" s="159"/>
      <c r="D87" s="160"/>
      <c r="E87" s="475"/>
      <c r="F87" s="312"/>
      <c r="G87" s="475"/>
      <c r="H87" s="475"/>
      <c r="I87" s="475"/>
      <c r="J87" s="667"/>
      <c r="K87" s="667"/>
      <c r="L87" s="668"/>
      <c r="M87" s="669"/>
      <c r="N87" s="312"/>
    </row>
    <row r="88" spans="1:15" ht="18.95" customHeight="1">
      <c r="A88" s="154"/>
      <c r="B88" s="468"/>
      <c r="C88" s="152"/>
      <c r="D88" s="162"/>
      <c r="E88" s="370"/>
      <c r="F88" s="382"/>
      <c r="G88" s="377"/>
      <c r="H88" s="377"/>
      <c r="I88" s="377"/>
      <c r="J88" s="377"/>
      <c r="K88" s="377"/>
      <c r="L88" s="372"/>
      <c r="M88" s="790"/>
      <c r="N88" s="670"/>
    </row>
    <row r="89" spans="1:15" ht="18.95" customHeight="1">
      <c r="A89" s="154"/>
      <c r="B89" s="468"/>
      <c r="C89" s="152"/>
      <c r="D89" s="162"/>
      <c r="E89" s="370"/>
      <c r="F89" s="382"/>
      <c r="G89" s="377"/>
      <c r="H89" s="377"/>
      <c r="I89" s="377"/>
      <c r="J89" s="377"/>
      <c r="K89" s="377"/>
      <c r="L89" s="372"/>
      <c r="M89" s="790"/>
      <c r="N89" s="670"/>
    </row>
    <row r="90" spans="1:15" ht="18.95" customHeight="1">
      <c r="A90" s="154"/>
      <c r="B90" s="468"/>
      <c r="C90" s="152"/>
      <c r="D90" s="162"/>
      <c r="E90" s="370"/>
      <c r="F90" s="382"/>
      <c r="G90" s="377"/>
      <c r="H90" s="377"/>
      <c r="I90" s="377"/>
      <c r="J90" s="377"/>
      <c r="K90" s="377"/>
      <c r="L90" s="372"/>
      <c r="M90" s="790"/>
      <c r="N90" s="670"/>
    </row>
    <row r="91" spans="1:15" ht="18.95" customHeight="1">
      <c r="A91" s="154"/>
      <c r="B91" s="468"/>
      <c r="C91" s="152"/>
      <c r="D91" s="162"/>
      <c r="E91" s="370"/>
      <c r="F91" s="382"/>
      <c r="G91" s="377"/>
      <c r="H91" s="377"/>
      <c r="I91" s="377"/>
      <c r="J91" s="377"/>
      <c r="K91" s="377"/>
      <c r="L91" s="372"/>
      <c r="M91" s="790"/>
      <c r="N91" s="670"/>
    </row>
    <row r="92" spans="1:15" ht="18.95" customHeight="1">
      <c r="A92" s="154"/>
      <c r="B92" s="671"/>
      <c r="C92" s="152"/>
      <c r="D92" s="162"/>
      <c r="E92" s="370"/>
      <c r="F92" s="382"/>
      <c r="G92" s="377"/>
      <c r="H92" s="377"/>
      <c r="I92" s="377"/>
      <c r="J92" s="377"/>
      <c r="K92" s="377"/>
      <c r="L92" s="372"/>
      <c r="M92" s="790"/>
      <c r="N92" s="670"/>
    </row>
    <row r="93" spans="1:15" ht="18.95" customHeight="1">
      <c r="A93" s="154"/>
      <c r="B93" s="671"/>
      <c r="C93" s="163"/>
      <c r="D93" s="164"/>
      <c r="E93" s="367"/>
      <c r="F93" s="382"/>
      <c r="G93" s="377"/>
      <c r="H93" s="377"/>
      <c r="I93" s="377"/>
      <c r="J93" s="377"/>
      <c r="K93" s="377"/>
      <c r="L93" s="372"/>
      <c r="M93" s="790"/>
      <c r="N93" s="670"/>
    </row>
    <row r="94" spans="1:15" ht="18.95" customHeight="1">
      <c r="A94" s="154"/>
      <c r="B94" s="671"/>
      <c r="C94" s="163"/>
      <c r="D94" s="164"/>
      <c r="E94" s="367"/>
      <c r="F94" s="382"/>
      <c r="G94" s="377"/>
      <c r="H94" s="377"/>
      <c r="I94" s="377"/>
      <c r="J94" s="377"/>
      <c r="K94" s="377"/>
      <c r="L94" s="372"/>
      <c r="M94" s="790"/>
      <c r="N94" s="670"/>
    </row>
    <row r="95" spans="1:15" ht="18.95" customHeight="1">
      <c r="A95" s="154"/>
      <c r="B95" s="357"/>
      <c r="C95" s="163"/>
      <c r="D95" s="164"/>
      <c r="E95" s="367"/>
      <c r="F95" s="382"/>
      <c r="G95" s="377"/>
      <c r="H95" s="377"/>
      <c r="I95" s="377"/>
      <c r="J95" s="377"/>
      <c r="K95" s="377"/>
      <c r="L95" s="372"/>
      <c r="M95" s="790"/>
      <c r="N95" s="670"/>
    </row>
    <row r="96" spans="1:15" ht="18.95" customHeight="1">
      <c r="A96" s="154"/>
      <c r="B96" s="357"/>
      <c r="C96" s="163"/>
      <c r="D96" s="164"/>
      <c r="E96" s="367"/>
      <c r="F96" s="382"/>
      <c r="G96" s="377"/>
      <c r="H96" s="377"/>
      <c r="I96" s="377"/>
      <c r="J96" s="377"/>
      <c r="K96" s="377"/>
      <c r="L96" s="372"/>
      <c r="M96" s="790"/>
      <c r="N96" s="224"/>
    </row>
    <row r="97" spans="1:14" ht="18.95" customHeight="1">
      <c r="A97" s="148"/>
      <c r="B97" s="357"/>
      <c r="C97" s="163"/>
      <c r="D97" s="164"/>
      <c r="E97" s="370"/>
      <c r="F97" s="382"/>
      <c r="G97" s="377"/>
      <c r="H97" s="377"/>
      <c r="I97" s="377"/>
      <c r="J97" s="377"/>
      <c r="K97" s="377"/>
      <c r="L97" s="372"/>
      <c r="M97" s="790"/>
      <c r="N97" s="224"/>
    </row>
    <row r="98" spans="1:14" ht="18.95" customHeight="1">
      <c r="A98" s="141"/>
      <c r="B98" s="357"/>
      <c r="C98" s="163"/>
      <c r="D98" s="164"/>
      <c r="E98" s="367"/>
      <c r="F98" s="224"/>
      <c r="G98" s="377"/>
      <c r="H98" s="377"/>
      <c r="I98" s="377"/>
      <c r="J98" s="377"/>
      <c r="K98" s="377"/>
      <c r="L98" s="377"/>
      <c r="M98" s="790"/>
      <c r="N98" s="370"/>
    </row>
    <row r="99" spans="1:14" ht="18.95" customHeight="1">
      <c r="A99" s="148"/>
      <c r="B99" s="357"/>
      <c r="C99" s="163"/>
      <c r="D99" s="164"/>
      <c r="E99" s="367"/>
      <c r="F99" s="382"/>
      <c r="G99" s="377"/>
      <c r="H99" s="377"/>
      <c r="I99" s="377"/>
      <c r="J99" s="377"/>
      <c r="K99" s="377"/>
      <c r="L99" s="377"/>
      <c r="M99" s="790"/>
      <c r="N99" s="370"/>
    </row>
    <row r="100" spans="1:14" ht="18.95" customHeight="1">
      <c r="A100" s="148"/>
      <c r="B100" s="357"/>
      <c r="C100" s="163"/>
      <c r="D100" s="164"/>
      <c r="E100" s="370"/>
      <c r="F100" s="382"/>
      <c r="G100" s="377"/>
      <c r="H100" s="377"/>
      <c r="I100" s="377"/>
      <c r="J100" s="377"/>
      <c r="K100" s="377"/>
      <c r="L100" s="372"/>
      <c r="M100" s="790"/>
      <c r="N100" s="224"/>
    </row>
    <row r="101" spans="1:14" ht="18.95" customHeight="1">
      <c r="A101" s="148"/>
      <c r="B101" s="357"/>
      <c r="C101" s="163"/>
      <c r="D101" s="165"/>
      <c r="E101" s="367"/>
      <c r="F101" s="382"/>
      <c r="G101" s="377"/>
      <c r="H101" s="377"/>
      <c r="I101" s="377"/>
      <c r="J101" s="377"/>
      <c r="K101" s="377"/>
      <c r="L101" s="372"/>
      <c r="M101" s="790"/>
      <c r="N101" s="224"/>
    </row>
    <row r="102" spans="1:14" ht="18.95" customHeight="1">
      <c r="A102" s="148"/>
      <c r="B102" s="357"/>
      <c r="C102" s="163"/>
      <c r="D102" s="165"/>
      <c r="E102" s="367"/>
      <c r="F102" s="382"/>
      <c r="G102" s="377"/>
      <c r="H102" s="377"/>
      <c r="I102" s="377"/>
      <c r="J102" s="377"/>
      <c r="K102" s="377"/>
      <c r="L102" s="372"/>
      <c r="M102" s="790"/>
      <c r="N102" s="224"/>
    </row>
    <row r="103" spans="1:14" ht="18.95" customHeight="1">
      <c r="A103" s="148"/>
      <c r="B103" s="357"/>
      <c r="C103" s="163"/>
      <c r="D103" s="165"/>
      <c r="E103" s="367"/>
      <c r="F103" s="382"/>
      <c r="G103" s="377"/>
      <c r="H103" s="377"/>
      <c r="I103" s="377"/>
      <c r="J103" s="377"/>
      <c r="K103" s="377"/>
      <c r="L103" s="377"/>
      <c r="M103" s="790"/>
      <c r="N103" s="224"/>
    </row>
    <row r="104" spans="1:14" ht="18.95" customHeight="1">
      <c r="A104" s="148"/>
      <c r="B104" s="357"/>
      <c r="C104" s="163"/>
      <c r="D104" s="165"/>
      <c r="E104" s="367"/>
      <c r="F104" s="382"/>
      <c r="G104" s="377"/>
      <c r="H104" s="377"/>
      <c r="I104" s="377"/>
      <c r="J104" s="377"/>
      <c r="K104" s="377"/>
      <c r="L104" s="372"/>
      <c r="M104" s="790"/>
      <c r="N104" s="224"/>
    </row>
    <row r="105" spans="1:14" ht="18.95" customHeight="1">
      <c r="A105" s="148"/>
      <c r="B105" s="357"/>
      <c r="C105" s="166"/>
      <c r="D105" s="167"/>
      <c r="E105" s="367"/>
      <c r="F105" s="224"/>
      <c r="G105" s="377"/>
      <c r="H105" s="377"/>
      <c r="I105" s="377"/>
      <c r="J105" s="377"/>
      <c r="K105" s="377"/>
      <c r="L105" s="377"/>
      <c r="M105" s="790"/>
      <c r="N105" s="224"/>
    </row>
    <row r="106" spans="1:14" ht="18.95" customHeight="1">
      <c r="A106" s="148"/>
      <c r="B106" s="357"/>
      <c r="C106" s="166"/>
      <c r="D106" s="167"/>
      <c r="E106" s="367"/>
      <c r="F106" s="382"/>
      <c r="G106" s="377"/>
      <c r="H106" s="377"/>
      <c r="I106" s="377"/>
      <c r="J106" s="377"/>
      <c r="K106" s="377"/>
      <c r="L106" s="372"/>
      <c r="M106" s="790"/>
      <c r="N106" s="224"/>
    </row>
    <row r="107" spans="1:14" ht="18.95" customHeight="1">
      <c r="A107" s="148"/>
      <c r="B107" s="357"/>
      <c r="C107" s="166"/>
      <c r="D107" s="167"/>
      <c r="E107" s="370"/>
      <c r="F107" s="224"/>
      <c r="G107" s="377"/>
      <c r="H107" s="377"/>
      <c r="I107" s="377"/>
      <c r="J107" s="377"/>
      <c r="K107" s="377"/>
      <c r="L107" s="377"/>
      <c r="M107" s="790"/>
      <c r="N107" s="224"/>
    </row>
    <row r="108" spans="1:14" ht="18.95" customHeight="1">
      <c r="A108" s="148"/>
      <c r="B108" s="357"/>
      <c r="C108" s="166"/>
      <c r="D108" s="168"/>
      <c r="E108" s="370"/>
      <c r="F108" s="382"/>
      <c r="G108" s="377"/>
      <c r="H108" s="377"/>
      <c r="I108" s="377"/>
      <c r="J108" s="377"/>
      <c r="K108" s="377"/>
      <c r="L108" s="372"/>
      <c r="M108" s="790"/>
      <c r="N108" s="224"/>
    </row>
    <row r="109" spans="1:14" ht="18.95" customHeight="1">
      <c r="A109" s="148"/>
      <c r="B109" s="357"/>
      <c r="C109" s="166"/>
      <c r="D109" s="167"/>
      <c r="E109" s="370"/>
      <c r="F109" s="224"/>
      <c r="G109" s="377"/>
      <c r="H109" s="377"/>
      <c r="I109" s="377"/>
      <c r="J109" s="377"/>
      <c r="K109" s="377"/>
      <c r="L109" s="377"/>
      <c r="M109" s="790"/>
      <c r="N109" s="224"/>
    </row>
    <row r="110" spans="1:14" ht="18.95" customHeight="1">
      <c r="A110" s="148"/>
      <c r="B110" s="357"/>
      <c r="C110" s="166"/>
      <c r="D110" s="162"/>
      <c r="E110" s="370"/>
      <c r="F110" s="382"/>
      <c r="G110" s="377"/>
      <c r="H110" s="377"/>
      <c r="I110" s="377"/>
      <c r="J110" s="377"/>
      <c r="K110" s="377"/>
      <c r="L110" s="372"/>
      <c r="M110" s="790"/>
      <c r="N110" s="224"/>
    </row>
    <row r="111" spans="1:14" ht="18.95" customHeight="1">
      <c r="A111" s="148"/>
      <c r="B111" s="357"/>
      <c r="C111" s="164"/>
      <c r="D111" s="167"/>
      <c r="E111" s="367"/>
      <c r="F111" s="382"/>
      <c r="G111" s="377"/>
      <c r="H111" s="377"/>
      <c r="I111" s="377"/>
      <c r="J111" s="377"/>
      <c r="K111" s="377"/>
      <c r="L111" s="372"/>
      <c r="M111" s="790"/>
      <c r="N111" s="224"/>
    </row>
    <row r="112" spans="1:14" ht="18.95" customHeight="1">
      <c r="A112" s="122"/>
      <c r="B112" s="215"/>
      <c r="C112" s="164"/>
      <c r="D112" s="169"/>
      <c r="E112" s="367"/>
      <c r="F112" s="382"/>
      <c r="G112" s="367"/>
      <c r="H112" s="367"/>
      <c r="I112" s="377"/>
      <c r="J112" s="377"/>
      <c r="K112" s="377"/>
      <c r="L112" s="372"/>
      <c r="M112" s="790"/>
      <c r="N112" s="224"/>
    </row>
    <row r="113" spans="1:14" ht="18.95" customHeight="1">
      <c r="A113" s="672"/>
      <c r="B113" s="673"/>
      <c r="C113" s="236"/>
      <c r="D113" s="674"/>
      <c r="E113" s="675"/>
      <c r="F113" s="676"/>
      <c r="G113" s="675"/>
      <c r="H113" s="675"/>
      <c r="I113" s="677"/>
      <c r="J113" s="677"/>
      <c r="K113" s="677"/>
      <c r="L113" s="677"/>
      <c r="M113" s="791"/>
      <c r="N113" s="678"/>
    </row>
    <row r="114" spans="1:14" ht="18.95" customHeight="1">
      <c r="A114" s="170"/>
      <c r="B114" s="679"/>
      <c r="C114" s="171"/>
      <c r="D114" s="171"/>
      <c r="E114" s="404"/>
      <c r="F114" s="401"/>
      <c r="G114" s="460"/>
      <c r="H114" s="460"/>
      <c r="I114" s="460"/>
      <c r="J114" s="460"/>
      <c r="K114" s="460"/>
      <c r="L114" s="460"/>
      <c r="M114" s="792"/>
      <c r="N114" s="401"/>
    </row>
    <row r="115" spans="1:14" ht="18.95" customHeight="1">
      <c r="A115" s="141"/>
      <c r="B115" s="415"/>
      <c r="C115" s="244"/>
      <c r="D115" s="162"/>
      <c r="E115" s="367"/>
      <c r="F115" s="224"/>
      <c r="G115" s="367"/>
      <c r="H115" s="367"/>
      <c r="I115" s="367"/>
      <c r="J115" s="680"/>
      <c r="K115" s="680"/>
      <c r="L115" s="369"/>
      <c r="M115" s="368"/>
      <c r="N115" s="224"/>
    </row>
    <row r="116" spans="1:14" ht="18.95" customHeight="1">
      <c r="A116" s="122"/>
      <c r="B116" s="357"/>
      <c r="C116" s="152"/>
      <c r="D116" s="162"/>
      <c r="E116" s="370"/>
      <c r="F116" s="382"/>
      <c r="G116" s="377"/>
      <c r="H116" s="377"/>
      <c r="I116" s="367"/>
      <c r="J116" s="377"/>
      <c r="K116" s="377"/>
      <c r="L116" s="372"/>
      <c r="M116" s="368"/>
      <c r="N116" s="224"/>
    </row>
    <row r="117" spans="1:14" ht="18.95" customHeight="1">
      <c r="A117" s="122"/>
      <c r="B117" s="357"/>
      <c r="C117" s="152"/>
      <c r="D117" s="167"/>
      <c r="E117" s="370"/>
      <c r="F117" s="382"/>
      <c r="G117" s="370"/>
      <c r="H117" s="370"/>
      <c r="I117" s="377"/>
      <c r="J117" s="681"/>
      <c r="K117" s="681"/>
      <c r="L117" s="377"/>
      <c r="M117" s="790"/>
      <c r="N117" s="370"/>
    </row>
    <row r="118" spans="1:14" ht="18.95" customHeight="1">
      <c r="A118" s="122"/>
      <c r="B118" s="357"/>
      <c r="C118" s="152"/>
      <c r="D118" s="167"/>
      <c r="E118" s="370"/>
      <c r="F118" s="382"/>
      <c r="G118" s="370"/>
      <c r="H118" s="370"/>
      <c r="I118" s="377"/>
      <c r="J118" s="681"/>
      <c r="K118" s="681"/>
      <c r="L118" s="377"/>
      <c r="M118" s="790"/>
      <c r="N118" s="370"/>
    </row>
    <row r="119" spans="1:14" ht="18.95" customHeight="1">
      <c r="A119" s="141"/>
      <c r="B119" s="357"/>
      <c r="C119" s="152"/>
      <c r="D119" s="167"/>
      <c r="E119" s="370"/>
      <c r="F119" s="382"/>
      <c r="G119" s="370"/>
      <c r="H119" s="370"/>
      <c r="I119" s="377"/>
      <c r="J119" s="681"/>
      <c r="K119" s="681"/>
      <c r="L119" s="377"/>
      <c r="M119" s="790"/>
      <c r="N119" s="370"/>
    </row>
    <row r="120" spans="1:14" ht="18.95" customHeight="1">
      <c r="A120" s="122"/>
      <c r="B120" s="357"/>
      <c r="C120" s="152"/>
      <c r="D120" s="162"/>
      <c r="E120" s="370"/>
      <c r="F120" s="382"/>
      <c r="G120" s="377"/>
      <c r="H120" s="377"/>
      <c r="I120" s="377"/>
      <c r="J120" s="377"/>
      <c r="K120" s="377"/>
      <c r="L120" s="377"/>
      <c r="M120" s="790"/>
      <c r="N120" s="370"/>
    </row>
    <row r="121" spans="1:14" ht="18.95" customHeight="1">
      <c r="A121" s="122"/>
      <c r="B121" s="357"/>
      <c r="C121" s="164"/>
      <c r="D121" s="162"/>
      <c r="E121" s="370"/>
      <c r="F121" s="382"/>
      <c r="G121" s="377"/>
      <c r="H121" s="377"/>
      <c r="I121" s="377"/>
      <c r="J121" s="377"/>
      <c r="K121" s="377"/>
      <c r="L121" s="377"/>
      <c r="M121" s="790"/>
      <c r="N121" s="370"/>
    </row>
    <row r="122" spans="1:14" ht="18.95" customHeight="1">
      <c r="A122" s="122"/>
      <c r="B122" s="357"/>
      <c r="C122" s="163"/>
      <c r="D122" s="164"/>
      <c r="E122" s="370"/>
      <c r="F122" s="382"/>
      <c r="G122" s="377"/>
      <c r="H122" s="377"/>
      <c r="I122" s="377"/>
      <c r="J122" s="377"/>
      <c r="K122" s="377"/>
      <c r="L122" s="377"/>
      <c r="M122" s="790"/>
      <c r="N122" s="370"/>
    </row>
    <row r="123" spans="1:14" ht="18.95" customHeight="1">
      <c r="A123" s="141"/>
      <c r="B123" s="357"/>
      <c r="C123" s="166"/>
      <c r="D123" s="173"/>
      <c r="E123" s="370"/>
      <c r="F123" s="382"/>
      <c r="G123" s="377"/>
      <c r="H123" s="377"/>
      <c r="I123" s="377"/>
      <c r="J123" s="377"/>
      <c r="K123" s="377"/>
      <c r="L123" s="377"/>
      <c r="M123" s="790"/>
      <c r="N123" s="370"/>
    </row>
    <row r="124" spans="1:14" ht="18.95" customHeight="1">
      <c r="A124" s="141"/>
      <c r="B124" s="357"/>
      <c r="C124" s="163"/>
      <c r="D124" s="165"/>
      <c r="E124" s="370"/>
      <c r="F124" s="382"/>
      <c r="G124" s="370"/>
      <c r="H124" s="370"/>
      <c r="I124" s="377"/>
      <c r="J124" s="681"/>
      <c r="K124" s="681"/>
      <c r="L124" s="377"/>
      <c r="M124" s="790"/>
      <c r="N124" s="224"/>
    </row>
    <row r="125" spans="1:14" ht="18.95" customHeight="1">
      <c r="A125" s="122"/>
      <c r="B125" s="357"/>
      <c r="C125" s="163"/>
      <c r="D125" s="164"/>
      <c r="E125" s="370"/>
      <c r="F125" s="382"/>
      <c r="G125" s="370"/>
      <c r="H125" s="370"/>
      <c r="I125" s="377"/>
      <c r="J125" s="681"/>
      <c r="K125" s="681"/>
      <c r="L125" s="377"/>
      <c r="M125" s="790"/>
      <c r="N125" s="224"/>
    </row>
    <row r="126" spans="1:14" ht="18.95" customHeight="1">
      <c r="A126" s="141"/>
      <c r="B126" s="357"/>
      <c r="C126" s="163"/>
      <c r="D126" s="164"/>
      <c r="E126" s="370"/>
      <c r="F126" s="382"/>
      <c r="G126" s="370"/>
      <c r="H126" s="370"/>
      <c r="I126" s="377"/>
      <c r="J126" s="681"/>
      <c r="K126" s="681"/>
      <c r="L126" s="377"/>
      <c r="M126" s="790"/>
      <c r="N126" s="224"/>
    </row>
    <row r="127" spans="1:14" ht="18.95" customHeight="1">
      <c r="A127" s="122"/>
      <c r="B127" s="357"/>
      <c r="C127" s="163"/>
      <c r="D127" s="164"/>
      <c r="E127" s="370"/>
      <c r="F127" s="382"/>
      <c r="G127" s="372"/>
      <c r="H127" s="372"/>
      <c r="I127" s="377"/>
      <c r="J127" s="372"/>
      <c r="K127" s="372"/>
      <c r="L127" s="377"/>
      <c r="M127" s="790"/>
      <c r="N127" s="224"/>
    </row>
    <row r="128" spans="1:14" ht="18.95" customHeight="1">
      <c r="A128" s="141"/>
      <c r="B128" s="357"/>
      <c r="C128" s="163"/>
      <c r="D128" s="164"/>
      <c r="E128" s="370"/>
      <c r="F128" s="382"/>
      <c r="G128" s="377"/>
      <c r="H128" s="377"/>
      <c r="I128" s="377"/>
      <c r="J128" s="377"/>
      <c r="K128" s="377"/>
      <c r="L128" s="377"/>
      <c r="M128" s="793"/>
      <c r="N128" s="224"/>
    </row>
    <row r="129" spans="1:14" ht="18.95" customHeight="1">
      <c r="A129" s="141"/>
      <c r="B129" s="357"/>
      <c r="C129" s="163"/>
      <c r="D129" s="165"/>
      <c r="E129" s="370"/>
      <c r="F129" s="382"/>
      <c r="G129" s="377"/>
      <c r="H129" s="377"/>
      <c r="I129" s="377"/>
      <c r="J129" s="377"/>
      <c r="K129" s="377"/>
      <c r="L129" s="377"/>
      <c r="M129" s="790"/>
      <c r="N129" s="224"/>
    </row>
    <row r="130" spans="1:14" ht="18.95" customHeight="1">
      <c r="A130" s="122"/>
      <c r="B130" s="357"/>
      <c r="C130" s="163"/>
      <c r="D130" s="165"/>
      <c r="E130" s="370"/>
      <c r="F130" s="382"/>
      <c r="G130" s="370"/>
      <c r="H130" s="370"/>
      <c r="I130" s="377"/>
      <c r="J130" s="681"/>
      <c r="K130" s="681"/>
      <c r="L130" s="377"/>
      <c r="M130" s="790"/>
      <c r="N130" s="224"/>
    </row>
    <row r="131" spans="1:14" ht="18.95" customHeight="1">
      <c r="A131" s="122"/>
      <c r="B131" s="357"/>
      <c r="C131" s="163"/>
      <c r="D131" s="165"/>
      <c r="E131" s="682"/>
      <c r="F131" s="382"/>
      <c r="G131" s="377"/>
      <c r="H131" s="377"/>
      <c r="I131" s="377"/>
      <c r="J131" s="377"/>
      <c r="K131" s="377"/>
      <c r="L131" s="377"/>
      <c r="M131" s="793"/>
      <c r="N131" s="224"/>
    </row>
    <row r="132" spans="1:14" ht="18.95" customHeight="1">
      <c r="A132" s="141"/>
      <c r="B132" s="357"/>
      <c r="C132" s="163"/>
      <c r="D132" s="165"/>
      <c r="E132" s="367"/>
      <c r="F132" s="382"/>
      <c r="G132" s="377"/>
      <c r="H132" s="377"/>
      <c r="I132" s="377"/>
      <c r="J132" s="377"/>
      <c r="K132" s="377"/>
      <c r="L132" s="377"/>
      <c r="M132" s="793"/>
      <c r="N132" s="224"/>
    </row>
    <row r="133" spans="1:14" ht="18.95" customHeight="1">
      <c r="A133" s="141"/>
      <c r="B133" s="357"/>
      <c r="C133" s="163"/>
      <c r="D133" s="165"/>
      <c r="E133" s="370"/>
      <c r="F133" s="382"/>
      <c r="G133" s="377"/>
      <c r="H133" s="377"/>
      <c r="I133" s="377"/>
      <c r="J133" s="377"/>
      <c r="K133" s="377"/>
      <c r="L133" s="377"/>
      <c r="M133" s="790"/>
      <c r="N133" s="224"/>
    </row>
    <row r="134" spans="1:14" ht="18.95" customHeight="1">
      <c r="A134" s="122"/>
      <c r="B134" s="357"/>
      <c r="C134" s="166"/>
      <c r="D134" s="167"/>
      <c r="E134" s="370"/>
      <c r="F134" s="382"/>
      <c r="G134" s="377"/>
      <c r="H134" s="377"/>
      <c r="I134" s="377"/>
      <c r="J134" s="377"/>
      <c r="K134" s="377"/>
      <c r="L134" s="377"/>
      <c r="M134" s="793"/>
      <c r="N134" s="224"/>
    </row>
    <row r="135" spans="1:14" ht="18.95" customHeight="1">
      <c r="A135" s="141"/>
      <c r="B135" s="357"/>
      <c r="C135" s="166"/>
      <c r="D135" s="167"/>
      <c r="E135" s="370"/>
      <c r="F135" s="382"/>
      <c r="G135" s="377"/>
      <c r="H135" s="377"/>
      <c r="I135" s="377"/>
      <c r="J135" s="377"/>
      <c r="K135" s="377"/>
      <c r="L135" s="377"/>
      <c r="M135" s="793"/>
      <c r="N135" s="224"/>
    </row>
    <row r="136" spans="1:14" ht="18.95" customHeight="1">
      <c r="A136" s="122"/>
      <c r="B136" s="357"/>
      <c r="C136" s="166"/>
      <c r="D136" s="167"/>
      <c r="E136" s="370"/>
      <c r="F136" s="382"/>
      <c r="G136" s="377"/>
      <c r="H136" s="377"/>
      <c r="I136" s="377"/>
      <c r="J136" s="377"/>
      <c r="K136" s="377"/>
      <c r="L136" s="377"/>
      <c r="M136" s="790"/>
      <c r="N136" s="224"/>
    </row>
    <row r="137" spans="1:14" ht="18.95" customHeight="1">
      <c r="A137" s="141"/>
      <c r="B137" s="357"/>
      <c r="C137" s="166"/>
      <c r="D137" s="168"/>
      <c r="E137" s="370"/>
      <c r="F137" s="382"/>
      <c r="G137" s="377"/>
      <c r="H137" s="377"/>
      <c r="I137" s="377"/>
      <c r="J137" s="377"/>
      <c r="K137" s="377"/>
      <c r="L137" s="377"/>
      <c r="M137" s="790"/>
      <c r="N137" s="224"/>
    </row>
    <row r="138" spans="1:14" ht="18.95" customHeight="1">
      <c r="A138" s="122"/>
      <c r="B138" s="357"/>
      <c r="C138" s="163"/>
      <c r="D138" s="167"/>
      <c r="E138" s="370"/>
      <c r="F138" s="382"/>
      <c r="G138" s="377"/>
      <c r="H138" s="377"/>
      <c r="I138" s="377"/>
      <c r="J138" s="377"/>
      <c r="K138" s="377"/>
      <c r="L138" s="377"/>
      <c r="M138" s="790"/>
      <c r="N138" s="224"/>
    </row>
    <row r="139" spans="1:14" ht="18.95" customHeight="1">
      <c r="A139" s="141"/>
      <c r="B139" s="357"/>
      <c r="C139" s="166"/>
      <c r="D139" s="162"/>
      <c r="E139" s="370"/>
      <c r="F139" s="382"/>
      <c r="G139" s="377"/>
      <c r="H139" s="377"/>
      <c r="I139" s="377"/>
      <c r="J139" s="377"/>
      <c r="K139" s="377"/>
      <c r="L139" s="377"/>
      <c r="M139" s="790"/>
      <c r="N139" s="224"/>
    </row>
    <row r="140" spans="1:14" ht="18.95" customHeight="1">
      <c r="A140" s="122"/>
      <c r="B140" s="342"/>
      <c r="C140" s="174"/>
      <c r="D140" s="164"/>
      <c r="E140" s="367"/>
      <c r="F140" s="224"/>
      <c r="G140" s="367"/>
      <c r="H140" s="367"/>
      <c r="I140" s="377"/>
      <c r="J140" s="367"/>
      <c r="K140" s="367"/>
      <c r="L140" s="377"/>
      <c r="M140" s="790"/>
      <c r="N140" s="224"/>
    </row>
    <row r="141" spans="1:14" ht="18.95" customHeight="1">
      <c r="A141" s="141"/>
      <c r="B141" s="357"/>
      <c r="C141" s="163"/>
      <c r="D141" s="167"/>
      <c r="E141" s="682"/>
      <c r="F141" s="224"/>
      <c r="G141" s="367"/>
      <c r="H141" s="367"/>
      <c r="I141" s="367"/>
      <c r="J141" s="368"/>
      <c r="K141" s="368"/>
      <c r="L141" s="369"/>
      <c r="M141" s="368"/>
      <c r="N141" s="224"/>
    </row>
    <row r="142" spans="1:14" ht="18.95" customHeight="1">
      <c r="A142" s="133"/>
      <c r="B142" s="1447"/>
      <c r="C142" s="1448"/>
      <c r="D142" s="1449"/>
      <c r="E142" s="404"/>
      <c r="F142" s="401"/>
      <c r="G142" s="404"/>
      <c r="H142" s="404"/>
      <c r="I142" s="404"/>
      <c r="J142" s="405"/>
      <c r="K142" s="405"/>
      <c r="L142" s="406"/>
      <c r="M142" s="405"/>
      <c r="N142" s="401"/>
    </row>
    <row r="143" spans="1:14" ht="18.600000000000001" customHeight="1">
      <c r="A143" s="119"/>
      <c r="B143" s="683"/>
      <c r="C143" s="684"/>
      <c r="D143" s="684"/>
      <c r="E143" s="475"/>
      <c r="F143" s="312"/>
      <c r="G143" s="475"/>
      <c r="H143" s="475"/>
      <c r="I143" s="475"/>
      <c r="J143" s="669"/>
      <c r="K143" s="669"/>
      <c r="L143" s="668"/>
      <c r="M143" s="669"/>
      <c r="N143" s="312"/>
    </row>
    <row r="144" spans="1:14" ht="18.95" customHeight="1">
      <c r="A144" s="122"/>
      <c r="B144" s="357"/>
      <c r="C144" s="175"/>
      <c r="D144" s="173"/>
      <c r="E144" s="367"/>
      <c r="F144" s="224"/>
      <c r="G144" s="367"/>
      <c r="H144" s="367"/>
      <c r="I144" s="367"/>
      <c r="J144" s="368"/>
      <c r="K144" s="368"/>
      <c r="L144" s="369"/>
      <c r="M144" s="368"/>
      <c r="N144" s="224"/>
    </row>
    <row r="145" spans="1:14" ht="18.95" customHeight="1">
      <c r="A145" s="122"/>
      <c r="B145" s="342"/>
      <c r="C145" s="163"/>
      <c r="D145" s="176"/>
      <c r="E145" s="370"/>
      <c r="F145" s="224"/>
      <c r="G145" s="377"/>
      <c r="H145" s="377"/>
      <c r="I145" s="377"/>
      <c r="J145" s="377"/>
      <c r="K145" s="377"/>
      <c r="L145" s="377"/>
      <c r="M145" s="790"/>
      <c r="N145" s="685"/>
    </row>
    <row r="146" spans="1:14" ht="18.95" customHeight="1">
      <c r="A146" s="122"/>
      <c r="B146" s="412"/>
      <c r="C146" s="163"/>
      <c r="D146" s="176"/>
      <c r="E146" s="370"/>
      <c r="F146" s="224"/>
      <c r="G146" s="377"/>
      <c r="H146" s="377"/>
      <c r="I146" s="377"/>
      <c r="J146" s="377"/>
      <c r="K146" s="377"/>
      <c r="L146" s="377"/>
      <c r="M146" s="790"/>
      <c r="N146" s="685"/>
    </row>
    <row r="147" spans="1:14" ht="18.95" customHeight="1">
      <c r="A147" s="122"/>
      <c r="B147" s="412"/>
      <c r="C147" s="177"/>
      <c r="D147" s="178"/>
      <c r="E147" s="367"/>
      <c r="F147" s="224"/>
      <c r="G147" s="367"/>
      <c r="H147" s="367"/>
      <c r="I147" s="367"/>
      <c r="J147" s="368"/>
      <c r="K147" s="368"/>
      <c r="L147" s="377"/>
      <c r="M147" s="790"/>
      <c r="N147" s="224"/>
    </row>
    <row r="148" spans="1:14" ht="18.600000000000001" customHeight="1">
      <c r="A148" s="122"/>
      <c r="B148" s="342"/>
      <c r="C148" s="163"/>
      <c r="D148" s="178"/>
      <c r="E148" s="370"/>
      <c r="F148" s="382"/>
      <c r="G148" s="377"/>
      <c r="H148" s="377"/>
      <c r="I148" s="377"/>
      <c r="J148" s="377"/>
      <c r="K148" s="377"/>
      <c r="L148" s="377"/>
      <c r="M148" s="790"/>
      <c r="N148" s="224"/>
    </row>
    <row r="149" spans="1:14" ht="18.95" customHeight="1">
      <c r="A149" s="122"/>
      <c r="B149" s="342"/>
      <c r="C149" s="163"/>
      <c r="D149" s="178"/>
      <c r="E149" s="367"/>
      <c r="F149" s="382"/>
      <c r="G149" s="377"/>
      <c r="H149" s="377"/>
      <c r="I149" s="377"/>
      <c r="J149" s="377"/>
      <c r="K149" s="377"/>
      <c r="L149" s="377"/>
      <c r="M149" s="790"/>
      <c r="N149" s="224"/>
    </row>
    <row r="150" spans="1:14" ht="18.95" customHeight="1">
      <c r="A150" s="122"/>
      <c r="B150" s="342"/>
      <c r="C150" s="163"/>
      <c r="D150" s="178"/>
      <c r="E150" s="370"/>
      <c r="F150" s="224"/>
      <c r="G150" s="377"/>
      <c r="H150" s="377"/>
      <c r="I150" s="377"/>
      <c r="J150" s="377"/>
      <c r="K150" s="377"/>
      <c r="L150" s="377"/>
      <c r="M150" s="790"/>
      <c r="N150" s="224"/>
    </row>
    <row r="151" spans="1:14" ht="18.95" customHeight="1">
      <c r="A151" s="122"/>
      <c r="B151" s="550"/>
      <c r="C151" s="177"/>
      <c r="D151" s="178"/>
      <c r="E151" s="367"/>
      <c r="F151" s="224"/>
      <c r="G151" s="367"/>
      <c r="H151" s="367"/>
      <c r="I151" s="367"/>
      <c r="J151" s="368"/>
      <c r="K151" s="368"/>
      <c r="L151" s="369"/>
      <c r="M151" s="368"/>
      <c r="N151" s="224"/>
    </row>
    <row r="152" spans="1:14" ht="18.95" customHeight="1">
      <c r="A152" s="122"/>
      <c r="B152" s="1307"/>
      <c r="C152" s="1308"/>
      <c r="D152" s="1309"/>
      <c r="E152" s="367"/>
      <c r="F152" s="224"/>
      <c r="G152" s="367"/>
      <c r="H152" s="367"/>
      <c r="I152" s="367"/>
      <c r="J152" s="368"/>
      <c r="K152" s="368"/>
      <c r="L152" s="369"/>
      <c r="M152" s="384"/>
      <c r="N152" s="224"/>
    </row>
    <row r="153" spans="1:14" ht="18.95" customHeight="1">
      <c r="A153" s="122"/>
      <c r="B153" s="550"/>
      <c r="C153" s="177"/>
      <c r="D153" s="178"/>
      <c r="E153" s="367"/>
      <c r="F153" s="224"/>
      <c r="G153" s="367"/>
      <c r="H153" s="367"/>
      <c r="I153" s="367"/>
      <c r="J153" s="368"/>
      <c r="K153" s="368"/>
      <c r="L153" s="369"/>
      <c r="M153" s="368"/>
      <c r="N153" s="224"/>
    </row>
    <row r="154" spans="1:14" ht="18.95" customHeight="1">
      <c r="A154" s="122"/>
      <c r="B154" s="550"/>
      <c r="C154" s="177"/>
      <c r="D154" s="178"/>
      <c r="E154" s="367"/>
      <c r="F154" s="224"/>
      <c r="G154" s="367"/>
      <c r="H154" s="367"/>
      <c r="I154" s="367"/>
      <c r="J154" s="368"/>
      <c r="K154" s="368"/>
      <c r="L154" s="369"/>
      <c r="M154" s="368"/>
      <c r="N154" s="224"/>
    </row>
    <row r="155" spans="1:14" ht="18.95" customHeight="1">
      <c r="A155" s="122"/>
      <c r="B155" s="550"/>
      <c r="C155" s="177"/>
      <c r="D155" s="178"/>
      <c r="E155" s="367"/>
      <c r="F155" s="224"/>
      <c r="G155" s="367"/>
      <c r="H155" s="367"/>
      <c r="I155" s="367"/>
      <c r="J155" s="368"/>
      <c r="K155" s="368"/>
      <c r="L155" s="369"/>
      <c r="M155" s="368"/>
      <c r="N155" s="224"/>
    </row>
    <row r="156" spans="1:14" ht="18.95" customHeight="1">
      <c r="A156" s="122"/>
      <c r="B156" s="550"/>
      <c r="C156" s="177"/>
      <c r="D156" s="178"/>
      <c r="E156" s="367"/>
      <c r="F156" s="224"/>
      <c r="G156" s="367"/>
      <c r="H156" s="367"/>
      <c r="I156" s="367"/>
      <c r="J156" s="368"/>
      <c r="K156" s="368"/>
      <c r="L156" s="369"/>
      <c r="M156" s="368"/>
      <c r="N156" s="224"/>
    </row>
    <row r="157" spans="1:14" ht="18.95" customHeight="1">
      <c r="A157" s="122"/>
      <c r="B157" s="550"/>
      <c r="C157" s="177"/>
      <c r="D157" s="178"/>
      <c r="E157" s="367"/>
      <c r="F157" s="224"/>
      <c r="G157" s="367"/>
      <c r="H157" s="367"/>
      <c r="I157" s="367"/>
      <c r="J157" s="368"/>
      <c r="K157" s="368"/>
      <c r="L157" s="369"/>
      <c r="M157" s="368"/>
      <c r="N157" s="224"/>
    </row>
    <row r="158" spans="1:14" ht="18.95" customHeight="1">
      <c r="A158" s="122"/>
      <c r="B158" s="480"/>
      <c r="C158" s="179"/>
      <c r="D158" s="180"/>
      <c r="E158" s="367"/>
      <c r="F158" s="224"/>
      <c r="G158" s="367"/>
      <c r="H158" s="367"/>
      <c r="I158" s="367"/>
      <c r="J158" s="368"/>
      <c r="K158" s="368"/>
      <c r="L158" s="369"/>
      <c r="M158" s="368"/>
      <c r="N158" s="224"/>
    </row>
    <row r="159" spans="1:14" ht="18.95" customHeight="1">
      <c r="A159" s="122"/>
      <c r="B159" s="550"/>
      <c r="C159" s="177"/>
      <c r="D159" s="178"/>
      <c r="E159" s="367"/>
      <c r="F159" s="224"/>
      <c r="G159" s="367"/>
      <c r="H159" s="367"/>
      <c r="I159" s="367"/>
      <c r="J159" s="368"/>
      <c r="K159" s="368"/>
      <c r="L159" s="369"/>
      <c r="M159" s="368"/>
      <c r="N159" s="224"/>
    </row>
    <row r="160" spans="1:14" ht="18.95" customHeight="1">
      <c r="A160" s="122"/>
      <c r="B160" s="550"/>
      <c r="C160" s="177"/>
      <c r="D160" s="178"/>
      <c r="E160" s="367"/>
      <c r="F160" s="224"/>
      <c r="G160" s="367"/>
      <c r="H160" s="367"/>
      <c r="I160" s="367"/>
      <c r="J160" s="368"/>
      <c r="K160" s="368"/>
      <c r="L160" s="369"/>
      <c r="M160" s="368"/>
      <c r="N160" s="224"/>
    </row>
    <row r="161" spans="1:14" ht="18.95" customHeight="1">
      <c r="A161" s="122"/>
      <c r="B161" s="550"/>
      <c r="C161" s="177"/>
      <c r="D161" s="178"/>
      <c r="E161" s="367"/>
      <c r="F161" s="224"/>
      <c r="G161" s="367"/>
      <c r="H161" s="367"/>
      <c r="I161" s="367"/>
      <c r="J161" s="368"/>
      <c r="K161" s="368"/>
      <c r="L161" s="369"/>
      <c r="M161" s="368"/>
      <c r="N161" s="224"/>
    </row>
    <row r="162" spans="1:14" ht="18.95" customHeight="1">
      <c r="A162" s="122"/>
      <c r="B162" s="550"/>
      <c r="C162" s="177"/>
      <c r="D162" s="178"/>
      <c r="E162" s="367"/>
      <c r="F162" s="224"/>
      <c r="G162" s="367"/>
      <c r="H162" s="367"/>
      <c r="I162" s="367"/>
      <c r="J162" s="368"/>
      <c r="K162" s="368"/>
      <c r="L162" s="369"/>
      <c r="M162" s="368"/>
      <c r="N162" s="224"/>
    </row>
    <row r="163" spans="1:14" ht="18.95" customHeight="1">
      <c r="A163" s="122"/>
      <c r="B163" s="550"/>
      <c r="C163" s="177"/>
      <c r="D163" s="178"/>
      <c r="E163" s="367"/>
      <c r="F163" s="224"/>
      <c r="G163" s="367"/>
      <c r="H163" s="367"/>
      <c r="I163" s="367"/>
      <c r="J163" s="368"/>
      <c r="K163" s="368"/>
      <c r="L163" s="369"/>
      <c r="M163" s="368"/>
      <c r="N163" s="224"/>
    </row>
    <row r="164" spans="1:14" ht="18.95" customHeight="1">
      <c r="A164" s="122"/>
      <c r="B164" s="550"/>
      <c r="C164" s="177"/>
      <c r="D164" s="178"/>
      <c r="E164" s="367"/>
      <c r="F164" s="224"/>
      <c r="G164" s="367"/>
      <c r="H164" s="367"/>
      <c r="I164" s="367"/>
      <c r="J164" s="368"/>
      <c r="K164" s="368"/>
      <c r="L164" s="369"/>
      <c r="M164" s="368"/>
      <c r="N164" s="224"/>
    </row>
    <row r="165" spans="1:14" ht="18.95" customHeight="1">
      <c r="A165" s="122"/>
      <c r="B165" s="550"/>
      <c r="C165" s="177"/>
      <c r="D165" s="178"/>
      <c r="E165" s="367"/>
      <c r="F165" s="224"/>
      <c r="G165" s="367"/>
      <c r="H165" s="367"/>
      <c r="I165" s="367"/>
      <c r="J165" s="368"/>
      <c r="K165" s="368"/>
      <c r="L165" s="369"/>
      <c r="M165" s="368"/>
      <c r="N165" s="224"/>
    </row>
    <row r="166" spans="1:14" ht="18.95" customHeight="1">
      <c r="A166" s="122"/>
      <c r="B166" s="550"/>
      <c r="C166" s="177"/>
      <c r="D166" s="178"/>
      <c r="E166" s="367"/>
      <c r="F166" s="224"/>
      <c r="G166" s="367"/>
      <c r="H166" s="367"/>
      <c r="I166" s="367"/>
      <c r="J166" s="368"/>
      <c r="K166" s="368"/>
      <c r="L166" s="369"/>
      <c r="M166" s="368"/>
      <c r="N166" s="224"/>
    </row>
    <row r="167" spans="1:14" ht="18.95" customHeight="1">
      <c r="A167" s="122"/>
      <c r="B167" s="550"/>
      <c r="C167" s="177"/>
      <c r="D167" s="178"/>
      <c r="E167" s="367"/>
      <c r="F167" s="224"/>
      <c r="G167" s="367"/>
      <c r="H167" s="367"/>
      <c r="I167" s="367"/>
      <c r="J167" s="368"/>
      <c r="K167" s="368"/>
      <c r="L167" s="369"/>
      <c r="M167" s="368"/>
      <c r="N167" s="224"/>
    </row>
    <row r="168" spans="1:14" ht="18.95" customHeight="1">
      <c r="A168" s="122"/>
      <c r="B168" s="550"/>
      <c r="C168" s="177"/>
      <c r="D168" s="178"/>
      <c r="E168" s="367"/>
      <c r="F168" s="224"/>
      <c r="G168" s="367"/>
      <c r="H168" s="367"/>
      <c r="I168" s="367"/>
      <c r="J168" s="368"/>
      <c r="K168" s="368"/>
      <c r="L168" s="369"/>
      <c r="M168" s="368"/>
      <c r="N168" s="224"/>
    </row>
    <row r="169" spans="1:14" ht="18.95" customHeight="1">
      <c r="A169" s="122"/>
      <c r="B169" s="550"/>
      <c r="C169" s="177"/>
      <c r="D169" s="178"/>
      <c r="E169" s="367"/>
      <c r="F169" s="224"/>
      <c r="G169" s="367"/>
      <c r="H169" s="367"/>
      <c r="I169" s="367"/>
      <c r="J169" s="368"/>
      <c r="K169" s="368"/>
      <c r="L169" s="369"/>
      <c r="M169" s="368"/>
      <c r="N169" s="224"/>
    </row>
    <row r="170" spans="1:14" ht="18.95" customHeight="1">
      <c r="A170" s="133"/>
      <c r="B170" s="686"/>
      <c r="C170" s="181"/>
      <c r="D170" s="182"/>
      <c r="E170" s="404"/>
      <c r="F170" s="401"/>
      <c r="G170" s="404"/>
      <c r="H170" s="404"/>
      <c r="I170" s="404"/>
      <c r="J170" s="405"/>
      <c r="K170" s="405"/>
      <c r="L170" s="406"/>
      <c r="M170" s="405"/>
      <c r="N170" s="401"/>
    </row>
    <row r="171" spans="1:14" ht="18.95" customHeight="1">
      <c r="A171" s="183"/>
      <c r="B171" s="481"/>
      <c r="C171" s="184"/>
      <c r="D171" s="185"/>
      <c r="E171" s="475"/>
      <c r="F171" s="312"/>
      <c r="G171" s="475"/>
      <c r="H171" s="475"/>
      <c r="I171" s="475"/>
      <c r="J171" s="476"/>
      <c r="K171" s="476"/>
      <c r="L171" s="477"/>
      <c r="M171" s="773"/>
      <c r="N171" s="312"/>
    </row>
    <row r="172" spans="1:14" ht="18.95" customHeight="1">
      <c r="A172" s="149"/>
      <c r="B172" s="357"/>
      <c r="C172" s="186"/>
      <c r="D172" s="187"/>
      <c r="E172" s="367"/>
      <c r="F172" s="382"/>
      <c r="G172" s="377"/>
      <c r="H172" s="377"/>
      <c r="I172" s="377"/>
      <c r="J172" s="377"/>
      <c r="K172" s="377"/>
      <c r="L172" s="377"/>
      <c r="M172" s="790"/>
      <c r="N172" s="370"/>
    </row>
    <row r="173" spans="1:14" ht="18.95" customHeight="1">
      <c r="A173" s="149"/>
      <c r="B173" s="357"/>
      <c r="C173" s="186"/>
      <c r="D173" s="187"/>
      <c r="E173" s="367"/>
      <c r="F173" s="382"/>
      <c r="G173" s="687"/>
      <c r="H173" s="560"/>
      <c r="I173" s="377"/>
      <c r="J173" s="687"/>
      <c r="K173" s="560"/>
      <c r="L173" s="377"/>
      <c r="M173" s="790"/>
      <c r="N173" s="370"/>
    </row>
    <row r="174" spans="1:14" ht="18.95" customHeight="1">
      <c r="A174" s="149"/>
      <c r="B174" s="357"/>
      <c r="C174" s="186"/>
      <c r="D174" s="187"/>
      <c r="E174" s="367"/>
      <c r="F174" s="382"/>
      <c r="G174" s="687"/>
      <c r="H174" s="560"/>
      <c r="I174" s="377"/>
      <c r="J174" s="687"/>
      <c r="K174" s="560"/>
      <c r="L174" s="377"/>
      <c r="M174" s="790"/>
      <c r="N174" s="370"/>
    </row>
    <row r="175" spans="1:14" ht="18.95" customHeight="1">
      <c r="A175" s="149"/>
      <c r="B175" s="357"/>
      <c r="C175" s="187"/>
      <c r="D175" s="187"/>
      <c r="E175" s="370"/>
      <c r="F175" s="382"/>
      <c r="G175" s="377"/>
      <c r="H175" s="377"/>
      <c r="I175" s="377"/>
      <c r="J175" s="377"/>
      <c r="K175" s="377"/>
      <c r="L175" s="377"/>
      <c r="M175" s="790"/>
      <c r="N175" s="370"/>
    </row>
    <row r="176" spans="1:14" ht="18.95" customHeight="1">
      <c r="A176" s="149"/>
      <c r="B176" s="357"/>
      <c r="C176" s="187"/>
      <c r="D176" s="188"/>
      <c r="E176" s="367"/>
      <c r="F176" s="382"/>
      <c r="G176" s="377"/>
      <c r="H176" s="377"/>
      <c r="I176" s="377"/>
      <c r="J176" s="377"/>
      <c r="K176" s="377"/>
      <c r="L176" s="377"/>
      <c r="M176" s="790"/>
      <c r="N176" s="370"/>
    </row>
    <row r="177" spans="1:14" ht="18.95" customHeight="1">
      <c r="A177" s="149"/>
      <c r="B177" s="357"/>
      <c r="C177" s="186"/>
      <c r="D177" s="187"/>
      <c r="E177" s="367"/>
      <c r="F177" s="382"/>
      <c r="G177" s="372"/>
      <c r="H177" s="372"/>
      <c r="I177" s="377"/>
      <c r="J177" s="377"/>
      <c r="K177" s="377"/>
      <c r="L177" s="377"/>
      <c r="M177" s="790"/>
      <c r="N177" s="370"/>
    </row>
    <row r="178" spans="1:14" ht="18.95" customHeight="1">
      <c r="A178" s="149"/>
      <c r="B178" s="357"/>
      <c r="C178" s="189"/>
      <c r="D178" s="187"/>
      <c r="E178" s="367"/>
      <c r="F178" s="382"/>
      <c r="G178" s="377"/>
      <c r="H178" s="377"/>
      <c r="I178" s="377"/>
      <c r="J178" s="396"/>
      <c r="K178" s="396"/>
      <c r="L178" s="377"/>
      <c r="M178" s="790"/>
      <c r="N178" s="370"/>
    </row>
    <row r="179" spans="1:14" ht="18.95" customHeight="1">
      <c r="A179" s="149"/>
      <c r="B179" s="357"/>
      <c r="C179" s="186"/>
      <c r="D179" s="188"/>
      <c r="E179" s="367"/>
      <c r="F179" s="382"/>
      <c r="G179" s="377"/>
      <c r="H179" s="377"/>
      <c r="I179" s="377"/>
      <c r="J179" s="377"/>
      <c r="K179" s="377"/>
      <c r="L179" s="377"/>
      <c r="M179" s="790"/>
      <c r="N179" s="224"/>
    </row>
    <row r="180" spans="1:14" ht="18.95" customHeight="1">
      <c r="A180" s="139"/>
      <c r="B180" s="357"/>
      <c r="C180" s="186"/>
      <c r="D180" s="187"/>
      <c r="E180" s="367"/>
      <c r="F180" s="688"/>
      <c r="G180" s="372"/>
      <c r="H180" s="372"/>
      <c r="I180" s="377"/>
      <c r="J180" s="396"/>
      <c r="K180" s="396"/>
      <c r="L180" s="370"/>
      <c r="M180" s="392"/>
      <c r="N180" s="224"/>
    </row>
    <row r="181" spans="1:14" ht="18.95" customHeight="1">
      <c r="A181" s="149"/>
      <c r="B181" s="357"/>
      <c r="C181" s="186"/>
      <c r="D181" s="187"/>
      <c r="E181" s="367"/>
      <c r="F181" s="382"/>
      <c r="G181" s="372"/>
      <c r="H181" s="372"/>
      <c r="I181" s="377"/>
      <c r="J181" s="396"/>
      <c r="K181" s="396"/>
      <c r="L181" s="377"/>
      <c r="M181" s="790"/>
      <c r="N181" s="224"/>
    </row>
    <row r="182" spans="1:14" ht="18.95" customHeight="1">
      <c r="A182" s="150"/>
      <c r="B182" s="357"/>
      <c r="C182" s="186"/>
      <c r="D182" s="187"/>
      <c r="E182" s="367"/>
      <c r="F182" s="382"/>
      <c r="G182" s="377"/>
      <c r="H182" s="377"/>
      <c r="I182" s="377"/>
      <c r="J182" s="377"/>
      <c r="K182" s="377"/>
      <c r="L182" s="377"/>
      <c r="M182" s="790"/>
      <c r="N182" s="224"/>
    </row>
    <row r="183" spans="1:14" ht="18.95" customHeight="1">
      <c r="A183" s="139"/>
      <c r="B183" s="357"/>
      <c r="C183" s="190"/>
      <c r="D183" s="187"/>
      <c r="E183" s="367"/>
      <c r="F183" s="382"/>
      <c r="G183" s="377"/>
      <c r="H183" s="377"/>
      <c r="I183" s="377"/>
      <c r="J183" s="396"/>
      <c r="K183" s="396"/>
      <c r="L183" s="377"/>
      <c r="M183" s="790"/>
      <c r="N183" s="224"/>
    </row>
    <row r="184" spans="1:14" ht="18.95" customHeight="1">
      <c r="A184" s="689"/>
      <c r="B184" s="357"/>
      <c r="C184" s="190"/>
      <c r="D184" s="187"/>
      <c r="E184" s="367"/>
      <c r="F184" s="382"/>
      <c r="G184" s="377"/>
      <c r="H184" s="377"/>
      <c r="I184" s="377"/>
      <c r="J184" s="396"/>
      <c r="K184" s="396"/>
      <c r="L184" s="370"/>
      <c r="M184" s="392"/>
      <c r="N184" s="224"/>
    </row>
    <row r="185" spans="1:14" ht="18.95" customHeight="1">
      <c r="A185" s="146"/>
      <c r="B185" s="357"/>
      <c r="C185" s="186"/>
      <c r="D185" s="188"/>
      <c r="E185" s="367"/>
      <c r="F185" s="382"/>
      <c r="G185" s="377"/>
      <c r="H185" s="377"/>
      <c r="I185" s="377"/>
      <c r="J185" s="396"/>
      <c r="K185" s="396"/>
      <c r="L185" s="377"/>
      <c r="M185" s="790"/>
      <c r="N185" s="224"/>
    </row>
    <row r="186" spans="1:14" ht="18.95" customHeight="1">
      <c r="A186" s="139"/>
      <c r="B186" s="357"/>
      <c r="C186" s="186"/>
      <c r="D186" s="188"/>
      <c r="E186" s="367"/>
      <c r="F186" s="382"/>
      <c r="G186" s="377"/>
      <c r="H186" s="377"/>
      <c r="I186" s="377"/>
      <c r="J186" s="377"/>
      <c r="K186" s="377"/>
      <c r="L186" s="377"/>
      <c r="M186" s="790"/>
      <c r="N186" s="224"/>
    </row>
    <row r="187" spans="1:14" ht="18.95" customHeight="1">
      <c r="A187" s="149"/>
      <c r="B187" s="357"/>
      <c r="C187" s="186"/>
      <c r="D187" s="188"/>
      <c r="E187" s="367"/>
      <c r="F187" s="382"/>
      <c r="G187" s="377"/>
      <c r="H187" s="377"/>
      <c r="I187" s="377"/>
      <c r="J187" s="396"/>
      <c r="K187" s="396"/>
      <c r="L187" s="377"/>
      <c r="M187" s="790"/>
      <c r="N187" s="224"/>
    </row>
    <row r="188" spans="1:14" ht="18.95" customHeight="1">
      <c r="A188" s="146"/>
      <c r="B188" s="357"/>
      <c r="C188" s="186"/>
      <c r="D188" s="191"/>
      <c r="E188" s="367"/>
      <c r="F188" s="382"/>
      <c r="G188" s="377"/>
      <c r="H188" s="377"/>
      <c r="I188" s="377"/>
      <c r="J188" s="377"/>
      <c r="K188" s="377"/>
      <c r="L188" s="377"/>
      <c r="M188" s="790"/>
      <c r="N188" s="224"/>
    </row>
    <row r="189" spans="1:14" ht="18.95" customHeight="1">
      <c r="A189" s="139"/>
      <c r="B189" s="415"/>
      <c r="C189" s="192"/>
      <c r="D189" s="191"/>
      <c r="E189" s="367"/>
      <c r="F189" s="382"/>
      <c r="G189" s="377"/>
      <c r="H189" s="377"/>
      <c r="I189" s="377"/>
      <c r="J189" s="396"/>
      <c r="K189" s="396"/>
      <c r="L189" s="377"/>
      <c r="M189" s="790"/>
      <c r="N189" s="224"/>
    </row>
    <row r="190" spans="1:14" ht="18.95" customHeight="1">
      <c r="A190" s="148"/>
      <c r="B190" s="415"/>
      <c r="C190" s="186"/>
      <c r="D190" s="191"/>
      <c r="E190" s="367"/>
      <c r="F190" s="382"/>
      <c r="G190" s="377"/>
      <c r="H190" s="377"/>
      <c r="I190" s="377"/>
      <c r="J190" s="377"/>
      <c r="K190" s="377"/>
      <c r="L190" s="377"/>
      <c r="M190" s="790"/>
      <c r="N190" s="224"/>
    </row>
    <row r="191" spans="1:14" ht="18.95" customHeight="1">
      <c r="A191" s="146"/>
      <c r="B191" s="415"/>
      <c r="C191" s="186"/>
      <c r="D191" s="191"/>
      <c r="E191" s="367"/>
      <c r="F191" s="382"/>
      <c r="G191" s="377"/>
      <c r="H191" s="377"/>
      <c r="I191" s="377"/>
      <c r="J191" s="377"/>
      <c r="K191" s="377"/>
      <c r="L191" s="377"/>
      <c r="M191" s="790"/>
      <c r="N191" s="224"/>
    </row>
    <row r="192" spans="1:14" ht="18.95" customHeight="1">
      <c r="A192" s="146"/>
      <c r="B192" s="415"/>
      <c r="C192" s="186"/>
      <c r="D192" s="191"/>
      <c r="E192" s="367"/>
      <c r="F192" s="382"/>
      <c r="G192" s="377"/>
      <c r="H192" s="377"/>
      <c r="I192" s="377"/>
      <c r="J192" s="377"/>
      <c r="K192" s="377"/>
      <c r="L192" s="377"/>
      <c r="M192" s="790"/>
      <c r="N192" s="224"/>
    </row>
    <row r="193" spans="1:14" ht="18.95" customHeight="1">
      <c r="A193" s="193"/>
      <c r="B193" s="412"/>
      <c r="C193" s="163"/>
      <c r="D193" s="176"/>
      <c r="E193" s="370"/>
      <c r="F193" s="224"/>
      <c r="G193" s="377"/>
      <c r="H193" s="377"/>
      <c r="I193" s="377"/>
      <c r="J193" s="377"/>
      <c r="K193" s="377"/>
      <c r="L193" s="377"/>
      <c r="M193" s="790"/>
      <c r="N193" s="224"/>
    </row>
    <row r="194" spans="1:14" ht="18.95" customHeight="1">
      <c r="A194" s="122"/>
      <c r="B194" s="650"/>
      <c r="C194" s="690"/>
      <c r="D194" s="194"/>
      <c r="E194" s="367"/>
      <c r="F194" s="224"/>
      <c r="G194" s="367"/>
      <c r="H194" s="367"/>
      <c r="I194" s="367"/>
      <c r="J194" s="368"/>
      <c r="K194" s="368"/>
      <c r="L194" s="369"/>
      <c r="M194" s="384"/>
      <c r="N194" s="224"/>
    </row>
    <row r="195" spans="1:14" ht="18.95" customHeight="1">
      <c r="A195" s="122"/>
      <c r="B195" s="342"/>
      <c r="C195" s="163"/>
      <c r="D195" s="178"/>
      <c r="E195" s="370"/>
      <c r="F195" s="382"/>
      <c r="G195" s="377"/>
      <c r="H195" s="377"/>
      <c r="I195" s="377"/>
      <c r="J195" s="377"/>
      <c r="K195" s="377"/>
      <c r="L195" s="377"/>
      <c r="M195" s="790"/>
      <c r="N195" s="224"/>
    </row>
    <row r="196" spans="1:14" ht="18.95" customHeight="1">
      <c r="A196" s="122"/>
      <c r="B196" s="342"/>
      <c r="C196" s="163"/>
      <c r="D196" s="178"/>
      <c r="E196" s="367"/>
      <c r="F196" s="382"/>
      <c r="G196" s="377"/>
      <c r="H196" s="377"/>
      <c r="I196" s="377"/>
      <c r="J196" s="377"/>
      <c r="K196" s="377"/>
      <c r="L196" s="377"/>
      <c r="M196" s="790"/>
      <c r="N196" s="224"/>
    </row>
    <row r="197" spans="1:14" ht="18.95" customHeight="1">
      <c r="A197" s="122"/>
      <c r="B197" s="342"/>
      <c r="C197" s="174"/>
      <c r="D197" s="194"/>
      <c r="E197" s="370"/>
      <c r="F197" s="224"/>
      <c r="G197" s="377"/>
      <c r="H197" s="377"/>
      <c r="I197" s="377"/>
      <c r="J197" s="377"/>
      <c r="K197" s="377"/>
      <c r="L197" s="377"/>
      <c r="M197" s="790"/>
      <c r="N197" s="224"/>
    </row>
    <row r="198" spans="1:14" ht="18.95" customHeight="1">
      <c r="A198" s="133"/>
      <c r="B198" s="1444"/>
      <c r="C198" s="1445"/>
      <c r="D198" s="1446"/>
      <c r="E198" s="404"/>
      <c r="F198" s="401"/>
      <c r="G198" s="404"/>
      <c r="H198" s="404"/>
      <c r="I198" s="404"/>
      <c r="J198" s="405"/>
      <c r="K198" s="405"/>
      <c r="L198" s="406"/>
      <c r="M198" s="794"/>
      <c r="N198" s="401"/>
    </row>
    <row r="199" spans="1:14" ht="18.95" customHeight="1">
      <c r="A199" s="195"/>
      <c r="B199" s="666"/>
      <c r="C199" s="196"/>
      <c r="D199" s="197"/>
      <c r="E199" s="475"/>
      <c r="F199" s="473"/>
      <c r="G199" s="691"/>
      <c r="H199" s="691"/>
      <c r="I199" s="691"/>
      <c r="J199" s="691"/>
      <c r="K199" s="691"/>
      <c r="L199" s="691"/>
      <c r="M199" s="795"/>
      <c r="N199" s="312"/>
    </row>
    <row r="200" spans="1:14" ht="18.95" customHeight="1">
      <c r="A200" s="150"/>
      <c r="B200" s="692"/>
      <c r="C200" s="152"/>
      <c r="D200" s="167"/>
      <c r="E200" s="370"/>
      <c r="F200" s="224"/>
      <c r="G200" s="377"/>
      <c r="H200" s="377"/>
      <c r="I200" s="377"/>
      <c r="J200" s="377"/>
      <c r="K200" s="377"/>
      <c r="L200" s="377"/>
      <c r="M200" s="790"/>
      <c r="N200" s="362"/>
    </row>
    <row r="201" spans="1:14" ht="18.95" customHeight="1">
      <c r="A201" s="149"/>
      <c r="B201" s="417"/>
      <c r="C201" s="152"/>
      <c r="D201" s="167"/>
      <c r="E201" s="370"/>
      <c r="F201" s="382"/>
      <c r="G201" s="377"/>
      <c r="H201" s="377"/>
      <c r="I201" s="377"/>
      <c r="J201" s="377"/>
      <c r="K201" s="377"/>
      <c r="L201" s="377"/>
      <c r="M201" s="790"/>
      <c r="N201" s="370"/>
    </row>
    <row r="202" spans="1:14" ht="18.95" customHeight="1">
      <c r="A202" s="149"/>
      <c r="B202" s="417"/>
      <c r="C202" s="152"/>
      <c r="D202" s="167"/>
      <c r="E202" s="370"/>
      <c r="F202" s="382"/>
      <c r="G202" s="377"/>
      <c r="H202" s="377"/>
      <c r="I202" s="377"/>
      <c r="J202" s="377"/>
      <c r="K202" s="377"/>
      <c r="L202" s="377"/>
      <c r="M202" s="790"/>
      <c r="N202" s="370"/>
    </row>
    <row r="203" spans="1:14" ht="18.95" customHeight="1">
      <c r="A203" s="149"/>
      <c r="B203" s="692"/>
      <c r="C203" s="152"/>
      <c r="D203" s="167"/>
      <c r="E203" s="370"/>
      <c r="F203" s="224"/>
      <c r="G203" s="377"/>
      <c r="H203" s="377"/>
      <c r="I203" s="377"/>
      <c r="J203" s="377"/>
      <c r="K203" s="377"/>
      <c r="L203" s="377"/>
      <c r="M203" s="790"/>
      <c r="N203" s="370"/>
    </row>
    <row r="204" spans="1:14" ht="18.95" customHeight="1">
      <c r="A204" s="149"/>
      <c r="B204" s="417"/>
      <c r="C204" s="152"/>
      <c r="D204" s="167"/>
      <c r="E204" s="370"/>
      <c r="F204" s="382"/>
      <c r="G204" s="377"/>
      <c r="H204" s="377"/>
      <c r="I204" s="377"/>
      <c r="J204" s="377"/>
      <c r="K204" s="377"/>
      <c r="L204" s="377"/>
      <c r="M204" s="790"/>
      <c r="N204" s="370"/>
    </row>
    <row r="205" spans="1:14" ht="18.95" customHeight="1">
      <c r="A205" s="150"/>
      <c r="B205" s="692"/>
      <c r="C205" s="152"/>
      <c r="D205" s="167"/>
      <c r="E205" s="370"/>
      <c r="F205" s="224"/>
      <c r="G205" s="377"/>
      <c r="H205" s="377"/>
      <c r="I205" s="377"/>
      <c r="J205" s="377"/>
      <c r="K205" s="377"/>
      <c r="L205" s="377"/>
      <c r="M205" s="790"/>
      <c r="N205" s="370"/>
    </row>
    <row r="206" spans="1:14" ht="18.95" customHeight="1">
      <c r="A206" s="149"/>
      <c r="B206" s="417"/>
      <c r="C206" s="152"/>
      <c r="D206" s="167"/>
      <c r="E206" s="370"/>
      <c r="F206" s="382"/>
      <c r="G206" s="377"/>
      <c r="H206" s="377"/>
      <c r="I206" s="367"/>
      <c r="J206" s="377"/>
      <c r="K206" s="377"/>
      <c r="L206" s="372"/>
      <c r="M206" s="790"/>
      <c r="N206" s="370"/>
    </row>
    <row r="207" spans="1:14" ht="18.95" customHeight="1">
      <c r="A207" s="149"/>
      <c r="B207" s="216"/>
      <c r="C207" s="152"/>
      <c r="D207" s="167"/>
      <c r="E207" s="682"/>
      <c r="F207" s="382"/>
      <c r="G207" s="377"/>
      <c r="H207" s="377"/>
      <c r="I207" s="367"/>
      <c r="J207" s="377"/>
      <c r="K207" s="377"/>
      <c r="L207" s="372"/>
      <c r="M207" s="790"/>
      <c r="N207" s="370"/>
    </row>
    <row r="208" spans="1:14" ht="18.95" customHeight="1">
      <c r="A208" s="149"/>
      <c r="B208" s="590"/>
      <c r="C208" s="152"/>
      <c r="D208" s="167"/>
      <c r="E208" s="370"/>
      <c r="F208" s="382"/>
      <c r="G208" s="377"/>
      <c r="H208" s="377"/>
      <c r="I208" s="367"/>
      <c r="J208" s="377"/>
      <c r="K208" s="377"/>
      <c r="L208" s="372"/>
      <c r="M208" s="790"/>
      <c r="N208" s="370"/>
    </row>
    <row r="209" spans="1:14" ht="18.95" customHeight="1">
      <c r="A209" s="149"/>
      <c r="B209" s="692"/>
      <c r="C209" s="152"/>
      <c r="D209" s="167"/>
      <c r="E209" s="370"/>
      <c r="F209" s="224"/>
      <c r="G209" s="377"/>
      <c r="H209" s="377"/>
      <c r="I209" s="377"/>
      <c r="J209" s="377"/>
      <c r="K209" s="377"/>
      <c r="L209" s="377"/>
      <c r="M209" s="790"/>
      <c r="N209" s="224"/>
    </row>
    <row r="210" spans="1:14" ht="18.95" customHeight="1">
      <c r="A210" s="139"/>
      <c r="B210" s="417"/>
      <c r="C210" s="152"/>
      <c r="D210" s="167"/>
      <c r="E210" s="370"/>
      <c r="F210" s="382"/>
      <c r="G210" s="377"/>
      <c r="H210" s="377"/>
      <c r="I210" s="367"/>
      <c r="J210" s="370"/>
      <c r="K210" s="370"/>
      <c r="L210" s="370"/>
      <c r="M210" s="384"/>
      <c r="N210" s="224"/>
    </row>
    <row r="211" spans="1:14" ht="18.95" customHeight="1">
      <c r="A211" s="149"/>
      <c r="B211" s="216"/>
      <c r="C211" s="152"/>
      <c r="D211" s="167"/>
      <c r="E211" s="682"/>
      <c r="F211" s="382"/>
      <c r="G211" s="377"/>
      <c r="H211" s="377"/>
      <c r="I211" s="367"/>
      <c r="J211" s="396"/>
      <c r="K211" s="396"/>
      <c r="L211" s="370"/>
      <c r="M211" s="793"/>
      <c r="N211" s="224"/>
    </row>
    <row r="212" spans="1:14" ht="18.95" customHeight="1">
      <c r="A212" s="198"/>
      <c r="B212" s="410"/>
      <c r="C212" s="152"/>
      <c r="D212" s="167"/>
      <c r="E212" s="361"/>
      <c r="F212" s="224"/>
      <c r="G212" s="377"/>
      <c r="H212" s="377"/>
      <c r="I212" s="377"/>
      <c r="J212" s="377"/>
      <c r="K212" s="377"/>
      <c r="L212" s="377"/>
      <c r="M212" s="790"/>
      <c r="N212" s="224"/>
    </row>
    <row r="213" spans="1:14" ht="18.95" customHeight="1">
      <c r="A213" s="149"/>
      <c r="B213" s="658"/>
      <c r="C213" s="147"/>
      <c r="D213" s="127"/>
      <c r="E213" s="361"/>
      <c r="F213" s="688"/>
      <c r="G213" s="377"/>
      <c r="H213" s="377"/>
      <c r="I213" s="377"/>
      <c r="J213" s="396"/>
      <c r="K213" s="396"/>
      <c r="L213" s="370"/>
      <c r="M213" s="793"/>
      <c r="N213" s="224"/>
    </row>
    <row r="214" spans="1:14" ht="18.95" customHeight="1">
      <c r="A214" s="150"/>
      <c r="B214" s="658"/>
      <c r="C214" s="152"/>
      <c r="D214" s="127"/>
      <c r="E214" s="361"/>
      <c r="F214" s="224"/>
      <c r="G214" s="377"/>
      <c r="H214" s="377"/>
      <c r="I214" s="377"/>
      <c r="J214" s="396"/>
      <c r="K214" s="396"/>
      <c r="L214" s="377"/>
      <c r="M214" s="790"/>
      <c r="N214" s="224"/>
    </row>
    <row r="215" spans="1:14" ht="18.95" customHeight="1">
      <c r="A215" s="139"/>
      <c r="B215" s="658"/>
      <c r="C215" s="147"/>
      <c r="D215" s="127"/>
      <c r="E215" s="361"/>
      <c r="F215" s="688"/>
      <c r="G215" s="377"/>
      <c r="H215" s="377"/>
      <c r="I215" s="377"/>
      <c r="J215" s="396"/>
      <c r="K215" s="396"/>
      <c r="L215" s="370"/>
      <c r="M215" s="793"/>
      <c r="N215" s="224"/>
    </row>
    <row r="216" spans="1:14" ht="18.95" customHeight="1">
      <c r="A216" s="149"/>
      <c r="B216" s="692"/>
      <c r="C216" s="152"/>
      <c r="D216" s="167"/>
      <c r="E216" s="361"/>
      <c r="F216" s="224"/>
      <c r="G216" s="377"/>
      <c r="H216" s="377"/>
      <c r="I216" s="377"/>
      <c r="J216" s="396"/>
      <c r="K216" s="396"/>
      <c r="L216" s="377"/>
      <c r="M216" s="790"/>
      <c r="N216" s="224"/>
    </row>
    <row r="217" spans="1:14" ht="18.95" customHeight="1">
      <c r="A217" s="146"/>
      <c r="B217" s="417"/>
      <c r="C217" s="152"/>
      <c r="D217" s="167"/>
      <c r="E217" s="361"/>
      <c r="F217" s="688"/>
      <c r="G217" s="377"/>
      <c r="H217" s="377"/>
      <c r="I217" s="377"/>
      <c r="J217" s="396"/>
      <c r="K217" s="396"/>
      <c r="L217" s="370"/>
      <c r="M217" s="793"/>
      <c r="N217" s="224"/>
    </row>
    <row r="218" spans="1:14" ht="18.95" customHeight="1">
      <c r="A218" s="198"/>
      <c r="B218" s="658"/>
      <c r="C218" s="152"/>
      <c r="D218" s="127"/>
      <c r="E218" s="361"/>
      <c r="F218" s="224"/>
      <c r="G218" s="377"/>
      <c r="H218" s="377"/>
      <c r="I218" s="377"/>
      <c r="J218" s="396"/>
      <c r="K218" s="396"/>
      <c r="L218" s="377"/>
      <c r="M218" s="790"/>
      <c r="N218" s="224"/>
    </row>
    <row r="219" spans="1:14" ht="18.95" customHeight="1">
      <c r="A219" s="154"/>
      <c r="B219" s="658"/>
      <c r="C219" s="147"/>
      <c r="D219" s="127"/>
      <c r="E219" s="370"/>
      <c r="F219" s="382"/>
      <c r="G219" s="377"/>
      <c r="H219" s="377"/>
      <c r="I219" s="377"/>
      <c r="J219" s="377"/>
      <c r="K219" s="377"/>
      <c r="L219" s="377"/>
      <c r="M219" s="793"/>
      <c r="N219" s="224"/>
    </row>
    <row r="220" spans="1:14" ht="18.95" customHeight="1">
      <c r="A220" s="154"/>
      <c r="B220" s="692"/>
      <c r="C220" s="152"/>
      <c r="D220" s="167"/>
      <c r="E220" s="370"/>
      <c r="F220" s="224"/>
      <c r="G220" s="377"/>
      <c r="H220" s="377"/>
      <c r="I220" s="377"/>
      <c r="J220" s="377"/>
      <c r="K220" s="377"/>
      <c r="L220" s="377"/>
      <c r="M220" s="790"/>
      <c r="N220" s="224"/>
    </row>
    <row r="221" spans="1:14" ht="18.95" customHeight="1">
      <c r="A221" s="154"/>
      <c r="B221" s="417"/>
      <c r="C221" s="152"/>
      <c r="D221" s="167"/>
      <c r="E221" s="370"/>
      <c r="F221" s="382"/>
      <c r="G221" s="377"/>
      <c r="H221" s="377"/>
      <c r="I221" s="377"/>
      <c r="J221" s="377"/>
      <c r="K221" s="377"/>
      <c r="L221" s="377"/>
      <c r="M221" s="793"/>
      <c r="N221" s="224"/>
    </row>
    <row r="222" spans="1:14" ht="18.95" customHeight="1">
      <c r="A222" s="139"/>
      <c r="B222" s="692"/>
      <c r="C222" s="152"/>
      <c r="D222" s="167"/>
      <c r="E222" s="370"/>
      <c r="F222" s="224"/>
      <c r="G222" s="377"/>
      <c r="H222" s="377"/>
      <c r="I222" s="377"/>
      <c r="J222" s="377"/>
      <c r="K222" s="377"/>
      <c r="L222" s="377"/>
      <c r="M222" s="790"/>
      <c r="N222" s="224"/>
    </row>
    <row r="223" spans="1:14" ht="18.95" customHeight="1">
      <c r="A223" s="122"/>
      <c r="B223" s="417"/>
      <c r="C223" s="152"/>
      <c r="D223" s="167"/>
      <c r="E223" s="367"/>
      <c r="F223" s="224"/>
      <c r="G223" s="367"/>
      <c r="H223" s="367"/>
      <c r="I223" s="367"/>
      <c r="J223" s="368"/>
      <c r="K223" s="368"/>
      <c r="L223" s="369"/>
      <c r="M223" s="368"/>
      <c r="N223" s="224"/>
    </row>
    <row r="224" spans="1:14" ht="18.95" customHeight="1">
      <c r="A224" s="139"/>
      <c r="B224" s="692"/>
      <c r="C224" s="152"/>
      <c r="D224" s="167"/>
      <c r="E224" s="367"/>
      <c r="F224" s="224"/>
      <c r="G224" s="367"/>
      <c r="H224" s="367"/>
      <c r="I224" s="377"/>
      <c r="J224" s="367"/>
      <c r="K224" s="367"/>
      <c r="L224" s="377"/>
      <c r="M224" s="790"/>
      <c r="N224" s="224"/>
    </row>
    <row r="225" spans="1:14" ht="18.95" customHeight="1">
      <c r="A225" s="122"/>
      <c r="B225" s="417"/>
      <c r="C225" s="152"/>
      <c r="D225" s="167"/>
      <c r="E225" s="367"/>
      <c r="F225" s="224"/>
      <c r="G225" s="367"/>
      <c r="H225" s="367"/>
      <c r="I225" s="367"/>
      <c r="J225" s="368"/>
      <c r="K225" s="368"/>
      <c r="L225" s="369"/>
      <c r="M225" s="368"/>
      <c r="N225" s="224"/>
    </row>
    <row r="226" spans="1:14" ht="18.95" customHeight="1">
      <c r="A226" s="133"/>
      <c r="B226" s="133"/>
      <c r="C226" s="134"/>
      <c r="D226" s="135"/>
      <c r="E226" s="404"/>
      <c r="F226" s="401"/>
      <c r="G226" s="404"/>
      <c r="H226" s="404"/>
      <c r="I226" s="404"/>
      <c r="J226" s="405"/>
      <c r="K226" s="405"/>
      <c r="L226" s="406"/>
      <c r="M226" s="405"/>
      <c r="N226" s="401"/>
    </row>
    <row r="227" spans="1:14" ht="18.95" customHeight="1">
      <c r="A227" s="199"/>
      <c r="B227" s="693"/>
      <c r="C227" s="200"/>
      <c r="D227" s="197"/>
      <c r="E227" s="475"/>
      <c r="F227" s="312"/>
      <c r="G227" s="475"/>
      <c r="H227" s="361"/>
      <c r="I227" s="377"/>
      <c r="J227" s="475"/>
      <c r="K227" s="361"/>
      <c r="L227" s="377"/>
      <c r="M227" s="790"/>
      <c r="N227" s="312"/>
    </row>
    <row r="228" spans="1:14" ht="18.95" customHeight="1">
      <c r="A228" s="150"/>
      <c r="B228" s="417"/>
      <c r="C228" s="152"/>
      <c r="D228" s="167"/>
      <c r="E228" s="367"/>
      <c r="F228" s="224"/>
      <c r="G228" s="367"/>
      <c r="H228" s="367"/>
      <c r="I228" s="367"/>
      <c r="J228" s="367"/>
      <c r="K228" s="367"/>
      <c r="L228" s="372"/>
      <c r="M228" s="384"/>
      <c r="N228" s="224"/>
    </row>
    <row r="229" spans="1:14" ht="18.95" customHeight="1">
      <c r="A229" s="149"/>
      <c r="B229" s="692"/>
      <c r="C229" s="152"/>
      <c r="D229" s="167"/>
      <c r="E229" s="367"/>
      <c r="F229" s="224"/>
      <c r="G229" s="377"/>
      <c r="H229" s="377"/>
      <c r="I229" s="377"/>
      <c r="J229" s="377"/>
      <c r="K229" s="377"/>
      <c r="L229" s="377"/>
      <c r="M229" s="790"/>
      <c r="N229" s="370"/>
    </row>
    <row r="230" spans="1:14" ht="18.95" customHeight="1">
      <c r="A230" s="149"/>
      <c r="B230" s="417"/>
      <c r="C230" s="152"/>
      <c r="D230" s="167"/>
      <c r="E230" s="367"/>
      <c r="F230" s="224"/>
      <c r="G230" s="372"/>
      <c r="H230" s="372"/>
      <c r="I230" s="367"/>
      <c r="J230" s="367"/>
      <c r="K230" s="367"/>
      <c r="L230" s="372"/>
      <c r="M230" s="368"/>
      <c r="N230" s="370"/>
    </row>
    <row r="231" spans="1:14" ht="18.95" customHeight="1">
      <c r="A231" s="149"/>
      <c r="B231" s="692"/>
      <c r="C231" s="152"/>
      <c r="D231" s="167"/>
      <c r="E231" s="367"/>
      <c r="F231" s="382"/>
      <c r="G231" s="377"/>
      <c r="H231" s="377"/>
      <c r="I231" s="367"/>
      <c r="J231" s="377"/>
      <c r="K231" s="377"/>
      <c r="L231" s="372"/>
      <c r="M231" s="790"/>
      <c r="N231" s="370"/>
    </row>
    <row r="232" spans="1:14" ht="18.95" customHeight="1">
      <c r="A232" s="149"/>
      <c r="B232" s="692"/>
      <c r="C232" s="152"/>
      <c r="D232" s="167"/>
      <c r="E232" s="367"/>
      <c r="F232" s="224"/>
      <c r="G232" s="372"/>
      <c r="H232" s="372"/>
      <c r="I232" s="377"/>
      <c r="J232" s="367"/>
      <c r="K232" s="367"/>
      <c r="L232" s="377"/>
      <c r="M232" s="790"/>
      <c r="N232" s="370"/>
    </row>
    <row r="233" spans="1:14" ht="18.95" customHeight="1">
      <c r="A233" s="150"/>
      <c r="B233" s="417"/>
      <c r="C233" s="152"/>
      <c r="D233" s="167"/>
      <c r="E233" s="367"/>
      <c r="F233" s="382"/>
      <c r="G233" s="377"/>
      <c r="H233" s="377"/>
      <c r="I233" s="367"/>
      <c r="J233" s="377"/>
      <c r="K233" s="377"/>
      <c r="L233" s="372"/>
      <c r="M233" s="790"/>
      <c r="N233" s="370"/>
    </row>
    <row r="234" spans="1:14" ht="18.95" customHeight="1">
      <c r="A234" s="149"/>
      <c r="B234" s="692"/>
      <c r="C234" s="152"/>
      <c r="D234" s="167"/>
      <c r="E234" s="367"/>
      <c r="F234" s="224"/>
      <c r="G234" s="372"/>
      <c r="H234" s="372"/>
      <c r="I234" s="377"/>
      <c r="J234" s="367"/>
      <c r="K234" s="367"/>
      <c r="L234" s="377"/>
      <c r="M234" s="790"/>
      <c r="N234" s="370"/>
    </row>
    <row r="235" spans="1:14" ht="18.95" customHeight="1">
      <c r="A235" s="149"/>
      <c r="B235" s="417"/>
      <c r="C235" s="152"/>
      <c r="D235" s="167"/>
      <c r="E235" s="367"/>
      <c r="F235" s="382"/>
      <c r="G235" s="377"/>
      <c r="H235" s="377"/>
      <c r="I235" s="367"/>
      <c r="J235" s="377"/>
      <c r="K235" s="377"/>
      <c r="L235" s="372"/>
      <c r="M235" s="790"/>
      <c r="N235" s="370"/>
    </row>
    <row r="236" spans="1:14" ht="18.95" customHeight="1">
      <c r="A236" s="149"/>
      <c r="B236" s="692"/>
      <c r="C236" s="152"/>
      <c r="D236" s="167"/>
      <c r="E236" s="367"/>
      <c r="F236" s="224"/>
      <c r="G236" s="372"/>
      <c r="H236" s="372"/>
      <c r="I236" s="377"/>
      <c r="J236" s="367"/>
      <c r="K236" s="367"/>
      <c r="L236" s="377"/>
      <c r="M236" s="790"/>
      <c r="N236" s="224"/>
    </row>
    <row r="237" spans="1:14" ht="18.95" customHeight="1">
      <c r="A237" s="149"/>
      <c r="B237" s="417"/>
      <c r="C237" s="152"/>
      <c r="D237" s="167"/>
      <c r="E237" s="367"/>
      <c r="F237" s="382"/>
      <c r="G237" s="377"/>
      <c r="H237" s="377"/>
      <c r="I237" s="367"/>
      <c r="J237" s="377"/>
      <c r="K237" s="377"/>
      <c r="L237" s="372"/>
      <c r="M237" s="790"/>
      <c r="N237" s="224"/>
    </row>
    <row r="238" spans="1:14" ht="18.95" customHeight="1">
      <c r="A238" s="139"/>
      <c r="B238" s="692"/>
      <c r="C238" s="152"/>
      <c r="D238" s="167"/>
      <c r="E238" s="367"/>
      <c r="F238" s="224"/>
      <c r="G238" s="372"/>
      <c r="H238" s="372"/>
      <c r="I238" s="377"/>
      <c r="J238" s="367"/>
      <c r="K238" s="367"/>
      <c r="L238" s="377"/>
      <c r="M238" s="790"/>
      <c r="N238" s="224"/>
    </row>
    <row r="239" spans="1:14" ht="18.95" customHeight="1">
      <c r="A239" s="148"/>
      <c r="B239" s="417"/>
      <c r="C239" s="152"/>
      <c r="D239" s="167"/>
      <c r="E239" s="367"/>
      <c r="F239" s="382"/>
      <c r="G239" s="377"/>
      <c r="H239" s="377"/>
      <c r="I239" s="367"/>
      <c r="J239" s="377"/>
      <c r="K239" s="377"/>
      <c r="L239" s="372"/>
      <c r="M239" s="790"/>
      <c r="N239" s="224"/>
    </row>
    <row r="240" spans="1:14" ht="18.95" customHeight="1">
      <c r="A240" s="146"/>
      <c r="B240" s="692"/>
      <c r="C240" s="152"/>
      <c r="D240" s="167"/>
      <c r="E240" s="367"/>
      <c r="F240" s="224"/>
      <c r="G240" s="372"/>
      <c r="H240" s="372"/>
      <c r="I240" s="377"/>
      <c r="J240" s="367"/>
      <c r="K240" s="367"/>
      <c r="L240" s="377"/>
      <c r="M240" s="790"/>
      <c r="N240" s="224"/>
    </row>
    <row r="241" spans="1:14" ht="18.95" customHeight="1">
      <c r="A241" s="139"/>
      <c r="B241" s="417"/>
      <c r="C241" s="152"/>
      <c r="D241" s="167"/>
      <c r="E241" s="370"/>
      <c r="F241" s="382"/>
      <c r="G241" s="377"/>
      <c r="H241" s="377"/>
      <c r="I241" s="367"/>
      <c r="J241" s="377"/>
      <c r="K241" s="377"/>
      <c r="L241" s="372"/>
      <c r="M241" s="790"/>
      <c r="N241" s="224"/>
    </row>
    <row r="242" spans="1:14" ht="18.95" customHeight="1">
      <c r="A242" s="146"/>
      <c r="B242" s="692"/>
      <c r="C242" s="152"/>
      <c r="D242" s="167"/>
      <c r="E242" s="367"/>
      <c r="F242" s="224"/>
      <c r="G242" s="377"/>
      <c r="H242" s="377"/>
      <c r="I242" s="377"/>
      <c r="J242" s="377"/>
      <c r="K242" s="377"/>
      <c r="L242" s="377"/>
      <c r="M242" s="790"/>
      <c r="N242" s="224"/>
    </row>
    <row r="243" spans="1:14" ht="18.95" customHeight="1">
      <c r="A243" s="146"/>
      <c r="B243" s="417"/>
      <c r="C243" s="152"/>
      <c r="D243" s="167"/>
      <c r="E243" s="367"/>
      <c r="F243" s="224"/>
      <c r="G243" s="372"/>
      <c r="H243" s="372"/>
      <c r="I243" s="367"/>
      <c r="J243" s="367"/>
      <c r="K243" s="367"/>
      <c r="L243" s="372"/>
      <c r="M243" s="368"/>
      <c r="N243" s="224"/>
    </row>
    <row r="244" spans="1:14" ht="18.95" customHeight="1">
      <c r="A244" s="146"/>
      <c r="B244" s="692"/>
      <c r="C244" s="152"/>
      <c r="D244" s="167"/>
      <c r="E244" s="367"/>
      <c r="F244" s="224"/>
      <c r="G244" s="377"/>
      <c r="H244" s="377"/>
      <c r="I244" s="377"/>
      <c r="J244" s="377"/>
      <c r="K244" s="377"/>
      <c r="L244" s="377"/>
      <c r="M244" s="790"/>
      <c r="N244" s="224"/>
    </row>
    <row r="245" spans="1:14" ht="18.95" customHeight="1">
      <c r="A245" s="148"/>
      <c r="B245" s="417"/>
      <c r="C245" s="152"/>
      <c r="D245" s="167"/>
      <c r="E245" s="367"/>
      <c r="F245" s="224"/>
      <c r="G245" s="372"/>
      <c r="H245" s="372"/>
      <c r="I245" s="367"/>
      <c r="J245" s="367"/>
      <c r="K245" s="367"/>
      <c r="L245" s="372"/>
      <c r="M245" s="368"/>
      <c r="N245" s="224"/>
    </row>
    <row r="246" spans="1:14" ht="18.95" customHeight="1">
      <c r="A246" s="146"/>
      <c r="B246" s="692"/>
      <c r="C246" s="152"/>
      <c r="D246" s="167"/>
      <c r="E246" s="367"/>
      <c r="F246" s="224"/>
      <c r="G246" s="377"/>
      <c r="H246" s="377"/>
      <c r="I246" s="377"/>
      <c r="J246" s="377"/>
      <c r="K246" s="377"/>
      <c r="L246" s="377"/>
      <c r="M246" s="790"/>
      <c r="N246" s="224"/>
    </row>
    <row r="247" spans="1:14" ht="18.95" customHeight="1">
      <c r="A247" s="139"/>
      <c r="B247" s="417"/>
      <c r="C247" s="152"/>
      <c r="D247" s="167"/>
      <c r="E247" s="370"/>
      <c r="F247" s="382"/>
      <c r="G247" s="377"/>
      <c r="H247" s="377"/>
      <c r="I247" s="377"/>
      <c r="J247" s="377"/>
      <c r="K247" s="377"/>
      <c r="L247" s="377"/>
      <c r="M247" s="790"/>
      <c r="N247" s="224"/>
    </row>
    <row r="248" spans="1:14" ht="18.95" customHeight="1">
      <c r="A248" s="146"/>
      <c r="B248" s="692"/>
      <c r="C248" s="152"/>
      <c r="D248" s="167"/>
      <c r="E248" s="367"/>
      <c r="F248" s="224"/>
      <c r="G248" s="377"/>
      <c r="H248" s="377"/>
      <c r="I248" s="377"/>
      <c r="J248" s="377"/>
      <c r="K248" s="377"/>
      <c r="L248" s="377"/>
      <c r="M248" s="790"/>
      <c r="N248" s="224"/>
    </row>
    <row r="249" spans="1:14" ht="18.95" customHeight="1">
      <c r="A249" s="141"/>
      <c r="B249" s="417"/>
      <c r="C249" s="152"/>
      <c r="D249" s="167"/>
      <c r="E249" s="367"/>
      <c r="F249" s="382"/>
      <c r="G249" s="377"/>
      <c r="H249" s="377"/>
      <c r="I249" s="367"/>
      <c r="J249" s="377"/>
      <c r="K249" s="377"/>
      <c r="L249" s="372"/>
      <c r="M249" s="790"/>
      <c r="N249" s="224"/>
    </row>
    <row r="250" spans="1:14" ht="18.95" customHeight="1">
      <c r="A250" s="146"/>
      <c r="B250" s="692"/>
      <c r="C250" s="152"/>
      <c r="D250" s="167"/>
      <c r="E250" s="370"/>
      <c r="F250" s="224"/>
      <c r="G250" s="377"/>
      <c r="H250" s="377"/>
      <c r="I250" s="377"/>
      <c r="J250" s="377"/>
      <c r="K250" s="377"/>
      <c r="L250" s="377"/>
      <c r="M250" s="790"/>
      <c r="N250" s="224"/>
    </row>
    <row r="251" spans="1:14" ht="18.95" customHeight="1">
      <c r="A251" s="122"/>
      <c r="B251" s="417"/>
      <c r="C251" s="152"/>
      <c r="D251" s="167"/>
      <c r="E251" s="367"/>
      <c r="F251" s="382"/>
      <c r="G251" s="377"/>
      <c r="H251" s="377"/>
      <c r="I251" s="367"/>
      <c r="J251" s="377"/>
      <c r="K251" s="377"/>
      <c r="L251" s="372"/>
      <c r="M251" s="790"/>
      <c r="N251" s="224"/>
    </row>
    <row r="252" spans="1:14" ht="18.95" customHeight="1">
      <c r="A252" s="122"/>
      <c r="B252" s="692"/>
      <c r="C252" s="152"/>
      <c r="D252" s="167"/>
      <c r="E252" s="370"/>
      <c r="F252" s="224"/>
      <c r="G252" s="377"/>
      <c r="H252" s="377"/>
      <c r="I252" s="377"/>
      <c r="J252" s="377"/>
      <c r="K252" s="377"/>
      <c r="L252" s="377"/>
      <c r="M252" s="790"/>
      <c r="N252" s="224"/>
    </row>
    <row r="253" spans="1:14" ht="18.95" customHeight="1">
      <c r="A253" s="122"/>
      <c r="B253" s="417"/>
      <c r="C253" s="152"/>
      <c r="D253" s="167"/>
      <c r="E253" s="694"/>
      <c r="F253" s="676"/>
      <c r="G253" s="694"/>
      <c r="H253" s="694"/>
      <c r="I253" s="694"/>
      <c r="J253" s="694"/>
      <c r="K253" s="694"/>
      <c r="L253" s="694"/>
      <c r="M253" s="796"/>
      <c r="N253" s="224"/>
    </row>
    <row r="254" spans="1:14" ht="18.95" customHeight="1">
      <c r="A254" s="133"/>
      <c r="B254" s="486"/>
      <c r="C254" s="171"/>
      <c r="D254" s="171"/>
      <c r="E254" s="461"/>
      <c r="F254" s="459"/>
      <c r="G254" s="461"/>
      <c r="H254" s="461"/>
      <c r="I254" s="461"/>
      <c r="J254" s="461"/>
      <c r="K254" s="461"/>
      <c r="L254" s="461"/>
      <c r="M254" s="797"/>
      <c r="N254" s="401"/>
    </row>
    <row r="255" spans="1:14" ht="18.95" customHeight="1">
      <c r="A255" s="199"/>
      <c r="B255" s="693"/>
      <c r="C255" s="200"/>
      <c r="D255" s="197"/>
      <c r="E255" s="472"/>
      <c r="F255" s="312"/>
      <c r="G255" s="472"/>
      <c r="H255" s="366"/>
      <c r="I255" s="377"/>
      <c r="J255" s="472"/>
      <c r="K255" s="366"/>
      <c r="L255" s="377"/>
      <c r="M255" s="790"/>
      <c r="N255" s="312"/>
    </row>
    <row r="256" spans="1:14" ht="18.95" customHeight="1">
      <c r="A256" s="201"/>
      <c r="B256" s="417"/>
      <c r="C256" s="152"/>
      <c r="D256" s="167"/>
      <c r="E256" s="370"/>
      <c r="F256" s="382"/>
      <c r="G256" s="370"/>
      <c r="H256" s="370"/>
      <c r="I256" s="370"/>
      <c r="J256" s="370"/>
      <c r="K256" s="370"/>
      <c r="L256" s="370"/>
      <c r="M256" s="392"/>
      <c r="N256" s="224"/>
    </row>
    <row r="257" spans="1:14" ht="18.95" customHeight="1">
      <c r="A257" s="202"/>
      <c r="B257" s="692"/>
      <c r="C257" s="152"/>
      <c r="D257" s="167"/>
      <c r="E257" s="367"/>
      <c r="F257" s="224"/>
      <c r="G257" s="367"/>
      <c r="H257" s="367"/>
      <c r="I257" s="377"/>
      <c r="J257" s="367"/>
      <c r="K257" s="367"/>
      <c r="L257" s="377"/>
      <c r="M257" s="790"/>
      <c r="N257" s="224"/>
    </row>
    <row r="258" spans="1:14" ht="18.95" customHeight="1">
      <c r="A258" s="202"/>
      <c r="B258" s="417"/>
      <c r="C258" s="152"/>
      <c r="D258" s="167"/>
      <c r="E258" s="367"/>
      <c r="F258" s="382"/>
      <c r="G258" s="377"/>
      <c r="H258" s="377"/>
      <c r="I258" s="367"/>
      <c r="J258" s="377"/>
      <c r="K258" s="377"/>
      <c r="L258" s="372"/>
      <c r="M258" s="790"/>
      <c r="N258" s="224"/>
    </row>
    <row r="259" spans="1:14" ht="18.95" customHeight="1">
      <c r="A259" s="202"/>
      <c r="B259" s="692"/>
      <c r="C259" s="152"/>
      <c r="D259" s="167"/>
      <c r="E259" s="370"/>
      <c r="F259" s="224"/>
      <c r="G259" s="377"/>
      <c r="H259" s="377"/>
      <c r="I259" s="377"/>
      <c r="J259" s="377"/>
      <c r="K259" s="377"/>
      <c r="L259" s="377"/>
      <c r="M259" s="790"/>
      <c r="N259" s="370"/>
    </row>
    <row r="260" spans="1:14" ht="18.95" customHeight="1">
      <c r="A260" s="203"/>
      <c r="B260" s="417"/>
      <c r="C260" s="152"/>
      <c r="D260" s="167"/>
      <c r="E260" s="367"/>
      <c r="F260" s="382"/>
      <c r="G260" s="377"/>
      <c r="H260" s="377"/>
      <c r="I260" s="367"/>
      <c r="J260" s="377"/>
      <c r="K260" s="377"/>
      <c r="L260" s="372"/>
      <c r="M260" s="790"/>
      <c r="N260" s="370"/>
    </row>
    <row r="261" spans="1:14" ht="18.95" customHeight="1">
      <c r="A261" s="202"/>
      <c r="B261" s="692"/>
      <c r="C261" s="152"/>
      <c r="D261" s="167"/>
      <c r="E261" s="370"/>
      <c r="F261" s="224"/>
      <c r="G261" s="377"/>
      <c r="H261" s="377"/>
      <c r="I261" s="377"/>
      <c r="J261" s="377"/>
      <c r="K261" s="377"/>
      <c r="L261" s="377"/>
      <c r="M261" s="790"/>
      <c r="N261" s="370"/>
    </row>
    <row r="262" spans="1:14" ht="18.95" customHeight="1">
      <c r="A262" s="202"/>
      <c r="B262" s="417"/>
      <c r="C262" s="152"/>
      <c r="D262" s="167"/>
      <c r="E262" s="367"/>
      <c r="F262" s="382"/>
      <c r="G262" s="377"/>
      <c r="H262" s="377"/>
      <c r="I262" s="367"/>
      <c r="J262" s="377"/>
      <c r="K262" s="377"/>
      <c r="L262" s="372"/>
      <c r="M262" s="790"/>
      <c r="N262" s="370"/>
    </row>
    <row r="263" spans="1:14" ht="18.95" customHeight="1">
      <c r="A263" s="202"/>
      <c r="B263" s="692"/>
      <c r="C263" s="152"/>
      <c r="D263" s="167"/>
      <c r="E263" s="370"/>
      <c r="F263" s="224"/>
      <c r="G263" s="377"/>
      <c r="H263" s="377"/>
      <c r="I263" s="377"/>
      <c r="J263" s="377"/>
      <c r="K263" s="377"/>
      <c r="L263" s="377"/>
      <c r="M263" s="790"/>
      <c r="N263" s="370"/>
    </row>
    <row r="264" spans="1:14" ht="18.95" customHeight="1">
      <c r="A264" s="202"/>
      <c r="B264" s="417"/>
      <c r="C264" s="152"/>
      <c r="D264" s="167"/>
      <c r="E264" s="367"/>
      <c r="F264" s="382"/>
      <c r="G264" s="377"/>
      <c r="H264" s="377"/>
      <c r="I264" s="367"/>
      <c r="J264" s="377"/>
      <c r="K264" s="377"/>
      <c r="L264" s="372"/>
      <c r="M264" s="790"/>
      <c r="N264" s="370"/>
    </row>
    <row r="265" spans="1:14" ht="18.95" customHeight="1">
      <c r="A265" s="204"/>
      <c r="B265" s="692"/>
      <c r="C265" s="152"/>
      <c r="D265" s="167"/>
      <c r="E265" s="370"/>
      <c r="F265" s="224"/>
      <c r="G265" s="377"/>
      <c r="H265" s="377"/>
      <c r="I265" s="377"/>
      <c r="J265" s="377"/>
      <c r="K265" s="377"/>
      <c r="L265" s="377"/>
      <c r="M265" s="790"/>
      <c r="N265" s="370"/>
    </row>
    <row r="266" spans="1:14" ht="18.95" customHeight="1">
      <c r="A266" s="202"/>
      <c r="B266" s="417"/>
      <c r="C266" s="152"/>
      <c r="D266" s="167"/>
      <c r="E266" s="367"/>
      <c r="F266" s="382"/>
      <c r="G266" s="377"/>
      <c r="H266" s="377"/>
      <c r="I266" s="367"/>
      <c r="J266" s="377"/>
      <c r="K266" s="377"/>
      <c r="L266" s="372"/>
      <c r="M266" s="790"/>
      <c r="N266" s="224"/>
    </row>
    <row r="267" spans="1:14" ht="18.95" customHeight="1">
      <c r="A267" s="205"/>
      <c r="B267" s="692"/>
      <c r="C267" s="152"/>
      <c r="D267" s="167"/>
      <c r="E267" s="367"/>
      <c r="F267" s="224"/>
      <c r="G267" s="377"/>
      <c r="H267" s="377"/>
      <c r="I267" s="377"/>
      <c r="J267" s="377"/>
      <c r="K267" s="377"/>
      <c r="L267" s="377"/>
      <c r="M267" s="790"/>
      <c r="N267" s="224"/>
    </row>
    <row r="268" spans="1:14" ht="18.95" customHeight="1">
      <c r="A268" s="204"/>
      <c r="B268" s="417"/>
      <c r="C268" s="152"/>
      <c r="D268" s="167"/>
      <c r="E268" s="370"/>
      <c r="F268" s="382"/>
      <c r="G268" s="377"/>
      <c r="H268" s="377"/>
      <c r="I268" s="377"/>
      <c r="J268" s="377"/>
      <c r="K268" s="377"/>
      <c r="L268" s="377"/>
      <c r="M268" s="790"/>
      <c r="N268" s="224"/>
    </row>
    <row r="269" spans="1:14" ht="18.95" customHeight="1">
      <c r="A269" s="202"/>
      <c r="B269" s="692"/>
      <c r="C269" s="152"/>
      <c r="D269" s="167"/>
      <c r="E269" s="367"/>
      <c r="F269" s="224"/>
      <c r="G269" s="377"/>
      <c r="H269" s="377"/>
      <c r="I269" s="377"/>
      <c r="J269" s="377"/>
      <c r="K269" s="377"/>
      <c r="L269" s="377"/>
      <c r="M269" s="790"/>
      <c r="N269" s="224"/>
    </row>
    <row r="270" spans="1:14" ht="18.95" customHeight="1">
      <c r="A270" s="205"/>
      <c r="B270" s="417"/>
      <c r="C270" s="152"/>
      <c r="D270" s="167"/>
      <c r="E270" s="367"/>
      <c r="F270" s="382"/>
      <c r="G270" s="377"/>
      <c r="H270" s="377"/>
      <c r="I270" s="377"/>
      <c r="J270" s="377"/>
      <c r="K270" s="377"/>
      <c r="L270" s="377"/>
      <c r="M270" s="790"/>
      <c r="N270" s="224"/>
    </row>
    <row r="271" spans="1:14" ht="18.95" customHeight="1">
      <c r="A271" s="204"/>
      <c r="B271" s="692"/>
      <c r="C271" s="152"/>
      <c r="D271" s="167"/>
      <c r="E271" s="367"/>
      <c r="F271" s="224"/>
      <c r="G271" s="377"/>
      <c r="H271" s="377"/>
      <c r="I271" s="377"/>
      <c r="J271" s="377"/>
      <c r="K271" s="377"/>
      <c r="L271" s="377"/>
      <c r="M271" s="790"/>
      <c r="N271" s="224"/>
    </row>
    <row r="272" spans="1:14" ht="18.95" customHeight="1">
      <c r="A272" s="202"/>
      <c r="B272" s="417"/>
      <c r="C272" s="152"/>
      <c r="D272" s="167"/>
      <c r="E272" s="367"/>
      <c r="F272" s="382"/>
      <c r="G272" s="377"/>
      <c r="H272" s="377"/>
      <c r="I272" s="377"/>
      <c r="J272" s="377"/>
      <c r="K272" s="377"/>
      <c r="L272" s="377"/>
      <c r="M272" s="790"/>
      <c r="N272" s="224"/>
    </row>
    <row r="273" spans="1:14" ht="18.95" customHeight="1">
      <c r="A273" s="205"/>
      <c r="B273" s="692"/>
      <c r="C273" s="152"/>
      <c r="D273" s="167"/>
      <c r="E273" s="367"/>
      <c r="F273" s="224"/>
      <c r="G273" s="377"/>
      <c r="H273" s="377"/>
      <c r="I273" s="377"/>
      <c r="J273" s="377"/>
      <c r="K273" s="377"/>
      <c r="L273" s="377"/>
      <c r="M273" s="790"/>
      <c r="N273" s="224"/>
    </row>
    <row r="274" spans="1:14" ht="18.95" customHeight="1">
      <c r="A274" s="149"/>
      <c r="B274" s="417"/>
      <c r="C274" s="152"/>
      <c r="D274" s="167"/>
      <c r="E274" s="367"/>
      <c r="F274" s="382"/>
      <c r="G274" s="377"/>
      <c r="H274" s="377"/>
      <c r="I274" s="377"/>
      <c r="J274" s="377"/>
      <c r="K274" s="377"/>
      <c r="L274" s="377"/>
      <c r="M274" s="790"/>
      <c r="N274" s="224"/>
    </row>
    <row r="275" spans="1:14" ht="18.95" customHeight="1">
      <c r="A275" s="146"/>
      <c r="B275" s="692"/>
      <c r="C275" s="152"/>
      <c r="D275" s="167"/>
      <c r="E275" s="367"/>
      <c r="F275" s="224"/>
      <c r="G275" s="377"/>
      <c r="H275" s="377"/>
      <c r="I275" s="377"/>
      <c r="J275" s="377"/>
      <c r="K275" s="377"/>
      <c r="L275" s="377"/>
      <c r="M275" s="790"/>
      <c r="N275" s="224"/>
    </row>
    <row r="276" spans="1:14" ht="18.95" customHeight="1">
      <c r="A276" s="139"/>
      <c r="B276" s="417"/>
      <c r="C276" s="152"/>
      <c r="D276" s="167"/>
      <c r="E276" s="370"/>
      <c r="F276" s="382"/>
      <c r="G276" s="377"/>
      <c r="H276" s="377"/>
      <c r="I276" s="377"/>
      <c r="J276" s="377"/>
      <c r="K276" s="377"/>
      <c r="L276" s="377"/>
      <c r="M276" s="790"/>
      <c r="N276" s="224"/>
    </row>
    <row r="277" spans="1:14" ht="18.95" customHeight="1">
      <c r="A277" s="141"/>
      <c r="B277" s="692"/>
      <c r="C277" s="152"/>
      <c r="D277" s="167"/>
      <c r="E277" s="682"/>
      <c r="F277" s="382"/>
      <c r="G277" s="377"/>
      <c r="H277" s="377"/>
      <c r="I277" s="367"/>
      <c r="J277" s="377"/>
      <c r="K277" s="377"/>
      <c r="L277" s="372"/>
      <c r="M277" s="790"/>
      <c r="N277" s="224"/>
    </row>
    <row r="278" spans="1:14" ht="18.95" customHeight="1">
      <c r="A278" s="141"/>
      <c r="B278" s="590"/>
      <c r="C278" s="152"/>
      <c r="D278" s="167"/>
      <c r="E278" s="370"/>
      <c r="F278" s="382"/>
      <c r="G278" s="377"/>
      <c r="H278" s="377"/>
      <c r="I278" s="377"/>
      <c r="J278" s="377"/>
      <c r="K278" s="377"/>
      <c r="L278" s="377"/>
      <c r="M278" s="790"/>
      <c r="N278" s="224"/>
    </row>
    <row r="279" spans="1:14" ht="18.95" customHeight="1">
      <c r="A279" s="141"/>
      <c r="B279" s="692"/>
      <c r="C279" s="152"/>
      <c r="D279" s="167"/>
      <c r="E279" s="367"/>
      <c r="F279" s="382"/>
      <c r="G279" s="377"/>
      <c r="H279" s="377"/>
      <c r="I279" s="367"/>
      <c r="J279" s="377"/>
      <c r="K279" s="377"/>
      <c r="L279" s="372"/>
      <c r="M279" s="790"/>
      <c r="N279" s="224"/>
    </row>
    <row r="280" spans="1:14" ht="18.95" customHeight="1">
      <c r="A280" s="122"/>
      <c r="B280" s="216"/>
      <c r="C280" s="152"/>
      <c r="D280" s="167"/>
      <c r="E280" s="682"/>
      <c r="F280" s="382"/>
      <c r="G280" s="377"/>
      <c r="H280" s="377"/>
      <c r="I280" s="377"/>
      <c r="J280" s="377"/>
      <c r="K280" s="377"/>
      <c r="L280" s="377"/>
      <c r="M280" s="790"/>
      <c r="N280" s="224"/>
    </row>
    <row r="281" spans="1:14" ht="18.95" customHeight="1">
      <c r="A281" s="122"/>
      <c r="B281" s="590"/>
      <c r="C281" s="152"/>
      <c r="D281" s="167"/>
      <c r="E281" s="370"/>
      <c r="F281" s="382"/>
      <c r="G281" s="370"/>
      <c r="H281" s="370"/>
      <c r="I281" s="377"/>
      <c r="J281" s="377"/>
      <c r="K281" s="377"/>
      <c r="L281" s="377"/>
      <c r="M281" s="790"/>
      <c r="N281" s="224"/>
    </row>
    <row r="282" spans="1:14" ht="18.95" customHeight="1">
      <c r="A282" s="133"/>
      <c r="B282" s="133"/>
      <c r="C282" s="134"/>
      <c r="D282" s="135"/>
      <c r="E282" s="404"/>
      <c r="F282" s="401"/>
      <c r="G282" s="404"/>
      <c r="H282" s="404"/>
      <c r="I282" s="404"/>
      <c r="J282" s="405"/>
      <c r="K282" s="405"/>
      <c r="L282" s="406"/>
      <c r="M282" s="405"/>
      <c r="N282" s="401"/>
    </row>
    <row r="283" spans="1:14" ht="18.95" customHeight="1">
      <c r="A283" s="206"/>
      <c r="B283" s="693"/>
      <c r="C283" s="200"/>
      <c r="D283" s="197"/>
      <c r="E283" s="475"/>
      <c r="F283" s="312"/>
      <c r="G283" s="475"/>
      <c r="H283" s="361"/>
      <c r="I283" s="377"/>
      <c r="J283" s="475"/>
      <c r="K283" s="361"/>
      <c r="L283" s="377"/>
      <c r="M283" s="790"/>
      <c r="N283" s="312"/>
    </row>
    <row r="284" spans="1:14" ht="18.95" customHeight="1">
      <c r="A284" s="202"/>
      <c r="B284" s="417"/>
      <c r="C284" s="152"/>
      <c r="D284" s="167"/>
      <c r="E284" s="370"/>
      <c r="F284" s="382"/>
      <c r="G284" s="377"/>
      <c r="H284" s="377"/>
      <c r="I284" s="367"/>
      <c r="J284" s="377"/>
      <c r="K284" s="377"/>
      <c r="L284" s="372"/>
      <c r="M284" s="790"/>
      <c r="N284" s="362"/>
    </row>
    <row r="285" spans="1:14" ht="18.95" customHeight="1">
      <c r="A285" s="205"/>
      <c r="B285" s="692"/>
      <c r="C285" s="152"/>
      <c r="D285" s="167"/>
      <c r="E285" s="682"/>
      <c r="F285" s="382"/>
      <c r="G285" s="377"/>
      <c r="H285" s="377"/>
      <c r="I285" s="377"/>
      <c r="J285" s="377"/>
      <c r="K285" s="377"/>
      <c r="L285" s="377"/>
      <c r="M285" s="790"/>
      <c r="N285" s="370"/>
    </row>
    <row r="286" spans="1:14" ht="18.95" customHeight="1">
      <c r="A286" s="202"/>
      <c r="B286" s="590"/>
      <c r="C286" s="152"/>
      <c r="D286" s="167"/>
      <c r="E286" s="370"/>
      <c r="F286" s="224"/>
      <c r="G286" s="377"/>
      <c r="H286" s="377"/>
      <c r="I286" s="377"/>
      <c r="J286" s="377"/>
      <c r="K286" s="377"/>
      <c r="L286" s="377"/>
      <c r="M286" s="790"/>
      <c r="N286" s="370"/>
    </row>
    <row r="287" spans="1:14" ht="18.95" customHeight="1">
      <c r="A287" s="202"/>
      <c r="B287" s="692"/>
      <c r="C287" s="152"/>
      <c r="D287" s="167"/>
      <c r="E287" s="370"/>
      <c r="F287" s="224"/>
      <c r="G287" s="370"/>
      <c r="H287" s="370"/>
      <c r="I287" s="377"/>
      <c r="J287" s="370"/>
      <c r="K287" s="370"/>
      <c r="L287" s="377"/>
      <c r="M287" s="790"/>
      <c r="N287" s="370"/>
    </row>
    <row r="288" spans="1:14" ht="18.95" customHeight="1">
      <c r="A288" s="205"/>
      <c r="B288" s="417"/>
      <c r="C288" s="152"/>
      <c r="D288" s="167"/>
      <c r="E288" s="370"/>
      <c r="F288" s="382"/>
      <c r="G288" s="377"/>
      <c r="H288" s="377"/>
      <c r="I288" s="367"/>
      <c r="J288" s="377"/>
      <c r="K288" s="377"/>
      <c r="L288" s="372"/>
      <c r="M288" s="790"/>
      <c r="N288" s="370"/>
    </row>
    <row r="289" spans="1:14" ht="18.95" customHeight="1">
      <c r="A289" s="207"/>
      <c r="B289" s="692"/>
      <c r="C289" s="152"/>
      <c r="D289" s="167"/>
      <c r="E289" s="370"/>
      <c r="F289" s="224"/>
      <c r="G289" s="377"/>
      <c r="H289" s="377"/>
      <c r="I289" s="377"/>
      <c r="J289" s="377"/>
      <c r="K289" s="377"/>
      <c r="L289" s="377"/>
      <c r="M289" s="790"/>
      <c r="N289" s="370"/>
    </row>
    <row r="290" spans="1:14" ht="18.95" customHeight="1">
      <c r="A290" s="204"/>
      <c r="B290" s="417"/>
      <c r="C290" s="152"/>
      <c r="D290" s="167"/>
      <c r="E290" s="370"/>
      <c r="F290" s="382"/>
      <c r="G290" s="377"/>
      <c r="H290" s="377"/>
      <c r="I290" s="367"/>
      <c r="J290" s="377"/>
      <c r="K290" s="377"/>
      <c r="L290" s="372"/>
      <c r="M290" s="790"/>
      <c r="N290" s="370"/>
    </row>
    <row r="291" spans="1:14" ht="18.95" customHeight="1">
      <c r="A291" s="202"/>
      <c r="B291" s="692"/>
      <c r="C291" s="152"/>
      <c r="D291" s="167"/>
      <c r="E291" s="367"/>
      <c r="F291" s="224"/>
      <c r="G291" s="377"/>
      <c r="H291" s="377"/>
      <c r="I291" s="377"/>
      <c r="J291" s="377"/>
      <c r="K291" s="377"/>
      <c r="L291" s="377"/>
      <c r="M291" s="790"/>
      <c r="N291" s="370"/>
    </row>
    <row r="292" spans="1:14" ht="18.95" customHeight="1">
      <c r="A292" s="205"/>
      <c r="B292" s="417"/>
      <c r="C292" s="152"/>
      <c r="D292" s="167"/>
      <c r="E292" s="367"/>
      <c r="F292" s="382"/>
      <c r="G292" s="377"/>
      <c r="H292" s="377"/>
      <c r="I292" s="367"/>
      <c r="J292" s="377"/>
      <c r="K292" s="377"/>
      <c r="L292" s="372"/>
      <c r="M292" s="790"/>
      <c r="N292" s="370"/>
    </row>
    <row r="293" spans="1:14" ht="18.95" customHeight="1">
      <c r="A293" s="204"/>
      <c r="B293" s="692"/>
      <c r="C293" s="152"/>
      <c r="D293" s="167"/>
      <c r="E293" s="367"/>
      <c r="F293" s="224"/>
      <c r="G293" s="377"/>
      <c r="H293" s="377"/>
      <c r="I293" s="377"/>
      <c r="J293" s="377"/>
      <c r="K293" s="377"/>
      <c r="L293" s="377"/>
      <c r="M293" s="790"/>
      <c r="N293" s="370"/>
    </row>
    <row r="294" spans="1:14" ht="18.95" customHeight="1">
      <c r="A294" s="202"/>
      <c r="B294" s="417"/>
      <c r="C294" s="152"/>
      <c r="D294" s="167"/>
      <c r="E294" s="367"/>
      <c r="F294" s="382"/>
      <c r="G294" s="377"/>
      <c r="H294" s="377"/>
      <c r="I294" s="367"/>
      <c r="J294" s="377"/>
      <c r="K294" s="377"/>
      <c r="L294" s="372"/>
      <c r="M294" s="790"/>
      <c r="N294" s="370"/>
    </row>
    <row r="295" spans="1:14" ht="18.95" customHeight="1">
      <c r="A295" s="205"/>
      <c r="B295" s="692"/>
      <c r="C295" s="152"/>
      <c r="D295" s="164"/>
      <c r="E295" s="370"/>
      <c r="F295" s="224"/>
      <c r="G295" s="377"/>
      <c r="H295" s="377"/>
      <c r="I295" s="377"/>
      <c r="J295" s="377"/>
      <c r="K295" s="377"/>
      <c r="L295" s="377"/>
      <c r="M295" s="790"/>
      <c r="N295" s="224"/>
    </row>
    <row r="296" spans="1:14" ht="18.95" customHeight="1">
      <c r="A296" s="204"/>
      <c r="B296" s="417"/>
      <c r="C296" s="152"/>
      <c r="D296" s="164"/>
      <c r="E296" s="370"/>
      <c r="F296" s="382"/>
      <c r="G296" s="377"/>
      <c r="H296" s="377"/>
      <c r="I296" s="377"/>
      <c r="J296" s="377"/>
      <c r="K296" s="377"/>
      <c r="L296" s="377"/>
      <c r="M296" s="790"/>
      <c r="N296" s="224"/>
    </row>
    <row r="297" spans="1:14" ht="18.95" customHeight="1">
      <c r="A297" s="207"/>
      <c r="B297" s="692"/>
      <c r="C297" s="152"/>
      <c r="D297" s="164"/>
      <c r="E297" s="370"/>
      <c r="F297" s="224"/>
      <c r="G297" s="377"/>
      <c r="H297" s="377"/>
      <c r="I297" s="377"/>
      <c r="J297" s="377"/>
      <c r="K297" s="377"/>
      <c r="L297" s="377"/>
      <c r="M297" s="790"/>
      <c r="N297" s="224"/>
    </row>
    <row r="298" spans="1:14" ht="18.95" customHeight="1">
      <c r="A298" s="204"/>
      <c r="B298" s="417"/>
      <c r="C298" s="152"/>
      <c r="D298" s="164"/>
      <c r="E298" s="370"/>
      <c r="F298" s="382"/>
      <c r="G298" s="377"/>
      <c r="H298" s="377"/>
      <c r="I298" s="377"/>
      <c r="J298" s="377"/>
      <c r="K298" s="377"/>
      <c r="L298" s="377"/>
      <c r="M298" s="790"/>
      <c r="N298" s="224"/>
    </row>
    <row r="299" spans="1:14" ht="18.95" customHeight="1">
      <c r="A299" s="202"/>
      <c r="B299" s="692"/>
      <c r="C299" s="152"/>
      <c r="D299" s="167"/>
      <c r="E299" s="370"/>
      <c r="F299" s="224"/>
      <c r="G299" s="377"/>
      <c r="H299" s="377"/>
      <c r="I299" s="377"/>
      <c r="J299" s="377"/>
      <c r="K299" s="377"/>
      <c r="L299" s="377"/>
      <c r="M299" s="790"/>
      <c r="N299" s="224"/>
    </row>
    <row r="300" spans="1:14" ht="18.95" customHeight="1">
      <c r="A300" s="205"/>
      <c r="B300" s="417"/>
      <c r="C300" s="152"/>
      <c r="D300" s="167"/>
      <c r="E300" s="370"/>
      <c r="F300" s="382"/>
      <c r="G300" s="377"/>
      <c r="H300" s="377"/>
      <c r="I300" s="367"/>
      <c r="J300" s="377"/>
      <c r="K300" s="377"/>
      <c r="L300" s="372"/>
      <c r="M300" s="790"/>
      <c r="N300" s="224"/>
    </row>
    <row r="301" spans="1:14" ht="18.95" customHeight="1">
      <c r="A301" s="204"/>
      <c r="B301" s="692"/>
      <c r="C301" s="152"/>
      <c r="D301" s="167"/>
      <c r="E301" s="370"/>
      <c r="F301" s="224"/>
      <c r="G301" s="377"/>
      <c r="H301" s="377"/>
      <c r="I301" s="377"/>
      <c r="J301" s="377"/>
      <c r="K301" s="377"/>
      <c r="L301" s="377"/>
      <c r="M301" s="790"/>
      <c r="N301" s="224"/>
    </row>
    <row r="302" spans="1:14" ht="18.95" customHeight="1">
      <c r="A302" s="207"/>
      <c r="B302" s="417"/>
      <c r="C302" s="152"/>
      <c r="D302" s="167"/>
      <c r="E302" s="370"/>
      <c r="F302" s="382"/>
      <c r="G302" s="377"/>
      <c r="H302" s="377"/>
      <c r="I302" s="367"/>
      <c r="J302" s="377"/>
      <c r="K302" s="377"/>
      <c r="L302" s="377"/>
      <c r="M302" s="790"/>
      <c r="N302" s="224"/>
    </row>
    <row r="303" spans="1:14" ht="18.95" customHeight="1">
      <c r="A303" s="204"/>
      <c r="B303" s="692"/>
      <c r="C303" s="152"/>
      <c r="D303" s="208"/>
      <c r="E303" s="370"/>
      <c r="F303" s="224"/>
      <c r="G303" s="377"/>
      <c r="H303" s="377"/>
      <c r="I303" s="377"/>
      <c r="J303" s="377"/>
      <c r="K303" s="377"/>
      <c r="L303" s="377"/>
      <c r="M303" s="790"/>
      <c r="N303" s="224"/>
    </row>
    <row r="304" spans="1:14" ht="18.95" customHeight="1">
      <c r="A304" s="139"/>
      <c r="B304" s="417"/>
      <c r="C304" s="152"/>
      <c r="D304" s="208"/>
      <c r="E304" s="370"/>
      <c r="F304" s="382"/>
      <c r="G304" s="377"/>
      <c r="H304" s="377"/>
      <c r="I304" s="367"/>
      <c r="J304" s="377"/>
      <c r="K304" s="377"/>
      <c r="L304" s="372"/>
      <c r="M304" s="790"/>
      <c r="N304" s="224"/>
    </row>
    <row r="305" spans="1:14" ht="18.95" customHeight="1">
      <c r="A305" s="149"/>
      <c r="B305" s="692"/>
      <c r="C305" s="152"/>
      <c r="D305" s="167"/>
      <c r="E305" s="370"/>
      <c r="F305" s="224"/>
      <c r="G305" s="377"/>
      <c r="H305" s="377"/>
      <c r="I305" s="377"/>
      <c r="J305" s="377"/>
      <c r="K305" s="377"/>
      <c r="L305" s="377"/>
      <c r="M305" s="790"/>
      <c r="N305" s="224"/>
    </row>
    <row r="306" spans="1:14" ht="18.95" customHeight="1">
      <c r="A306" s="146"/>
      <c r="B306" s="417"/>
      <c r="C306" s="152"/>
      <c r="D306" s="167"/>
      <c r="E306" s="370"/>
      <c r="F306" s="382"/>
      <c r="G306" s="377"/>
      <c r="H306" s="377"/>
      <c r="I306" s="367"/>
      <c r="J306" s="377"/>
      <c r="K306" s="377"/>
      <c r="L306" s="372"/>
      <c r="M306" s="790"/>
      <c r="N306" s="224"/>
    </row>
    <row r="307" spans="1:14" ht="18.95" customHeight="1">
      <c r="A307" s="139"/>
      <c r="B307" s="692"/>
      <c r="C307" s="152"/>
      <c r="D307" s="167"/>
      <c r="E307" s="367"/>
      <c r="F307" s="224"/>
      <c r="G307" s="377"/>
      <c r="H307" s="377"/>
      <c r="I307" s="377"/>
      <c r="J307" s="377"/>
      <c r="K307" s="377"/>
      <c r="L307" s="377"/>
      <c r="M307" s="790"/>
      <c r="N307" s="224"/>
    </row>
    <row r="308" spans="1:14" ht="18.95" customHeight="1">
      <c r="A308" s="148"/>
      <c r="B308" s="417"/>
      <c r="C308" s="152"/>
      <c r="D308" s="167"/>
      <c r="E308" s="367"/>
      <c r="F308" s="382"/>
      <c r="G308" s="377"/>
      <c r="H308" s="377"/>
      <c r="I308" s="367"/>
      <c r="J308" s="377"/>
      <c r="K308" s="377"/>
      <c r="L308" s="372"/>
      <c r="M308" s="790"/>
      <c r="N308" s="224"/>
    </row>
    <row r="309" spans="1:14" ht="18.95" customHeight="1">
      <c r="A309" s="139"/>
      <c r="B309" s="692"/>
      <c r="C309" s="152"/>
      <c r="D309" s="208"/>
      <c r="E309" s="367"/>
      <c r="F309" s="224"/>
      <c r="G309" s="377"/>
      <c r="H309" s="377"/>
      <c r="I309" s="377"/>
      <c r="J309" s="377"/>
      <c r="K309" s="377"/>
      <c r="L309" s="377"/>
      <c r="M309" s="790"/>
      <c r="N309" s="224"/>
    </row>
    <row r="310" spans="1:14" ht="18.95" customHeight="1">
      <c r="A310" s="209"/>
      <c r="B310" s="695"/>
      <c r="C310" s="210"/>
      <c r="D310" s="211"/>
      <c r="E310" s="404"/>
      <c r="F310" s="459"/>
      <c r="G310" s="460"/>
      <c r="H310" s="460"/>
      <c r="I310" s="404"/>
      <c r="J310" s="460"/>
      <c r="K310" s="460"/>
      <c r="L310" s="696"/>
      <c r="M310" s="792"/>
      <c r="N310" s="401"/>
    </row>
    <row r="311" spans="1:14" ht="18.95" customHeight="1">
      <c r="A311" s="199"/>
      <c r="B311" s="697"/>
      <c r="C311" s="200"/>
      <c r="D311" s="212"/>
      <c r="E311" s="475"/>
      <c r="F311" s="312"/>
      <c r="G311" s="691"/>
      <c r="H311" s="691"/>
      <c r="I311" s="691"/>
      <c r="J311" s="691"/>
      <c r="K311" s="691"/>
      <c r="L311" s="691"/>
      <c r="M311" s="795"/>
      <c r="N311" s="312"/>
    </row>
    <row r="312" spans="1:14" ht="18.95" customHeight="1">
      <c r="A312" s="149"/>
      <c r="B312" s="417"/>
      <c r="C312" s="152"/>
      <c r="D312" s="208"/>
      <c r="E312" s="367"/>
      <c r="F312" s="382"/>
      <c r="G312" s="377"/>
      <c r="H312" s="377"/>
      <c r="I312" s="367"/>
      <c r="J312" s="377"/>
      <c r="K312" s="377"/>
      <c r="L312" s="372"/>
      <c r="M312" s="790"/>
      <c r="N312" s="224"/>
    </row>
    <row r="313" spans="1:14" ht="18.95" customHeight="1">
      <c r="A313" s="149"/>
      <c r="B313" s="417"/>
      <c r="C313" s="152"/>
      <c r="D313" s="208"/>
      <c r="E313" s="367"/>
      <c r="F313" s="224"/>
      <c r="G313" s="377"/>
      <c r="H313" s="377"/>
      <c r="I313" s="377"/>
      <c r="J313" s="377"/>
      <c r="K313" s="377"/>
      <c r="L313" s="377"/>
      <c r="M313" s="790"/>
      <c r="N313" s="224"/>
    </row>
    <row r="314" spans="1:14" ht="18.95" customHeight="1">
      <c r="A314" s="141"/>
      <c r="B314" s="215"/>
      <c r="C314" s="164"/>
      <c r="D314" s="167"/>
      <c r="E314" s="370"/>
      <c r="F314" s="224"/>
      <c r="G314" s="377"/>
      <c r="H314" s="377"/>
      <c r="I314" s="377"/>
      <c r="J314" s="377"/>
      <c r="K314" s="377"/>
      <c r="L314" s="377"/>
      <c r="M314" s="790"/>
      <c r="N314" s="224"/>
    </row>
    <row r="315" spans="1:14" ht="18.95" customHeight="1">
      <c r="A315" s="141"/>
      <c r="B315" s="215"/>
      <c r="C315" s="164"/>
      <c r="D315" s="167"/>
      <c r="E315" s="367"/>
      <c r="F315" s="382"/>
      <c r="G315" s="377"/>
      <c r="H315" s="377"/>
      <c r="I315" s="367"/>
      <c r="J315" s="377"/>
      <c r="K315" s="377"/>
      <c r="L315" s="372"/>
      <c r="M315" s="790"/>
      <c r="N315" s="224"/>
    </row>
    <row r="316" spans="1:14" ht="18.95" customHeight="1">
      <c r="A316" s="149"/>
      <c r="B316" s="215"/>
      <c r="C316" s="164"/>
      <c r="D316" s="167"/>
      <c r="E316" s="370"/>
      <c r="F316" s="224"/>
      <c r="G316" s="377"/>
      <c r="H316" s="377"/>
      <c r="I316" s="377"/>
      <c r="J316" s="377"/>
      <c r="K316" s="377"/>
      <c r="L316" s="377"/>
      <c r="M316" s="790"/>
      <c r="N316" s="224"/>
    </row>
    <row r="317" spans="1:14" ht="18.95" customHeight="1">
      <c r="A317" s="141"/>
      <c r="B317" s="215"/>
      <c r="C317" s="164"/>
      <c r="D317" s="167"/>
      <c r="E317" s="370"/>
      <c r="F317" s="224"/>
      <c r="G317" s="377"/>
      <c r="H317" s="377"/>
      <c r="I317" s="377"/>
      <c r="J317" s="377"/>
      <c r="K317" s="377"/>
      <c r="L317" s="377"/>
      <c r="M317" s="790"/>
      <c r="N317" s="224"/>
    </row>
    <row r="318" spans="1:14" ht="18.95" customHeight="1">
      <c r="A318" s="141"/>
      <c r="B318" s="215"/>
      <c r="C318" s="164"/>
      <c r="D318" s="162"/>
      <c r="E318" s="370"/>
      <c r="F318" s="224"/>
      <c r="G318" s="377"/>
      <c r="H318" s="377"/>
      <c r="I318" s="377"/>
      <c r="J318" s="377"/>
      <c r="K318" s="377"/>
      <c r="L318" s="377"/>
      <c r="M318" s="790"/>
      <c r="N318" s="224"/>
    </row>
    <row r="319" spans="1:14" ht="18.95" customHeight="1">
      <c r="A319" s="149"/>
      <c r="B319" s="215"/>
      <c r="C319" s="164"/>
      <c r="D319" s="162"/>
      <c r="E319" s="370"/>
      <c r="F319" s="224"/>
      <c r="G319" s="377"/>
      <c r="H319" s="377"/>
      <c r="I319" s="377"/>
      <c r="J319" s="377"/>
      <c r="K319" s="377"/>
      <c r="L319" s="377"/>
      <c r="M319" s="790"/>
      <c r="N319" s="224"/>
    </row>
    <row r="320" spans="1:14" ht="18.95" customHeight="1">
      <c r="A320" s="149"/>
      <c r="B320" s="215"/>
      <c r="C320" s="213"/>
      <c r="D320" s="214"/>
      <c r="E320" s="370"/>
      <c r="F320" s="382"/>
      <c r="G320" s="377"/>
      <c r="H320" s="377"/>
      <c r="I320" s="367"/>
      <c r="J320" s="377"/>
      <c r="K320" s="377"/>
      <c r="L320" s="372"/>
      <c r="M320" s="790"/>
      <c r="N320" s="224"/>
    </row>
    <row r="321" spans="1:14" ht="18.95" customHeight="1">
      <c r="A321" s="149"/>
      <c r="B321" s="215"/>
      <c r="C321" s="152"/>
      <c r="D321" s="214"/>
      <c r="E321" s="370"/>
      <c r="F321" s="224"/>
      <c r="G321" s="377"/>
      <c r="H321" s="377"/>
      <c r="I321" s="377"/>
      <c r="J321" s="377"/>
      <c r="K321" s="377"/>
      <c r="L321" s="377"/>
      <c r="M321" s="790"/>
      <c r="N321" s="224"/>
    </row>
    <row r="322" spans="1:14" ht="18.95" customHeight="1">
      <c r="A322" s="141"/>
      <c r="B322" s="215"/>
      <c r="C322" s="164"/>
      <c r="D322" s="167"/>
      <c r="E322" s="370"/>
      <c r="F322" s="224"/>
      <c r="G322" s="377"/>
      <c r="H322" s="377"/>
      <c r="I322" s="377"/>
      <c r="J322" s="377"/>
      <c r="K322" s="377"/>
      <c r="L322" s="377"/>
      <c r="M322" s="790"/>
      <c r="N322" s="370"/>
    </row>
    <row r="323" spans="1:14" ht="18.95" customHeight="1">
      <c r="A323" s="149"/>
      <c r="B323" s="215"/>
      <c r="C323" s="164"/>
      <c r="D323" s="167"/>
      <c r="E323" s="370"/>
      <c r="F323" s="224"/>
      <c r="G323" s="377"/>
      <c r="H323" s="377"/>
      <c r="I323" s="377"/>
      <c r="J323" s="377"/>
      <c r="K323" s="377"/>
      <c r="L323" s="377"/>
      <c r="M323" s="790"/>
      <c r="N323" s="224"/>
    </row>
    <row r="324" spans="1:14" ht="18.95" customHeight="1">
      <c r="A324" s="149"/>
      <c r="B324" s="215"/>
      <c r="C324" s="164"/>
      <c r="D324" s="162"/>
      <c r="E324" s="370"/>
      <c r="F324" s="224"/>
      <c r="G324" s="377"/>
      <c r="H324" s="377"/>
      <c r="I324" s="377"/>
      <c r="J324" s="377"/>
      <c r="K324" s="377"/>
      <c r="L324" s="377"/>
      <c r="M324" s="790"/>
      <c r="N324" s="224"/>
    </row>
    <row r="325" spans="1:14" ht="18.95" customHeight="1">
      <c r="A325" s="141"/>
      <c r="B325" s="215"/>
      <c r="C325" s="164"/>
      <c r="D325" s="167"/>
      <c r="E325" s="370"/>
      <c r="F325" s="224"/>
      <c r="G325" s="377"/>
      <c r="H325" s="377"/>
      <c r="I325" s="377"/>
      <c r="J325" s="377"/>
      <c r="K325" s="377"/>
      <c r="L325" s="377"/>
      <c r="M325" s="790"/>
      <c r="N325" s="224"/>
    </row>
    <row r="326" spans="1:14" ht="18.95" customHeight="1">
      <c r="A326" s="141"/>
      <c r="B326" s="215"/>
      <c r="C326" s="152"/>
      <c r="D326" s="214"/>
      <c r="E326" s="367"/>
      <c r="F326" s="382"/>
      <c r="G326" s="377"/>
      <c r="H326" s="377"/>
      <c r="I326" s="367"/>
      <c r="J326" s="377"/>
      <c r="K326" s="377"/>
      <c r="L326" s="372"/>
      <c r="M326" s="790"/>
      <c r="N326" s="224"/>
    </row>
    <row r="327" spans="1:14" ht="18.95" customHeight="1">
      <c r="A327" s="139"/>
      <c r="B327" s="215"/>
      <c r="C327" s="164"/>
      <c r="D327" s="167"/>
      <c r="E327" s="367"/>
      <c r="F327" s="224"/>
      <c r="G327" s="377"/>
      <c r="H327" s="377"/>
      <c r="I327" s="377"/>
      <c r="J327" s="377"/>
      <c r="K327" s="377"/>
      <c r="L327" s="377"/>
      <c r="M327" s="790"/>
      <c r="N327" s="224"/>
    </row>
    <row r="328" spans="1:14" ht="18.95" customHeight="1">
      <c r="A328" s="139"/>
      <c r="B328" s="215"/>
      <c r="C328" s="152"/>
      <c r="D328" s="167"/>
      <c r="E328" s="367"/>
      <c r="F328" s="382"/>
      <c r="G328" s="377"/>
      <c r="H328" s="377"/>
      <c r="I328" s="377"/>
      <c r="J328" s="377"/>
      <c r="K328" s="377"/>
      <c r="L328" s="377"/>
      <c r="M328" s="790"/>
      <c r="N328" s="224"/>
    </row>
    <row r="329" spans="1:14" ht="18.95" customHeight="1">
      <c r="A329" s="141"/>
      <c r="B329" s="215"/>
      <c r="C329" s="164"/>
      <c r="D329" s="167"/>
      <c r="E329" s="367"/>
      <c r="F329" s="224"/>
      <c r="G329" s="377"/>
      <c r="H329" s="377"/>
      <c r="I329" s="377"/>
      <c r="J329" s="377"/>
      <c r="K329" s="377"/>
      <c r="L329" s="377"/>
      <c r="M329" s="790"/>
      <c r="N329" s="224"/>
    </row>
    <row r="330" spans="1:14" ht="18.95" customHeight="1">
      <c r="A330" s="141"/>
      <c r="B330" s="215"/>
      <c r="C330" s="152"/>
      <c r="D330" s="214"/>
      <c r="E330" s="367"/>
      <c r="F330" s="382"/>
      <c r="G330" s="377"/>
      <c r="H330" s="377"/>
      <c r="I330" s="377"/>
      <c r="J330" s="377"/>
      <c r="K330" s="377"/>
      <c r="L330" s="377"/>
      <c r="M330" s="790"/>
      <c r="N330" s="224"/>
    </row>
    <row r="331" spans="1:14" ht="18.95" customHeight="1">
      <c r="A331" s="139"/>
      <c r="B331" s="215"/>
      <c r="C331" s="164"/>
      <c r="D331" s="167"/>
      <c r="E331" s="367"/>
      <c r="F331" s="224"/>
      <c r="G331" s="377"/>
      <c r="H331" s="377"/>
      <c r="I331" s="377"/>
      <c r="J331" s="377"/>
      <c r="K331" s="377"/>
      <c r="L331" s="377"/>
      <c r="M331" s="790"/>
      <c r="N331" s="224"/>
    </row>
    <row r="332" spans="1:14" ht="18.95" customHeight="1">
      <c r="A332" s="149"/>
      <c r="B332" s="215"/>
      <c r="C332" s="152"/>
      <c r="D332" s="167"/>
      <c r="E332" s="367"/>
      <c r="F332" s="382"/>
      <c r="G332" s="377"/>
      <c r="H332" s="377"/>
      <c r="I332" s="377"/>
      <c r="J332" s="377"/>
      <c r="K332" s="377"/>
      <c r="L332" s="377"/>
      <c r="M332" s="790"/>
      <c r="N332" s="224"/>
    </row>
    <row r="333" spans="1:14" ht="18.95" customHeight="1">
      <c r="A333" s="149"/>
      <c r="B333" s="215"/>
      <c r="C333" s="164"/>
      <c r="D333" s="167"/>
      <c r="E333" s="367"/>
      <c r="F333" s="224"/>
      <c r="G333" s="377"/>
      <c r="H333" s="377"/>
      <c r="I333" s="377"/>
      <c r="J333" s="377"/>
      <c r="K333" s="377"/>
      <c r="L333" s="377"/>
      <c r="M333" s="790"/>
      <c r="N333" s="224"/>
    </row>
    <row r="334" spans="1:14" ht="18.95" customHeight="1">
      <c r="A334" s="139"/>
      <c r="B334" s="215"/>
      <c r="C334" s="164"/>
      <c r="D334" s="214"/>
      <c r="E334" s="367"/>
      <c r="F334" s="382"/>
      <c r="G334" s="377"/>
      <c r="H334" s="377"/>
      <c r="I334" s="367"/>
      <c r="J334" s="377"/>
      <c r="K334" s="377"/>
      <c r="L334" s="372"/>
      <c r="M334" s="790"/>
      <c r="N334" s="224"/>
    </row>
    <row r="335" spans="1:14" ht="18.95" customHeight="1">
      <c r="A335" s="149"/>
      <c r="B335" s="215"/>
      <c r="C335" s="164"/>
      <c r="D335" s="167"/>
      <c r="E335" s="370"/>
      <c r="F335" s="382"/>
      <c r="G335" s="377"/>
      <c r="H335" s="377"/>
      <c r="I335" s="377"/>
      <c r="J335" s="377"/>
      <c r="K335" s="377"/>
      <c r="L335" s="377"/>
      <c r="M335" s="790"/>
      <c r="N335" s="224"/>
    </row>
    <row r="336" spans="1:14" ht="18.95" customHeight="1">
      <c r="A336" s="139"/>
      <c r="B336" s="215"/>
      <c r="C336" s="164"/>
      <c r="D336" s="214"/>
      <c r="E336" s="367"/>
      <c r="F336" s="382"/>
      <c r="G336" s="377"/>
      <c r="H336" s="377"/>
      <c r="I336" s="367"/>
      <c r="J336" s="377"/>
      <c r="K336" s="377"/>
      <c r="L336" s="372"/>
      <c r="M336" s="790"/>
      <c r="N336" s="224"/>
    </row>
    <row r="337" spans="1:14" ht="18.95" customHeight="1">
      <c r="A337" s="149"/>
      <c r="B337" s="215"/>
      <c r="C337" s="164"/>
      <c r="D337" s="132"/>
      <c r="E337" s="370"/>
      <c r="F337" s="382"/>
      <c r="G337" s="370"/>
      <c r="H337" s="370"/>
      <c r="I337" s="370"/>
      <c r="J337" s="370"/>
      <c r="K337" s="370"/>
      <c r="L337" s="370"/>
      <c r="M337" s="392"/>
      <c r="N337" s="224"/>
    </row>
    <row r="338" spans="1:14" ht="18.95" customHeight="1">
      <c r="A338" s="217"/>
      <c r="B338" s="133"/>
      <c r="C338" s="134"/>
      <c r="D338" s="135"/>
      <c r="E338" s="404"/>
      <c r="F338" s="401"/>
      <c r="G338" s="404"/>
      <c r="H338" s="404"/>
      <c r="I338" s="404"/>
      <c r="J338" s="405"/>
      <c r="K338" s="405"/>
      <c r="L338" s="406"/>
      <c r="M338" s="405"/>
      <c r="N338" s="401"/>
    </row>
    <row r="339" spans="1:14" ht="18.95" customHeight="1">
      <c r="A339" s="222"/>
      <c r="B339" s="698"/>
      <c r="C339" s="159"/>
      <c r="D339" s="160"/>
      <c r="E339" s="472"/>
      <c r="F339" s="473"/>
      <c r="G339" s="691"/>
      <c r="H339" s="691"/>
      <c r="I339" s="691"/>
      <c r="J339" s="691"/>
      <c r="K339" s="691"/>
      <c r="L339" s="691"/>
      <c r="M339" s="795"/>
      <c r="N339" s="312"/>
    </row>
    <row r="340" spans="1:14" ht="18.95" customHeight="1">
      <c r="A340" s="139"/>
      <c r="B340" s="215"/>
      <c r="C340" s="131"/>
      <c r="D340" s="132"/>
      <c r="E340" s="367"/>
      <c r="F340" s="224"/>
      <c r="G340" s="367"/>
      <c r="H340" s="367"/>
      <c r="I340" s="367"/>
      <c r="J340" s="368"/>
      <c r="K340" s="368"/>
      <c r="L340" s="369"/>
      <c r="M340" s="368"/>
      <c r="N340" s="224"/>
    </row>
    <row r="341" spans="1:14" ht="18.95" customHeight="1">
      <c r="A341" s="149"/>
      <c r="B341" s="215"/>
      <c r="C341" s="234"/>
      <c r="D341" s="180"/>
      <c r="E341" s="367"/>
      <c r="F341" s="382"/>
      <c r="G341" s="699"/>
      <c r="H341" s="699"/>
      <c r="I341" s="367"/>
      <c r="J341" s="699"/>
      <c r="K341" s="699"/>
      <c r="L341" s="372"/>
      <c r="M341" s="798"/>
      <c r="N341" s="370"/>
    </row>
    <row r="342" spans="1:14" ht="18.95" customHeight="1">
      <c r="A342" s="139"/>
      <c r="B342" s="215"/>
      <c r="C342" s="234"/>
      <c r="D342" s="162"/>
      <c r="E342" s="370"/>
      <c r="F342" s="382"/>
      <c r="G342" s="699"/>
      <c r="H342" s="699"/>
      <c r="I342" s="699"/>
      <c r="J342" s="699"/>
      <c r="K342" s="699"/>
      <c r="L342" s="699"/>
      <c r="M342" s="798"/>
      <c r="N342" s="224"/>
    </row>
    <row r="343" spans="1:14" ht="18.95" customHeight="1">
      <c r="A343" s="201"/>
      <c r="B343" s="215"/>
      <c r="C343" s="152"/>
      <c r="D343" s="180"/>
      <c r="E343" s="367"/>
      <c r="F343" s="382"/>
      <c r="G343" s="699"/>
      <c r="H343" s="699"/>
      <c r="I343" s="367"/>
      <c r="J343" s="699"/>
      <c r="K343" s="699"/>
      <c r="L343" s="372"/>
      <c r="M343" s="798"/>
      <c r="N343" s="370"/>
    </row>
    <row r="344" spans="1:14" ht="18.95" customHeight="1">
      <c r="A344" s="202"/>
      <c r="B344" s="215"/>
      <c r="C344" s="131"/>
      <c r="D344" s="162"/>
      <c r="E344" s="370"/>
      <c r="F344" s="382"/>
      <c r="G344" s="370"/>
      <c r="H344" s="370"/>
      <c r="I344" s="377"/>
      <c r="J344" s="370"/>
      <c r="K344" s="370"/>
      <c r="L344" s="377"/>
      <c r="M344" s="790"/>
      <c r="N344" s="224"/>
    </row>
    <row r="345" spans="1:14" ht="18.95" customHeight="1">
      <c r="A345" s="202"/>
      <c r="B345" s="215"/>
      <c r="C345" s="131"/>
      <c r="D345" s="180"/>
      <c r="E345" s="367"/>
      <c r="F345" s="382"/>
      <c r="G345" s="699"/>
      <c r="H345" s="699"/>
      <c r="I345" s="367"/>
      <c r="J345" s="699"/>
      <c r="K345" s="699"/>
      <c r="L345" s="372"/>
      <c r="M345" s="798"/>
      <c r="N345" s="370"/>
    </row>
    <row r="346" spans="1:14" ht="18.95" customHeight="1">
      <c r="A346" s="202"/>
      <c r="B346" s="215"/>
      <c r="C346" s="589"/>
      <c r="D346" s="162"/>
      <c r="E346" s="370"/>
      <c r="F346" s="382"/>
      <c r="G346" s="370"/>
      <c r="H346" s="370"/>
      <c r="I346" s="377"/>
      <c r="J346" s="370"/>
      <c r="K346" s="370"/>
      <c r="L346" s="377"/>
      <c r="M346" s="790"/>
      <c r="N346" s="224"/>
    </row>
    <row r="347" spans="1:14" ht="18.95" customHeight="1">
      <c r="A347" s="202"/>
      <c r="B347" s="215"/>
      <c r="C347" s="213"/>
      <c r="D347" s="700"/>
      <c r="E347" s="367"/>
      <c r="F347" s="382"/>
      <c r="G347" s="699"/>
      <c r="H347" s="699"/>
      <c r="I347" s="367"/>
      <c r="J347" s="699"/>
      <c r="K347" s="699"/>
      <c r="L347" s="372"/>
      <c r="M347" s="798"/>
      <c r="N347" s="370"/>
    </row>
    <row r="348" spans="1:14" ht="18.95" customHeight="1">
      <c r="A348" s="202"/>
      <c r="B348" s="215"/>
      <c r="C348" s="213"/>
      <c r="D348" s="167"/>
      <c r="E348" s="370"/>
      <c r="F348" s="382"/>
      <c r="G348" s="699"/>
      <c r="H348" s="699"/>
      <c r="I348" s="699"/>
      <c r="J348" s="699"/>
      <c r="K348" s="699"/>
      <c r="L348" s="699"/>
      <c r="M348" s="798"/>
      <c r="N348" s="224"/>
    </row>
    <row r="349" spans="1:14" ht="18.95" customHeight="1">
      <c r="A349" s="202"/>
      <c r="B349" s="215"/>
      <c r="C349" s="213"/>
      <c r="D349" s="162"/>
      <c r="E349" s="367"/>
      <c r="F349" s="382"/>
      <c r="G349" s="699"/>
      <c r="H349" s="699"/>
      <c r="I349" s="367"/>
      <c r="J349" s="699"/>
      <c r="K349" s="699"/>
      <c r="L349" s="372"/>
      <c r="M349" s="798"/>
      <c r="N349" s="224"/>
    </row>
    <row r="350" spans="1:14" ht="18.95" customHeight="1">
      <c r="A350" s="149"/>
      <c r="B350" s="215"/>
      <c r="C350" s="213"/>
      <c r="D350" s="167"/>
      <c r="E350" s="370"/>
      <c r="F350" s="382"/>
      <c r="G350" s="370"/>
      <c r="H350" s="370"/>
      <c r="I350" s="699"/>
      <c r="J350" s="370"/>
      <c r="K350" s="370"/>
      <c r="L350" s="699"/>
      <c r="M350" s="798"/>
      <c r="N350" s="224"/>
    </row>
    <row r="351" spans="1:14" ht="18.95" customHeight="1">
      <c r="A351" s="139"/>
      <c r="B351" s="215"/>
      <c r="C351" s="213"/>
      <c r="D351" s="162"/>
      <c r="E351" s="367"/>
      <c r="F351" s="382"/>
      <c r="G351" s="699"/>
      <c r="H351" s="699"/>
      <c r="I351" s="367"/>
      <c r="J351" s="699"/>
      <c r="K351" s="699"/>
      <c r="L351" s="372"/>
      <c r="M351" s="798"/>
      <c r="N351" s="370"/>
    </row>
    <row r="352" spans="1:14" ht="18.95" customHeight="1">
      <c r="A352" s="201"/>
      <c r="B352" s="215"/>
      <c r="C352" s="213"/>
      <c r="D352" s="167"/>
      <c r="E352" s="370"/>
      <c r="F352" s="382"/>
      <c r="G352" s="370"/>
      <c r="H352" s="370"/>
      <c r="I352" s="699"/>
      <c r="J352" s="370"/>
      <c r="K352" s="370"/>
      <c r="L352" s="699"/>
      <c r="M352" s="798"/>
      <c r="N352" s="224"/>
    </row>
    <row r="353" spans="1:14" ht="18.95" customHeight="1">
      <c r="A353" s="149"/>
      <c r="B353" s="215"/>
      <c r="C353" s="234"/>
      <c r="D353" s="162"/>
      <c r="E353" s="367"/>
      <c r="F353" s="382"/>
      <c r="G353" s="699"/>
      <c r="H353" s="699"/>
      <c r="I353" s="367"/>
      <c r="J353" s="699"/>
      <c r="K353" s="699"/>
      <c r="L353" s="372"/>
      <c r="M353" s="798"/>
      <c r="N353" s="370"/>
    </row>
    <row r="354" spans="1:14" ht="18.95" customHeight="1">
      <c r="A354" s="149"/>
      <c r="B354" s="1307"/>
      <c r="C354" s="1308"/>
      <c r="D354" s="1309"/>
      <c r="E354" s="370"/>
      <c r="F354" s="382"/>
      <c r="G354" s="370"/>
      <c r="H354" s="370"/>
      <c r="I354" s="699"/>
      <c r="J354" s="370"/>
      <c r="K354" s="370"/>
      <c r="L354" s="699"/>
      <c r="M354" s="799"/>
      <c r="N354" s="224"/>
    </row>
    <row r="355" spans="1:14" ht="18.95" customHeight="1">
      <c r="A355" s="139"/>
      <c r="B355" s="215"/>
      <c r="C355" s="234"/>
      <c r="D355" s="162"/>
      <c r="E355" s="367"/>
      <c r="F355" s="382"/>
      <c r="G355" s="699"/>
      <c r="H355" s="699"/>
      <c r="I355" s="367"/>
      <c r="J355" s="699"/>
      <c r="K355" s="699"/>
      <c r="L355" s="372"/>
      <c r="M355" s="798"/>
      <c r="N355" s="370"/>
    </row>
    <row r="356" spans="1:14" ht="18.95" customHeight="1">
      <c r="A356" s="201"/>
      <c r="B356" s="215"/>
      <c r="C356" s="152"/>
      <c r="D356" s="167"/>
      <c r="E356" s="370"/>
      <c r="F356" s="382"/>
      <c r="G356" s="370"/>
      <c r="H356" s="370"/>
      <c r="I356" s="699"/>
      <c r="J356" s="370"/>
      <c r="K356" s="370"/>
      <c r="L356" s="699"/>
      <c r="M356" s="798"/>
      <c r="N356" s="224"/>
    </row>
    <row r="357" spans="1:14" ht="18.95" customHeight="1">
      <c r="A357" s="202"/>
      <c r="B357" s="215"/>
      <c r="C357" s="131"/>
      <c r="D357" s="162"/>
      <c r="E357" s="367"/>
      <c r="F357" s="382"/>
      <c r="G357" s="699"/>
      <c r="H357" s="699"/>
      <c r="I357" s="367"/>
      <c r="J357" s="699"/>
      <c r="K357" s="699"/>
      <c r="L357" s="372"/>
      <c r="M357" s="798"/>
      <c r="N357" s="370"/>
    </row>
    <row r="358" spans="1:14" ht="18.95" customHeight="1">
      <c r="A358" s="202"/>
      <c r="B358" s="215"/>
      <c r="C358" s="131"/>
      <c r="D358" s="167"/>
      <c r="E358" s="370"/>
      <c r="F358" s="382"/>
      <c r="G358" s="370"/>
      <c r="H358" s="370"/>
      <c r="I358" s="699"/>
      <c r="J358" s="370"/>
      <c r="K358" s="370"/>
      <c r="L358" s="699"/>
      <c r="M358" s="798"/>
      <c r="N358" s="224"/>
    </row>
    <row r="359" spans="1:14" ht="18.95" customHeight="1">
      <c r="A359" s="202"/>
      <c r="B359" s="215"/>
      <c r="C359" s="589"/>
      <c r="D359" s="164"/>
      <c r="E359" s="367"/>
      <c r="F359" s="382"/>
      <c r="G359" s="699"/>
      <c r="H359" s="699"/>
      <c r="I359" s="367"/>
      <c r="J359" s="699"/>
      <c r="K359" s="699"/>
      <c r="L359" s="372"/>
      <c r="M359" s="798"/>
      <c r="N359" s="370"/>
    </row>
    <row r="360" spans="1:14" ht="18.95" customHeight="1">
      <c r="A360" s="202"/>
      <c r="B360" s="215"/>
      <c r="C360" s="213"/>
      <c r="D360" s="164"/>
      <c r="E360" s="370"/>
      <c r="F360" s="382"/>
      <c r="G360" s="699"/>
      <c r="H360" s="699"/>
      <c r="I360" s="699"/>
      <c r="J360" s="699"/>
      <c r="K360" s="699"/>
      <c r="L360" s="699"/>
      <c r="M360" s="798"/>
      <c r="N360" s="224"/>
    </row>
    <row r="361" spans="1:14" ht="18.95" customHeight="1">
      <c r="A361" s="202"/>
      <c r="B361" s="215"/>
      <c r="C361" s="213"/>
      <c r="D361" s="167"/>
      <c r="E361" s="370"/>
      <c r="F361" s="382"/>
      <c r="G361" s="370"/>
      <c r="H361" s="370"/>
      <c r="I361" s="699"/>
      <c r="J361" s="370"/>
      <c r="K361" s="370"/>
      <c r="L361" s="699"/>
      <c r="M361" s="798"/>
      <c r="N361" s="224"/>
    </row>
    <row r="362" spans="1:14" ht="18.95" customHeight="1">
      <c r="A362" s="149"/>
      <c r="B362" s="215"/>
      <c r="C362" s="213"/>
      <c r="D362" s="162"/>
      <c r="E362" s="367"/>
      <c r="F362" s="382"/>
      <c r="G362" s="699"/>
      <c r="H362" s="699"/>
      <c r="I362" s="367"/>
      <c r="J362" s="699"/>
      <c r="K362" s="699"/>
      <c r="L362" s="372"/>
      <c r="M362" s="798"/>
      <c r="N362" s="370"/>
    </row>
    <row r="363" spans="1:14" ht="18.95" customHeight="1">
      <c r="A363" s="139"/>
      <c r="B363" s="215"/>
      <c r="C363" s="213"/>
      <c r="D363" s="167"/>
      <c r="E363" s="370"/>
      <c r="F363" s="382"/>
      <c r="G363" s="391"/>
      <c r="H363" s="391"/>
      <c r="I363" s="701"/>
      <c r="J363" s="391"/>
      <c r="K363" s="391"/>
      <c r="L363" s="701"/>
      <c r="M363" s="800"/>
      <c r="N363" s="370"/>
    </row>
    <row r="364" spans="1:14" ht="18.95" customHeight="1">
      <c r="A364" s="201"/>
      <c r="B364" s="215"/>
      <c r="C364" s="213"/>
      <c r="D364" s="162"/>
      <c r="E364" s="367"/>
      <c r="F364" s="382"/>
      <c r="G364" s="699"/>
      <c r="H364" s="699"/>
      <c r="I364" s="367"/>
      <c r="J364" s="699"/>
      <c r="K364" s="699"/>
      <c r="L364" s="372"/>
      <c r="M364" s="798"/>
      <c r="N364" s="370"/>
    </row>
    <row r="365" spans="1:14" ht="18.95" customHeight="1">
      <c r="A365" s="207"/>
      <c r="B365" s="415"/>
      <c r="C365" s="213"/>
      <c r="D365" s="167"/>
      <c r="E365" s="370"/>
      <c r="F365" s="382"/>
      <c r="G365" s="391"/>
      <c r="H365" s="391"/>
      <c r="I365" s="701"/>
      <c r="J365" s="391"/>
      <c r="K365" s="391"/>
      <c r="L365" s="701"/>
      <c r="M365" s="800"/>
      <c r="N365" s="224"/>
    </row>
    <row r="366" spans="1:14" ht="18.95" customHeight="1">
      <c r="A366" s="133"/>
      <c r="B366" s="133"/>
      <c r="C366" s="134"/>
      <c r="D366" s="135"/>
      <c r="E366" s="404"/>
      <c r="F366" s="401"/>
      <c r="G366" s="404"/>
      <c r="H366" s="404"/>
      <c r="I366" s="404"/>
      <c r="J366" s="405"/>
      <c r="K366" s="405"/>
      <c r="L366" s="406"/>
      <c r="M366" s="405"/>
      <c r="N366" s="401"/>
    </row>
    <row r="367" spans="1:14" ht="18.95" customHeight="1">
      <c r="A367" s="195"/>
      <c r="B367" s="666"/>
      <c r="C367" s="159"/>
      <c r="D367" s="218"/>
      <c r="E367" s="475"/>
      <c r="F367" s="312"/>
      <c r="G367" s="475"/>
      <c r="H367" s="475"/>
      <c r="I367" s="475"/>
      <c r="J367" s="475"/>
      <c r="K367" s="475"/>
      <c r="L367" s="476"/>
      <c r="M367" s="801"/>
      <c r="N367" s="312"/>
    </row>
    <row r="368" spans="1:14" ht="18.95" customHeight="1">
      <c r="A368" s="219"/>
      <c r="B368" s="702"/>
      <c r="C368" s="161"/>
      <c r="D368" s="220"/>
      <c r="E368" s="361"/>
      <c r="F368" s="362"/>
      <c r="G368" s="361"/>
      <c r="H368" s="361"/>
      <c r="I368" s="361"/>
      <c r="J368" s="361"/>
      <c r="K368" s="361"/>
      <c r="L368" s="363"/>
      <c r="M368" s="802"/>
      <c r="N368" s="362"/>
    </row>
    <row r="369" spans="1:14" ht="18.95" customHeight="1">
      <c r="A369" s="221"/>
      <c r="B369" s="415"/>
      <c r="C369" s="152"/>
      <c r="D369" s="167"/>
      <c r="E369" s="367"/>
      <c r="F369" s="224"/>
      <c r="G369" s="699"/>
      <c r="H369" s="699"/>
      <c r="I369" s="377"/>
      <c r="J369" s="699"/>
      <c r="K369" s="699"/>
      <c r="L369" s="377"/>
      <c r="M369" s="790"/>
      <c r="N369" s="370"/>
    </row>
    <row r="370" spans="1:14" ht="18.95" customHeight="1">
      <c r="A370" s="207"/>
      <c r="B370" s="415"/>
      <c r="C370" s="152"/>
      <c r="D370" s="167"/>
      <c r="E370" s="367"/>
      <c r="F370" s="382"/>
      <c r="G370" s="699"/>
      <c r="H370" s="699"/>
      <c r="I370" s="367"/>
      <c r="J370" s="699"/>
      <c r="K370" s="699"/>
      <c r="L370" s="372"/>
      <c r="M370" s="798"/>
      <c r="N370" s="370"/>
    </row>
    <row r="371" spans="1:14" ht="18.95" customHeight="1">
      <c r="A371" s="221"/>
      <c r="B371" s="415"/>
      <c r="C371" s="152"/>
      <c r="D371" s="167"/>
      <c r="E371" s="370"/>
      <c r="F371" s="224"/>
      <c r="G371" s="699"/>
      <c r="H371" s="699"/>
      <c r="I371" s="377"/>
      <c r="J371" s="699"/>
      <c r="K371" s="699"/>
      <c r="L371" s="377"/>
      <c r="M371" s="790"/>
      <c r="N371" s="370"/>
    </row>
    <row r="372" spans="1:14" ht="18.95" customHeight="1">
      <c r="A372" s="221"/>
      <c r="B372" s="415"/>
      <c r="C372" s="152"/>
      <c r="D372" s="167"/>
      <c r="E372" s="367"/>
      <c r="F372" s="382"/>
      <c r="G372" s="699"/>
      <c r="H372" s="699"/>
      <c r="I372" s="367"/>
      <c r="J372" s="699"/>
      <c r="K372" s="699"/>
      <c r="L372" s="372"/>
      <c r="M372" s="798"/>
      <c r="N372" s="370"/>
    </row>
    <row r="373" spans="1:14" ht="18.95" customHeight="1">
      <c r="A373" s="221"/>
      <c r="B373" s="415"/>
      <c r="C373" s="152"/>
      <c r="D373" s="167"/>
      <c r="E373" s="370"/>
      <c r="F373" s="224"/>
      <c r="G373" s="699"/>
      <c r="H373" s="699"/>
      <c r="I373" s="377"/>
      <c r="J373" s="699"/>
      <c r="K373" s="699"/>
      <c r="L373" s="377"/>
      <c r="M373" s="790"/>
      <c r="N373" s="370"/>
    </row>
    <row r="374" spans="1:14" ht="18.95" customHeight="1">
      <c r="A374" s="203"/>
      <c r="B374" s="415"/>
      <c r="C374" s="152"/>
      <c r="D374" s="167"/>
      <c r="E374" s="367"/>
      <c r="F374" s="382"/>
      <c r="G374" s="699"/>
      <c r="H374" s="699"/>
      <c r="I374" s="367"/>
      <c r="J374" s="699"/>
      <c r="K374" s="699"/>
      <c r="L374" s="372"/>
      <c r="M374" s="798"/>
      <c r="N374" s="370"/>
    </row>
    <row r="375" spans="1:14" ht="18.95" customHeight="1">
      <c r="A375" s="221"/>
      <c r="B375" s="415"/>
      <c r="C375" s="152"/>
      <c r="D375" s="164"/>
      <c r="E375" s="370"/>
      <c r="F375" s="224"/>
      <c r="G375" s="699"/>
      <c r="H375" s="699"/>
      <c r="I375" s="377"/>
      <c r="J375" s="699"/>
      <c r="K375" s="699"/>
      <c r="L375" s="377"/>
      <c r="M375" s="790"/>
      <c r="N375" s="370"/>
    </row>
    <row r="376" spans="1:14" ht="18.95" customHeight="1">
      <c r="A376" s="201"/>
      <c r="B376" s="415"/>
      <c r="C376" s="152"/>
      <c r="D376" s="164"/>
      <c r="E376" s="367"/>
      <c r="F376" s="382"/>
      <c r="G376" s="699"/>
      <c r="H376" s="699"/>
      <c r="I376" s="367"/>
      <c r="J376" s="699"/>
      <c r="K376" s="699"/>
      <c r="L376" s="372"/>
      <c r="M376" s="798"/>
      <c r="N376" s="224"/>
    </row>
    <row r="377" spans="1:14" ht="18.95" customHeight="1">
      <c r="A377" s="221"/>
      <c r="B377" s="415"/>
      <c r="C377" s="152"/>
      <c r="D377" s="165"/>
      <c r="E377" s="367"/>
      <c r="F377" s="224"/>
      <c r="G377" s="699"/>
      <c r="H377" s="699"/>
      <c r="I377" s="377"/>
      <c r="J377" s="699"/>
      <c r="K377" s="699"/>
      <c r="L377" s="377"/>
      <c r="M377" s="790"/>
      <c r="N377" s="224"/>
    </row>
    <row r="378" spans="1:14" ht="18.95" customHeight="1">
      <c r="A378" s="201"/>
      <c r="B378" s="415"/>
      <c r="C378" s="152"/>
      <c r="D378" s="164"/>
      <c r="E378" s="370"/>
      <c r="F378" s="382"/>
      <c r="G378" s="699"/>
      <c r="H378" s="699"/>
      <c r="I378" s="367"/>
      <c r="J378" s="699"/>
      <c r="K378" s="699"/>
      <c r="L378" s="372"/>
      <c r="M378" s="798"/>
      <c r="N378" s="224"/>
    </row>
    <row r="379" spans="1:14" ht="18.95" customHeight="1">
      <c r="A379" s="221"/>
      <c r="B379" s="415"/>
      <c r="C379" s="152"/>
      <c r="D379" s="164"/>
      <c r="E379" s="367"/>
      <c r="F379" s="224"/>
      <c r="G379" s="699"/>
      <c r="H379" s="699"/>
      <c r="I379" s="377"/>
      <c r="J379" s="699"/>
      <c r="K379" s="699"/>
      <c r="L379" s="377"/>
      <c r="M379" s="790"/>
      <c r="N379" s="224"/>
    </row>
    <row r="380" spans="1:14" ht="18.95" customHeight="1">
      <c r="A380" s="201"/>
      <c r="B380" s="415"/>
      <c r="C380" s="152"/>
      <c r="D380" s="164"/>
      <c r="E380" s="370"/>
      <c r="F380" s="382"/>
      <c r="G380" s="377"/>
      <c r="H380" s="377"/>
      <c r="I380" s="367"/>
      <c r="J380" s="377"/>
      <c r="K380" s="377"/>
      <c r="L380" s="372"/>
      <c r="M380" s="790"/>
      <c r="N380" s="224"/>
    </row>
    <row r="381" spans="1:14" ht="18.95" customHeight="1">
      <c r="A381" s="221"/>
      <c r="B381" s="415"/>
      <c r="C381" s="152"/>
      <c r="D381" s="164"/>
      <c r="E381" s="367"/>
      <c r="F381" s="224"/>
      <c r="G381" s="377"/>
      <c r="H381" s="377"/>
      <c r="I381" s="377"/>
      <c r="J381" s="377"/>
      <c r="K381" s="377"/>
      <c r="L381" s="377"/>
      <c r="M381" s="790"/>
      <c r="N381" s="224"/>
    </row>
    <row r="382" spans="1:14" ht="18.95" customHeight="1">
      <c r="A382" s="201"/>
      <c r="B382" s="415"/>
      <c r="C382" s="152"/>
      <c r="D382" s="164"/>
      <c r="E382" s="370"/>
      <c r="F382" s="382"/>
      <c r="G382" s="377"/>
      <c r="H382" s="377"/>
      <c r="I382" s="367"/>
      <c r="J382" s="377"/>
      <c r="K382" s="377"/>
      <c r="L382" s="372"/>
      <c r="M382" s="790"/>
      <c r="N382" s="224"/>
    </row>
    <row r="383" spans="1:14" ht="18.95" customHeight="1">
      <c r="A383" s="221"/>
      <c r="B383" s="415"/>
      <c r="C383" s="152"/>
      <c r="D383" s="164"/>
      <c r="E383" s="367"/>
      <c r="F383" s="224"/>
      <c r="G383" s="377"/>
      <c r="H383" s="377"/>
      <c r="I383" s="377"/>
      <c r="J383" s="377"/>
      <c r="K383" s="377"/>
      <c r="L383" s="377"/>
      <c r="M383" s="790"/>
      <c r="N383" s="224"/>
    </row>
    <row r="384" spans="1:14" ht="18.95" customHeight="1">
      <c r="A384" s="201"/>
      <c r="B384" s="415"/>
      <c r="C384" s="152"/>
      <c r="D384" s="164"/>
      <c r="E384" s="370"/>
      <c r="F384" s="382"/>
      <c r="G384" s="377"/>
      <c r="H384" s="377"/>
      <c r="I384" s="367"/>
      <c r="J384" s="377"/>
      <c r="K384" s="377"/>
      <c r="L384" s="372"/>
      <c r="M384" s="790"/>
      <c r="N384" s="224"/>
    </row>
    <row r="385" spans="1:14" ht="18.95" customHeight="1">
      <c r="A385" s="221"/>
      <c r="B385" s="415"/>
      <c r="C385" s="152"/>
      <c r="D385" s="164"/>
      <c r="E385" s="370"/>
      <c r="F385" s="224"/>
      <c r="G385" s="699"/>
      <c r="H385" s="699"/>
      <c r="I385" s="377"/>
      <c r="J385" s="699"/>
      <c r="K385" s="699"/>
      <c r="L385" s="377"/>
      <c r="M385" s="790"/>
      <c r="N385" s="224"/>
    </row>
    <row r="386" spans="1:14" ht="18.95" customHeight="1">
      <c r="A386" s="201"/>
      <c r="B386" s="468"/>
      <c r="C386" s="152"/>
      <c r="D386" s="164"/>
      <c r="E386" s="370"/>
      <c r="F386" s="382"/>
      <c r="G386" s="377"/>
      <c r="H386" s="377"/>
      <c r="I386" s="367"/>
      <c r="J386" s="377"/>
      <c r="K386" s="377"/>
      <c r="L386" s="372"/>
      <c r="M386" s="790"/>
      <c r="N386" s="224"/>
    </row>
    <row r="387" spans="1:14" ht="18.95" customHeight="1">
      <c r="A387" s="207"/>
      <c r="B387" s="468"/>
      <c r="C387" s="152"/>
      <c r="D387" s="164"/>
      <c r="E387" s="370"/>
      <c r="F387" s="224"/>
      <c r="G387" s="699"/>
      <c r="H387" s="699"/>
      <c r="I387" s="377"/>
      <c r="J387" s="699"/>
      <c r="K387" s="699"/>
      <c r="L387" s="377"/>
      <c r="M387" s="790"/>
      <c r="N387" s="224"/>
    </row>
    <row r="388" spans="1:14" ht="18.95" customHeight="1">
      <c r="A388" s="207"/>
      <c r="B388" s="468"/>
      <c r="C388" s="152"/>
      <c r="D388" s="164"/>
      <c r="E388" s="370"/>
      <c r="F388" s="382"/>
      <c r="G388" s="377"/>
      <c r="H388" s="377"/>
      <c r="I388" s="367"/>
      <c r="J388" s="377"/>
      <c r="K388" s="377"/>
      <c r="L388" s="372"/>
      <c r="M388" s="790"/>
      <c r="N388" s="224"/>
    </row>
    <row r="389" spans="1:14" ht="18.95" customHeight="1">
      <c r="A389" s="207"/>
      <c r="B389" s="468"/>
      <c r="C389" s="152"/>
      <c r="D389" s="165"/>
      <c r="E389" s="370"/>
      <c r="F389" s="224"/>
      <c r="G389" s="377"/>
      <c r="H389" s="377"/>
      <c r="I389" s="377"/>
      <c r="J389" s="377"/>
      <c r="K389" s="377"/>
      <c r="L389" s="377"/>
      <c r="M389" s="790"/>
      <c r="N389" s="224"/>
    </row>
    <row r="390" spans="1:14" ht="18.95" customHeight="1">
      <c r="A390" s="207"/>
      <c r="B390" s="468"/>
      <c r="C390" s="152"/>
      <c r="D390" s="164"/>
      <c r="E390" s="367"/>
      <c r="F390" s="224"/>
      <c r="G390" s="377"/>
      <c r="H390" s="377"/>
      <c r="I390" s="377"/>
      <c r="J390" s="377"/>
      <c r="K390" s="377"/>
      <c r="L390" s="377"/>
      <c r="M390" s="790"/>
      <c r="N390" s="224"/>
    </row>
    <row r="391" spans="1:14" ht="18.95" customHeight="1">
      <c r="A391" s="207"/>
      <c r="B391" s="468"/>
      <c r="C391" s="152"/>
      <c r="D391" s="167"/>
      <c r="E391" s="370"/>
      <c r="F391" s="224"/>
      <c r="G391" s="377"/>
      <c r="H391" s="377"/>
      <c r="I391" s="377"/>
      <c r="J391" s="377"/>
      <c r="K391" s="377"/>
      <c r="L391" s="377"/>
      <c r="M391" s="790"/>
      <c r="N391" s="224"/>
    </row>
    <row r="392" spans="1:14" ht="18.95" customHeight="1">
      <c r="A392" s="207"/>
      <c r="B392" s="468"/>
      <c r="C392" s="152"/>
      <c r="D392" s="165"/>
      <c r="E392" s="370"/>
      <c r="F392" s="224"/>
      <c r="G392" s="377"/>
      <c r="H392" s="377"/>
      <c r="I392" s="377"/>
      <c r="J392" s="377"/>
      <c r="K392" s="377"/>
      <c r="L392" s="377"/>
      <c r="M392" s="790"/>
      <c r="N392" s="224"/>
    </row>
    <row r="393" spans="1:14" ht="18.95" customHeight="1">
      <c r="A393" s="207"/>
      <c r="B393" s="468"/>
      <c r="C393" s="152"/>
      <c r="D393" s="167"/>
      <c r="E393" s="370"/>
      <c r="F393" s="224"/>
      <c r="G393" s="377"/>
      <c r="H393" s="377"/>
      <c r="I393" s="377"/>
      <c r="J393" s="377"/>
      <c r="K393" s="377"/>
      <c r="L393" s="377"/>
      <c r="M393" s="790"/>
      <c r="N393" s="224"/>
    </row>
    <row r="394" spans="1:14" ht="18.95" customHeight="1">
      <c r="A394" s="133"/>
      <c r="B394" s="703"/>
      <c r="C394" s="704"/>
      <c r="D394" s="705"/>
      <c r="E394" s="404"/>
      <c r="F394" s="401"/>
      <c r="G394" s="404"/>
      <c r="H394" s="404"/>
      <c r="I394" s="404"/>
      <c r="J394" s="405"/>
      <c r="K394" s="405"/>
      <c r="L394" s="406"/>
      <c r="M394" s="405"/>
      <c r="N394" s="401"/>
    </row>
    <row r="395" spans="1:14" ht="18.95" customHeight="1">
      <c r="A395" s="222"/>
      <c r="B395" s="706"/>
      <c r="C395" s="200"/>
      <c r="D395" s="218"/>
      <c r="E395" s="475"/>
      <c r="F395" s="312"/>
      <c r="G395" s="475"/>
      <c r="H395" s="361"/>
      <c r="I395" s="377"/>
      <c r="J395" s="475"/>
      <c r="K395" s="361"/>
      <c r="L395" s="377"/>
      <c r="M395" s="790"/>
      <c r="N395" s="312"/>
    </row>
    <row r="396" spans="1:14" ht="18.95" customHeight="1">
      <c r="A396" s="223"/>
      <c r="B396" s="468"/>
      <c r="C396" s="152"/>
      <c r="D396" s="214"/>
      <c r="E396" s="361"/>
      <c r="F396" s="362"/>
      <c r="G396" s="361"/>
      <c r="H396" s="361"/>
      <c r="I396" s="361"/>
      <c r="J396" s="361"/>
      <c r="K396" s="361"/>
      <c r="L396" s="363"/>
      <c r="M396" s="802"/>
      <c r="N396" s="362"/>
    </row>
    <row r="397" spans="1:14" ht="18.95" customHeight="1">
      <c r="A397" s="207"/>
      <c r="B397" s="468"/>
      <c r="C397" s="152"/>
      <c r="D397" s="165"/>
      <c r="E397" s="367"/>
      <c r="F397" s="224"/>
      <c r="G397" s="377"/>
      <c r="H397" s="377"/>
      <c r="I397" s="377"/>
      <c r="J397" s="377"/>
      <c r="K397" s="377"/>
      <c r="L397" s="377"/>
      <c r="M397" s="790"/>
      <c r="N397" s="370"/>
    </row>
    <row r="398" spans="1:14" ht="18.95" customHeight="1">
      <c r="A398" s="149"/>
      <c r="B398" s="468"/>
      <c r="C398" s="152"/>
      <c r="D398" s="167"/>
      <c r="E398" s="367"/>
      <c r="F398" s="382"/>
      <c r="G398" s="377"/>
      <c r="H398" s="377"/>
      <c r="I398" s="367"/>
      <c r="J398" s="377"/>
      <c r="K398" s="377"/>
      <c r="L398" s="372"/>
      <c r="M398" s="790"/>
      <c r="N398" s="370"/>
    </row>
    <row r="399" spans="1:14" ht="18.95" customHeight="1">
      <c r="A399" s="207"/>
      <c r="B399" s="468"/>
      <c r="C399" s="152"/>
      <c r="D399" s="167"/>
      <c r="E399" s="367"/>
      <c r="F399" s="224"/>
      <c r="G399" s="377"/>
      <c r="H399" s="377"/>
      <c r="I399" s="377"/>
      <c r="J399" s="377"/>
      <c r="K399" s="377"/>
      <c r="L399" s="377"/>
      <c r="M399" s="790"/>
      <c r="N399" s="370"/>
    </row>
    <row r="400" spans="1:14" ht="18.95" customHeight="1">
      <c r="A400" s="224"/>
      <c r="B400" s="468"/>
      <c r="C400" s="152"/>
      <c r="D400" s="164"/>
      <c r="E400" s="367"/>
      <c r="F400" s="382"/>
      <c r="G400" s="377"/>
      <c r="H400" s="377"/>
      <c r="I400" s="367"/>
      <c r="J400" s="377"/>
      <c r="K400" s="377"/>
      <c r="L400" s="372"/>
      <c r="M400" s="790"/>
      <c r="N400" s="370"/>
    </row>
    <row r="401" spans="1:14" ht="18.95" customHeight="1">
      <c r="A401" s="207"/>
      <c r="B401" s="468"/>
      <c r="C401" s="152"/>
      <c r="D401" s="164"/>
      <c r="E401" s="367"/>
      <c r="F401" s="224"/>
      <c r="G401" s="377"/>
      <c r="H401" s="377"/>
      <c r="I401" s="377"/>
      <c r="J401" s="377"/>
      <c r="K401" s="377"/>
      <c r="L401" s="377"/>
      <c r="M401" s="790"/>
      <c r="N401" s="370"/>
    </row>
    <row r="402" spans="1:14" ht="18.95" customHeight="1">
      <c r="A402" s="149"/>
      <c r="B402" s="468"/>
      <c r="C402" s="152"/>
      <c r="D402" s="164"/>
      <c r="E402" s="367"/>
      <c r="F402" s="382"/>
      <c r="G402" s="377"/>
      <c r="H402" s="377"/>
      <c r="I402" s="367"/>
      <c r="J402" s="377"/>
      <c r="K402" s="377"/>
      <c r="L402" s="372"/>
      <c r="M402" s="790"/>
      <c r="N402" s="370"/>
    </row>
    <row r="403" spans="1:14" ht="18.95" customHeight="1">
      <c r="A403" s="207"/>
      <c r="B403" s="468"/>
      <c r="C403" s="152"/>
      <c r="D403" s="162"/>
      <c r="E403" s="367"/>
      <c r="F403" s="224"/>
      <c r="G403" s="377"/>
      <c r="H403" s="377"/>
      <c r="I403" s="377"/>
      <c r="J403" s="377"/>
      <c r="K403" s="377"/>
      <c r="L403" s="377"/>
      <c r="M403" s="790"/>
      <c r="N403" s="224"/>
    </row>
    <row r="404" spans="1:14" ht="18.95" customHeight="1">
      <c r="A404" s="122"/>
      <c r="B404" s="468"/>
      <c r="C404" s="152"/>
      <c r="D404" s="167"/>
      <c r="E404" s="367"/>
      <c r="F404" s="382"/>
      <c r="G404" s="377"/>
      <c r="H404" s="377"/>
      <c r="I404" s="367"/>
      <c r="J404" s="377"/>
      <c r="K404" s="377"/>
      <c r="L404" s="372"/>
      <c r="M404" s="790"/>
      <c r="N404" s="224"/>
    </row>
    <row r="405" spans="1:14" ht="18.95" customHeight="1">
      <c r="A405" s="207"/>
      <c r="B405" s="468"/>
      <c r="C405" s="152"/>
      <c r="D405" s="165"/>
      <c r="E405" s="367"/>
      <c r="F405" s="224"/>
      <c r="G405" s="377"/>
      <c r="H405" s="377"/>
      <c r="I405" s="377"/>
      <c r="J405" s="377"/>
      <c r="K405" s="377"/>
      <c r="L405" s="377"/>
      <c r="M405" s="790"/>
      <c r="N405" s="224"/>
    </row>
    <row r="406" spans="1:14" ht="18.95" customHeight="1">
      <c r="A406" s="122"/>
      <c r="B406" s="468"/>
      <c r="C406" s="152"/>
      <c r="D406" s="167"/>
      <c r="E406" s="367"/>
      <c r="F406" s="382"/>
      <c r="G406" s="377"/>
      <c r="H406" s="377"/>
      <c r="I406" s="367"/>
      <c r="J406" s="377"/>
      <c r="K406" s="377"/>
      <c r="L406" s="372"/>
      <c r="M406" s="790"/>
      <c r="N406" s="224"/>
    </row>
    <row r="407" spans="1:14" ht="18.95" customHeight="1">
      <c r="A407" s="207"/>
      <c r="B407" s="468"/>
      <c r="C407" s="152"/>
      <c r="D407" s="167"/>
      <c r="E407" s="367"/>
      <c r="F407" s="224"/>
      <c r="G407" s="377"/>
      <c r="H407" s="377"/>
      <c r="I407" s="377"/>
      <c r="J407" s="377"/>
      <c r="K407" s="377"/>
      <c r="L407" s="377"/>
      <c r="M407" s="790"/>
      <c r="N407" s="224"/>
    </row>
    <row r="408" spans="1:14" ht="18.95" customHeight="1">
      <c r="A408" s="122"/>
      <c r="B408" s="468"/>
      <c r="C408" s="152"/>
      <c r="D408" s="167"/>
      <c r="E408" s="367"/>
      <c r="F408" s="382"/>
      <c r="G408" s="377"/>
      <c r="H408" s="377"/>
      <c r="I408" s="377"/>
      <c r="J408" s="377"/>
      <c r="K408" s="377"/>
      <c r="L408" s="377"/>
      <c r="M408" s="790"/>
      <c r="N408" s="224"/>
    </row>
    <row r="409" spans="1:14" ht="18.95" customHeight="1">
      <c r="A409" s="207"/>
      <c r="B409" s="468"/>
      <c r="C409" s="152"/>
      <c r="D409" s="180"/>
      <c r="E409" s="367"/>
      <c r="F409" s="224"/>
      <c r="G409" s="377"/>
      <c r="H409" s="377"/>
      <c r="I409" s="377"/>
      <c r="J409" s="377"/>
      <c r="K409" s="377"/>
      <c r="L409" s="377"/>
      <c r="M409" s="790"/>
      <c r="N409" s="224"/>
    </row>
    <row r="410" spans="1:14" ht="18.95" customHeight="1">
      <c r="A410" s="122"/>
      <c r="B410" s="468"/>
      <c r="C410" s="152"/>
      <c r="D410" s="167"/>
      <c r="E410" s="367"/>
      <c r="F410" s="382"/>
      <c r="G410" s="377"/>
      <c r="H410" s="377"/>
      <c r="I410" s="377"/>
      <c r="J410" s="377"/>
      <c r="K410" s="377"/>
      <c r="L410" s="372"/>
      <c r="M410" s="790"/>
      <c r="N410" s="224"/>
    </row>
    <row r="411" spans="1:14" ht="18.95" customHeight="1">
      <c r="A411" s="207"/>
      <c r="B411" s="468"/>
      <c r="C411" s="152"/>
      <c r="D411" s="167"/>
      <c r="E411" s="367"/>
      <c r="F411" s="224"/>
      <c r="G411" s="377"/>
      <c r="H411" s="377"/>
      <c r="I411" s="377"/>
      <c r="J411" s="377"/>
      <c r="K411" s="377"/>
      <c r="L411" s="377"/>
      <c r="M411" s="790"/>
      <c r="N411" s="224"/>
    </row>
    <row r="412" spans="1:14" ht="18.95" customHeight="1">
      <c r="A412" s="207"/>
      <c r="B412" s="468"/>
      <c r="C412" s="152"/>
      <c r="D412" s="167"/>
      <c r="E412" s="367"/>
      <c r="F412" s="382"/>
      <c r="G412" s="377"/>
      <c r="H412" s="377"/>
      <c r="I412" s="377"/>
      <c r="J412" s="377"/>
      <c r="K412" s="377"/>
      <c r="L412" s="372"/>
      <c r="M412" s="790"/>
      <c r="N412" s="224"/>
    </row>
    <row r="413" spans="1:14" ht="18.95" customHeight="1">
      <c r="A413" s="207"/>
      <c r="B413" s="468"/>
      <c r="C413" s="152"/>
      <c r="D413" s="164"/>
      <c r="E413" s="367"/>
      <c r="F413" s="224"/>
      <c r="G413" s="377"/>
      <c r="H413" s="377"/>
      <c r="I413" s="377"/>
      <c r="J413" s="377"/>
      <c r="K413" s="377"/>
      <c r="L413" s="372"/>
      <c r="M413" s="790"/>
      <c r="N413" s="224"/>
    </row>
    <row r="414" spans="1:14" ht="18.95" customHeight="1">
      <c r="A414" s="207"/>
      <c r="B414" s="468"/>
      <c r="C414" s="152"/>
      <c r="D414" s="164"/>
      <c r="E414" s="367"/>
      <c r="F414" s="224"/>
      <c r="G414" s="377"/>
      <c r="H414" s="377"/>
      <c r="I414" s="377"/>
      <c r="J414" s="377"/>
      <c r="K414" s="377"/>
      <c r="L414" s="377"/>
      <c r="M414" s="790"/>
      <c r="N414" s="224"/>
    </row>
    <row r="415" spans="1:14" ht="18.95" customHeight="1">
      <c r="A415" s="149"/>
      <c r="B415" s="468"/>
      <c r="C415" s="152"/>
      <c r="D415" s="180"/>
      <c r="E415" s="367"/>
      <c r="F415" s="382"/>
      <c r="G415" s="377"/>
      <c r="H415" s="377"/>
      <c r="I415" s="377"/>
      <c r="J415" s="377"/>
      <c r="K415" s="377"/>
      <c r="L415" s="372"/>
      <c r="M415" s="790"/>
      <c r="N415" s="224"/>
    </row>
    <row r="416" spans="1:14" ht="18.95" customHeight="1">
      <c r="A416" s="204"/>
      <c r="B416" s="468"/>
      <c r="C416" s="152"/>
      <c r="D416" s="164"/>
      <c r="E416" s="367"/>
      <c r="F416" s="224"/>
      <c r="G416" s="377"/>
      <c r="H416" s="377"/>
      <c r="I416" s="377"/>
      <c r="J416" s="377"/>
      <c r="K416" s="377"/>
      <c r="L416" s="377"/>
      <c r="M416" s="790"/>
      <c r="N416" s="224"/>
    </row>
    <row r="417" spans="1:14" ht="18.95" customHeight="1">
      <c r="A417" s="204"/>
      <c r="B417" s="468"/>
      <c r="C417" s="152"/>
      <c r="D417" s="180"/>
      <c r="E417" s="367"/>
      <c r="F417" s="382"/>
      <c r="G417" s="377"/>
      <c r="H417" s="377"/>
      <c r="I417" s="377"/>
      <c r="J417" s="377"/>
      <c r="K417" s="377"/>
      <c r="L417" s="372"/>
      <c r="M417" s="790"/>
      <c r="N417" s="224"/>
    </row>
    <row r="418" spans="1:14" ht="18.95" customHeight="1">
      <c r="A418" s="204"/>
      <c r="B418" s="468"/>
      <c r="C418" s="152"/>
      <c r="D418" s="164"/>
      <c r="E418" s="367"/>
      <c r="F418" s="224"/>
      <c r="G418" s="377"/>
      <c r="H418" s="377"/>
      <c r="I418" s="377"/>
      <c r="J418" s="377"/>
      <c r="K418" s="377"/>
      <c r="L418" s="377"/>
      <c r="M418" s="790"/>
      <c r="N418" s="224"/>
    </row>
    <row r="419" spans="1:14" ht="18.95" customHeight="1">
      <c r="A419" s="139"/>
      <c r="B419" s="468"/>
      <c r="C419" s="152"/>
      <c r="D419" s="164"/>
      <c r="E419" s="367"/>
      <c r="F419" s="382"/>
      <c r="G419" s="377"/>
      <c r="H419" s="377"/>
      <c r="I419" s="377"/>
      <c r="J419" s="377"/>
      <c r="K419" s="377"/>
      <c r="L419" s="372"/>
      <c r="M419" s="790"/>
      <c r="N419" s="224"/>
    </row>
    <row r="420" spans="1:14" ht="18.95" customHeight="1">
      <c r="A420" s="224"/>
      <c r="B420" s="468"/>
      <c r="C420" s="152"/>
      <c r="D420" s="164"/>
      <c r="E420" s="367"/>
      <c r="F420" s="224"/>
      <c r="G420" s="377"/>
      <c r="H420" s="377"/>
      <c r="I420" s="377"/>
      <c r="J420" s="377"/>
      <c r="K420" s="377"/>
      <c r="L420" s="377"/>
      <c r="M420" s="790"/>
      <c r="N420" s="224"/>
    </row>
    <row r="421" spans="1:14" ht="18.95" customHeight="1">
      <c r="A421" s="225"/>
      <c r="B421" s="468"/>
      <c r="C421" s="152"/>
      <c r="D421" s="164"/>
      <c r="E421" s="367"/>
      <c r="F421" s="382"/>
      <c r="G421" s="377"/>
      <c r="H421" s="377"/>
      <c r="I421" s="377"/>
      <c r="J421" s="377"/>
      <c r="K421" s="377"/>
      <c r="L421" s="377"/>
      <c r="M421" s="803"/>
      <c r="N421" s="678"/>
    </row>
    <row r="422" spans="1:14" ht="18.95" customHeight="1">
      <c r="A422" s="226"/>
      <c r="B422" s="486"/>
      <c r="C422" s="171"/>
      <c r="D422" s="171"/>
      <c r="E422" s="461"/>
      <c r="F422" s="459"/>
      <c r="G422" s="461"/>
      <c r="H422" s="461"/>
      <c r="I422" s="461"/>
      <c r="J422" s="461"/>
      <c r="K422" s="461"/>
      <c r="L422" s="461"/>
      <c r="M422" s="797"/>
      <c r="N422" s="401"/>
    </row>
    <row r="423" spans="1:14" ht="18.95" customHeight="1">
      <c r="A423" s="227"/>
      <c r="B423" s="706"/>
      <c r="C423" s="200"/>
      <c r="D423" s="228"/>
      <c r="E423" s="472"/>
      <c r="F423" s="224"/>
      <c r="G423" s="707"/>
      <c r="H423" s="1172"/>
      <c r="I423" s="377"/>
      <c r="J423" s="707"/>
      <c r="K423" s="1172"/>
      <c r="L423" s="377"/>
      <c r="M423" s="790"/>
      <c r="N423" s="312"/>
    </row>
    <row r="424" spans="1:14" ht="18.95" customHeight="1">
      <c r="A424" s="224"/>
      <c r="B424" s="468"/>
      <c r="C424" s="152"/>
      <c r="D424" s="164"/>
      <c r="E424" s="370"/>
      <c r="F424" s="382"/>
      <c r="G424" s="708"/>
      <c r="H424" s="708"/>
      <c r="I424" s="370"/>
      <c r="J424" s="708"/>
      <c r="K424" s="708"/>
      <c r="L424" s="370"/>
      <c r="M424" s="392"/>
      <c r="N424" s="224"/>
    </row>
    <row r="425" spans="1:14" ht="18.95" customHeight="1">
      <c r="A425" s="224"/>
      <c r="B425" s="468"/>
      <c r="C425" s="152"/>
      <c r="D425" s="164"/>
      <c r="E425" s="370"/>
      <c r="F425" s="224"/>
      <c r="G425" s="708"/>
      <c r="H425" s="708"/>
      <c r="I425" s="377"/>
      <c r="J425" s="708"/>
      <c r="K425" s="708"/>
      <c r="L425" s="377"/>
      <c r="M425" s="790"/>
      <c r="N425" s="224"/>
    </row>
    <row r="426" spans="1:14" ht="18.95" customHeight="1">
      <c r="A426" s="224"/>
      <c r="B426" s="468"/>
      <c r="C426" s="152"/>
      <c r="D426" s="162"/>
      <c r="E426" s="370"/>
      <c r="F426" s="382"/>
      <c r="G426" s="708"/>
      <c r="H426" s="708"/>
      <c r="I426" s="370"/>
      <c r="J426" s="708"/>
      <c r="K426" s="708"/>
      <c r="L426" s="370"/>
      <c r="M426" s="392"/>
      <c r="N426" s="224"/>
    </row>
    <row r="427" spans="1:14" ht="18.95" customHeight="1">
      <c r="A427" s="224"/>
      <c r="B427" s="468"/>
      <c r="C427" s="152"/>
      <c r="D427" s="164"/>
      <c r="E427" s="370"/>
      <c r="F427" s="224"/>
      <c r="G427" s="708"/>
      <c r="H427" s="708"/>
      <c r="I427" s="377"/>
      <c r="J427" s="708"/>
      <c r="K427" s="708"/>
      <c r="L427" s="377"/>
      <c r="M427" s="790"/>
      <c r="N427" s="224"/>
    </row>
    <row r="428" spans="1:14" ht="18.95" customHeight="1">
      <c r="A428" s="224"/>
      <c r="B428" s="468"/>
      <c r="C428" s="152"/>
      <c r="D428" s="162"/>
      <c r="E428" s="370"/>
      <c r="F428" s="382"/>
      <c r="G428" s="708"/>
      <c r="H428" s="708"/>
      <c r="I428" s="370"/>
      <c r="J428" s="708"/>
      <c r="K428" s="708"/>
      <c r="L428" s="370"/>
      <c r="M428" s="392"/>
      <c r="N428" s="224"/>
    </row>
    <row r="429" spans="1:14" ht="18.95" customHeight="1">
      <c r="A429" s="224"/>
      <c r="B429" s="468"/>
      <c r="C429" s="152"/>
      <c r="D429" s="164"/>
      <c r="E429" s="370"/>
      <c r="F429" s="224"/>
      <c r="G429" s="708"/>
      <c r="H429" s="708"/>
      <c r="I429" s="377"/>
      <c r="J429" s="708"/>
      <c r="K429" s="708"/>
      <c r="L429" s="377"/>
      <c r="M429" s="790"/>
      <c r="N429" s="224"/>
    </row>
    <row r="430" spans="1:14" ht="18.95" customHeight="1">
      <c r="A430" s="224"/>
      <c r="B430" s="468"/>
      <c r="C430" s="152"/>
      <c r="D430" s="164"/>
      <c r="E430" s="370"/>
      <c r="F430" s="382"/>
      <c r="G430" s="708"/>
      <c r="H430" s="708"/>
      <c r="I430" s="370"/>
      <c r="J430" s="708"/>
      <c r="K430" s="708"/>
      <c r="L430" s="370"/>
      <c r="M430" s="392"/>
      <c r="N430" s="224"/>
    </row>
    <row r="431" spans="1:14" ht="18.95" customHeight="1">
      <c r="A431" s="224"/>
      <c r="B431" s="468"/>
      <c r="C431" s="152"/>
      <c r="D431" s="164"/>
      <c r="E431" s="370"/>
      <c r="F431" s="224"/>
      <c r="G431" s="708"/>
      <c r="H431" s="708"/>
      <c r="I431" s="377"/>
      <c r="J431" s="708"/>
      <c r="K431" s="708"/>
      <c r="L431" s="377"/>
      <c r="M431" s="790"/>
      <c r="N431" s="224"/>
    </row>
    <row r="432" spans="1:14" ht="18.95" customHeight="1">
      <c r="A432" s="224"/>
      <c r="B432" s="468"/>
      <c r="C432" s="152"/>
      <c r="D432" s="164"/>
      <c r="E432" s="370"/>
      <c r="F432" s="382"/>
      <c r="G432" s="708"/>
      <c r="H432" s="708"/>
      <c r="I432" s="370"/>
      <c r="J432" s="708"/>
      <c r="K432" s="708"/>
      <c r="L432" s="370"/>
      <c r="M432" s="392"/>
      <c r="N432" s="224"/>
    </row>
    <row r="433" spans="1:14" ht="18.95" customHeight="1">
      <c r="A433" s="224"/>
      <c r="B433" s="468"/>
      <c r="C433" s="152"/>
      <c r="D433" s="164"/>
      <c r="E433" s="370"/>
      <c r="F433" s="224"/>
      <c r="G433" s="708"/>
      <c r="H433" s="708"/>
      <c r="I433" s="377"/>
      <c r="J433" s="708"/>
      <c r="K433" s="708"/>
      <c r="L433" s="377"/>
      <c r="M433" s="790"/>
      <c r="N433" s="224"/>
    </row>
    <row r="434" spans="1:14" ht="18.95" customHeight="1">
      <c r="A434" s="224"/>
      <c r="B434" s="468"/>
      <c r="C434" s="152"/>
      <c r="D434" s="164"/>
      <c r="E434" s="370"/>
      <c r="F434" s="382"/>
      <c r="G434" s="708"/>
      <c r="H434" s="708"/>
      <c r="I434" s="370"/>
      <c r="J434" s="708"/>
      <c r="K434" s="708"/>
      <c r="L434" s="370"/>
      <c r="M434" s="392"/>
      <c r="N434" s="224"/>
    </row>
    <row r="435" spans="1:14" ht="18.95" customHeight="1">
      <c r="A435" s="224"/>
      <c r="B435" s="415"/>
      <c r="C435" s="152"/>
      <c r="D435" s="167"/>
      <c r="E435" s="370"/>
      <c r="F435" s="224"/>
      <c r="G435" s="708"/>
      <c r="H435" s="708"/>
      <c r="I435" s="377"/>
      <c r="J435" s="708"/>
      <c r="K435" s="708"/>
      <c r="L435" s="377"/>
      <c r="M435" s="790"/>
      <c r="N435" s="224"/>
    </row>
    <row r="436" spans="1:14" ht="18.95" customHeight="1">
      <c r="A436" s="224"/>
      <c r="B436" s="415"/>
      <c r="C436" s="152"/>
      <c r="D436" s="168"/>
      <c r="E436" s="370"/>
      <c r="F436" s="382"/>
      <c r="G436" s="708"/>
      <c r="H436" s="708"/>
      <c r="I436" s="370"/>
      <c r="J436" s="708"/>
      <c r="K436" s="708"/>
      <c r="L436" s="370"/>
      <c r="M436" s="392"/>
      <c r="N436" s="224"/>
    </row>
    <row r="437" spans="1:14" ht="18.95" customHeight="1">
      <c r="A437" s="224"/>
      <c r="B437" s="468"/>
      <c r="C437" s="152"/>
      <c r="D437" s="180"/>
      <c r="E437" s="370"/>
      <c r="F437" s="224"/>
      <c r="G437" s="708"/>
      <c r="H437" s="708"/>
      <c r="I437" s="377"/>
      <c r="J437" s="708"/>
      <c r="K437" s="708"/>
      <c r="L437" s="377"/>
      <c r="M437" s="790"/>
      <c r="N437" s="224"/>
    </row>
    <row r="438" spans="1:14" ht="18.95" customHeight="1">
      <c r="A438" s="224"/>
      <c r="B438" s="468"/>
      <c r="C438" s="152"/>
      <c r="D438" s="167"/>
      <c r="E438" s="370"/>
      <c r="F438" s="382"/>
      <c r="G438" s="708"/>
      <c r="H438" s="708"/>
      <c r="I438" s="370"/>
      <c r="J438" s="708"/>
      <c r="K438" s="708"/>
      <c r="L438" s="370"/>
      <c r="M438" s="392"/>
      <c r="N438" s="224"/>
    </row>
    <row r="439" spans="1:14" ht="18.95" customHeight="1">
      <c r="A439" s="224"/>
      <c r="B439" s="468"/>
      <c r="C439" s="152"/>
      <c r="D439" s="180"/>
      <c r="E439" s="370"/>
      <c r="F439" s="224"/>
      <c r="G439" s="708"/>
      <c r="H439" s="708"/>
      <c r="I439" s="377"/>
      <c r="J439" s="708"/>
      <c r="K439" s="708"/>
      <c r="L439" s="377"/>
      <c r="M439" s="790"/>
      <c r="N439" s="224"/>
    </row>
    <row r="440" spans="1:14" ht="18.95" customHeight="1">
      <c r="A440" s="229"/>
      <c r="B440" s="468"/>
      <c r="C440" s="152"/>
      <c r="D440" s="167"/>
      <c r="E440" s="370"/>
      <c r="F440" s="382"/>
      <c r="G440" s="708"/>
      <c r="H440" s="708"/>
      <c r="I440" s="370"/>
      <c r="J440" s="708"/>
      <c r="K440" s="708"/>
      <c r="L440" s="370"/>
      <c r="M440" s="392"/>
      <c r="N440" s="224"/>
    </row>
    <row r="441" spans="1:14" ht="18.95" customHeight="1">
      <c r="A441" s="204"/>
      <c r="B441" s="468"/>
      <c r="C441" s="152"/>
      <c r="D441" s="230"/>
      <c r="E441" s="370"/>
      <c r="F441" s="224"/>
      <c r="G441" s="708"/>
      <c r="H441" s="708"/>
      <c r="I441" s="377"/>
      <c r="J441" s="708"/>
      <c r="K441" s="708"/>
      <c r="L441" s="377"/>
      <c r="M441" s="790"/>
      <c r="N441" s="224"/>
    </row>
    <row r="442" spans="1:14" ht="18.95" customHeight="1">
      <c r="A442" s="204"/>
      <c r="B442" s="468"/>
      <c r="C442" s="152"/>
      <c r="D442" s="230"/>
      <c r="E442" s="370"/>
      <c r="F442" s="382"/>
      <c r="G442" s="708"/>
      <c r="H442" s="708"/>
      <c r="I442" s="370"/>
      <c r="J442" s="708"/>
      <c r="K442" s="708"/>
      <c r="L442" s="370"/>
      <c r="M442" s="392"/>
      <c r="N442" s="224"/>
    </row>
    <row r="443" spans="1:14" ht="18.95" customHeight="1">
      <c r="A443" s="204"/>
      <c r="B443" s="468"/>
      <c r="C443" s="152"/>
      <c r="D443" s="164"/>
      <c r="E443" s="370"/>
      <c r="F443" s="224"/>
      <c r="G443" s="708"/>
      <c r="H443" s="708"/>
      <c r="I443" s="377"/>
      <c r="J443" s="708"/>
      <c r="K443" s="708"/>
      <c r="L443" s="377"/>
      <c r="M443" s="790"/>
      <c r="N443" s="224"/>
    </row>
    <row r="444" spans="1:14" ht="18.95" customHeight="1">
      <c r="A444" s="204"/>
      <c r="B444" s="468"/>
      <c r="C444" s="152"/>
      <c r="D444" s="164"/>
      <c r="E444" s="370"/>
      <c r="F444" s="382"/>
      <c r="G444" s="708"/>
      <c r="H444" s="708"/>
      <c r="I444" s="370"/>
      <c r="J444" s="708"/>
      <c r="K444" s="708"/>
      <c r="L444" s="370"/>
      <c r="M444" s="392"/>
      <c r="N444" s="224"/>
    </row>
    <row r="445" spans="1:14" ht="18.95" customHeight="1">
      <c r="A445" s="204"/>
      <c r="B445" s="215"/>
      <c r="C445" s="164"/>
      <c r="D445" s="164"/>
      <c r="E445" s="370"/>
      <c r="F445" s="224"/>
      <c r="G445" s="708"/>
      <c r="H445" s="708"/>
      <c r="I445" s="370"/>
      <c r="J445" s="708"/>
      <c r="K445" s="708"/>
      <c r="L445" s="370"/>
      <c r="M445" s="392"/>
      <c r="N445" s="224"/>
    </row>
    <row r="446" spans="1:14" ht="18.95" customHeight="1">
      <c r="A446" s="204"/>
      <c r="B446" s="215"/>
      <c r="C446" s="164"/>
      <c r="D446" s="164"/>
      <c r="E446" s="370"/>
      <c r="F446" s="224"/>
      <c r="G446" s="708"/>
      <c r="H446" s="708"/>
      <c r="I446" s="370"/>
      <c r="J446" s="708"/>
      <c r="K446" s="708"/>
      <c r="L446" s="370"/>
      <c r="M446" s="392"/>
      <c r="N446" s="224"/>
    </row>
    <row r="447" spans="1:14" ht="18.95" customHeight="1">
      <c r="A447" s="204"/>
      <c r="B447" s="215"/>
      <c r="C447" s="164"/>
      <c r="D447" s="164"/>
      <c r="E447" s="370"/>
      <c r="F447" s="382"/>
      <c r="G447" s="708"/>
      <c r="H447" s="708"/>
      <c r="I447" s="370"/>
      <c r="J447" s="708"/>
      <c r="K447" s="708"/>
      <c r="L447" s="370"/>
      <c r="M447" s="392"/>
      <c r="N447" s="224"/>
    </row>
    <row r="448" spans="1:14" ht="18.95" customHeight="1">
      <c r="A448" s="204"/>
      <c r="B448" s="215"/>
      <c r="C448" s="152"/>
      <c r="D448" s="180"/>
      <c r="E448" s="370"/>
      <c r="F448" s="224"/>
      <c r="G448" s="708"/>
      <c r="H448" s="708"/>
      <c r="I448" s="370"/>
      <c r="J448" s="708"/>
      <c r="K448" s="708"/>
      <c r="L448" s="370"/>
      <c r="M448" s="392"/>
      <c r="N448" s="224"/>
    </row>
    <row r="449" spans="1:14" ht="18.95" customHeight="1">
      <c r="A449" s="229"/>
      <c r="B449" s="1307"/>
      <c r="C449" s="1308"/>
      <c r="D449" s="1309"/>
      <c r="E449" s="370"/>
      <c r="F449" s="382"/>
      <c r="G449" s="708"/>
      <c r="H449" s="708"/>
      <c r="I449" s="370"/>
      <c r="J449" s="708"/>
      <c r="K449" s="708"/>
      <c r="L449" s="370"/>
      <c r="M449" s="456"/>
      <c r="N449" s="224"/>
    </row>
    <row r="450" spans="1:14" ht="18.95" customHeight="1">
      <c r="A450" s="226"/>
      <c r="B450" s="486"/>
      <c r="C450" s="171"/>
      <c r="D450" s="171"/>
      <c r="E450" s="461"/>
      <c r="F450" s="459"/>
      <c r="G450" s="709"/>
      <c r="H450" s="709"/>
      <c r="I450" s="461"/>
      <c r="J450" s="709"/>
      <c r="K450" s="709"/>
      <c r="L450" s="461"/>
      <c r="M450" s="797"/>
      <c r="N450" s="401"/>
    </row>
    <row r="451" spans="1:14" ht="18.95" customHeight="1">
      <c r="A451" s="246"/>
      <c r="B451" s="698"/>
      <c r="C451" s="228"/>
      <c r="D451" s="228"/>
      <c r="E451" s="472"/>
      <c r="F451" s="473"/>
      <c r="G451" s="707"/>
      <c r="H451" s="707"/>
      <c r="I451" s="472"/>
      <c r="J451" s="707"/>
      <c r="K451" s="707"/>
      <c r="L451" s="472"/>
      <c r="M451" s="804"/>
      <c r="N451" s="312"/>
    </row>
    <row r="452" spans="1:14" ht="18.95" customHeight="1">
      <c r="A452" s="229"/>
      <c r="B452" s="215"/>
      <c r="C452" s="164"/>
      <c r="D452" s="164"/>
      <c r="E452" s="370"/>
      <c r="F452" s="382"/>
      <c r="G452" s="708"/>
      <c r="H452" s="708"/>
      <c r="I452" s="370"/>
      <c r="J452" s="708"/>
      <c r="K452" s="708"/>
      <c r="L452" s="370"/>
      <c r="M452" s="392"/>
      <c r="N452" s="224"/>
    </row>
    <row r="453" spans="1:14" ht="18.95" customHeight="1">
      <c r="A453" s="229"/>
      <c r="B453" s="215"/>
      <c r="C453" s="164"/>
      <c r="D453" s="164"/>
      <c r="E453" s="370"/>
      <c r="F453" s="224"/>
      <c r="G453" s="708"/>
      <c r="H453" s="708"/>
      <c r="I453" s="370"/>
      <c r="J453" s="708"/>
      <c r="K453" s="708"/>
      <c r="L453" s="370"/>
      <c r="M453" s="392"/>
      <c r="N453" s="224"/>
    </row>
    <row r="454" spans="1:14" ht="18.95" customHeight="1">
      <c r="A454" s="229"/>
      <c r="B454" s="215"/>
      <c r="C454" s="164"/>
      <c r="D454" s="164"/>
      <c r="E454" s="370"/>
      <c r="F454" s="382"/>
      <c r="G454" s="708"/>
      <c r="H454" s="708"/>
      <c r="I454" s="370"/>
      <c r="J454" s="708"/>
      <c r="K454" s="708"/>
      <c r="L454" s="370"/>
      <c r="M454" s="392"/>
      <c r="N454" s="224"/>
    </row>
    <row r="455" spans="1:14" ht="18.95" customHeight="1">
      <c r="A455" s="229"/>
      <c r="B455" s="215"/>
      <c r="C455" s="152"/>
      <c r="D455" s="180"/>
      <c r="E455" s="370"/>
      <c r="F455" s="224"/>
      <c r="G455" s="708"/>
      <c r="H455" s="708"/>
      <c r="I455" s="370"/>
      <c r="J455" s="708"/>
      <c r="K455" s="708"/>
      <c r="L455" s="370"/>
      <c r="M455" s="392"/>
      <c r="N455" s="224"/>
    </row>
    <row r="456" spans="1:14" ht="18.95" customHeight="1">
      <c r="A456" s="229"/>
      <c r="B456" s="215"/>
      <c r="C456" s="164"/>
      <c r="D456" s="164"/>
      <c r="E456" s="370"/>
      <c r="F456" s="382"/>
      <c r="G456" s="708"/>
      <c r="H456" s="708"/>
      <c r="I456" s="370"/>
      <c r="J456" s="708"/>
      <c r="K456" s="708"/>
      <c r="L456" s="370"/>
      <c r="M456" s="392"/>
      <c r="N456" s="224"/>
    </row>
    <row r="457" spans="1:14" ht="18.95" customHeight="1">
      <c r="A457" s="229"/>
      <c r="B457" s="215"/>
      <c r="C457" s="164"/>
      <c r="D457" s="164"/>
      <c r="E457" s="370"/>
      <c r="F457" s="382"/>
      <c r="G457" s="708"/>
      <c r="H457" s="708"/>
      <c r="I457" s="370"/>
      <c r="J457" s="708"/>
      <c r="K457" s="708"/>
      <c r="L457" s="370"/>
      <c r="M457" s="392"/>
      <c r="N457" s="224"/>
    </row>
    <row r="458" spans="1:14" ht="18.95" customHeight="1">
      <c r="A458" s="229"/>
      <c r="B458" s="215"/>
      <c r="C458" s="164"/>
      <c r="D458" s="164"/>
      <c r="E458" s="370"/>
      <c r="F458" s="382"/>
      <c r="G458" s="708"/>
      <c r="H458" s="708"/>
      <c r="I458" s="370"/>
      <c r="J458" s="708"/>
      <c r="K458" s="708"/>
      <c r="L458" s="370"/>
      <c r="M458" s="392"/>
      <c r="N458" s="224"/>
    </row>
    <row r="459" spans="1:14" ht="18.95" customHeight="1">
      <c r="A459" s="229"/>
      <c r="B459" s="215"/>
      <c r="C459" s="164"/>
      <c r="D459" s="164"/>
      <c r="E459" s="370"/>
      <c r="F459" s="382"/>
      <c r="G459" s="708"/>
      <c r="H459" s="708"/>
      <c r="I459" s="370"/>
      <c r="J459" s="708"/>
      <c r="K459" s="708"/>
      <c r="L459" s="370"/>
      <c r="M459" s="392"/>
      <c r="N459" s="224"/>
    </row>
    <row r="460" spans="1:14" ht="18.95" customHeight="1">
      <c r="A460" s="229"/>
      <c r="B460" s="215"/>
      <c r="C460" s="164"/>
      <c r="D460" s="164"/>
      <c r="E460" s="370"/>
      <c r="F460" s="382"/>
      <c r="G460" s="708"/>
      <c r="H460" s="708"/>
      <c r="I460" s="370"/>
      <c r="J460" s="708"/>
      <c r="K460" s="708"/>
      <c r="L460" s="370"/>
      <c r="M460" s="392"/>
      <c r="N460" s="224"/>
    </row>
    <row r="461" spans="1:14" ht="18.95" customHeight="1">
      <c r="A461" s="229"/>
      <c r="B461" s="1307"/>
      <c r="C461" s="1308"/>
      <c r="D461" s="1309"/>
      <c r="E461" s="370"/>
      <c r="F461" s="382"/>
      <c r="G461" s="708"/>
      <c r="H461" s="708"/>
      <c r="I461" s="370"/>
      <c r="J461" s="708"/>
      <c r="K461" s="708"/>
      <c r="L461" s="370"/>
      <c r="M461" s="456"/>
      <c r="N461" s="224"/>
    </row>
    <row r="462" spans="1:14" ht="18.95" customHeight="1">
      <c r="A462" s="229"/>
      <c r="B462" s="215"/>
      <c r="C462" s="164"/>
      <c r="D462" s="164"/>
      <c r="E462" s="370"/>
      <c r="F462" s="382"/>
      <c r="G462" s="708"/>
      <c r="H462" s="708"/>
      <c r="I462" s="370"/>
      <c r="J462" s="708"/>
      <c r="K462" s="708"/>
      <c r="L462" s="370"/>
      <c r="M462" s="392"/>
      <c r="N462" s="224"/>
    </row>
    <row r="463" spans="1:14" ht="18.95" customHeight="1">
      <c r="A463" s="229"/>
      <c r="B463" s="215"/>
      <c r="C463" s="164"/>
      <c r="D463" s="164"/>
      <c r="E463" s="370"/>
      <c r="F463" s="382"/>
      <c r="G463" s="708"/>
      <c r="H463" s="708"/>
      <c r="I463" s="370"/>
      <c r="J463" s="708"/>
      <c r="K463" s="708"/>
      <c r="L463" s="370"/>
      <c r="M463" s="392"/>
      <c r="N463" s="224"/>
    </row>
    <row r="464" spans="1:14" ht="18.95" customHeight="1">
      <c r="A464" s="229"/>
      <c r="B464" s="215"/>
      <c r="C464" s="164"/>
      <c r="D464" s="164"/>
      <c r="E464" s="370"/>
      <c r="F464" s="382"/>
      <c r="G464" s="708"/>
      <c r="H464" s="708"/>
      <c r="I464" s="370"/>
      <c r="J464" s="708"/>
      <c r="K464" s="708"/>
      <c r="L464" s="370"/>
      <c r="M464" s="392"/>
      <c r="N464" s="224"/>
    </row>
    <row r="465" spans="1:14" ht="18.95" customHeight="1">
      <c r="A465" s="229"/>
      <c r="B465" s="215"/>
      <c r="C465" s="164"/>
      <c r="D465" s="164"/>
      <c r="E465" s="370"/>
      <c r="F465" s="382"/>
      <c r="G465" s="708"/>
      <c r="H465" s="708"/>
      <c r="I465" s="370"/>
      <c r="J465" s="708"/>
      <c r="K465" s="708"/>
      <c r="L465" s="370"/>
      <c r="M465" s="392"/>
      <c r="N465" s="224"/>
    </row>
    <row r="466" spans="1:14" ht="18.95" customHeight="1">
      <c r="A466" s="229"/>
      <c r="B466" s="215"/>
      <c r="C466" s="164"/>
      <c r="D466" s="164"/>
      <c r="E466" s="370"/>
      <c r="F466" s="382"/>
      <c r="G466" s="708"/>
      <c r="H466" s="708"/>
      <c r="I466" s="370"/>
      <c r="J466" s="708"/>
      <c r="K466" s="708"/>
      <c r="L466" s="370"/>
      <c r="M466" s="392"/>
      <c r="N466" s="224"/>
    </row>
    <row r="467" spans="1:14" ht="18.95" customHeight="1">
      <c r="A467" s="229"/>
      <c r="B467" s="215"/>
      <c r="C467" s="164"/>
      <c r="D467" s="164"/>
      <c r="E467" s="370"/>
      <c r="F467" s="382"/>
      <c r="G467" s="708"/>
      <c r="H467" s="708"/>
      <c r="I467" s="370"/>
      <c r="J467" s="708"/>
      <c r="K467" s="708"/>
      <c r="L467" s="370"/>
      <c r="M467" s="392"/>
      <c r="N467" s="224"/>
    </row>
    <row r="468" spans="1:14" ht="18.95" customHeight="1">
      <c r="A468" s="229"/>
      <c r="B468" s="215"/>
      <c r="C468" s="164"/>
      <c r="D468" s="164"/>
      <c r="E468" s="370"/>
      <c r="F468" s="382"/>
      <c r="G468" s="708"/>
      <c r="H468" s="708"/>
      <c r="I468" s="370"/>
      <c r="J468" s="708"/>
      <c r="K468" s="708"/>
      <c r="L468" s="370"/>
      <c r="M468" s="392"/>
      <c r="N468" s="224"/>
    </row>
    <row r="469" spans="1:14" ht="18.95" customHeight="1">
      <c r="A469" s="229"/>
      <c r="B469" s="215"/>
      <c r="C469" s="164"/>
      <c r="D469" s="164"/>
      <c r="E469" s="370"/>
      <c r="F469" s="382"/>
      <c r="G469" s="708"/>
      <c r="H469" s="708"/>
      <c r="I469" s="370"/>
      <c r="J469" s="708"/>
      <c r="K469" s="708"/>
      <c r="L469" s="370"/>
      <c r="M469" s="392"/>
      <c r="N469" s="224"/>
    </row>
    <row r="470" spans="1:14" ht="18.95" customHeight="1">
      <c r="A470" s="229"/>
      <c r="B470" s="215"/>
      <c r="C470" s="164"/>
      <c r="D470" s="164"/>
      <c r="E470" s="370"/>
      <c r="F470" s="382"/>
      <c r="G470" s="708"/>
      <c r="H470" s="708"/>
      <c r="I470" s="370"/>
      <c r="J470" s="708"/>
      <c r="K470" s="708"/>
      <c r="L470" s="370"/>
      <c r="M470" s="392"/>
      <c r="N470" s="224"/>
    </row>
    <row r="471" spans="1:14" ht="18.95" customHeight="1">
      <c r="A471" s="229"/>
      <c r="B471" s="215"/>
      <c r="C471" s="164"/>
      <c r="D471" s="164"/>
      <c r="E471" s="370"/>
      <c r="F471" s="382"/>
      <c r="G471" s="708"/>
      <c r="H471" s="708"/>
      <c r="I471" s="370"/>
      <c r="J471" s="708"/>
      <c r="K471" s="708"/>
      <c r="L471" s="370"/>
      <c r="M471" s="392"/>
      <c r="N471" s="224"/>
    </row>
    <row r="472" spans="1:14" ht="18.95" customHeight="1">
      <c r="A472" s="229"/>
      <c r="B472" s="215"/>
      <c r="C472" s="164"/>
      <c r="D472" s="164"/>
      <c r="E472" s="370"/>
      <c r="F472" s="382"/>
      <c r="G472" s="708"/>
      <c r="H472" s="708"/>
      <c r="I472" s="370"/>
      <c r="J472" s="708"/>
      <c r="K472" s="708"/>
      <c r="L472" s="370"/>
      <c r="M472" s="392"/>
      <c r="N472" s="224"/>
    </row>
    <row r="473" spans="1:14" ht="18.95" customHeight="1">
      <c r="A473" s="229"/>
      <c r="B473" s="215"/>
      <c r="C473" s="164"/>
      <c r="D473" s="164"/>
      <c r="E473" s="370"/>
      <c r="F473" s="382"/>
      <c r="G473" s="708"/>
      <c r="H473" s="708"/>
      <c r="I473" s="370"/>
      <c r="J473" s="708"/>
      <c r="K473" s="708"/>
      <c r="L473" s="370"/>
      <c r="M473" s="392"/>
      <c r="N473" s="224"/>
    </row>
    <row r="474" spans="1:14" ht="18.95" customHeight="1">
      <c r="A474" s="229"/>
      <c r="B474" s="215"/>
      <c r="C474" s="164"/>
      <c r="D474" s="164"/>
      <c r="E474" s="370"/>
      <c r="F474" s="382"/>
      <c r="G474" s="708"/>
      <c r="H474" s="708"/>
      <c r="I474" s="370"/>
      <c r="J474" s="708"/>
      <c r="K474" s="708"/>
      <c r="L474" s="370"/>
      <c r="M474" s="392"/>
      <c r="N474" s="224"/>
    </row>
    <row r="475" spans="1:14" ht="18.95" customHeight="1">
      <c r="A475" s="229"/>
      <c r="B475" s="215"/>
      <c r="C475" s="164"/>
      <c r="D475" s="164"/>
      <c r="E475" s="370"/>
      <c r="F475" s="382"/>
      <c r="G475" s="708"/>
      <c r="H475" s="708"/>
      <c r="I475" s="370"/>
      <c r="J475" s="708"/>
      <c r="K475" s="708"/>
      <c r="L475" s="370"/>
      <c r="M475" s="392"/>
      <c r="N475" s="224"/>
    </row>
    <row r="476" spans="1:14" ht="18.95" customHeight="1">
      <c r="A476" s="229"/>
      <c r="B476" s="215"/>
      <c r="C476" s="164"/>
      <c r="D476" s="164"/>
      <c r="E476" s="370"/>
      <c r="F476" s="382"/>
      <c r="G476" s="708"/>
      <c r="H476" s="708"/>
      <c r="I476" s="370"/>
      <c r="J476" s="708"/>
      <c r="K476" s="708"/>
      <c r="L476" s="370"/>
      <c r="M476" s="392"/>
      <c r="N476" s="224"/>
    </row>
    <row r="477" spans="1:14" ht="18.95" customHeight="1">
      <c r="A477" s="229"/>
      <c r="B477" s="215"/>
      <c r="C477" s="164"/>
      <c r="D477" s="164"/>
      <c r="E477" s="370"/>
      <c r="F477" s="382"/>
      <c r="G477" s="708"/>
      <c r="H477" s="708"/>
      <c r="I477" s="370"/>
      <c r="J477" s="708"/>
      <c r="K477" s="708"/>
      <c r="L477" s="370"/>
      <c r="M477" s="392"/>
      <c r="N477" s="224"/>
    </row>
    <row r="478" spans="1:14" ht="18.95" customHeight="1">
      <c r="A478" s="226"/>
      <c r="B478" s="486"/>
      <c r="C478" s="171"/>
      <c r="D478" s="171"/>
      <c r="E478" s="461"/>
      <c r="F478" s="459"/>
      <c r="G478" s="709"/>
      <c r="H478" s="709"/>
      <c r="I478" s="461"/>
      <c r="J478" s="709"/>
      <c r="K478" s="709"/>
      <c r="L478" s="461"/>
      <c r="M478" s="797"/>
      <c r="N478" s="401"/>
    </row>
    <row r="479" spans="1:14" ht="18.95" customHeight="1">
      <c r="A479" s="183"/>
      <c r="B479" s="666"/>
      <c r="C479" s="159"/>
      <c r="D479" s="231"/>
      <c r="E479" s="710"/>
      <c r="F479" s="711"/>
      <c r="G479" s="712"/>
      <c r="H479" s="712"/>
      <c r="I479" s="713"/>
      <c r="J479" s="712"/>
      <c r="K479" s="712"/>
      <c r="L479" s="713"/>
      <c r="M479" s="805"/>
      <c r="N479" s="312"/>
    </row>
    <row r="480" spans="1:14" ht="18.95" customHeight="1">
      <c r="A480" s="223"/>
      <c r="B480" s="714"/>
      <c r="C480" s="152"/>
      <c r="D480" s="162"/>
      <c r="E480" s="367"/>
      <c r="F480" s="715"/>
      <c r="G480" s="716"/>
      <c r="H480" s="1173"/>
      <c r="I480" s="367"/>
      <c r="J480" s="717"/>
      <c r="K480" s="717"/>
      <c r="L480" s="372"/>
      <c r="M480" s="368"/>
      <c r="N480" s="362"/>
    </row>
    <row r="481" spans="1:14" ht="18.95" customHeight="1">
      <c r="A481" s="202"/>
      <c r="B481" s="215"/>
      <c r="C481" s="164"/>
      <c r="D481" s="164"/>
      <c r="E481" s="370"/>
      <c r="F481" s="382"/>
      <c r="G481" s="377"/>
      <c r="H481" s="377"/>
      <c r="I481" s="377"/>
      <c r="J481" s="377"/>
      <c r="K481" s="377"/>
      <c r="L481" s="377"/>
      <c r="M481" s="790"/>
      <c r="N481" s="370"/>
    </row>
    <row r="482" spans="1:14" ht="18.95" customHeight="1">
      <c r="A482" s="149"/>
      <c r="B482" s="215"/>
      <c r="C482" s="164"/>
      <c r="D482" s="164"/>
      <c r="E482" s="370"/>
      <c r="F482" s="382"/>
      <c r="G482" s="377"/>
      <c r="H482" s="377"/>
      <c r="I482" s="377"/>
      <c r="J482" s="377"/>
      <c r="K482" s="377"/>
      <c r="L482" s="377"/>
      <c r="M482" s="790"/>
      <c r="N482" s="370"/>
    </row>
    <row r="483" spans="1:14" ht="18.95" customHeight="1">
      <c r="A483" s="202"/>
      <c r="B483" s="215"/>
      <c r="C483" s="164"/>
      <c r="D483" s="164"/>
      <c r="E483" s="370"/>
      <c r="F483" s="382"/>
      <c r="G483" s="377"/>
      <c r="H483" s="377"/>
      <c r="I483" s="377"/>
      <c r="J483" s="377"/>
      <c r="K483" s="377"/>
      <c r="L483" s="377"/>
      <c r="M483" s="790"/>
      <c r="N483" s="370"/>
    </row>
    <row r="484" spans="1:14" ht="18.95" customHeight="1">
      <c r="A484" s="149"/>
      <c r="B484" s="215"/>
      <c r="C484" s="164"/>
      <c r="D484" s="164"/>
      <c r="E484" s="370"/>
      <c r="F484" s="382"/>
      <c r="G484" s="377"/>
      <c r="H484" s="377"/>
      <c r="I484" s="377"/>
      <c r="J484" s="377"/>
      <c r="K484" s="377"/>
      <c r="L484" s="377"/>
      <c r="M484" s="790"/>
      <c r="N484" s="370"/>
    </row>
    <row r="485" spans="1:14" ht="18.95" customHeight="1">
      <c r="A485" s="202"/>
      <c r="B485" s="215"/>
      <c r="C485" s="164"/>
      <c r="D485" s="164"/>
      <c r="E485" s="370"/>
      <c r="F485" s="382"/>
      <c r="G485" s="370"/>
      <c r="H485" s="370"/>
      <c r="I485" s="377"/>
      <c r="J485" s="370"/>
      <c r="K485" s="370"/>
      <c r="L485" s="377"/>
      <c r="M485" s="790"/>
      <c r="N485" s="370"/>
    </row>
    <row r="486" spans="1:14" ht="18.95" customHeight="1">
      <c r="A486" s="202"/>
      <c r="B486" s="215"/>
      <c r="C486" s="164"/>
      <c r="D486" s="164"/>
      <c r="E486" s="370"/>
      <c r="F486" s="382"/>
      <c r="G486" s="377"/>
      <c r="H486" s="377"/>
      <c r="I486" s="377"/>
      <c r="J486" s="377"/>
      <c r="K486" s="377"/>
      <c r="L486" s="377"/>
      <c r="M486" s="790"/>
      <c r="N486" s="370"/>
    </row>
    <row r="487" spans="1:14" ht="18.95" customHeight="1">
      <c r="A487" s="149"/>
      <c r="B487" s="215"/>
      <c r="C487" s="164"/>
      <c r="D487" s="164"/>
      <c r="E487" s="370"/>
      <c r="F487" s="382"/>
      <c r="G487" s="377"/>
      <c r="H487" s="377"/>
      <c r="I487" s="377"/>
      <c r="J487" s="377"/>
      <c r="K487" s="377"/>
      <c r="L487" s="377"/>
      <c r="M487" s="790"/>
      <c r="N487" s="370"/>
    </row>
    <row r="488" spans="1:14" ht="18.95" customHeight="1">
      <c r="A488" s="202"/>
      <c r="B488" s="215"/>
      <c r="C488" s="164"/>
      <c r="D488" s="164"/>
      <c r="E488" s="370"/>
      <c r="F488" s="382"/>
      <c r="G488" s="377"/>
      <c r="H488" s="377"/>
      <c r="I488" s="377"/>
      <c r="J488" s="377"/>
      <c r="K488" s="377"/>
      <c r="L488" s="377"/>
      <c r="M488" s="790"/>
      <c r="N488" s="224"/>
    </row>
    <row r="489" spans="1:14" ht="18.95" customHeight="1">
      <c r="A489" s="149"/>
      <c r="B489" s="215"/>
      <c r="C489" s="164"/>
      <c r="D489" s="164"/>
      <c r="E489" s="370"/>
      <c r="F489" s="382"/>
      <c r="G489" s="377"/>
      <c r="H489" s="377"/>
      <c r="I489" s="377"/>
      <c r="J489" s="377"/>
      <c r="K489" s="377"/>
      <c r="L489" s="377"/>
      <c r="M489" s="790"/>
      <c r="N489" s="224"/>
    </row>
    <row r="490" spans="1:14" ht="18.95" customHeight="1">
      <c r="A490" s="149"/>
      <c r="B490" s="215"/>
      <c r="C490" s="164"/>
      <c r="D490" s="164"/>
      <c r="E490" s="370"/>
      <c r="F490" s="382"/>
      <c r="G490" s="377"/>
      <c r="H490" s="377"/>
      <c r="I490" s="377"/>
      <c r="J490" s="377"/>
      <c r="K490" s="377"/>
      <c r="L490" s="377"/>
      <c r="M490" s="790"/>
      <c r="N490" s="224"/>
    </row>
    <row r="491" spans="1:14" ht="18.95" customHeight="1">
      <c r="A491" s="207"/>
      <c r="B491" s="415"/>
      <c r="C491" s="179"/>
      <c r="D491" s="180"/>
      <c r="E491" s="370"/>
      <c r="F491" s="382"/>
      <c r="G491" s="377"/>
      <c r="H491" s="377"/>
      <c r="I491" s="377"/>
      <c r="J491" s="377"/>
      <c r="K491" s="377"/>
      <c r="L491" s="377"/>
      <c r="M491" s="790"/>
      <c r="N491" s="224"/>
    </row>
    <row r="492" spans="1:14" ht="18.95" customHeight="1">
      <c r="A492" s="149"/>
      <c r="B492" s="215"/>
      <c r="C492" s="152"/>
      <c r="D492" s="165"/>
      <c r="E492" s="367"/>
      <c r="F492" s="382"/>
      <c r="G492" s="377"/>
      <c r="H492" s="377"/>
      <c r="I492" s="377"/>
      <c r="J492" s="377"/>
      <c r="K492" s="377"/>
      <c r="L492" s="377"/>
      <c r="M492" s="790"/>
      <c r="N492" s="224"/>
    </row>
    <row r="493" spans="1:14" ht="18.95" customHeight="1">
      <c r="A493" s="139"/>
      <c r="B493" s="215"/>
      <c r="C493" s="164"/>
      <c r="D493" s="165"/>
      <c r="E493" s="367"/>
      <c r="F493" s="382"/>
      <c r="G493" s="377"/>
      <c r="H493" s="377"/>
      <c r="I493" s="377"/>
      <c r="J493" s="377"/>
      <c r="K493" s="377"/>
      <c r="L493" s="377"/>
      <c r="M493" s="790"/>
      <c r="N493" s="224"/>
    </row>
    <row r="494" spans="1:14" ht="18.95" customHeight="1">
      <c r="A494" s="139"/>
      <c r="B494" s="215"/>
      <c r="C494" s="164"/>
      <c r="D494" s="165"/>
      <c r="E494" s="367"/>
      <c r="F494" s="382"/>
      <c r="G494" s="377"/>
      <c r="H494" s="377"/>
      <c r="I494" s="377"/>
      <c r="J494" s="377"/>
      <c r="K494" s="377"/>
      <c r="L494" s="377"/>
      <c r="M494" s="790"/>
      <c r="N494" s="224"/>
    </row>
    <row r="495" spans="1:14" ht="18.95" customHeight="1">
      <c r="A495" s="139"/>
      <c r="B495" s="215"/>
      <c r="C495" s="164"/>
      <c r="D495" s="165"/>
      <c r="E495" s="367"/>
      <c r="F495" s="382"/>
      <c r="G495" s="377"/>
      <c r="H495" s="377"/>
      <c r="I495" s="377"/>
      <c r="J495" s="377"/>
      <c r="K495" s="377"/>
      <c r="L495" s="377"/>
      <c r="M495" s="790"/>
      <c r="N495" s="224"/>
    </row>
    <row r="496" spans="1:14" ht="18.95" customHeight="1">
      <c r="A496" s="139"/>
      <c r="B496" s="215"/>
      <c r="C496" s="164"/>
      <c r="D496" s="165"/>
      <c r="E496" s="367"/>
      <c r="F496" s="382"/>
      <c r="G496" s="377"/>
      <c r="H496" s="377"/>
      <c r="I496" s="377"/>
      <c r="J496" s="377"/>
      <c r="K496" s="377"/>
      <c r="L496" s="377"/>
      <c r="M496" s="790"/>
      <c r="N496" s="224"/>
    </row>
    <row r="497" spans="1:14" ht="18.95" customHeight="1">
      <c r="A497" s="139"/>
      <c r="B497" s="215"/>
      <c r="C497" s="152"/>
      <c r="D497" s="167"/>
      <c r="E497" s="367"/>
      <c r="F497" s="382"/>
      <c r="G497" s="377"/>
      <c r="H497" s="377"/>
      <c r="I497" s="377"/>
      <c r="J497" s="377"/>
      <c r="K497" s="377"/>
      <c r="L497" s="377"/>
      <c r="M497" s="790"/>
      <c r="N497" s="224"/>
    </row>
    <row r="498" spans="1:14" ht="18.95" customHeight="1">
      <c r="A498" s="201"/>
      <c r="B498" s="718"/>
      <c r="C498" s="232"/>
      <c r="D498" s="162"/>
      <c r="E498" s="367"/>
      <c r="F498" s="382"/>
      <c r="G498" s="377"/>
      <c r="H498" s="377"/>
      <c r="I498" s="377"/>
      <c r="J498" s="377"/>
      <c r="K498" s="377"/>
      <c r="L498" s="377"/>
      <c r="M498" s="790"/>
      <c r="N498" s="224"/>
    </row>
    <row r="499" spans="1:14" ht="18.95" customHeight="1">
      <c r="A499" s="141"/>
      <c r="B499" s="215"/>
      <c r="C499" s="233"/>
      <c r="D499" s="719"/>
      <c r="E499" s="367"/>
      <c r="F499" s="382"/>
      <c r="G499" s="377"/>
      <c r="H499" s="377"/>
      <c r="I499" s="377"/>
      <c r="J499" s="377"/>
      <c r="K499" s="377"/>
      <c r="L499" s="377"/>
      <c r="M499" s="790"/>
      <c r="N499" s="224"/>
    </row>
    <row r="500" spans="1:14" ht="18.95" customHeight="1">
      <c r="A500" s="141"/>
      <c r="B500" s="417"/>
      <c r="C500" s="234"/>
      <c r="D500" s="167"/>
      <c r="E500" s="370"/>
      <c r="F500" s="382"/>
      <c r="G500" s="377"/>
      <c r="H500" s="377"/>
      <c r="I500" s="377"/>
      <c r="J500" s="377"/>
      <c r="K500" s="377"/>
      <c r="L500" s="377"/>
      <c r="M500" s="790"/>
      <c r="N500" s="224"/>
    </row>
    <row r="501" spans="1:14" ht="18.95" customHeight="1">
      <c r="A501" s="139"/>
      <c r="B501" s="415"/>
      <c r="C501" s="153"/>
      <c r="D501" s="167"/>
      <c r="E501" s="370"/>
      <c r="F501" s="382"/>
      <c r="G501" s="377"/>
      <c r="H501" s="377"/>
      <c r="I501" s="377"/>
      <c r="J501" s="377"/>
      <c r="K501" s="377"/>
      <c r="L501" s="377"/>
      <c r="M501" s="790"/>
      <c r="N501" s="224"/>
    </row>
    <row r="502" spans="1:14" ht="18.95" customHeight="1">
      <c r="A502" s="139"/>
      <c r="B502" s="415"/>
      <c r="C502" s="153"/>
      <c r="D502" s="235"/>
      <c r="E502" s="370"/>
      <c r="F502" s="382"/>
      <c r="G502" s="377"/>
      <c r="H502" s="377"/>
      <c r="I502" s="377"/>
      <c r="J502" s="377"/>
      <c r="K502" s="377"/>
      <c r="L502" s="377"/>
      <c r="M502" s="790"/>
      <c r="N502" s="224"/>
    </row>
    <row r="503" spans="1:14" ht="18.95" customHeight="1">
      <c r="A503" s="139"/>
      <c r="B503" s="415"/>
      <c r="C503" s="153"/>
      <c r="D503" s="235"/>
      <c r="E503" s="370"/>
      <c r="F503" s="382"/>
      <c r="G503" s="377"/>
      <c r="H503" s="377"/>
      <c r="I503" s="377"/>
      <c r="J503" s="377"/>
      <c r="K503" s="377"/>
      <c r="L503" s="377"/>
      <c r="M503" s="790"/>
      <c r="N503" s="224"/>
    </row>
    <row r="504" spans="1:14" ht="18.95" customHeight="1">
      <c r="A504" s="141"/>
      <c r="B504" s="415"/>
      <c r="C504" s="164"/>
      <c r="D504" s="164"/>
      <c r="E504" s="370"/>
      <c r="F504" s="382"/>
      <c r="G504" s="377"/>
      <c r="H504" s="377"/>
      <c r="I504" s="377"/>
      <c r="J504" s="377"/>
      <c r="K504" s="377"/>
      <c r="L504" s="377"/>
      <c r="M504" s="790"/>
      <c r="N504" s="224"/>
    </row>
    <row r="505" spans="1:14" ht="18.95" customHeight="1">
      <c r="A505" s="141"/>
      <c r="B505" s="215"/>
      <c r="C505" s="164"/>
      <c r="D505" s="164"/>
      <c r="E505" s="370"/>
      <c r="F505" s="382"/>
      <c r="G505" s="377"/>
      <c r="H505" s="377"/>
      <c r="I505" s="377"/>
      <c r="J505" s="377"/>
      <c r="K505" s="377"/>
      <c r="L505" s="377"/>
      <c r="M505" s="790"/>
      <c r="N505" s="224"/>
    </row>
    <row r="506" spans="1:14" ht="18.95" customHeight="1">
      <c r="A506" s="226"/>
      <c r="B506" s="486"/>
      <c r="C506" s="171"/>
      <c r="D506" s="171"/>
      <c r="E506" s="461"/>
      <c r="F506" s="459"/>
      <c r="G506" s="461"/>
      <c r="H506" s="461"/>
      <c r="I506" s="461"/>
      <c r="J506" s="461"/>
      <c r="K506" s="461"/>
      <c r="L506" s="461"/>
      <c r="M506" s="797"/>
      <c r="N506" s="401"/>
    </row>
    <row r="507" spans="1:14" ht="18.95" customHeight="1">
      <c r="A507" s="222"/>
      <c r="B507" s="720"/>
      <c r="C507" s="721"/>
      <c r="D507" s="722"/>
      <c r="E507" s="472"/>
      <c r="F507" s="473"/>
      <c r="G507" s="691"/>
      <c r="H507" s="691"/>
      <c r="I507" s="691"/>
      <c r="J507" s="691"/>
      <c r="K507" s="691"/>
      <c r="L507" s="691"/>
      <c r="M507" s="795"/>
      <c r="N507" s="312"/>
    </row>
    <row r="508" spans="1:14" ht="18.95" customHeight="1">
      <c r="A508" s="201"/>
      <c r="B508" s="485"/>
      <c r="C508" s="179"/>
      <c r="D508" s="162"/>
      <c r="E508" s="367"/>
      <c r="F508" s="715"/>
      <c r="G508" s="377"/>
      <c r="H508" s="377"/>
      <c r="I508" s="377"/>
      <c r="J508" s="377"/>
      <c r="K508" s="377"/>
      <c r="L508" s="377"/>
      <c r="M508" s="790"/>
      <c r="N508" s="370"/>
    </row>
    <row r="509" spans="1:14" ht="18.95" customHeight="1">
      <c r="A509" s="201"/>
      <c r="B509" s="485"/>
      <c r="C509" s="164"/>
      <c r="D509" s="162"/>
      <c r="E509" s="370"/>
      <c r="F509" s="382"/>
      <c r="G509" s="377"/>
      <c r="H509" s="377"/>
      <c r="I509" s="377"/>
      <c r="J509" s="377"/>
      <c r="K509" s="377"/>
      <c r="L509" s="377"/>
      <c r="M509" s="790"/>
      <c r="N509" s="370"/>
    </row>
    <row r="510" spans="1:14" ht="18.95" customHeight="1">
      <c r="A510" s="201"/>
      <c r="B510" s="215"/>
      <c r="C510" s="152"/>
      <c r="D510" s="167"/>
      <c r="E510" s="396"/>
      <c r="F510" s="382"/>
      <c r="G510" s="370"/>
      <c r="H510" s="370"/>
      <c r="I510" s="377"/>
      <c r="J510" s="370"/>
      <c r="K510" s="370"/>
      <c r="L510" s="377"/>
      <c r="M510" s="790"/>
      <c r="N510" s="370"/>
    </row>
    <row r="511" spans="1:14" ht="18.95" customHeight="1">
      <c r="A511" s="203"/>
      <c r="B511" s="215"/>
      <c r="C511" s="164"/>
      <c r="D511" s="162"/>
      <c r="E511" s="396"/>
      <c r="F511" s="464"/>
      <c r="G511" s="370"/>
      <c r="H511" s="370"/>
      <c r="I511" s="370"/>
      <c r="J511" s="370"/>
      <c r="K511" s="370"/>
      <c r="L511" s="370"/>
      <c r="M511" s="392"/>
      <c r="N511" s="370"/>
    </row>
    <row r="512" spans="1:14" ht="18.95" customHeight="1">
      <c r="A512" s="203"/>
      <c r="B512" s="1307"/>
      <c r="C512" s="1308"/>
      <c r="D512" s="1309"/>
      <c r="E512" s="370"/>
      <c r="F512" s="382"/>
      <c r="G512" s="377"/>
      <c r="H512" s="377"/>
      <c r="I512" s="367"/>
      <c r="J512" s="377"/>
      <c r="K512" s="377"/>
      <c r="L512" s="372"/>
      <c r="M512" s="803"/>
      <c r="N512" s="370"/>
    </row>
    <row r="513" spans="1:14" ht="18.95" customHeight="1">
      <c r="A513" s="201"/>
      <c r="B513" s="149"/>
      <c r="C513" s="164"/>
      <c r="D513" s="162"/>
      <c r="E513" s="396"/>
      <c r="F513" s="464"/>
      <c r="G513" s="391"/>
      <c r="H513" s="391"/>
      <c r="I513" s="370"/>
      <c r="J513" s="370"/>
      <c r="K513" s="370"/>
      <c r="L513" s="370"/>
      <c r="M513" s="392"/>
      <c r="N513" s="370"/>
    </row>
    <row r="514" spans="1:14" ht="18.95" customHeight="1">
      <c r="A514" s="201"/>
      <c r="B514" s="215"/>
      <c r="C514" s="164"/>
      <c r="D514" s="162"/>
      <c r="E514" s="396"/>
      <c r="F514" s="464"/>
      <c r="G514" s="391"/>
      <c r="H514" s="391"/>
      <c r="I514" s="370"/>
      <c r="J514" s="370"/>
      <c r="K514" s="370"/>
      <c r="L514" s="370"/>
      <c r="M514" s="392"/>
      <c r="N514" s="370"/>
    </row>
    <row r="515" spans="1:14" ht="18.95" customHeight="1">
      <c r="A515" s="203"/>
      <c r="B515" s="149"/>
      <c r="C515" s="164"/>
      <c r="D515" s="162"/>
      <c r="E515" s="370"/>
      <c r="F515" s="382"/>
      <c r="G515" s="377"/>
      <c r="H515" s="377"/>
      <c r="I515" s="367"/>
      <c r="J515" s="377"/>
      <c r="K515" s="377"/>
      <c r="L515" s="372"/>
      <c r="M515" s="790"/>
      <c r="N515" s="224"/>
    </row>
    <row r="516" spans="1:14" ht="18.95" customHeight="1">
      <c r="A516" s="203"/>
      <c r="B516" s="149"/>
      <c r="C516" s="164"/>
      <c r="D516" s="167"/>
      <c r="E516" s="396"/>
      <c r="F516" s="464"/>
      <c r="G516" s="391"/>
      <c r="H516" s="391"/>
      <c r="I516" s="370"/>
      <c r="J516" s="370"/>
      <c r="K516" s="370"/>
      <c r="L516" s="370"/>
      <c r="M516" s="392"/>
      <c r="N516" s="224"/>
    </row>
    <row r="517" spans="1:14" ht="18.95" customHeight="1">
      <c r="A517" s="203"/>
      <c r="B517" s="149"/>
      <c r="C517" s="164"/>
      <c r="D517" s="167"/>
      <c r="E517" s="396"/>
      <c r="F517" s="464"/>
      <c r="G517" s="391"/>
      <c r="H517" s="391"/>
      <c r="I517" s="370"/>
      <c r="J517" s="370"/>
      <c r="K517" s="370"/>
      <c r="L517" s="370"/>
      <c r="M517" s="392"/>
      <c r="N517" s="224"/>
    </row>
    <row r="518" spans="1:14" ht="18.95" customHeight="1">
      <c r="A518" s="201"/>
      <c r="B518" s="467"/>
      <c r="C518" s="164"/>
      <c r="D518" s="167"/>
      <c r="E518" s="370"/>
      <c r="F518" s="382"/>
      <c r="G518" s="377"/>
      <c r="H518" s="377"/>
      <c r="I518" s="367"/>
      <c r="J518" s="377"/>
      <c r="K518" s="377"/>
      <c r="L518" s="372"/>
      <c r="M518" s="790"/>
      <c r="N518" s="224"/>
    </row>
    <row r="519" spans="1:14" ht="18.95" customHeight="1">
      <c r="A519" s="203"/>
      <c r="B519" s="467"/>
      <c r="C519" s="164"/>
      <c r="D519" s="167"/>
      <c r="E519" s="396"/>
      <c r="F519" s="464"/>
      <c r="G519" s="391"/>
      <c r="H519" s="391"/>
      <c r="I519" s="370"/>
      <c r="J519" s="370"/>
      <c r="K519" s="370"/>
      <c r="L519" s="370"/>
      <c r="M519" s="392"/>
      <c r="N519" s="224"/>
    </row>
    <row r="520" spans="1:14" ht="18.95" customHeight="1">
      <c r="A520" s="203"/>
      <c r="B520" s="467"/>
      <c r="C520" s="164"/>
      <c r="D520" s="167"/>
      <c r="E520" s="396"/>
      <c r="F520" s="464"/>
      <c r="G520" s="391"/>
      <c r="H520" s="391"/>
      <c r="I520" s="370"/>
      <c r="J520" s="370"/>
      <c r="K520" s="370"/>
      <c r="L520" s="370"/>
      <c r="M520" s="392"/>
      <c r="N520" s="224"/>
    </row>
    <row r="521" spans="1:14" ht="18.95" customHeight="1">
      <c r="A521" s="237"/>
      <c r="B521" s="467"/>
      <c r="C521" s="152"/>
      <c r="D521" s="167"/>
      <c r="E521" s="396"/>
      <c r="F521" s="464"/>
      <c r="G521" s="391"/>
      <c r="H521" s="391"/>
      <c r="I521" s="370"/>
      <c r="J521" s="370"/>
      <c r="K521" s="370"/>
      <c r="L521" s="370"/>
      <c r="M521" s="392"/>
      <c r="N521" s="224"/>
    </row>
    <row r="522" spans="1:14" ht="18.95" customHeight="1">
      <c r="A522" s="203"/>
      <c r="B522" s="1307"/>
      <c r="C522" s="1308"/>
      <c r="D522" s="1309"/>
      <c r="E522" s="396"/>
      <c r="F522" s="464"/>
      <c r="G522" s="391"/>
      <c r="H522" s="391"/>
      <c r="I522" s="370"/>
      <c r="J522" s="370"/>
      <c r="K522" s="370"/>
      <c r="L522" s="370"/>
      <c r="M522" s="456"/>
      <c r="N522" s="224"/>
    </row>
    <row r="523" spans="1:14" ht="18.95" customHeight="1">
      <c r="A523" s="203"/>
      <c r="B523" s="1307"/>
      <c r="C523" s="1308"/>
      <c r="D523" s="1309"/>
      <c r="E523" s="396"/>
      <c r="F523" s="464"/>
      <c r="G523" s="391"/>
      <c r="H523" s="391"/>
      <c r="I523" s="681"/>
      <c r="J523" s="681"/>
      <c r="K523" s="681"/>
      <c r="L523" s="681"/>
      <c r="M523" s="806"/>
      <c r="N523" s="224"/>
    </row>
    <row r="524" spans="1:14" ht="18.95" customHeight="1">
      <c r="A524" s="238"/>
      <c r="B524" s="723"/>
      <c r="C524" s="179"/>
      <c r="D524" s="157"/>
      <c r="E524" s="370"/>
      <c r="F524" s="382"/>
      <c r="G524" s="370"/>
      <c r="H524" s="370"/>
      <c r="I524" s="377"/>
      <c r="J524" s="370"/>
      <c r="K524" s="370"/>
      <c r="L524" s="377"/>
      <c r="M524" s="790"/>
      <c r="N524" s="224"/>
    </row>
    <row r="525" spans="1:14" ht="18.95" customHeight="1">
      <c r="A525" s="203"/>
      <c r="B525" s="467"/>
      <c r="C525" s="152"/>
      <c r="D525" s="167"/>
      <c r="E525" s="370"/>
      <c r="F525" s="382"/>
      <c r="G525" s="370"/>
      <c r="H525" s="370"/>
      <c r="I525" s="377"/>
      <c r="J525" s="370"/>
      <c r="K525" s="370"/>
      <c r="L525" s="377"/>
      <c r="M525" s="790"/>
      <c r="N525" s="224"/>
    </row>
    <row r="526" spans="1:14" ht="18.95" customHeight="1">
      <c r="A526" s="203"/>
      <c r="B526" s="724"/>
      <c r="C526" s="152"/>
      <c r="D526" s="167"/>
      <c r="E526" s="370"/>
      <c r="F526" s="382"/>
      <c r="G526" s="370"/>
      <c r="H526" s="370"/>
      <c r="I526" s="377"/>
      <c r="J526" s="370"/>
      <c r="K526" s="370"/>
      <c r="L526" s="377"/>
      <c r="M526" s="790"/>
      <c r="N526" s="224"/>
    </row>
    <row r="527" spans="1:14" ht="18.95" customHeight="1">
      <c r="A527" s="203"/>
      <c r="B527" s="724"/>
      <c r="C527" s="152"/>
      <c r="D527" s="180"/>
      <c r="E527" s="370"/>
      <c r="F527" s="382"/>
      <c r="G527" s="370"/>
      <c r="H527" s="370"/>
      <c r="I527" s="377"/>
      <c r="J527" s="370"/>
      <c r="K527" s="370"/>
      <c r="L527" s="377"/>
      <c r="M527" s="790"/>
      <c r="N527" s="224"/>
    </row>
    <row r="528" spans="1:14" ht="18.95" customHeight="1">
      <c r="A528" s="203"/>
      <c r="B528" s="724"/>
      <c r="C528" s="152"/>
      <c r="D528" s="162"/>
      <c r="E528" s="370"/>
      <c r="F528" s="382"/>
      <c r="G528" s="370"/>
      <c r="H528" s="370"/>
      <c r="I528" s="377"/>
      <c r="J528" s="370"/>
      <c r="K528" s="370"/>
      <c r="L528" s="377"/>
      <c r="M528" s="790"/>
      <c r="N528" s="224"/>
    </row>
    <row r="529" spans="1:14" ht="18.95" customHeight="1">
      <c r="A529" s="203"/>
      <c r="B529" s="724"/>
      <c r="C529" s="152"/>
      <c r="D529" s="180"/>
      <c r="E529" s="367"/>
      <c r="F529" s="224"/>
      <c r="G529" s="377"/>
      <c r="H529" s="377"/>
      <c r="I529" s="377"/>
      <c r="J529" s="377"/>
      <c r="K529" s="377"/>
      <c r="L529" s="377"/>
      <c r="M529" s="790"/>
      <c r="N529" s="370"/>
    </row>
    <row r="530" spans="1:14" ht="18.95" customHeight="1">
      <c r="A530" s="203"/>
      <c r="B530" s="724"/>
      <c r="C530" s="152"/>
      <c r="D530" s="162"/>
      <c r="E530" s="370"/>
      <c r="F530" s="382"/>
      <c r="G530" s="370"/>
      <c r="H530" s="370"/>
      <c r="I530" s="377"/>
      <c r="J530" s="370"/>
      <c r="K530" s="370"/>
      <c r="L530" s="377"/>
      <c r="M530" s="790"/>
      <c r="N530" s="224"/>
    </row>
    <row r="531" spans="1:14" ht="18.95" customHeight="1">
      <c r="A531" s="203"/>
      <c r="B531" s="724"/>
      <c r="C531" s="152"/>
      <c r="D531" s="162"/>
      <c r="E531" s="370"/>
      <c r="F531" s="382"/>
      <c r="G531" s="370"/>
      <c r="H531" s="370"/>
      <c r="I531" s="377"/>
      <c r="J531" s="370"/>
      <c r="K531" s="370"/>
      <c r="L531" s="377"/>
      <c r="M531" s="790"/>
      <c r="N531" s="224"/>
    </row>
    <row r="532" spans="1:14" ht="18.95" customHeight="1">
      <c r="A532" s="203"/>
      <c r="B532" s="724"/>
      <c r="C532" s="152"/>
      <c r="D532" s="162"/>
      <c r="E532" s="370"/>
      <c r="F532" s="382"/>
      <c r="G532" s="377"/>
      <c r="H532" s="377"/>
      <c r="I532" s="367"/>
      <c r="J532" s="377"/>
      <c r="K532" s="377"/>
      <c r="L532" s="372"/>
      <c r="M532" s="790"/>
      <c r="N532" s="224"/>
    </row>
    <row r="533" spans="1:14" ht="18.95" customHeight="1">
      <c r="A533" s="229"/>
      <c r="B533" s="1438"/>
      <c r="C533" s="1439"/>
      <c r="D533" s="1440"/>
      <c r="E533" s="725"/>
      <c r="F533" s="726"/>
      <c r="G533" s="725"/>
      <c r="H533" s="725"/>
      <c r="I533" s="725"/>
      <c r="J533" s="725"/>
      <c r="K533" s="725"/>
      <c r="L533" s="725"/>
      <c r="M533" s="807"/>
      <c r="N533" s="224"/>
    </row>
    <row r="534" spans="1:14" ht="18.95" customHeight="1">
      <c r="A534" s="226"/>
      <c r="B534" s="486"/>
      <c r="C534" s="171"/>
      <c r="D534" s="171"/>
      <c r="E534" s="461"/>
      <c r="F534" s="459"/>
      <c r="G534" s="461"/>
      <c r="H534" s="461"/>
      <c r="I534" s="461"/>
      <c r="J534" s="461"/>
      <c r="K534" s="461"/>
      <c r="L534" s="461"/>
      <c r="M534" s="797"/>
      <c r="N534" s="401"/>
    </row>
    <row r="535" spans="1:14" ht="18.95" customHeight="1">
      <c r="A535" s="308"/>
      <c r="B535" s="666"/>
      <c r="C535" s="727"/>
      <c r="D535" s="727"/>
      <c r="E535" s="728"/>
      <c r="F535" s="729"/>
      <c r="G535" s="728"/>
      <c r="H535" s="728"/>
      <c r="I535" s="728"/>
      <c r="J535" s="728"/>
      <c r="K535" s="728"/>
      <c r="L535" s="728"/>
      <c r="M535" s="808"/>
      <c r="N535" s="730"/>
    </row>
    <row r="536" spans="1:14" ht="18.95" customHeight="1">
      <c r="A536" s="238"/>
      <c r="B536" s="731"/>
      <c r="C536" s="179"/>
      <c r="D536" s="167"/>
      <c r="E536" s="708"/>
      <c r="F536" s="382"/>
      <c r="G536" s="370"/>
      <c r="H536" s="370"/>
      <c r="I536" s="377"/>
      <c r="J536" s="370"/>
      <c r="K536" s="370"/>
      <c r="L536" s="377"/>
      <c r="M536" s="790"/>
      <c r="N536" s="732"/>
    </row>
    <row r="537" spans="1:14" ht="18.95" customHeight="1">
      <c r="A537" s="203"/>
      <c r="B537" s="733"/>
      <c r="C537" s="152"/>
      <c r="D537" s="180"/>
      <c r="E537" s="370"/>
      <c r="F537" s="382"/>
      <c r="G537" s="377"/>
      <c r="H537" s="377"/>
      <c r="I537" s="367"/>
      <c r="J537" s="370"/>
      <c r="K537" s="370"/>
      <c r="L537" s="372"/>
      <c r="M537" s="790"/>
      <c r="N537" s="732"/>
    </row>
    <row r="538" spans="1:14" ht="18.95" customHeight="1">
      <c r="A538" s="203"/>
      <c r="B538" s="467"/>
      <c r="C538" s="152"/>
      <c r="D538" s="162"/>
      <c r="E538" s="370"/>
      <c r="F538" s="382"/>
      <c r="G538" s="377"/>
      <c r="H538" s="377"/>
      <c r="I538" s="377"/>
      <c r="J538" s="377"/>
      <c r="K538" s="377"/>
      <c r="L538" s="377"/>
      <c r="M538" s="790"/>
      <c r="N538" s="732"/>
    </row>
    <row r="539" spans="1:14" ht="18.95" customHeight="1">
      <c r="A539" s="238"/>
      <c r="B539" s="467"/>
      <c r="C539" s="152"/>
      <c r="D539" s="162"/>
      <c r="E539" s="367"/>
      <c r="F539" s="382"/>
      <c r="G539" s="377"/>
      <c r="H539" s="377"/>
      <c r="I539" s="377"/>
      <c r="J539" s="377"/>
      <c r="K539" s="377"/>
      <c r="L539" s="377"/>
      <c r="M539" s="790"/>
      <c r="N539" s="732"/>
    </row>
    <row r="540" spans="1:14" ht="18.95" customHeight="1">
      <c r="A540" s="203"/>
      <c r="B540" s="467"/>
      <c r="C540" s="152"/>
      <c r="D540" s="167"/>
      <c r="E540" s="370"/>
      <c r="F540" s="382"/>
      <c r="G540" s="377"/>
      <c r="H540" s="377"/>
      <c r="I540" s="377"/>
      <c r="J540" s="479"/>
      <c r="K540" s="479"/>
      <c r="L540" s="377"/>
      <c r="M540" s="790"/>
      <c r="N540" s="732"/>
    </row>
    <row r="541" spans="1:14" ht="18.95" customHeight="1">
      <c r="A541" s="203"/>
      <c r="B541" s="467"/>
      <c r="C541" s="152"/>
      <c r="D541" s="165"/>
      <c r="E541" s="370"/>
      <c r="F541" s="382"/>
      <c r="G541" s="377"/>
      <c r="H541" s="377"/>
      <c r="I541" s="377"/>
      <c r="J541" s="377"/>
      <c r="K541" s="377"/>
      <c r="L541" s="377"/>
      <c r="M541" s="790"/>
      <c r="N541" s="732"/>
    </row>
    <row r="542" spans="1:14" ht="18.95" customHeight="1">
      <c r="A542" s="203"/>
      <c r="B542" s="733"/>
      <c r="C542" s="152"/>
      <c r="D542" s="180"/>
      <c r="E542" s="370"/>
      <c r="F542" s="382"/>
      <c r="G542" s="699"/>
      <c r="H542" s="699"/>
      <c r="I542" s="367"/>
      <c r="J542" s="699"/>
      <c r="K542" s="699"/>
      <c r="L542" s="372"/>
      <c r="M542" s="798"/>
      <c r="N542" s="732"/>
    </row>
    <row r="543" spans="1:14" ht="18.95" customHeight="1">
      <c r="A543" s="203"/>
      <c r="B543" s="467"/>
      <c r="C543" s="152"/>
      <c r="D543" s="162"/>
      <c r="E543" s="370"/>
      <c r="F543" s="382"/>
      <c r="G543" s="377"/>
      <c r="H543" s="377"/>
      <c r="I543" s="377"/>
      <c r="J543" s="377"/>
      <c r="K543" s="377"/>
      <c r="L543" s="377"/>
      <c r="M543" s="790"/>
      <c r="N543" s="732"/>
    </row>
    <row r="544" spans="1:14" ht="18.95" customHeight="1">
      <c r="A544" s="203"/>
      <c r="B544" s="467"/>
      <c r="C544" s="152"/>
      <c r="D544" s="162"/>
      <c r="E544" s="367"/>
      <c r="F544" s="382"/>
      <c r="G544" s="377"/>
      <c r="H544" s="377"/>
      <c r="I544" s="377"/>
      <c r="J544" s="377"/>
      <c r="K544" s="377"/>
      <c r="L544" s="377"/>
      <c r="M544" s="790"/>
      <c r="N544" s="732"/>
    </row>
    <row r="545" spans="1:14" ht="18.95" customHeight="1">
      <c r="A545" s="203"/>
      <c r="B545" s="467"/>
      <c r="C545" s="152"/>
      <c r="D545" s="167"/>
      <c r="E545" s="370"/>
      <c r="F545" s="382"/>
      <c r="G545" s="377"/>
      <c r="H545" s="377"/>
      <c r="I545" s="377"/>
      <c r="J545" s="377"/>
      <c r="K545" s="377"/>
      <c r="L545" s="377"/>
      <c r="M545" s="790"/>
      <c r="N545" s="732"/>
    </row>
    <row r="546" spans="1:14" ht="18.95" customHeight="1">
      <c r="A546" s="203"/>
      <c r="B546" s="467"/>
      <c r="C546" s="152"/>
      <c r="D546" s="165"/>
      <c r="E546" s="370"/>
      <c r="F546" s="382"/>
      <c r="G546" s="377"/>
      <c r="H546" s="377"/>
      <c r="I546" s="377"/>
      <c r="J546" s="377"/>
      <c r="K546" s="377"/>
      <c r="L546" s="377"/>
      <c r="M546" s="790"/>
      <c r="N546" s="732"/>
    </row>
    <row r="547" spans="1:14" ht="18.95" customHeight="1">
      <c r="A547" s="203"/>
      <c r="B547" s="733"/>
      <c r="C547" s="152"/>
      <c r="D547" s="180"/>
      <c r="E547" s="367"/>
      <c r="F547" s="382"/>
      <c r="G547" s="699"/>
      <c r="H547" s="699"/>
      <c r="I547" s="367"/>
      <c r="J547" s="699"/>
      <c r="K547" s="699"/>
      <c r="L547" s="372"/>
      <c r="M547" s="368"/>
      <c r="N547" s="362"/>
    </row>
    <row r="548" spans="1:14" ht="18.95" customHeight="1">
      <c r="A548" s="203"/>
      <c r="B548" s="467"/>
      <c r="C548" s="152"/>
      <c r="D548" s="162"/>
      <c r="E548" s="370"/>
      <c r="F548" s="382"/>
      <c r="G548" s="377"/>
      <c r="H548" s="377"/>
      <c r="I548" s="377"/>
      <c r="J548" s="377"/>
      <c r="K548" s="377"/>
      <c r="L548" s="377"/>
      <c r="M548" s="790"/>
      <c r="N548" s="224"/>
    </row>
    <row r="549" spans="1:14" ht="18.95" customHeight="1">
      <c r="A549" s="201"/>
      <c r="B549" s="467"/>
      <c r="C549" s="152"/>
      <c r="D549" s="162"/>
      <c r="E549" s="367"/>
      <c r="F549" s="382"/>
      <c r="G549" s="377"/>
      <c r="H549" s="377"/>
      <c r="I549" s="377"/>
      <c r="J549" s="377"/>
      <c r="K549" s="377"/>
      <c r="L549" s="377"/>
      <c r="M549" s="790"/>
      <c r="N549" s="224"/>
    </row>
    <row r="550" spans="1:14" ht="18.95" customHeight="1">
      <c r="A550" s="238"/>
      <c r="B550" s="467"/>
      <c r="C550" s="152"/>
      <c r="D550" s="167"/>
      <c r="E550" s="396"/>
      <c r="F550" s="382"/>
      <c r="G550" s="377"/>
      <c r="H550" s="377"/>
      <c r="I550" s="377"/>
      <c r="J550" s="377"/>
      <c r="K550" s="377"/>
      <c r="L550" s="377"/>
      <c r="M550" s="790"/>
      <c r="N550" s="224"/>
    </row>
    <row r="551" spans="1:14" ht="18.95" customHeight="1">
      <c r="A551" s="203"/>
      <c r="B551" s="467"/>
      <c r="C551" s="152"/>
      <c r="D551" s="165"/>
      <c r="E551" s="370"/>
      <c r="F551" s="382"/>
      <c r="G551" s="377"/>
      <c r="H551" s="377"/>
      <c r="I551" s="377"/>
      <c r="J551" s="377"/>
      <c r="K551" s="377"/>
      <c r="L551" s="377"/>
      <c r="M551" s="790"/>
      <c r="N551" s="224"/>
    </row>
    <row r="552" spans="1:14" ht="18.95" customHeight="1">
      <c r="A552" s="203"/>
      <c r="B552" s="733"/>
      <c r="C552" s="152"/>
      <c r="D552" s="180"/>
      <c r="E552" s="370"/>
      <c r="F552" s="382"/>
      <c r="G552" s="370"/>
      <c r="H552" s="370"/>
      <c r="I552" s="370"/>
      <c r="J552" s="370"/>
      <c r="K552" s="370"/>
      <c r="L552" s="370"/>
      <c r="M552" s="456"/>
      <c r="N552" s="224"/>
    </row>
    <row r="553" spans="1:14" ht="18.95" customHeight="1">
      <c r="A553" s="229"/>
      <c r="B553" s="467"/>
      <c r="C553" s="152"/>
      <c r="D553" s="162"/>
      <c r="E553" s="370"/>
      <c r="F553" s="382"/>
      <c r="G553" s="377"/>
      <c r="H553" s="377"/>
      <c r="I553" s="377"/>
      <c r="J553" s="377"/>
      <c r="K553" s="377"/>
      <c r="L553" s="377"/>
      <c r="M553" s="790"/>
      <c r="N553" s="224"/>
    </row>
    <row r="554" spans="1:14" ht="18.95" customHeight="1">
      <c r="A554" s="229"/>
      <c r="B554" s="467"/>
      <c r="C554" s="152"/>
      <c r="D554" s="162"/>
      <c r="E554" s="367"/>
      <c r="F554" s="382"/>
      <c r="G554" s="377"/>
      <c r="H554" s="377"/>
      <c r="I554" s="377"/>
      <c r="J554" s="377"/>
      <c r="K554" s="377"/>
      <c r="L554" s="377"/>
      <c r="M554" s="790"/>
      <c r="N554" s="224"/>
    </row>
    <row r="555" spans="1:14" ht="18.95" customHeight="1">
      <c r="A555" s="229"/>
      <c r="B555" s="467"/>
      <c r="C555" s="152"/>
      <c r="D555" s="167"/>
      <c r="E555" s="370"/>
      <c r="F555" s="382"/>
      <c r="G555" s="377"/>
      <c r="H555" s="377"/>
      <c r="I555" s="377"/>
      <c r="J555" s="377"/>
      <c r="K555" s="377"/>
      <c r="L555" s="377"/>
      <c r="M555" s="790"/>
      <c r="N555" s="224"/>
    </row>
    <row r="556" spans="1:14" ht="18.95" customHeight="1">
      <c r="A556" s="229"/>
      <c r="B556" s="467"/>
      <c r="C556" s="152"/>
      <c r="D556" s="165"/>
      <c r="E556" s="370"/>
      <c r="F556" s="382"/>
      <c r="G556" s="377"/>
      <c r="H556" s="377"/>
      <c r="I556" s="377"/>
      <c r="J556" s="377"/>
      <c r="K556" s="377"/>
      <c r="L556" s="377"/>
      <c r="M556" s="790"/>
      <c r="N556" s="224"/>
    </row>
    <row r="557" spans="1:14" ht="18.95" customHeight="1">
      <c r="A557" s="224"/>
      <c r="B557" s="733"/>
      <c r="C557" s="152"/>
      <c r="D557" s="165"/>
      <c r="E557" s="370"/>
      <c r="F557" s="382"/>
      <c r="G557" s="699"/>
      <c r="H557" s="699"/>
      <c r="I557" s="367"/>
      <c r="J557" s="699"/>
      <c r="K557" s="699"/>
      <c r="L557" s="372"/>
      <c r="M557" s="368"/>
      <c r="N557" s="224"/>
    </row>
    <row r="558" spans="1:14" ht="18.95" customHeight="1">
      <c r="A558" s="229"/>
      <c r="B558" s="467"/>
      <c r="C558" s="152"/>
      <c r="D558" s="165"/>
      <c r="E558" s="367"/>
      <c r="F558" s="382"/>
      <c r="G558" s="377"/>
      <c r="H558" s="377"/>
      <c r="I558" s="377"/>
      <c r="J558" s="377"/>
      <c r="K558" s="377"/>
      <c r="L558" s="377"/>
      <c r="M558" s="790"/>
      <c r="N558" s="224"/>
    </row>
    <row r="559" spans="1:14" ht="18.95" customHeight="1">
      <c r="A559" s="229"/>
      <c r="B559" s="467"/>
      <c r="C559" s="152"/>
      <c r="D559" s="239"/>
      <c r="E559" s="370"/>
      <c r="F559" s="382"/>
      <c r="G559" s="377"/>
      <c r="H559" s="377"/>
      <c r="I559" s="377"/>
      <c r="J559" s="377"/>
      <c r="K559" s="377"/>
      <c r="L559" s="377"/>
      <c r="M559" s="790"/>
      <c r="N559" s="224"/>
    </row>
    <row r="560" spans="1:14" ht="18.95" customHeight="1">
      <c r="A560" s="229"/>
      <c r="B560" s="467"/>
      <c r="C560" s="152"/>
      <c r="D560" s="164"/>
      <c r="E560" s="370"/>
      <c r="F560" s="382"/>
      <c r="G560" s="377"/>
      <c r="H560" s="377"/>
      <c r="I560" s="377"/>
      <c r="J560" s="377"/>
      <c r="K560" s="377"/>
      <c r="L560" s="377"/>
      <c r="M560" s="790"/>
      <c r="N560" s="224"/>
    </row>
    <row r="561" spans="1:14" ht="18.95" customHeight="1">
      <c r="A561" s="229"/>
      <c r="B561" s="467"/>
      <c r="C561" s="152"/>
      <c r="D561" s="164"/>
      <c r="E561" s="370"/>
      <c r="F561" s="382"/>
      <c r="G561" s="377"/>
      <c r="H561" s="377"/>
      <c r="I561" s="377"/>
      <c r="J561" s="377"/>
      <c r="K561" s="377"/>
      <c r="L561" s="377"/>
      <c r="M561" s="790"/>
      <c r="N561" s="224"/>
    </row>
    <row r="562" spans="1:14" ht="18.95" customHeight="1">
      <c r="A562" s="226"/>
      <c r="B562" s="486"/>
      <c r="C562" s="171"/>
      <c r="D562" s="171"/>
      <c r="E562" s="461"/>
      <c r="F562" s="459"/>
      <c r="G562" s="461"/>
      <c r="H562" s="461"/>
      <c r="I562" s="461"/>
      <c r="J562" s="461"/>
      <c r="K562" s="461"/>
      <c r="L562" s="461"/>
      <c r="M562" s="797"/>
      <c r="N562" s="401"/>
    </row>
    <row r="563" spans="1:14" ht="18.95" customHeight="1">
      <c r="A563" s="240"/>
      <c r="B563" s="720"/>
      <c r="C563" s="159"/>
      <c r="D563" s="160"/>
      <c r="E563" s="475"/>
      <c r="F563" s="312"/>
      <c r="G563" s="475"/>
      <c r="H563" s="475"/>
      <c r="I563" s="475"/>
      <c r="J563" s="476"/>
      <c r="K563" s="476"/>
      <c r="L563" s="476"/>
      <c r="M563" s="669"/>
      <c r="N563" s="312"/>
    </row>
    <row r="564" spans="1:14" ht="18.95" customHeight="1">
      <c r="A564" s="238"/>
      <c r="B564" s="467"/>
      <c r="C564" s="152"/>
      <c r="D564" s="162"/>
      <c r="E564" s="370"/>
      <c r="F564" s="464"/>
      <c r="G564" s="377"/>
      <c r="H564" s="377"/>
      <c r="I564" s="377"/>
      <c r="J564" s="377"/>
      <c r="K564" s="377"/>
      <c r="L564" s="377"/>
      <c r="M564" s="790"/>
      <c r="N564" s="362"/>
    </row>
    <row r="565" spans="1:14" ht="18.95" customHeight="1">
      <c r="A565" s="201"/>
      <c r="B565" s="467"/>
      <c r="C565" s="152"/>
      <c r="D565" s="162"/>
      <c r="E565" s="370"/>
      <c r="F565" s="464"/>
      <c r="G565" s="377"/>
      <c r="H565" s="377"/>
      <c r="I565" s="377"/>
      <c r="J565" s="377"/>
      <c r="K565" s="377"/>
      <c r="L565" s="377"/>
      <c r="M565" s="790"/>
      <c r="N565" s="370"/>
    </row>
    <row r="566" spans="1:14" ht="18.95" customHeight="1">
      <c r="A566" s="203"/>
      <c r="B566" s="467"/>
      <c r="C566" s="152"/>
      <c r="D566" s="162"/>
      <c r="E566" s="370"/>
      <c r="F566" s="464"/>
      <c r="G566" s="377"/>
      <c r="H566" s="377"/>
      <c r="I566" s="377"/>
      <c r="J566" s="377"/>
      <c r="K566" s="377"/>
      <c r="L566" s="377"/>
      <c r="M566" s="790"/>
      <c r="N566" s="370"/>
    </row>
    <row r="567" spans="1:14" ht="18.95" customHeight="1">
      <c r="A567" s="203"/>
      <c r="B567" s="467"/>
      <c r="C567" s="152"/>
      <c r="D567" s="167"/>
      <c r="E567" s="370"/>
      <c r="F567" s="464"/>
      <c r="G567" s="377"/>
      <c r="H567" s="377"/>
      <c r="I567" s="377"/>
      <c r="J567" s="377"/>
      <c r="K567" s="377"/>
      <c r="L567" s="377"/>
      <c r="M567" s="790"/>
      <c r="N567" s="370"/>
    </row>
    <row r="568" spans="1:14" ht="18.95" customHeight="1">
      <c r="A568" s="237"/>
      <c r="B568" s="467"/>
      <c r="C568" s="152"/>
      <c r="D568" s="165"/>
      <c r="E568" s="370"/>
      <c r="F568" s="382"/>
      <c r="G568" s="377"/>
      <c r="H568" s="377"/>
      <c r="I568" s="377"/>
      <c r="J568" s="377"/>
      <c r="K568" s="377"/>
      <c r="L568" s="377"/>
      <c r="M568" s="790"/>
      <c r="N568" s="370"/>
    </row>
    <row r="569" spans="1:14" ht="18.95" customHeight="1">
      <c r="A569" s="237"/>
      <c r="B569" s="467"/>
      <c r="C569" s="152"/>
      <c r="D569" s="162"/>
      <c r="E569" s="370"/>
      <c r="F569" s="382"/>
      <c r="G569" s="377"/>
      <c r="H569" s="377"/>
      <c r="I569" s="377"/>
      <c r="J569" s="377"/>
      <c r="K569" s="377"/>
      <c r="L569" s="377"/>
      <c r="M569" s="790"/>
      <c r="N569" s="370"/>
    </row>
    <row r="570" spans="1:14" ht="18.95" customHeight="1">
      <c r="A570" s="203"/>
      <c r="B570" s="467"/>
      <c r="C570" s="152"/>
      <c r="D570" s="162"/>
      <c r="E570" s="370"/>
      <c r="F570" s="382"/>
      <c r="G570" s="377"/>
      <c r="H570" s="377"/>
      <c r="I570" s="377"/>
      <c r="J570" s="377"/>
      <c r="K570" s="377"/>
      <c r="L570" s="377"/>
      <c r="M570" s="790"/>
      <c r="N570" s="370"/>
    </row>
    <row r="571" spans="1:14" ht="18.95" customHeight="1">
      <c r="A571" s="203"/>
      <c r="B571" s="467"/>
      <c r="C571" s="152"/>
      <c r="D571" s="180"/>
      <c r="E571" s="391"/>
      <c r="F571" s="382"/>
      <c r="G571" s="377"/>
      <c r="H571" s="377"/>
      <c r="I571" s="377"/>
      <c r="J571" s="377"/>
      <c r="K571" s="377"/>
      <c r="L571" s="377"/>
      <c r="M571" s="790"/>
      <c r="N571" s="370"/>
    </row>
    <row r="572" spans="1:14" ht="18.95" customHeight="1">
      <c r="A572" s="203"/>
      <c r="B572" s="467"/>
      <c r="C572" s="152"/>
      <c r="D572" s="167"/>
      <c r="E572" s="391"/>
      <c r="F572" s="382"/>
      <c r="G572" s="377"/>
      <c r="H572" s="377"/>
      <c r="I572" s="377"/>
      <c r="J572" s="377"/>
      <c r="K572" s="377"/>
      <c r="L572" s="377"/>
      <c r="M572" s="790"/>
      <c r="N572" s="224"/>
    </row>
    <row r="573" spans="1:14" ht="18.95" customHeight="1">
      <c r="A573" s="203"/>
      <c r="B573" s="733"/>
      <c r="C573" s="179"/>
      <c r="D573" s="162"/>
      <c r="E573" s="396"/>
      <c r="F573" s="464"/>
      <c r="G573" s="391"/>
      <c r="H573" s="391"/>
      <c r="I573" s="377"/>
      <c r="J573" s="370"/>
      <c r="K573" s="370"/>
      <c r="L573" s="377"/>
      <c r="M573" s="790"/>
      <c r="N573" s="224"/>
    </row>
    <row r="574" spans="1:14" ht="18.95" customHeight="1">
      <c r="A574" s="201"/>
      <c r="B574" s="467"/>
      <c r="C574" s="152"/>
      <c r="D574" s="162"/>
      <c r="E574" s="370"/>
      <c r="F574" s="382"/>
      <c r="G574" s="377"/>
      <c r="H574" s="377"/>
      <c r="I574" s="377"/>
      <c r="J574" s="377"/>
      <c r="K574" s="377"/>
      <c r="L574" s="377"/>
      <c r="M574" s="790"/>
      <c r="N574" s="224"/>
    </row>
    <row r="575" spans="1:14" ht="18.95" customHeight="1">
      <c r="A575" s="201"/>
      <c r="B575" s="467"/>
      <c r="C575" s="152"/>
      <c r="D575" s="162"/>
      <c r="E575" s="370"/>
      <c r="F575" s="382"/>
      <c r="G575" s="377"/>
      <c r="H575" s="377"/>
      <c r="I575" s="377"/>
      <c r="J575" s="377"/>
      <c r="K575" s="377"/>
      <c r="L575" s="377"/>
      <c r="M575" s="790"/>
      <c r="N575" s="224"/>
    </row>
    <row r="576" spans="1:14" ht="18.95" customHeight="1">
      <c r="A576" s="203"/>
      <c r="B576" s="467"/>
      <c r="C576" s="152"/>
      <c r="D576" s="167"/>
      <c r="E576" s="370"/>
      <c r="F576" s="382"/>
      <c r="G576" s="377"/>
      <c r="H576" s="377"/>
      <c r="I576" s="377"/>
      <c r="J576" s="377"/>
      <c r="K576" s="377"/>
      <c r="L576" s="377"/>
      <c r="M576" s="790"/>
      <c r="N576" s="224"/>
    </row>
    <row r="577" spans="1:14" ht="18.95" customHeight="1">
      <c r="A577" s="203"/>
      <c r="B577" s="467"/>
      <c r="C577" s="152"/>
      <c r="D577" s="165"/>
      <c r="E577" s="370"/>
      <c r="F577" s="382"/>
      <c r="G577" s="377"/>
      <c r="H577" s="377"/>
      <c r="I577" s="377"/>
      <c r="J577" s="377"/>
      <c r="K577" s="377"/>
      <c r="L577" s="377"/>
      <c r="M577" s="790"/>
      <c r="N577" s="224"/>
    </row>
    <row r="578" spans="1:14" ht="18.95" customHeight="1">
      <c r="A578" s="203"/>
      <c r="B578" s="467"/>
      <c r="C578" s="152"/>
      <c r="D578" s="162"/>
      <c r="E578" s="370"/>
      <c r="F578" s="382"/>
      <c r="G578" s="377"/>
      <c r="H578" s="377"/>
      <c r="I578" s="377"/>
      <c r="J578" s="377"/>
      <c r="K578" s="377"/>
      <c r="L578" s="377"/>
      <c r="M578" s="790"/>
      <c r="N578" s="224"/>
    </row>
    <row r="579" spans="1:14" ht="18.95" customHeight="1">
      <c r="A579" s="237"/>
      <c r="B579" s="467"/>
      <c r="C579" s="152"/>
      <c r="D579" s="162"/>
      <c r="E579" s="370"/>
      <c r="F579" s="382"/>
      <c r="G579" s="377"/>
      <c r="H579" s="377"/>
      <c r="I579" s="377"/>
      <c r="J579" s="377"/>
      <c r="K579" s="377"/>
      <c r="L579" s="377"/>
      <c r="M579" s="790"/>
      <c r="N579" s="224"/>
    </row>
    <row r="580" spans="1:14" ht="18.95" customHeight="1">
      <c r="A580" s="203"/>
      <c r="B580" s="467"/>
      <c r="C580" s="152"/>
      <c r="D580" s="180"/>
      <c r="E580" s="391"/>
      <c r="F580" s="382"/>
      <c r="G580" s="377"/>
      <c r="H580" s="377"/>
      <c r="I580" s="377"/>
      <c r="J580" s="377"/>
      <c r="K580" s="377"/>
      <c r="L580" s="377"/>
      <c r="M580" s="790"/>
      <c r="N580" s="224"/>
    </row>
    <row r="581" spans="1:14" ht="18.95" customHeight="1">
      <c r="A581" s="241"/>
      <c r="B581" s="734"/>
      <c r="C581" s="242"/>
      <c r="D581" s="167"/>
      <c r="E581" s="463"/>
      <c r="F581" s="465"/>
      <c r="G581" s="391"/>
      <c r="H581" s="391"/>
      <c r="I581" s="391"/>
      <c r="J581" s="391"/>
      <c r="K581" s="391"/>
      <c r="L581" s="465"/>
      <c r="M581" s="291"/>
      <c r="N581" s="224"/>
    </row>
    <row r="582" spans="1:14" ht="18.95" customHeight="1">
      <c r="A582" s="238"/>
      <c r="B582" s="467"/>
      <c r="C582" s="152"/>
      <c r="D582" s="162"/>
      <c r="E582" s="396"/>
      <c r="F582" s="464"/>
      <c r="G582" s="377"/>
      <c r="H582" s="377"/>
      <c r="I582" s="377"/>
      <c r="J582" s="479"/>
      <c r="K582" s="479"/>
      <c r="L582" s="377"/>
      <c r="M582" s="790"/>
      <c r="N582" s="224"/>
    </row>
    <row r="583" spans="1:14" ht="18.95" customHeight="1">
      <c r="A583" s="203"/>
      <c r="B583" s="467"/>
      <c r="C583" s="152"/>
      <c r="D583" s="162"/>
      <c r="E583" s="396"/>
      <c r="F583" s="382"/>
      <c r="G583" s="377"/>
      <c r="H583" s="377"/>
      <c r="I583" s="377"/>
      <c r="J583" s="479"/>
      <c r="K583" s="479"/>
      <c r="L583" s="377"/>
      <c r="M583" s="790"/>
      <c r="N583" s="224"/>
    </row>
    <row r="584" spans="1:14" ht="18.95" customHeight="1">
      <c r="A584" s="203"/>
      <c r="B584" s="734"/>
      <c r="C584" s="152"/>
      <c r="D584" s="162"/>
      <c r="E584" s="396"/>
      <c r="F584" s="382"/>
      <c r="G584" s="370"/>
      <c r="H584" s="370"/>
      <c r="I584" s="377"/>
      <c r="J584" s="370"/>
      <c r="K584" s="370"/>
      <c r="L584" s="377"/>
      <c r="M584" s="790"/>
      <c r="N584" s="224"/>
    </row>
    <row r="585" spans="1:14" ht="18.95" customHeight="1">
      <c r="A585" s="238"/>
      <c r="B585" s="467"/>
      <c r="C585" s="152"/>
      <c r="D585" s="167"/>
      <c r="E585" s="396"/>
      <c r="F585" s="382"/>
      <c r="G585" s="377"/>
      <c r="H585" s="377"/>
      <c r="I585" s="377"/>
      <c r="J585" s="377"/>
      <c r="K585" s="377"/>
      <c r="L585" s="377"/>
      <c r="M585" s="790"/>
      <c r="N585" s="224"/>
    </row>
    <row r="586" spans="1:14" ht="18.95" customHeight="1">
      <c r="A586" s="201"/>
      <c r="B586" s="467"/>
      <c r="C586" s="152"/>
      <c r="D586" s="165"/>
      <c r="E586" s="396"/>
      <c r="F586" s="382"/>
      <c r="G586" s="377"/>
      <c r="H586" s="377"/>
      <c r="I586" s="377"/>
      <c r="J586" s="377"/>
      <c r="K586" s="377"/>
      <c r="L586" s="377"/>
      <c r="M586" s="790"/>
      <c r="N586" s="224"/>
    </row>
    <row r="587" spans="1:14" ht="18.95" customHeight="1">
      <c r="A587" s="201"/>
      <c r="B587" s="467"/>
      <c r="C587" s="152"/>
      <c r="D587" s="165"/>
      <c r="E587" s="396"/>
      <c r="F587" s="382"/>
      <c r="G587" s="377"/>
      <c r="H587" s="377"/>
      <c r="I587" s="377"/>
      <c r="J587" s="377"/>
      <c r="K587" s="377"/>
      <c r="L587" s="377"/>
      <c r="M587" s="790"/>
      <c r="N587" s="224"/>
    </row>
    <row r="588" spans="1:14" ht="18.95" customHeight="1">
      <c r="A588" s="203"/>
      <c r="B588" s="467"/>
      <c r="C588" s="152"/>
      <c r="D588" s="162"/>
      <c r="E588" s="370"/>
      <c r="F588" s="382"/>
      <c r="G588" s="377"/>
      <c r="H588" s="377"/>
      <c r="I588" s="377"/>
      <c r="J588" s="377"/>
      <c r="K588" s="377"/>
      <c r="L588" s="377"/>
      <c r="M588" s="790"/>
      <c r="N588" s="224"/>
    </row>
    <row r="589" spans="1:14" ht="18.95" customHeight="1">
      <c r="A589" s="203"/>
      <c r="B589" s="467"/>
      <c r="C589" s="152"/>
      <c r="D589" s="162"/>
      <c r="E589" s="370"/>
      <c r="F589" s="382"/>
      <c r="G589" s="377"/>
      <c r="H589" s="377"/>
      <c r="I589" s="377"/>
      <c r="J589" s="377"/>
      <c r="K589" s="377"/>
      <c r="L589" s="377"/>
      <c r="M589" s="790"/>
      <c r="N589" s="224"/>
    </row>
    <row r="590" spans="1:14" ht="18.95" customHeight="1">
      <c r="A590" s="226"/>
      <c r="B590" s="486"/>
      <c r="C590" s="171"/>
      <c r="D590" s="171"/>
      <c r="E590" s="461"/>
      <c r="F590" s="459"/>
      <c r="G590" s="461"/>
      <c r="H590" s="461"/>
      <c r="I590" s="461"/>
      <c r="J590" s="461"/>
      <c r="K590" s="461"/>
      <c r="L590" s="461"/>
      <c r="M590" s="797"/>
      <c r="N590" s="401"/>
    </row>
    <row r="591" spans="1:14" ht="18.95" customHeight="1">
      <c r="A591" s="246"/>
      <c r="B591" s="698"/>
      <c r="C591" s="228"/>
      <c r="D591" s="228"/>
      <c r="E591" s="472"/>
      <c r="F591" s="473"/>
      <c r="G591" s="472"/>
      <c r="H591" s="472"/>
      <c r="I591" s="472"/>
      <c r="J591" s="472"/>
      <c r="K591" s="472"/>
      <c r="L591" s="472"/>
      <c r="M591" s="804"/>
      <c r="N591" s="312"/>
    </row>
    <row r="592" spans="1:14" ht="18.95" customHeight="1">
      <c r="A592" s="203"/>
      <c r="B592" s="467"/>
      <c r="C592" s="152"/>
      <c r="D592" s="162"/>
      <c r="E592" s="370"/>
      <c r="F592" s="382"/>
      <c r="G592" s="377"/>
      <c r="H592" s="377"/>
      <c r="I592" s="377"/>
      <c r="J592" s="377"/>
      <c r="K592" s="377"/>
      <c r="L592" s="377"/>
      <c r="M592" s="790"/>
      <c r="N592" s="224"/>
    </row>
    <row r="593" spans="1:14" ht="18.95" customHeight="1">
      <c r="A593" s="203"/>
      <c r="B593" s="467"/>
      <c r="C593" s="152"/>
      <c r="D593" s="180"/>
      <c r="E593" s="370"/>
      <c r="F593" s="382"/>
      <c r="G593" s="377"/>
      <c r="H593" s="377"/>
      <c r="I593" s="377"/>
      <c r="J593" s="377"/>
      <c r="K593" s="377"/>
      <c r="L593" s="377"/>
      <c r="M593" s="790"/>
      <c r="N593" s="224"/>
    </row>
    <row r="594" spans="1:14" ht="18.95" customHeight="1">
      <c r="A594" s="243"/>
      <c r="B594" s="467"/>
      <c r="C594" s="244"/>
      <c r="D594" s="165"/>
      <c r="E594" s="367"/>
      <c r="F594" s="224"/>
      <c r="G594" s="367"/>
      <c r="H594" s="367"/>
      <c r="I594" s="377"/>
      <c r="J594" s="479"/>
      <c r="K594" s="479"/>
      <c r="L594" s="377"/>
      <c r="M594" s="790"/>
      <c r="N594" s="224"/>
    </row>
    <row r="595" spans="1:14" ht="18.95" customHeight="1">
      <c r="A595" s="238"/>
      <c r="B595" s="467"/>
      <c r="C595" s="152"/>
      <c r="D595" s="180"/>
      <c r="E595" s="370"/>
      <c r="F595" s="224"/>
      <c r="G595" s="377"/>
      <c r="H595" s="377"/>
      <c r="I595" s="377"/>
      <c r="J595" s="377"/>
      <c r="K595" s="377"/>
      <c r="L595" s="377"/>
      <c r="M595" s="790"/>
      <c r="N595" s="224"/>
    </row>
    <row r="596" spans="1:14" ht="18.95" customHeight="1">
      <c r="A596" s="201"/>
      <c r="B596" s="467"/>
      <c r="C596" s="152"/>
      <c r="D596" s="162"/>
      <c r="E596" s="370"/>
      <c r="F596" s="382"/>
      <c r="G596" s="391"/>
      <c r="H596" s="391"/>
      <c r="I596" s="377"/>
      <c r="J596" s="465"/>
      <c r="K596" s="465"/>
      <c r="L596" s="377"/>
      <c r="M596" s="790"/>
      <c r="N596" s="370"/>
    </row>
    <row r="597" spans="1:14" ht="18.95" customHeight="1">
      <c r="A597" s="203"/>
      <c r="B597" s="1307"/>
      <c r="C597" s="1308"/>
      <c r="D597" s="1309"/>
      <c r="E597" s="370"/>
      <c r="F597" s="382"/>
      <c r="G597" s="391"/>
      <c r="H597" s="391"/>
      <c r="I597" s="377"/>
      <c r="J597" s="391"/>
      <c r="K597" s="391"/>
      <c r="L597" s="377"/>
      <c r="M597" s="803"/>
      <c r="N597" s="370"/>
    </row>
    <row r="598" spans="1:14" ht="18.95" customHeight="1">
      <c r="A598" s="203"/>
      <c r="B598" s="467"/>
      <c r="C598" s="152"/>
      <c r="D598" s="162"/>
      <c r="E598" s="370"/>
      <c r="F598" s="382"/>
      <c r="G598" s="370"/>
      <c r="H598" s="370"/>
      <c r="I598" s="377"/>
      <c r="J598" s="370"/>
      <c r="K598" s="370"/>
      <c r="L598" s="377"/>
      <c r="M598" s="790"/>
      <c r="N598" s="370"/>
    </row>
    <row r="599" spans="1:14" ht="18.95" customHeight="1">
      <c r="A599" s="238"/>
      <c r="B599" s="467"/>
      <c r="C599" s="152"/>
      <c r="D599" s="162"/>
      <c r="E599" s="370"/>
      <c r="F599" s="382"/>
      <c r="G599" s="370"/>
      <c r="H599" s="370"/>
      <c r="I599" s="377"/>
      <c r="J599" s="391"/>
      <c r="K599" s="391"/>
      <c r="L599" s="377"/>
      <c r="M599" s="790"/>
      <c r="N599" s="370"/>
    </row>
    <row r="600" spans="1:14" ht="18.95" customHeight="1">
      <c r="A600" s="201"/>
      <c r="B600" s="467"/>
      <c r="C600" s="152"/>
      <c r="D600" s="162"/>
      <c r="E600" s="370"/>
      <c r="F600" s="382"/>
      <c r="G600" s="370"/>
      <c r="H600" s="370"/>
      <c r="I600" s="377"/>
      <c r="J600" s="370"/>
      <c r="K600" s="370"/>
      <c r="L600" s="377"/>
      <c r="M600" s="790"/>
      <c r="N600" s="370"/>
    </row>
    <row r="601" spans="1:14" ht="18.95" customHeight="1">
      <c r="A601" s="203"/>
      <c r="B601" s="467"/>
      <c r="C601" s="152"/>
      <c r="D601" s="162"/>
      <c r="E601" s="370"/>
      <c r="F601" s="382"/>
      <c r="G601" s="370"/>
      <c r="H601" s="370"/>
      <c r="I601" s="377"/>
      <c r="J601" s="370"/>
      <c r="K601" s="370"/>
      <c r="L601" s="377"/>
      <c r="M601" s="790"/>
      <c r="N601" s="370"/>
    </row>
    <row r="602" spans="1:14" ht="18.95" customHeight="1">
      <c r="A602" s="203"/>
      <c r="B602" s="467"/>
      <c r="C602" s="152"/>
      <c r="D602" s="165"/>
      <c r="E602" s="396"/>
      <c r="F602" s="382"/>
      <c r="G602" s="391"/>
      <c r="H602" s="391"/>
      <c r="I602" s="377"/>
      <c r="J602" s="391"/>
      <c r="K602" s="391"/>
      <c r="L602" s="377"/>
      <c r="M602" s="790"/>
      <c r="N602" s="224"/>
    </row>
    <row r="603" spans="1:14" ht="18.95" customHeight="1">
      <c r="A603" s="238"/>
      <c r="B603" s="735"/>
      <c r="C603" s="179"/>
      <c r="D603" s="162"/>
      <c r="E603" s="396"/>
      <c r="F603" s="464"/>
      <c r="G603" s="370"/>
      <c r="H603" s="370"/>
      <c r="I603" s="377"/>
      <c r="J603" s="370"/>
      <c r="K603" s="370"/>
      <c r="L603" s="377"/>
      <c r="M603" s="790"/>
      <c r="N603" s="224"/>
    </row>
    <row r="604" spans="1:14" ht="18.95" customHeight="1">
      <c r="A604" s="203"/>
      <c r="B604" s="467"/>
      <c r="C604" s="152"/>
      <c r="D604" s="162"/>
      <c r="E604" s="396"/>
      <c r="F604" s="382"/>
      <c r="G604" s="370"/>
      <c r="H604" s="370"/>
      <c r="I604" s="377"/>
      <c r="J604" s="370"/>
      <c r="K604" s="370"/>
      <c r="L604" s="377"/>
      <c r="M604" s="790"/>
      <c r="N604" s="224"/>
    </row>
    <row r="605" spans="1:14" ht="18.95" customHeight="1">
      <c r="A605" s="203"/>
      <c r="B605" s="467"/>
      <c r="C605" s="152"/>
      <c r="D605" s="162"/>
      <c r="E605" s="396"/>
      <c r="F605" s="382"/>
      <c r="G605" s="370"/>
      <c r="H605" s="370"/>
      <c r="I605" s="377"/>
      <c r="J605" s="370"/>
      <c r="K605" s="370"/>
      <c r="L605" s="377"/>
      <c r="M605" s="790"/>
      <c r="N605" s="224"/>
    </row>
    <row r="606" spans="1:14" ht="18.95" customHeight="1">
      <c r="A606" s="238"/>
      <c r="B606" s="467"/>
      <c r="C606" s="152"/>
      <c r="D606" s="167"/>
      <c r="E606" s="396"/>
      <c r="F606" s="382"/>
      <c r="G606" s="370"/>
      <c r="H606" s="370"/>
      <c r="I606" s="377"/>
      <c r="J606" s="370"/>
      <c r="K606" s="370"/>
      <c r="L606" s="377"/>
      <c r="M606" s="790"/>
      <c r="N606" s="224"/>
    </row>
    <row r="607" spans="1:14" ht="18.95" customHeight="1">
      <c r="A607" s="203"/>
      <c r="B607" s="467"/>
      <c r="C607" s="152"/>
      <c r="D607" s="165"/>
      <c r="E607" s="396"/>
      <c r="F607" s="382"/>
      <c r="G607" s="370"/>
      <c r="H607" s="370"/>
      <c r="I607" s="377"/>
      <c r="J607" s="370"/>
      <c r="K607" s="370"/>
      <c r="L607" s="377"/>
      <c r="M607" s="790"/>
      <c r="N607" s="224"/>
    </row>
    <row r="608" spans="1:14" ht="18.95" customHeight="1">
      <c r="A608" s="203"/>
      <c r="B608" s="467"/>
      <c r="C608" s="152"/>
      <c r="D608" s="162"/>
      <c r="E608" s="370"/>
      <c r="F608" s="382"/>
      <c r="G608" s="370"/>
      <c r="H608" s="370"/>
      <c r="I608" s="377"/>
      <c r="J608" s="370"/>
      <c r="K608" s="370"/>
      <c r="L608" s="377"/>
      <c r="M608" s="790"/>
      <c r="N608" s="224"/>
    </row>
    <row r="609" spans="1:14" ht="18.95" customHeight="1">
      <c r="A609" s="238"/>
      <c r="B609" s="467"/>
      <c r="C609" s="152"/>
      <c r="D609" s="162"/>
      <c r="E609" s="370"/>
      <c r="F609" s="382"/>
      <c r="G609" s="370"/>
      <c r="H609" s="370"/>
      <c r="I609" s="377"/>
      <c r="J609" s="370"/>
      <c r="K609" s="370"/>
      <c r="L609" s="377"/>
      <c r="M609" s="790"/>
      <c r="N609" s="224"/>
    </row>
    <row r="610" spans="1:14" ht="18.95" customHeight="1">
      <c r="A610" s="201"/>
      <c r="B610" s="1307"/>
      <c r="C610" s="1308"/>
      <c r="D610" s="1309"/>
      <c r="E610" s="370"/>
      <c r="F610" s="382"/>
      <c r="G610" s="681"/>
      <c r="H610" s="681"/>
      <c r="I610" s="377"/>
      <c r="J610" s="370"/>
      <c r="K610" s="370"/>
      <c r="L610" s="377"/>
      <c r="M610" s="803"/>
      <c r="N610" s="224"/>
    </row>
    <row r="611" spans="1:14" ht="18.95" customHeight="1">
      <c r="A611" s="203"/>
      <c r="B611" s="735"/>
      <c r="C611" s="152"/>
      <c r="D611" s="167"/>
      <c r="E611" s="391"/>
      <c r="F611" s="736"/>
      <c r="G611" s="391"/>
      <c r="H611" s="391"/>
      <c r="I611" s="391"/>
      <c r="J611" s="391"/>
      <c r="K611" s="391"/>
      <c r="L611" s="465"/>
      <c r="M611" s="291"/>
      <c r="N611" s="224"/>
    </row>
    <row r="612" spans="1:14" ht="18.95" customHeight="1">
      <c r="A612" s="238"/>
      <c r="B612" s="735"/>
      <c r="C612" s="179"/>
      <c r="D612" s="162"/>
      <c r="E612" s="370"/>
      <c r="F612" s="382"/>
      <c r="G612" s="370"/>
      <c r="H612" s="370"/>
      <c r="I612" s="377"/>
      <c r="J612" s="370"/>
      <c r="K612" s="370"/>
      <c r="L612" s="377"/>
      <c r="M612" s="790"/>
      <c r="N612" s="224"/>
    </row>
    <row r="613" spans="1:14" ht="18.95" customHeight="1">
      <c r="A613" s="201"/>
      <c r="B613" s="467"/>
      <c r="C613" s="152"/>
      <c r="D613" s="162"/>
      <c r="E613" s="370"/>
      <c r="F613" s="382"/>
      <c r="G613" s="391"/>
      <c r="H613" s="391"/>
      <c r="I613" s="377"/>
      <c r="J613" s="465"/>
      <c r="K613" s="465"/>
      <c r="L613" s="377"/>
      <c r="M613" s="790"/>
      <c r="N613" s="224"/>
    </row>
    <row r="614" spans="1:14" ht="18.95" customHeight="1">
      <c r="A614" s="203"/>
      <c r="B614" s="467"/>
      <c r="C614" s="152"/>
      <c r="D614" s="162"/>
      <c r="E614" s="370"/>
      <c r="F614" s="382"/>
      <c r="G614" s="391"/>
      <c r="H614" s="391"/>
      <c r="I614" s="377"/>
      <c r="J614" s="391"/>
      <c r="K614" s="391"/>
      <c r="L614" s="377"/>
      <c r="M614" s="790"/>
      <c r="N614" s="224"/>
    </row>
    <row r="615" spans="1:14" ht="18.95" customHeight="1">
      <c r="A615" s="203"/>
      <c r="B615" s="467"/>
      <c r="C615" s="152"/>
      <c r="D615" s="162"/>
      <c r="E615" s="370"/>
      <c r="F615" s="382"/>
      <c r="G615" s="370"/>
      <c r="H615" s="370"/>
      <c r="I615" s="377"/>
      <c r="J615" s="370"/>
      <c r="K615" s="370"/>
      <c r="L615" s="377"/>
      <c r="M615" s="790"/>
      <c r="N615" s="224"/>
    </row>
    <row r="616" spans="1:14" ht="18.95" customHeight="1">
      <c r="A616" s="238"/>
      <c r="B616" s="467"/>
      <c r="C616" s="152"/>
      <c r="D616" s="162"/>
      <c r="E616" s="370"/>
      <c r="F616" s="382"/>
      <c r="G616" s="370"/>
      <c r="H616" s="370"/>
      <c r="I616" s="377"/>
      <c r="J616" s="391"/>
      <c r="K616" s="391"/>
      <c r="L616" s="377"/>
      <c r="M616" s="790"/>
      <c r="N616" s="224"/>
    </row>
    <row r="617" spans="1:14" ht="18.95" customHeight="1">
      <c r="A617" s="203"/>
      <c r="B617" s="1307"/>
      <c r="C617" s="1308"/>
      <c r="D617" s="1309"/>
      <c r="E617" s="396"/>
      <c r="F617" s="382"/>
      <c r="G617" s="370"/>
      <c r="H617" s="370"/>
      <c r="I617" s="377"/>
      <c r="J617" s="370"/>
      <c r="K617" s="370"/>
      <c r="L617" s="377"/>
      <c r="M617" s="803"/>
      <c r="N617" s="224"/>
    </row>
    <row r="618" spans="1:14" ht="18.95" customHeight="1">
      <c r="A618" s="226"/>
      <c r="B618" s="486"/>
      <c r="C618" s="171"/>
      <c r="D618" s="171"/>
      <c r="E618" s="461"/>
      <c r="F618" s="459"/>
      <c r="G618" s="461"/>
      <c r="H618" s="461"/>
      <c r="I618" s="461"/>
      <c r="J618" s="461"/>
      <c r="K618" s="461"/>
      <c r="L618" s="461"/>
      <c r="M618" s="797"/>
      <c r="N618" s="401"/>
    </row>
    <row r="619" spans="1:14" ht="18.95" customHeight="1">
      <c r="A619" s="183"/>
      <c r="B619" s="481"/>
      <c r="C619" s="159"/>
      <c r="D619" s="218"/>
      <c r="E619" s="475"/>
      <c r="F619" s="312"/>
      <c r="G619" s="475"/>
      <c r="H619" s="475"/>
      <c r="I619" s="475"/>
      <c r="J619" s="475"/>
      <c r="K619" s="475"/>
      <c r="L619" s="476"/>
      <c r="M619" s="801"/>
      <c r="N619" s="312"/>
    </row>
    <row r="620" spans="1:14" ht="18.95" customHeight="1">
      <c r="A620" s="203"/>
      <c r="B620" s="671"/>
      <c r="C620" s="152"/>
      <c r="D620" s="162"/>
      <c r="E620" s="370"/>
      <c r="F620" s="382"/>
      <c r="G620" s="370"/>
      <c r="H620" s="370"/>
      <c r="I620" s="466"/>
      <c r="J620" s="370"/>
      <c r="K620" s="370"/>
      <c r="L620" s="466"/>
      <c r="M620" s="809"/>
      <c r="N620" s="370"/>
    </row>
    <row r="621" spans="1:14" ht="18.95" customHeight="1">
      <c r="A621" s="203"/>
      <c r="B621" s="462"/>
      <c r="C621" s="152"/>
      <c r="D621" s="162"/>
      <c r="E621" s="370"/>
      <c r="F621" s="382"/>
      <c r="G621" s="377"/>
      <c r="H621" s="377"/>
      <c r="I621" s="377"/>
      <c r="J621" s="377"/>
      <c r="K621" s="377"/>
      <c r="L621" s="377"/>
      <c r="M621" s="790"/>
      <c r="N621" s="370"/>
    </row>
    <row r="622" spans="1:14" ht="18.95" customHeight="1">
      <c r="A622" s="203"/>
      <c r="B622" s="462"/>
      <c r="C622" s="152"/>
      <c r="D622" s="167"/>
      <c r="E622" s="370"/>
      <c r="F622" s="382"/>
      <c r="G622" s="377"/>
      <c r="H622" s="377"/>
      <c r="I622" s="377"/>
      <c r="J622" s="377"/>
      <c r="K622" s="377"/>
      <c r="L622" s="377"/>
      <c r="M622" s="790"/>
      <c r="N622" s="370"/>
    </row>
    <row r="623" spans="1:14" ht="18.95" customHeight="1">
      <c r="A623" s="237"/>
      <c r="B623" s="462"/>
      <c r="C623" s="152"/>
      <c r="D623" s="165"/>
      <c r="E623" s="370"/>
      <c r="F623" s="382"/>
      <c r="G623" s="370"/>
      <c r="H623" s="370"/>
      <c r="I623" s="466"/>
      <c r="J623" s="370"/>
      <c r="K623" s="370"/>
      <c r="L623" s="466"/>
      <c r="M623" s="809"/>
      <c r="N623" s="370"/>
    </row>
    <row r="624" spans="1:14" ht="18.95" customHeight="1">
      <c r="A624" s="237"/>
      <c r="B624" s="462"/>
      <c r="C624" s="152"/>
      <c r="D624" s="162"/>
      <c r="E624" s="370"/>
      <c r="F624" s="382"/>
      <c r="G624" s="377"/>
      <c r="H624" s="377"/>
      <c r="I624" s="377"/>
      <c r="J624" s="377"/>
      <c r="K624" s="377"/>
      <c r="L624" s="377"/>
      <c r="M624" s="790"/>
      <c r="N624" s="370"/>
    </row>
    <row r="625" spans="1:14" ht="18.95" customHeight="1">
      <c r="A625" s="203"/>
      <c r="B625" s="462"/>
      <c r="C625" s="152"/>
      <c r="D625" s="162"/>
      <c r="E625" s="370"/>
      <c r="F625" s="382"/>
      <c r="G625" s="377"/>
      <c r="H625" s="377"/>
      <c r="I625" s="377"/>
      <c r="J625" s="377"/>
      <c r="K625" s="377"/>
      <c r="L625" s="377"/>
      <c r="M625" s="790"/>
      <c r="N625" s="370"/>
    </row>
    <row r="626" spans="1:14" ht="18.95" customHeight="1">
      <c r="A626" s="203"/>
      <c r="B626" s="462"/>
      <c r="C626" s="152"/>
      <c r="D626" s="180"/>
      <c r="E626" s="396"/>
      <c r="F626" s="382"/>
      <c r="G626" s="377"/>
      <c r="H626" s="377"/>
      <c r="I626" s="377"/>
      <c r="J626" s="377"/>
      <c r="K626" s="377"/>
      <c r="L626" s="377"/>
      <c r="M626" s="790"/>
      <c r="N626" s="370"/>
    </row>
    <row r="627" spans="1:14" ht="18.95" customHeight="1">
      <c r="A627" s="203"/>
      <c r="B627" s="462"/>
      <c r="C627" s="152"/>
      <c r="D627" s="180"/>
      <c r="E627" s="396"/>
      <c r="F627" s="382"/>
      <c r="G627" s="377"/>
      <c r="H627" s="377"/>
      <c r="I627" s="377"/>
      <c r="J627" s="377"/>
      <c r="K627" s="377"/>
      <c r="L627" s="377"/>
      <c r="M627" s="790"/>
      <c r="N627" s="224"/>
    </row>
    <row r="628" spans="1:14" ht="18.95" customHeight="1">
      <c r="A628" s="238"/>
      <c r="B628" s="462"/>
      <c r="C628" s="152"/>
      <c r="D628" s="162"/>
      <c r="E628" s="463"/>
      <c r="F628" s="464"/>
      <c r="G628" s="391"/>
      <c r="H628" s="391"/>
      <c r="I628" s="377"/>
      <c r="J628" s="370"/>
      <c r="K628" s="370"/>
      <c r="L628" s="377"/>
      <c r="M628" s="790"/>
      <c r="N628" s="224"/>
    </row>
    <row r="629" spans="1:14" ht="18.95" customHeight="1">
      <c r="A629" s="238"/>
      <c r="B629" s="462"/>
      <c r="C629" s="152"/>
      <c r="D629" s="180"/>
      <c r="E629" s="370"/>
      <c r="F629" s="382"/>
      <c r="G629" s="370"/>
      <c r="H629" s="370"/>
      <c r="I629" s="377"/>
      <c r="J629" s="370"/>
      <c r="K629" s="370"/>
      <c r="L629" s="377"/>
      <c r="M629" s="790"/>
      <c r="N629" s="224"/>
    </row>
    <row r="630" spans="1:14" ht="18.95" customHeight="1">
      <c r="A630" s="203"/>
      <c r="B630" s="462"/>
      <c r="C630" s="152"/>
      <c r="D630" s="162"/>
      <c r="E630" s="463"/>
      <c r="F630" s="465"/>
      <c r="G630" s="370"/>
      <c r="H630" s="370"/>
      <c r="I630" s="466"/>
      <c r="J630" s="377"/>
      <c r="K630" s="377"/>
      <c r="L630" s="466"/>
      <c r="M630" s="809"/>
      <c r="N630" s="224"/>
    </row>
    <row r="631" spans="1:14" ht="18.95" customHeight="1">
      <c r="A631" s="203"/>
      <c r="B631" s="467"/>
      <c r="C631" s="152"/>
      <c r="D631" s="162"/>
      <c r="E631" s="463"/>
      <c r="F631" s="464"/>
      <c r="G631" s="370"/>
      <c r="H631" s="370"/>
      <c r="I631" s="466"/>
      <c r="J631" s="377"/>
      <c r="K631" s="377"/>
      <c r="L631" s="466"/>
      <c r="M631" s="809"/>
      <c r="N631" s="224"/>
    </row>
    <row r="632" spans="1:14" ht="18.95" customHeight="1">
      <c r="A632" s="203"/>
      <c r="B632" s="467"/>
      <c r="C632" s="152"/>
      <c r="D632" s="162"/>
      <c r="E632" s="396"/>
      <c r="F632" s="382"/>
      <c r="G632" s="377"/>
      <c r="H632" s="377"/>
      <c r="I632" s="377"/>
      <c r="J632" s="377"/>
      <c r="K632" s="377"/>
      <c r="L632" s="377"/>
      <c r="M632" s="790"/>
      <c r="N632" s="224"/>
    </row>
    <row r="633" spans="1:14" ht="18.95" customHeight="1">
      <c r="A633" s="203"/>
      <c r="B633" s="467"/>
      <c r="C633" s="152"/>
      <c r="D633" s="162"/>
      <c r="E633" s="396"/>
      <c r="F633" s="382"/>
      <c r="G633" s="377"/>
      <c r="H633" s="377"/>
      <c r="I633" s="377"/>
      <c r="J633" s="377"/>
      <c r="K633" s="377"/>
      <c r="L633" s="377"/>
      <c r="M633" s="790"/>
      <c r="N633" s="224"/>
    </row>
    <row r="634" spans="1:14" ht="18.95" customHeight="1">
      <c r="A634" s="203"/>
      <c r="B634" s="468"/>
      <c r="C634" s="152"/>
      <c r="D634" s="165"/>
      <c r="E634" s="370"/>
      <c r="F634" s="382"/>
      <c r="G634" s="370"/>
      <c r="H634" s="370"/>
      <c r="I634" s="377"/>
      <c r="J634" s="370"/>
      <c r="K634" s="370"/>
      <c r="L634" s="377"/>
      <c r="M634" s="790"/>
      <c r="N634" s="224"/>
    </row>
    <row r="635" spans="1:14" ht="18.95" customHeight="1">
      <c r="A635" s="238"/>
      <c r="B635" s="467"/>
      <c r="C635" s="152"/>
      <c r="D635" s="167"/>
      <c r="E635" s="396"/>
      <c r="F635" s="382"/>
      <c r="G635" s="377"/>
      <c r="H635" s="377"/>
      <c r="I635" s="377"/>
      <c r="J635" s="377"/>
      <c r="K635" s="377"/>
      <c r="L635" s="377"/>
      <c r="M635" s="790"/>
      <c r="N635" s="224"/>
    </row>
    <row r="636" spans="1:14" ht="18.95" customHeight="1">
      <c r="A636" s="201"/>
      <c r="B636" s="467"/>
      <c r="C636" s="152"/>
      <c r="D636" s="180"/>
      <c r="E636" s="396"/>
      <c r="F636" s="382"/>
      <c r="G636" s="377"/>
      <c r="H636" s="377"/>
      <c r="I636" s="377"/>
      <c r="J636" s="377"/>
      <c r="K636" s="377"/>
      <c r="L636" s="377"/>
      <c r="M636" s="790"/>
      <c r="N636" s="224"/>
    </row>
    <row r="637" spans="1:14" ht="18.95" customHeight="1">
      <c r="A637" s="203"/>
      <c r="B637" s="467"/>
      <c r="C637" s="164"/>
      <c r="D637" s="164"/>
      <c r="E637" s="370"/>
      <c r="F637" s="382"/>
      <c r="G637" s="377"/>
      <c r="H637" s="377"/>
      <c r="I637" s="377"/>
      <c r="J637" s="377"/>
      <c r="K637" s="377"/>
      <c r="L637" s="377"/>
      <c r="M637" s="790"/>
      <c r="N637" s="224"/>
    </row>
    <row r="638" spans="1:14" ht="18.95" customHeight="1">
      <c r="A638" s="203"/>
      <c r="B638" s="467"/>
      <c r="C638" s="236"/>
      <c r="D638" s="164"/>
      <c r="E638" s="370"/>
      <c r="F638" s="382"/>
      <c r="G638" s="377"/>
      <c r="H638" s="377"/>
      <c r="I638" s="377"/>
      <c r="J638" s="377"/>
      <c r="K638" s="377"/>
      <c r="L638" s="377"/>
      <c r="M638" s="790"/>
      <c r="N638" s="224"/>
    </row>
    <row r="639" spans="1:14" ht="18.95" customHeight="1">
      <c r="A639" s="238"/>
      <c r="B639" s="467"/>
      <c r="C639" s="164"/>
      <c r="D639" s="164"/>
      <c r="E639" s="370"/>
      <c r="F639" s="382"/>
      <c r="G639" s="377"/>
      <c r="H639" s="377"/>
      <c r="I639" s="377"/>
      <c r="J639" s="377"/>
      <c r="K639" s="377"/>
      <c r="L639" s="377"/>
      <c r="M639" s="790"/>
      <c r="N639" s="224"/>
    </row>
    <row r="640" spans="1:14" ht="18.95" customHeight="1">
      <c r="A640" s="238"/>
      <c r="B640" s="469"/>
      <c r="C640" s="244"/>
      <c r="D640" s="235"/>
      <c r="E640" s="367"/>
      <c r="F640" s="224"/>
      <c r="G640" s="377"/>
      <c r="H640" s="377"/>
      <c r="I640" s="377"/>
      <c r="J640" s="377"/>
      <c r="K640" s="377"/>
      <c r="L640" s="377"/>
      <c r="M640" s="790"/>
      <c r="N640" s="224"/>
    </row>
    <row r="641" spans="1:14" ht="18.95" customHeight="1">
      <c r="A641" s="203"/>
      <c r="B641" s="467"/>
      <c r="C641" s="244"/>
      <c r="D641" s="235"/>
      <c r="E641" s="367"/>
      <c r="F641" s="224"/>
      <c r="G641" s="377"/>
      <c r="H641" s="377"/>
      <c r="I641" s="377"/>
      <c r="J641" s="377"/>
      <c r="K641" s="377"/>
      <c r="L641" s="377"/>
      <c r="M641" s="790"/>
      <c r="N641" s="224"/>
    </row>
    <row r="642" spans="1:14" ht="18.95" customHeight="1">
      <c r="A642" s="203"/>
      <c r="B642" s="467"/>
      <c r="C642" s="244"/>
      <c r="D642" s="235"/>
      <c r="E642" s="367"/>
      <c r="F642" s="224"/>
      <c r="G642" s="377"/>
      <c r="H642" s="377"/>
      <c r="I642" s="377"/>
      <c r="J642" s="377"/>
      <c r="K642" s="377"/>
      <c r="L642" s="377"/>
      <c r="M642" s="790"/>
      <c r="N642" s="224"/>
    </row>
    <row r="643" spans="1:14" ht="18.95" customHeight="1">
      <c r="A643" s="203"/>
      <c r="B643" s="467"/>
      <c r="C643" s="164"/>
      <c r="D643" s="235"/>
      <c r="E643" s="367"/>
      <c r="F643" s="224"/>
      <c r="G643" s="377"/>
      <c r="H643" s="377"/>
      <c r="I643" s="377"/>
      <c r="J643" s="377"/>
      <c r="K643" s="377"/>
      <c r="L643" s="377"/>
      <c r="M643" s="790"/>
      <c r="N643" s="224"/>
    </row>
    <row r="644" spans="1:14" ht="18.95" customHeight="1">
      <c r="A644" s="238"/>
      <c r="B644" s="467"/>
      <c r="C644" s="164"/>
      <c r="D644" s="235"/>
      <c r="E644" s="367"/>
      <c r="F644" s="382"/>
      <c r="G644" s="377"/>
      <c r="H644" s="377"/>
      <c r="I644" s="377"/>
      <c r="J644" s="377"/>
      <c r="K644" s="377"/>
      <c r="L644" s="377"/>
      <c r="M644" s="790"/>
      <c r="N644" s="224"/>
    </row>
    <row r="645" spans="1:14" ht="18.95" customHeight="1">
      <c r="A645" s="201"/>
      <c r="B645" s="467"/>
      <c r="C645" s="164"/>
      <c r="D645" s="164"/>
      <c r="E645" s="367"/>
      <c r="F645" s="382"/>
      <c r="G645" s="377"/>
      <c r="H645" s="377"/>
      <c r="I645" s="377"/>
      <c r="J645" s="377"/>
      <c r="K645" s="377"/>
      <c r="L645" s="377"/>
      <c r="M645" s="790"/>
      <c r="N645" s="224"/>
    </row>
    <row r="646" spans="1:14" ht="18.95" customHeight="1">
      <c r="A646" s="245"/>
      <c r="B646" s="470"/>
      <c r="C646" s="210"/>
      <c r="D646" s="171"/>
      <c r="E646" s="404"/>
      <c r="F646" s="401"/>
      <c r="G646" s="460"/>
      <c r="H646" s="460"/>
      <c r="I646" s="460"/>
      <c r="J646" s="460"/>
      <c r="K646" s="460"/>
      <c r="L646" s="460"/>
      <c r="M646" s="792"/>
      <c r="N646" s="401"/>
    </row>
    <row r="647" spans="1:14" ht="18.95" customHeight="1">
      <c r="A647" s="246"/>
      <c r="B647" s="471"/>
      <c r="C647" s="228"/>
      <c r="D647" s="228"/>
      <c r="E647" s="472"/>
      <c r="F647" s="473"/>
      <c r="G647" s="472"/>
      <c r="H647" s="472"/>
      <c r="I647" s="472"/>
      <c r="J647" s="472"/>
      <c r="K647" s="472"/>
      <c r="L647" s="472"/>
      <c r="M647" s="804"/>
      <c r="N647" s="312"/>
    </row>
    <row r="648" spans="1:14" ht="18.95" customHeight="1">
      <c r="A648" s="198"/>
      <c r="B648" s="215"/>
      <c r="C648" s="164"/>
      <c r="D648" s="164"/>
      <c r="E648" s="367"/>
      <c r="F648" s="224"/>
      <c r="G648" s="367"/>
      <c r="H648" s="367"/>
      <c r="I648" s="367"/>
      <c r="J648" s="367"/>
      <c r="K648" s="367"/>
      <c r="L648" s="372"/>
      <c r="M648" s="384"/>
      <c r="N648" s="224"/>
    </row>
    <row r="649" spans="1:14" ht="18.95" customHeight="1">
      <c r="A649" s="139"/>
      <c r="B649" s="467"/>
      <c r="C649" s="164"/>
      <c r="D649" s="164"/>
      <c r="E649" s="367"/>
      <c r="F649" s="382"/>
      <c r="G649" s="377"/>
      <c r="H649" s="377"/>
      <c r="I649" s="377"/>
      <c r="J649" s="377"/>
      <c r="K649" s="377"/>
      <c r="L649" s="377"/>
      <c r="M649" s="790"/>
      <c r="N649" s="224"/>
    </row>
    <row r="650" spans="1:14" ht="18.95" customHeight="1">
      <c r="A650" s="238"/>
      <c r="B650" s="467"/>
      <c r="C650" s="164"/>
      <c r="D650" s="164"/>
      <c r="E650" s="367"/>
      <c r="F650" s="382"/>
      <c r="G650" s="377"/>
      <c r="H650" s="377"/>
      <c r="I650" s="377"/>
      <c r="J650" s="377"/>
      <c r="K650" s="377"/>
      <c r="L650" s="377"/>
      <c r="M650" s="790"/>
      <c r="N650" s="370"/>
    </row>
    <row r="651" spans="1:14" ht="18.95" customHeight="1">
      <c r="A651" s="203"/>
      <c r="B651" s="467"/>
      <c r="C651" s="164"/>
      <c r="D651" s="164"/>
      <c r="E651" s="367"/>
      <c r="F651" s="382"/>
      <c r="G651" s="377"/>
      <c r="H651" s="377"/>
      <c r="I651" s="377"/>
      <c r="J651" s="377"/>
      <c r="K651" s="377"/>
      <c r="L651" s="377"/>
      <c r="M651" s="790"/>
      <c r="N651" s="370"/>
    </row>
    <row r="652" spans="1:14" ht="18.95" customHeight="1">
      <c r="A652" s="203"/>
      <c r="B652" s="474"/>
      <c r="C652" s="164"/>
      <c r="D652" s="164"/>
      <c r="E652" s="367"/>
      <c r="F652" s="382"/>
      <c r="G652" s="370"/>
      <c r="H652" s="370"/>
      <c r="I652" s="370"/>
      <c r="J652" s="370"/>
      <c r="K652" s="370"/>
      <c r="L652" s="370"/>
      <c r="M652" s="456"/>
      <c r="N652" s="370"/>
    </row>
    <row r="653" spans="1:14" ht="18.95" customHeight="1">
      <c r="A653" s="139"/>
      <c r="B653" s="467"/>
      <c r="C653" s="164"/>
      <c r="D653" s="164"/>
      <c r="E653" s="367"/>
      <c r="F653" s="382"/>
      <c r="G653" s="377"/>
      <c r="H653" s="377"/>
      <c r="I653" s="377"/>
      <c r="J653" s="377"/>
      <c r="K653" s="377"/>
      <c r="L653" s="377"/>
      <c r="M653" s="790"/>
      <c r="N653" s="370"/>
    </row>
    <row r="654" spans="1:14" ht="18.95" customHeight="1">
      <c r="A654" s="139"/>
      <c r="B654" s="467"/>
      <c r="C654" s="164"/>
      <c r="D654" s="164"/>
      <c r="E654" s="367"/>
      <c r="F654" s="382"/>
      <c r="G654" s="377"/>
      <c r="H654" s="377"/>
      <c r="I654" s="377"/>
      <c r="J654" s="377"/>
      <c r="K654" s="377"/>
      <c r="L654" s="377"/>
      <c r="M654" s="790"/>
      <c r="N654" s="370"/>
    </row>
    <row r="655" spans="1:14" ht="18.95" customHeight="1">
      <c r="A655" s="139"/>
      <c r="B655" s="467"/>
      <c r="C655" s="152"/>
      <c r="D655" s="164"/>
      <c r="E655" s="367"/>
      <c r="F655" s="382"/>
      <c r="G655" s="377"/>
      <c r="H655" s="377"/>
      <c r="I655" s="377"/>
      <c r="J655" s="377"/>
      <c r="K655" s="377"/>
      <c r="L655" s="377"/>
      <c r="M655" s="790"/>
      <c r="N655" s="370"/>
    </row>
    <row r="656" spans="1:14" ht="18.95" customHeight="1">
      <c r="A656" s="198"/>
      <c r="B656" s="215"/>
      <c r="C656" s="164"/>
      <c r="D656" s="164"/>
      <c r="E656" s="367"/>
      <c r="F656" s="382"/>
      <c r="G656" s="377"/>
      <c r="H656" s="377"/>
      <c r="I656" s="377"/>
      <c r="J656" s="377"/>
      <c r="K656" s="377"/>
      <c r="L656" s="377"/>
      <c r="M656" s="790"/>
      <c r="N656" s="370"/>
    </row>
    <row r="657" spans="1:14" ht="18.95" customHeight="1">
      <c r="A657" s="139"/>
      <c r="B657" s="467"/>
      <c r="C657" s="164"/>
      <c r="D657" s="164"/>
      <c r="E657" s="367"/>
      <c r="F657" s="382"/>
      <c r="G657" s="377"/>
      <c r="H657" s="377"/>
      <c r="I657" s="377"/>
      <c r="J657" s="377"/>
      <c r="K657" s="377"/>
      <c r="L657" s="377"/>
      <c r="M657" s="790"/>
      <c r="N657" s="224"/>
    </row>
    <row r="658" spans="1:14" ht="18.95" customHeight="1">
      <c r="A658" s="238"/>
      <c r="B658" s="467"/>
      <c r="C658" s="164"/>
      <c r="D658" s="164"/>
      <c r="E658" s="367"/>
      <c r="F658" s="382"/>
      <c r="G658" s="377"/>
      <c r="H658" s="377"/>
      <c r="I658" s="377"/>
      <c r="J658" s="377"/>
      <c r="K658" s="377"/>
      <c r="L658" s="377"/>
      <c r="M658" s="790"/>
      <c r="N658" s="224"/>
    </row>
    <row r="659" spans="1:14" ht="18.95" customHeight="1">
      <c r="A659" s="203"/>
      <c r="B659" s="467"/>
      <c r="C659" s="164"/>
      <c r="D659" s="164"/>
      <c r="E659" s="367"/>
      <c r="F659" s="382"/>
      <c r="G659" s="377"/>
      <c r="H659" s="377"/>
      <c r="I659" s="377"/>
      <c r="J659" s="377"/>
      <c r="K659" s="377"/>
      <c r="L659" s="377"/>
      <c r="M659" s="790"/>
      <c r="N659" s="224"/>
    </row>
    <row r="660" spans="1:14" ht="18.95" customHeight="1">
      <c r="A660" s="203"/>
      <c r="B660" s="474"/>
      <c r="C660" s="164"/>
      <c r="D660" s="164"/>
      <c r="E660" s="367"/>
      <c r="F660" s="382"/>
      <c r="G660" s="370"/>
      <c r="H660" s="370"/>
      <c r="I660" s="370"/>
      <c r="J660" s="370"/>
      <c r="K660" s="370"/>
      <c r="L660" s="370"/>
      <c r="M660" s="456"/>
      <c r="N660" s="224"/>
    </row>
    <row r="661" spans="1:14" ht="18.95" customHeight="1">
      <c r="A661" s="139"/>
      <c r="B661" s="467"/>
      <c r="C661" s="164"/>
      <c r="D661" s="164"/>
      <c r="E661" s="367"/>
      <c r="F661" s="382"/>
      <c r="G661" s="377"/>
      <c r="H661" s="377"/>
      <c r="I661" s="377"/>
      <c r="J661" s="377"/>
      <c r="K661" s="377"/>
      <c r="L661" s="377"/>
      <c r="M661" s="790"/>
      <c r="N661" s="224"/>
    </row>
    <row r="662" spans="1:14" ht="18.95" customHeight="1">
      <c r="A662" s="139"/>
      <c r="B662" s="467"/>
      <c r="C662" s="164"/>
      <c r="D662" s="164"/>
      <c r="E662" s="367"/>
      <c r="F662" s="382"/>
      <c r="G662" s="377"/>
      <c r="H662" s="377"/>
      <c r="I662" s="377"/>
      <c r="J662" s="377"/>
      <c r="K662" s="377"/>
      <c r="L662" s="377"/>
      <c r="M662" s="790"/>
      <c r="N662" s="224"/>
    </row>
    <row r="663" spans="1:14" ht="18.95" customHeight="1">
      <c r="A663" s="139"/>
      <c r="B663" s="467"/>
      <c r="C663" s="164"/>
      <c r="D663" s="164"/>
      <c r="E663" s="367"/>
      <c r="F663" s="382"/>
      <c r="G663" s="377"/>
      <c r="H663" s="377"/>
      <c r="I663" s="377"/>
      <c r="J663" s="377"/>
      <c r="K663" s="377"/>
      <c r="L663" s="377"/>
      <c r="M663" s="790"/>
      <c r="N663" s="224"/>
    </row>
    <row r="664" spans="1:14" ht="18.95" customHeight="1">
      <c r="A664" s="198"/>
      <c r="B664" s="215"/>
      <c r="C664" s="164"/>
      <c r="D664" s="164"/>
      <c r="E664" s="367"/>
      <c r="F664" s="382"/>
      <c r="G664" s="377"/>
      <c r="H664" s="377"/>
      <c r="I664" s="377"/>
      <c r="J664" s="377"/>
      <c r="K664" s="377"/>
      <c r="L664" s="377"/>
      <c r="M664" s="790"/>
      <c r="N664" s="224"/>
    </row>
    <row r="665" spans="1:14" ht="18.95" customHeight="1">
      <c r="A665" s="139"/>
      <c r="B665" s="467"/>
      <c r="C665" s="164"/>
      <c r="D665" s="164"/>
      <c r="E665" s="367"/>
      <c r="F665" s="382"/>
      <c r="G665" s="377"/>
      <c r="H665" s="377"/>
      <c r="I665" s="377"/>
      <c r="J665" s="377"/>
      <c r="K665" s="377"/>
      <c r="L665" s="377"/>
      <c r="M665" s="790"/>
      <c r="N665" s="224"/>
    </row>
    <row r="666" spans="1:14" ht="18.95" customHeight="1">
      <c r="A666" s="238"/>
      <c r="B666" s="467"/>
      <c r="C666" s="164"/>
      <c r="D666" s="164"/>
      <c r="E666" s="367"/>
      <c r="F666" s="382"/>
      <c r="G666" s="377"/>
      <c r="H666" s="377"/>
      <c r="I666" s="377"/>
      <c r="J666" s="377"/>
      <c r="K666" s="377"/>
      <c r="L666" s="377"/>
      <c r="M666" s="790"/>
      <c r="N666" s="224"/>
    </row>
    <row r="667" spans="1:14" ht="18.95" customHeight="1">
      <c r="A667" s="203"/>
      <c r="B667" s="467"/>
      <c r="C667" s="164"/>
      <c r="D667" s="164"/>
      <c r="E667" s="367"/>
      <c r="F667" s="382"/>
      <c r="G667" s="377"/>
      <c r="H667" s="377"/>
      <c r="I667" s="377"/>
      <c r="J667" s="377"/>
      <c r="K667" s="377"/>
      <c r="L667" s="377"/>
      <c r="M667" s="790"/>
      <c r="N667" s="224"/>
    </row>
    <row r="668" spans="1:14" ht="18.95" customHeight="1">
      <c r="A668" s="139"/>
      <c r="B668" s="474"/>
      <c r="C668" s="164"/>
      <c r="D668" s="164"/>
      <c r="E668" s="367"/>
      <c r="F668" s="382"/>
      <c r="G668" s="370"/>
      <c r="H668" s="370"/>
      <c r="I668" s="370"/>
      <c r="J668" s="370"/>
      <c r="K668" s="370"/>
      <c r="L668" s="370"/>
      <c r="M668" s="456"/>
      <c r="N668" s="224"/>
    </row>
    <row r="669" spans="1:14" ht="18.95" customHeight="1">
      <c r="A669" s="139"/>
      <c r="B669" s="467"/>
      <c r="C669" s="164"/>
      <c r="D669" s="164"/>
      <c r="E669" s="367"/>
      <c r="F669" s="382"/>
      <c r="G669" s="377"/>
      <c r="H669" s="377"/>
      <c r="I669" s="377"/>
      <c r="J669" s="377"/>
      <c r="K669" s="377"/>
      <c r="L669" s="377"/>
      <c r="M669" s="790"/>
      <c r="N669" s="224"/>
    </row>
    <row r="670" spans="1:14" ht="18.95" customHeight="1">
      <c r="A670" s="139"/>
      <c r="B670" s="467"/>
      <c r="C670" s="164"/>
      <c r="D670" s="164"/>
      <c r="E670" s="367"/>
      <c r="F670" s="382"/>
      <c r="G670" s="377"/>
      <c r="H670" s="377"/>
      <c r="I670" s="377"/>
      <c r="J670" s="377"/>
      <c r="K670" s="377"/>
      <c r="L670" s="377"/>
      <c r="M670" s="790"/>
      <c r="N670" s="224"/>
    </row>
    <row r="671" spans="1:14" ht="18.95" customHeight="1">
      <c r="A671" s="198"/>
      <c r="B671" s="467"/>
      <c r="C671" s="164"/>
      <c r="D671" s="164"/>
      <c r="E671" s="367"/>
      <c r="F671" s="382"/>
      <c r="G671" s="377"/>
      <c r="H671" s="377"/>
      <c r="I671" s="377"/>
      <c r="J671" s="377"/>
      <c r="K671" s="377"/>
      <c r="L671" s="377"/>
      <c r="M671" s="790"/>
      <c r="N671" s="224"/>
    </row>
    <row r="672" spans="1:14" ht="18.95" customHeight="1">
      <c r="A672" s="198"/>
      <c r="B672" s="215"/>
      <c r="C672" s="164"/>
      <c r="D672" s="164"/>
      <c r="E672" s="370"/>
      <c r="F672" s="382"/>
      <c r="G672" s="377"/>
      <c r="H672" s="377"/>
      <c r="I672" s="377"/>
      <c r="J672" s="377"/>
      <c r="K672" s="377"/>
      <c r="L672" s="377"/>
      <c r="M672" s="790"/>
      <c r="N672" s="224"/>
    </row>
    <row r="673" spans="1:14" ht="18.95" customHeight="1">
      <c r="A673" s="198"/>
      <c r="B673" s="467"/>
      <c r="C673" s="152"/>
      <c r="D673" s="164"/>
      <c r="E673" s="367"/>
      <c r="F673" s="382"/>
      <c r="G673" s="377"/>
      <c r="H673" s="377"/>
      <c r="I673" s="377"/>
      <c r="J673" s="377"/>
      <c r="K673" s="377"/>
      <c r="L673" s="377"/>
      <c r="M673" s="790"/>
      <c r="N673" s="224"/>
    </row>
    <row r="674" spans="1:14" ht="18.95" customHeight="1">
      <c r="A674" s="203"/>
      <c r="B674" s="474"/>
      <c r="C674" s="164"/>
      <c r="D674" s="164"/>
      <c r="E674" s="461"/>
      <c r="F674" s="459"/>
      <c r="G674" s="461"/>
      <c r="H674" s="461"/>
      <c r="I674" s="461"/>
      <c r="J674" s="461"/>
      <c r="K674" s="461"/>
      <c r="L674" s="461"/>
      <c r="M674" s="797"/>
      <c r="N674" s="401"/>
    </row>
    <row r="675" spans="1:14" ht="18.95" customHeight="1">
      <c r="A675" s="183"/>
      <c r="B675" s="467"/>
      <c r="C675" s="164"/>
      <c r="D675" s="164"/>
      <c r="E675" s="475"/>
      <c r="F675" s="312"/>
      <c r="G675" s="475"/>
      <c r="H675" s="475"/>
      <c r="I675" s="475"/>
      <c r="J675" s="475"/>
      <c r="K675" s="475"/>
      <c r="L675" s="476"/>
      <c r="M675" s="801"/>
      <c r="N675" s="312"/>
    </row>
    <row r="676" spans="1:14" ht="18.95" customHeight="1">
      <c r="A676" s="198"/>
      <c r="B676" s="467"/>
      <c r="C676" s="164"/>
      <c r="D676" s="164"/>
      <c r="E676" s="367"/>
      <c r="F676" s="382"/>
      <c r="G676" s="377"/>
      <c r="H676" s="377"/>
      <c r="I676" s="377"/>
      <c r="J676" s="377"/>
      <c r="K676" s="377"/>
      <c r="L676" s="377"/>
      <c r="M676" s="790"/>
      <c r="N676" s="362"/>
    </row>
    <row r="677" spans="1:14" ht="18.95" customHeight="1">
      <c r="A677" s="198"/>
      <c r="B677" s="467"/>
      <c r="C677" s="164"/>
      <c r="D677" s="164"/>
      <c r="E677" s="367"/>
      <c r="F677" s="382"/>
      <c r="G677" s="377"/>
      <c r="H677" s="377"/>
      <c r="I677" s="377"/>
      <c r="J677" s="377"/>
      <c r="K677" s="377"/>
      <c r="L677" s="377"/>
      <c r="M677" s="790"/>
      <c r="N677" s="370"/>
    </row>
    <row r="678" spans="1:14" ht="18.95" customHeight="1">
      <c r="A678" s="238"/>
      <c r="B678" s="467"/>
      <c r="C678" s="152"/>
      <c r="D678" s="167"/>
      <c r="E678" s="367"/>
      <c r="F678" s="382"/>
      <c r="G678" s="377"/>
      <c r="H678" s="377"/>
      <c r="I678" s="377"/>
      <c r="J678" s="377"/>
      <c r="K678" s="377"/>
      <c r="L678" s="377"/>
      <c r="M678" s="790"/>
      <c r="N678" s="370"/>
    </row>
    <row r="679" spans="1:14" ht="18.95" customHeight="1">
      <c r="A679" s="203"/>
      <c r="B679" s="467"/>
      <c r="C679" s="164"/>
      <c r="D679" s="164"/>
      <c r="E679" s="367"/>
      <c r="F679" s="382"/>
      <c r="G679" s="377"/>
      <c r="H679" s="377"/>
      <c r="I679" s="377"/>
      <c r="J679" s="377"/>
      <c r="K679" s="377"/>
      <c r="L679" s="377"/>
      <c r="M679" s="790"/>
      <c r="N679" s="370"/>
    </row>
    <row r="680" spans="1:14" ht="18.95" customHeight="1">
      <c r="A680" s="203"/>
      <c r="B680" s="467"/>
      <c r="C680" s="152"/>
      <c r="D680" s="164"/>
      <c r="E680" s="367"/>
      <c r="F680" s="382"/>
      <c r="G680" s="377"/>
      <c r="H680" s="377"/>
      <c r="I680" s="377"/>
      <c r="J680" s="377"/>
      <c r="K680" s="377"/>
      <c r="L680" s="377"/>
      <c r="M680" s="790"/>
      <c r="N680" s="370"/>
    </row>
    <row r="681" spans="1:14" ht="18.95" customHeight="1">
      <c r="A681" s="198"/>
      <c r="B681" s="215"/>
      <c r="C681" s="164"/>
      <c r="D681" s="164"/>
      <c r="E681" s="367"/>
      <c r="F681" s="382"/>
      <c r="G681" s="377"/>
      <c r="H681" s="377"/>
      <c r="I681" s="377"/>
      <c r="J681" s="377"/>
      <c r="K681" s="377"/>
      <c r="L681" s="377"/>
      <c r="M681" s="790"/>
      <c r="N681" s="370"/>
    </row>
    <row r="682" spans="1:14" ht="18.95" customHeight="1">
      <c r="A682" s="198"/>
      <c r="B682" s="467"/>
      <c r="C682" s="152"/>
      <c r="D682" s="180"/>
      <c r="E682" s="370"/>
      <c r="F682" s="382"/>
      <c r="G682" s="377"/>
      <c r="H682" s="377"/>
      <c r="I682" s="377"/>
      <c r="J682" s="377"/>
      <c r="K682" s="377"/>
      <c r="L682" s="377"/>
      <c r="M682" s="790"/>
      <c r="N682" s="370"/>
    </row>
    <row r="683" spans="1:14" ht="18.95" customHeight="1">
      <c r="A683" s="198"/>
      <c r="B683" s="215"/>
      <c r="C683" s="164"/>
      <c r="D683" s="164"/>
      <c r="E683" s="367"/>
      <c r="F683" s="382"/>
      <c r="G683" s="377"/>
      <c r="H683" s="377"/>
      <c r="I683" s="377"/>
      <c r="J683" s="377"/>
      <c r="K683" s="377"/>
      <c r="L683" s="377"/>
      <c r="M683" s="790"/>
      <c r="N683" s="370"/>
    </row>
    <row r="684" spans="1:14" ht="18.95" customHeight="1">
      <c r="A684" s="198"/>
      <c r="B684" s="467"/>
      <c r="C684" s="164"/>
      <c r="D684" s="164"/>
      <c r="E684" s="370"/>
      <c r="F684" s="382"/>
      <c r="G684" s="377"/>
      <c r="H684" s="377"/>
      <c r="I684" s="377"/>
      <c r="J684" s="478"/>
      <c r="K684" s="478"/>
      <c r="L684" s="377"/>
      <c r="M684" s="790"/>
      <c r="N684" s="224"/>
    </row>
    <row r="685" spans="1:14" ht="18.95" customHeight="1">
      <c r="A685" s="203"/>
      <c r="B685" s="467"/>
      <c r="C685" s="164"/>
      <c r="D685" s="164"/>
      <c r="E685" s="370"/>
      <c r="F685" s="224"/>
      <c r="G685" s="377"/>
      <c r="H685" s="377"/>
      <c r="I685" s="377"/>
      <c r="J685" s="377"/>
      <c r="K685" s="377"/>
      <c r="L685" s="377"/>
      <c r="M685" s="790"/>
      <c r="N685" s="224"/>
    </row>
    <row r="686" spans="1:14" ht="18.95" customHeight="1">
      <c r="A686" s="203"/>
      <c r="B686" s="467"/>
      <c r="C686" s="164"/>
      <c r="D686" s="164"/>
      <c r="E686" s="370"/>
      <c r="F686" s="382"/>
      <c r="G686" s="377"/>
      <c r="H686" s="377"/>
      <c r="I686" s="370"/>
      <c r="J686" s="370"/>
      <c r="K686" s="370"/>
      <c r="L686" s="370"/>
      <c r="M686" s="456"/>
      <c r="N686" s="224"/>
    </row>
    <row r="687" spans="1:14" ht="18.95" customHeight="1">
      <c r="A687" s="203"/>
      <c r="B687" s="467"/>
      <c r="C687" s="164"/>
      <c r="D687" s="164"/>
      <c r="E687" s="370"/>
      <c r="F687" s="382"/>
      <c r="G687" s="377"/>
      <c r="H687" s="377"/>
      <c r="I687" s="377"/>
      <c r="J687" s="377"/>
      <c r="K687" s="377"/>
      <c r="L687" s="377"/>
      <c r="M687" s="790"/>
      <c r="N687" s="224"/>
    </row>
    <row r="688" spans="1:14" ht="18.95" customHeight="1">
      <c r="A688" s="198"/>
      <c r="B688" s="215"/>
      <c r="C688" s="179"/>
      <c r="D688" s="167"/>
      <c r="E688" s="367"/>
      <c r="F688" s="382"/>
      <c r="G688" s="377"/>
      <c r="H688" s="377"/>
      <c r="I688" s="377"/>
      <c r="J688" s="377"/>
      <c r="K688" s="377"/>
      <c r="L688" s="377"/>
      <c r="M688" s="790"/>
      <c r="N688" s="224"/>
    </row>
    <row r="689" spans="1:14" ht="18.95" customHeight="1">
      <c r="A689" s="139"/>
      <c r="B689" s="467"/>
      <c r="C689" s="152"/>
      <c r="D689" s="165"/>
      <c r="E689" s="370"/>
      <c r="F689" s="224"/>
      <c r="G689" s="377"/>
      <c r="H689" s="377"/>
      <c r="I689" s="377"/>
      <c r="J689" s="377"/>
      <c r="K689" s="377"/>
      <c r="L689" s="377"/>
      <c r="M689" s="790"/>
      <c r="N689" s="224"/>
    </row>
    <row r="690" spans="1:14" ht="18.95" customHeight="1">
      <c r="A690" s="139"/>
      <c r="B690" s="467"/>
      <c r="C690" s="164"/>
      <c r="D690" s="165"/>
      <c r="E690" s="370"/>
      <c r="F690" s="382"/>
      <c r="G690" s="377"/>
      <c r="H690" s="377"/>
      <c r="I690" s="377"/>
      <c r="J690" s="377"/>
      <c r="K690" s="377"/>
      <c r="L690" s="377"/>
      <c r="M690" s="790"/>
      <c r="N690" s="224"/>
    </row>
    <row r="691" spans="1:14" ht="18.95" customHeight="1">
      <c r="A691" s="139"/>
      <c r="B691" s="467"/>
      <c r="C691" s="164"/>
      <c r="D691" s="162"/>
      <c r="E691" s="367"/>
      <c r="F691" s="224"/>
      <c r="G691" s="377"/>
      <c r="H691" s="377"/>
      <c r="I691" s="377"/>
      <c r="J691" s="479"/>
      <c r="K691" s="479"/>
      <c r="L691" s="377"/>
      <c r="M691" s="790"/>
      <c r="N691" s="224"/>
    </row>
    <row r="692" spans="1:14" ht="18.95" customHeight="1">
      <c r="A692" s="139"/>
      <c r="B692" s="215"/>
      <c r="C692" s="164"/>
      <c r="D692" s="162"/>
      <c r="E692" s="367"/>
      <c r="F692" s="382"/>
      <c r="G692" s="377"/>
      <c r="H692" s="377"/>
      <c r="I692" s="377"/>
      <c r="J692" s="377"/>
      <c r="K692" s="377"/>
      <c r="L692" s="377"/>
      <c r="M692" s="790"/>
      <c r="N692" s="224"/>
    </row>
    <row r="693" spans="1:14" ht="18.95" customHeight="1">
      <c r="A693" s="139"/>
      <c r="B693" s="215"/>
      <c r="C693" s="164"/>
      <c r="D693" s="162"/>
      <c r="E693" s="367"/>
      <c r="F693" s="382"/>
      <c r="G693" s="377"/>
      <c r="H693" s="377"/>
      <c r="I693" s="377"/>
      <c r="J693" s="377"/>
      <c r="K693" s="377"/>
      <c r="L693" s="377"/>
      <c r="M693" s="790"/>
      <c r="N693" s="224"/>
    </row>
    <row r="694" spans="1:14" ht="18.95" customHeight="1">
      <c r="A694" s="139"/>
      <c r="B694" s="467"/>
      <c r="C694" s="164"/>
      <c r="D694" s="165"/>
      <c r="E694" s="367"/>
      <c r="F694" s="224"/>
      <c r="G694" s="377"/>
      <c r="H694" s="377"/>
      <c r="I694" s="377"/>
      <c r="J694" s="479"/>
      <c r="K694" s="479"/>
      <c r="L694" s="377"/>
      <c r="M694" s="790"/>
      <c r="N694" s="224"/>
    </row>
    <row r="695" spans="1:14" ht="18.95" customHeight="1">
      <c r="A695" s="198"/>
      <c r="B695" s="149"/>
      <c r="C695" s="164"/>
      <c r="D695" s="162"/>
      <c r="E695" s="367"/>
      <c r="F695" s="382"/>
      <c r="G695" s="377"/>
      <c r="H695" s="377"/>
      <c r="I695" s="377"/>
      <c r="J695" s="377"/>
      <c r="K695" s="377"/>
      <c r="L695" s="377"/>
      <c r="M695" s="790"/>
      <c r="N695" s="224"/>
    </row>
    <row r="696" spans="1:14" ht="18.95" customHeight="1">
      <c r="A696" s="139"/>
      <c r="B696" s="1435"/>
      <c r="C696" s="1436"/>
      <c r="D696" s="1437"/>
      <c r="E696" s="367"/>
      <c r="F696" s="382"/>
      <c r="G696" s="377"/>
      <c r="H696" s="377"/>
      <c r="I696" s="377"/>
      <c r="J696" s="377"/>
      <c r="K696" s="377"/>
      <c r="L696" s="377"/>
      <c r="M696" s="803"/>
      <c r="N696" s="224"/>
    </row>
    <row r="697" spans="1:14" ht="18.95" customHeight="1">
      <c r="A697" s="139"/>
      <c r="B697" s="467"/>
      <c r="C697" s="164"/>
      <c r="D697" s="167"/>
      <c r="E697" s="370"/>
      <c r="F697" s="382"/>
      <c r="G697" s="377"/>
      <c r="H697" s="377"/>
      <c r="I697" s="377"/>
      <c r="J697" s="377"/>
      <c r="K697" s="377"/>
      <c r="L697" s="377"/>
      <c r="M697" s="790"/>
      <c r="N697" s="224"/>
    </row>
    <row r="698" spans="1:14" ht="18.95" customHeight="1">
      <c r="A698" s="139"/>
      <c r="B698" s="467"/>
      <c r="C698" s="164"/>
      <c r="D698" s="167"/>
      <c r="E698" s="370"/>
      <c r="F698" s="382"/>
      <c r="G698" s="377"/>
      <c r="H698" s="377"/>
      <c r="I698" s="377"/>
      <c r="J698" s="377"/>
      <c r="K698" s="377"/>
      <c r="L698" s="377"/>
      <c r="M698" s="790"/>
      <c r="N698" s="224"/>
    </row>
    <row r="699" spans="1:14" ht="18.95" customHeight="1">
      <c r="A699" s="139"/>
      <c r="B699" s="467"/>
      <c r="C699" s="164"/>
      <c r="D699" s="167"/>
      <c r="E699" s="370"/>
      <c r="F699" s="382"/>
      <c r="G699" s="377"/>
      <c r="H699" s="377"/>
      <c r="I699" s="377"/>
      <c r="J699" s="377"/>
      <c r="K699" s="377"/>
      <c r="L699" s="377"/>
      <c r="M699" s="790"/>
      <c r="N699" s="224"/>
    </row>
    <row r="700" spans="1:14" ht="18.95" customHeight="1">
      <c r="A700" s="203"/>
      <c r="B700" s="467"/>
      <c r="C700" s="152"/>
      <c r="D700" s="167"/>
      <c r="E700" s="370"/>
      <c r="F700" s="382"/>
      <c r="G700" s="370"/>
      <c r="H700" s="370"/>
      <c r="I700" s="370"/>
      <c r="J700" s="370"/>
      <c r="K700" s="370"/>
      <c r="L700" s="370"/>
      <c r="M700" s="392"/>
      <c r="N700" s="224"/>
    </row>
    <row r="701" spans="1:14" ht="18.95" customHeight="1">
      <c r="A701" s="229"/>
      <c r="B701" s="480"/>
      <c r="C701" s="179"/>
      <c r="D701" s="180"/>
      <c r="E701" s="370"/>
      <c r="F701" s="382"/>
      <c r="G701" s="370"/>
      <c r="H701" s="370"/>
      <c r="I701" s="370"/>
      <c r="J701" s="370"/>
      <c r="K701" s="370"/>
      <c r="L701" s="370"/>
      <c r="M701" s="392"/>
      <c r="N701" s="224"/>
    </row>
    <row r="702" spans="1:14" ht="18.95" customHeight="1">
      <c r="A702" s="226"/>
      <c r="B702" s="1307"/>
      <c r="C702" s="1308"/>
      <c r="D702" s="1309"/>
      <c r="E702" s="370"/>
      <c r="F702" s="459"/>
      <c r="G702" s="461"/>
      <c r="H702" s="461"/>
      <c r="I702" s="461"/>
      <c r="J702" s="461"/>
      <c r="K702" s="461"/>
      <c r="L702" s="461"/>
      <c r="M702" s="797"/>
      <c r="N702" s="401"/>
    </row>
    <row r="703" spans="1:14" ht="18.95" customHeight="1">
      <c r="A703" s="183"/>
      <c r="B703" s="481"/>
      <c r="C703" s="159"/>
      <c r="D703" s="218"/>
      <c r="E703" s="475"/>
      <c r="F703" s="312"/>
      <c r="G703" s="475"/>
      <c r="H703" s="475"/>
      <c r="I703" s="475"/>
      <c r="J703" s="475"/>
      <c r="K703" s="475"/>
      <c r="L703" s="476"/>
      <c r="M703" s="801"/>
      <c r="N703" s="312"/>
    </row>
    <row r="704" spans="1:14" ht="18.95" customHeight="1">
      <c r="A704" s="139"/>
      <c r="B704" s="215"/>
      <c r="C704" s="161"/>
      <c r="D704" s="248"/>
      <c r="E704" s="367"/>
      <c r="F704" s="382"/>
      <c r="G704" s="377"/>
      <c r="H704" s="377"/>
      <c r="I704" s="377"/>
      <c r="J704" s="377"/>
      <c r="K704" s="377"/>
      <c r="L704" s="377"/>
      <c r="M704" s="790"/>
      <c r="N704" s="362"/>
    </row>
    <row r="705" spans="1:14" ht="18.95" customHeight="1">
      <c r="A705" s="139"/>
      <c r="B705" s="215"/>
      <c r="C705" s="161"/>
      <c r="D705" s="248"/>
      <c r="E705" s="367"/>
      <c r="F705" s="382"/>
      <c r="G705" s="377"/>
      <c r="H705" s="377"/>
      <c r="I705" s="377"/>
      <c r="J705" s="377"/>
      <c r="K705" s="377"/>
      <c r="L705" s="377"/>
      <c r="M705" s="790"/>
      <c r="N705" s="370"/>
    </row>
    <row r="706" spans="1:14" ht="18.95" customHeight="1">
      <c r="A706" s="139"/>
      <c r="B706" s="482"/>
      <c r="C706" s="164"/>
      <c r="D706" s="248"/>
      <c r="E706" s="367"/>
      <c r="F706" s="382"/>
      <c r="G706" s="377"/>
      <c r="H706" s="377"/>
      <c r="I706" s="377"/>
      <c r="J706" s="377"/>
      <c r="K706" s="377"/>
      <c r="L706" s="377"/>
      <c r="M706" s="790"/>
      <c r="N706" s="370"/>
    </row>
    <row r="707" spans="1:14" ht="18.95" customHeight="1">
      <c r="A707" s="139"/>
      <c r="B707" s="482"/>
      <c r="C707" s="164"/>
      <c r="D707" s="248"/>
      <c r="E707" s="367"/>
      <c r="F707" s="382"/>
      <c r="G707" s="377"/>
      <c r="H707" s="377"/>
      <c r="I707" s="377"/>
      <c r="J707" s="377"/>
      <c r="K707" s="377"/>
      <c r="L707" s="377"/>
      <c r="M707" s="790"/>
      <c r="N707" s="370"/>
    </row>
    <row r="708" spans="1:14" ht="18.95" customHeight="1">
      <c r="A708" s="139"/>
      <c r="B708" s="215"/>
      <c r="C708" s="164"/>
      <c r="D708" s="164"/>
      <c r="E708" s="367"/>
      <c r="F708" s="382"/>
      <c r="G708" s="377"/>
      <c r="H708" s="377"/>
      <c r="I708" s="377"/>
      <c r="J708" s="377"/>
      <c r="K708" s="377"/>
      <c r="L708" s="377"/>
      <c r="M708" s="790"/>
      <c r="N708" s="370"/>
    </row>
    <row r="709" spans="1:14" ht="18.95" customHeight="1">
      <c r="A709" s="139"/>
      <c r="B709" s="215"/>
      <c r="C709" s="164"/>
      <c r="D709" s="164"/>
      <c r="E709" s="367"/>
      <c r="F709" s="382"/>
      <c r="G709" s="377"/>
      <c r="H709" s="377"/>
      <c r="I709" s="377"/>
      <c r="J709" s="377"/>
      <c r="K709" s="377"/>
      <c r="L709" s="377"/>
      <c r="M709" s="790"/>
      <c r="N709" s="370"/>
    </row>
    <row r="710" spans="1:14" ht="18.95" customHeight="1">
      <c r="A710" s="139"/>
      <c r="B710" s="215"/>
      <c r="C710" s="164"/>
      <c r="D710" s="164"/>
      <c r="E710" s="367"/>
      <c r="F710" s="382"/>
      <c r="G710" s="377"/>
      <c r="H710" s="377"/>
      <c r="I710" s="377"/>
      <c r="J710" s="377"/>
      <c r="K710" s="377"/>
      <c r="L710" s="377"/>
      <c r="M710" s="790"/>
      <c r="N710" s="370"/>
    </row>
    <row r="711" spans="1:14" ht="18.95" customHeight="1">
      <c r="A711" s="139"/>
      <c r="B711" s="215"/>
      <c r="C711" s="164"/>
      <c r="D711" s="164"/>
      <c r="E711" s="367"/>
      <c r="F711" s="382"/>
      <c r="G711" s="377"/>
      <c r="H711" s="377"/>
      <c r="I711" s="377"/>
      <c r="J711" s="377"/>
      <c r="K711" s="377"/>
      <c r="L711" s="377"/>
      <c r="M711" s="790"/>
      <c r="N711" s="370"/>
    </row>
    <row r="712" spans="1:14" ht="18.95" customHeight="1">
      <c r="A712" s="238"/>
      <c r="B712" s="149"/>
      <c r="C712" s="164"/>
      <c r="D712" s="162"/>
      <c r="E712" s="396"/>
      <c r="F712" s="464"/>
      <c r="G712" s="391"/>
      <c r="H712" s="391"/>
      <c r="I712" s="483"/>
      <c r="J712" s="478"/>
      <c r="K712" s="478"/>
      <c r="L712" s="484"/>
      <c r="M712" s="810"/>
      <c r="N712" s="224"/>
    </row>
    <row r="713" spans="1:14" ht="18.95" customHeight="1">
      <c r="A713" s="203"/>
      <c r="B713" s="215"/>
      <c r="C713" s="164"/>
      <c r="D713" s="162"/>
      <c r="E713" s="370"/>
      <c r="F713" s="382"/>
      <c r="G713" s="377"/>
      <c r="H713" s="377"/>
      <c r="I713" s="367"/>
      <c r="J713" s="377"/>
      <c r="K713" s="377"/>
      <c r="L713" s="372"/>
      <c r="M713" s="790"/>
      <c r="N713" s="224"/>
    </row>
    <row r="714" spans="1:14" ht="18.95" customHeight="1">
      <c r="A714" s="203"/>
      <c r="B714" s="215"/>
      <c r="C714" s="164"/>
      <c r="D714" s="162"/>
      <c r="E714" s="370"/>
      <c r="F714" s="382"/>
      <c r="G714" s="370"/>
      <c r="H714" s="370"/>
      <c r="I714" s="370"/>
      <c r="J714" s="370"/>
      <c r="K714" s="370"/>
      <c r="L714" s="370"/>
      <c r="M714" s="456"/>
      <c r="N714" s="224"/>
    </row>
    <row r="715" spans="1:14" ht="18.95" customHeight="1">
      <c r="A715" s="139"/>
      <c r="B715" s="149"/>
      <c r="C715" s="164"/>
      <c r="D715" s="162"/>
      <c r="E715" s="367"/>
      <c r="F715" s="382"/>
      <c r="G715" s="377"/>
      <c r="H715" s="377"/>
      <c r="I715" s="377"/>
      <c r="J715" s="377"/>
      <c r="K715" s="377"/>
      <c r="L715" s="377"/>
      <c r="M715" s="790"/>
      <c r="N715" s="224"/>
    </row>
    <row r="716" spans="1:14" ht="18.95" customHeight="1">
      <c r="A716" s="139"/>
      <c r="B716" s="149"/>
      <c r="C716" s="164"/>
      <c r="D716" s="162"/>
      <c r="E716" s="367"/>
      <c r="F716" s="382"/>
      <c r="G716" s="377"/>
      <c r="H716" s="377"/>
      <c r="I716" s="377"/>
      <c r="J716" s="377"/>
      <c r="K716" s="377"/>
      <c r="L716" s="377"/>
      <c r="M716" s="790"/>
      <c r="N716" s="224"/>
    </row>
    <row r="717" spans="1:14" ht="18.95" customHeight="1">
      <c r="A717" s="139"/>
      <c r="B717" s="215"/>
      <c r="C717" s="164"/>
      <c r="D717" s="162"/>
      <c r="E717" s="367"/>
      <c r="F717" s="382"/>
      <c r="G717" s="377"/>
      <c r="H717" s="377"/>
      <c r="I717" s="377"/>
      <c r="J717" s="377"/>
      <c r="K717" s="377"/>
      <c r="L717" s="377"/>
      <c r="M717" s="790"/>
      <c r="N717" s="224"/>
    </row>
    <row r="718" spans="1:14" ht="18.95" customHeight="1">
      <c r="A718" s="139"/>
      <c r="B718" s="149"/>
      <c r="C718" s="164"/>
      <c r="D718" s="162"/>
      <c r="E718" s="367"/>
      <c r="F718" s="382"/>
      <c r="G718" s="377"/>
      <c r="H718" s="377"/>
      <c r="I718" s="377"/>
      <c r="J718" s="377"/>
      <c r="K718" s="377"/>
      <c r="L718" s="377"/>
      <c r="M718" s="790"/>
      <c r="N718" s="224"/>
    </row>
    <row r="719" spans="1:14" ht="18.95" customHeight="1">
      <c r="A719" s="139"/>
      <c r="B719" s="149"/>
      <c r="C719" s="164"/>
      <c r="D719" s="167"/>
      <c r="E719" s="367"/>
      <c r="F719" s="382"/>
      <c r="G719" s="377"/>
      <c r="H719" s="377"/>
      <c r="I719" s="377"/>
      <c r="J719" s="377"/>
      <c r="K719" s="377"/>
      <c r="L719" s="377"/>
      <c r="M719" s="790"/>
      <c r="N719" s="224"/>
    </row>
    <row r="720" spans="1:14" ht="18.95" customHeight="1">
      <c r="A720" s="139"/>
      <c r="B720" s="149"/>
      <c r="C720" s="164"/>
      <c r="D720" s="167"/>
      <c r="E720" s="367"/>
      <c r="F720" s="382"/>
      <c r="G720" s="377"/>
      <c r="H720" s="377"/>
      <c r="I720" s="377"/>
      <c r="J720" s="377"/>
      <c r="K720" s="377"/>
      <c r="L720" s="377"/>
      <c r="M720" s="790"/>
      <c r="N720" s="224"/>
    </row>
    <row r="721" spans="1:14" ht="18.95" customHeight="1">
      <c r="A721" s="139"/>
      <c r="B721" s="467"/>
      <c r="C721" s="164"/>
      <c r="D721" s="167"/>
      <c r="E721" s="367"/>
      <c r="F721" s="382"/>
      <c r="G721" s="377"/>
      <c r="H721" s="377"/>
      <c r="I721" s="367"/>
      <c r="J721" s="377"/>
      <c r="K721" s="377"/>
      <c r="L721" s="372"/>
      <c r="M721" s="790"/>
      <c r="N721" s="224"/>
    </row>
    <row r="722" spans="1:14" ht="18.95" customHeight="1">
      <c r="A722" s="243"/>
      <c r="B722" s="467"/>
      <c r="C722" s="164"/>
      <c r="D722" s="167"/>
      <c r="E722" s="367"/>
      <c r="F722" s="382"/>
      <c r="G722" s="377"/>
      <c r="H722" s="377"/>
      <c r="I722" s="377"/>
      <c r="J722" s="377"/>
      <c r="K722" s="377"/>
      <c r="L722" s="377"/>
      <c r="M722" s="790"/>
      <c r="N722" s="224"/>
    </row>
    <row r="723" spans="1:14" ht="18.95" customHeight="1">
      <c r="A723" s="243"/>
      <c r="B723" s="467"/>
      <c r="C723" s="164"/>
      <c r="D723" s="167"/>
      <c r="E723" s="367"/>
      <c r="F723" s="382"/>
      <c r="G723" s="377"/>
      <c r="H723" s="377"/>
      <c r="I723" s="377"/>
      <c r="J723" s="377"/>
      <c r="K723" s="377"/>
      <c r="L723" s="377"/>
      <c r="M723" s="803"/>
      <c r="N723" s="224"/>
    </row>
    <row r="724" spans="1:14" ht="18.95" customHeight="1">
      <c r="A724" s="203"/>
      <c r="B724" s="467"/>
      <c r="C724" s="152"/>
      <c r="D724" s="167"/>
      <c r="E724" s="370"/>
      <c r="F724" s="382"/>
      <c r="G724" s="377"/>
      <c r="H724" s="377"/>
      <c r="I724" s="377"/>
      <c r="J724" s="377"/>
      <c r="K724" s="377"/>
      <c r="L724" s="377"/>
      <c r="M724" s="790"/>
      <c r="N724" s="224"/>
    </row>
    <row r="725" spans="1:14" ht="18.95" customHeight="1">
      <c r="A725" s="203"/>
      <c r="B725" s="416"/>
      <c r="C725" s="153"/>
      <c r="D725" s="167"/>
      <c r="E725" s="370"/>
      <c r="F725" s="382"/>
      <c r="G725" s="377"/>
      <c r="H725" s="377"/>
      <c r="I725" s="377"/>
      <c r="J725" s="377"/>
      <c r="K725" s="377"/>
      <c r="L725" s="377"/>
      <c r="M725" s="790"/>
      <c r="N725" s="224"/>
    </row>
    <row r="726" spans="1:14" ht="18.95" customHeight="1">
      <c r="A726" s="203"/>
      <c r="B726" s="416"/>
      <c r="C726" s="153"/>
      <c r="D726" s="235"/>
      <c r="E726" s="370"/>
      <c r="F726" s="382"/>
      <c r="G726" s="377"/>
      <c r="H726" s="377"/>
      <c r="I726" s="377"/>
      <c r="J726" s="377"/>
      <c r="K726" s="377"/>
      <c r="L726" s="377"/>
      <c r="M726" s="790"/>
      <c r="N726" s="224"/>
    </row>
    <row r="727" spans="1:14" ht="18.95" customHeight="1">
      <c r="A727" s="203"/>
      <c r="B727" s="1307"/>
      <c r="C727" s="1308"/>
      <c r="D727" s="1309"/>
      <c r="E727" s="370"/>
      <c r="F727" s="382"/>
      <c r="G727" s="377"/>
      <c r="H727" s="377"/>
      <c r="I727" s="377"/>
      <c r="J727" s="377"/>
      <c r="K727" s="377"/>
      <c r="L727" s="377"/>
      <c r="M727" s="790"/>
      <c r="N727" s="224"/>
    </row>
    <row r="728" spans="1:14" ht="18.95" customHeight="1">
      <c r="A728" s="203"/>
      <c r="B728" s="485"/>
      <c r="C728" s="164"/>
      <c r="D728" s="164"/>
      <c r="E728" s="370"/>
      <c r="F728" s="382"/>
      <c r="G728" s="370"/>
      <c r="H728" s="370"/>
      <c r="I728" s="370"/>
      <c r="J728" s="370"/>
      <c r="K728" s="370"/>
      <c r="L728" s="370"/>
      <c r="M728" s="392"/>
      <c r="N728" s="224"/>
    </row>
    <row r="729" spans="1:14" ht="18.95" customHeight="1">
      <c r="A729" s="229"/>
      <c r="B729" s="485"/>
      <c r="C729" s="164"/>
      <c r="D729" s="164"/>
      <c r="E729" s="370"/>
      <c r="F729" s="382"/>
      <c r="G729" s="370"/>
      <c r="H729" s="370"/>
      <c r="I729" s="370"/>
      <c r="J729" s="370"/>
      <c r="K729" s="370"/>
      <c r="L729" s="370"/>
      <c r="M729" s="392"/>
      <c r="N729" s="224"/>
    </row>
    <row r="730" spans="1:14" ht="18.95" customHeight="1">
      <c r="A730" s="226"/>
      <c r="B730" s="486"/>
      <c r="C730" s="171"/>
      <c r="D730" s="171"/>
      <c r="E730" s="461"/>
      <c r="F730" s="459"/>
      <c r="G730" s="461"/>
      <c r="H730" s="461"/>
      <c r="I730" s="461"/>
      <c r="J730" s="461"/>
      <c r="K730" s="461"/>
      <c r="L730" s="461"/>
      <c r="M730" s="797"/>
      <c r="N730" s="401"/>
    </row>
    <row r="731" spans="1:14" ht="18.95" customHeight="1">
      <c r="A731" s="183"/>
      <c r="B731" s="481"/>
      <c r="C731" s="159"/>
      <c r="D731" s="218"/>
      <c r="E731" s="475"/>
      <c r="F731" s="312"/>
      <c r="G731" s="475"/>
      <c r="H731" s="475"/>
      <c r="I731" s="475"/>
      <c r="J731" s="475"/>
      <c r="K731" s="475"/>
      <c r="L731" s="476"/>
      <c r="M731" s="801"/>
      <c r="N731" s="312"/>
    </row>
    <row r="732" spans="1:14" ht="18.95" customHeight="1">
      <c r="A732" s="139"/>
      <c r="B732" s="215"/>
      <c r="C732" s="161"/>
      <c r="D732" s="248"/>
      <c r="E732" s="367"/>
      <c r="F732" s="382"/>
      <c r="G732" s="377"/>
      <c r="H732" s="377"/>
      <c r="I732" s="377"/>
      <c r="J732" s="377"/>
      <c r="K732" s="377"/>
      <c r="L732" s="377"/>
      <c r="M732" s="790"/>
      <c r="N732" s="362"/>
    </row>
    <row r="733" spans="1:14" ht="18.95" customHeight="1">
      <c r="A733" s="139"/>
      <c r="B733" s="215"/>
      <c r="C733" s="161"/>
      <c r="D733" s="248"/>
      <c r="E733" s="367"/>
      <c r="F733" s="382"/>
      <c r="G733" s="377"/>
      <c r="H733" s="377"/>
      <c r="I733" s="377"/>
      <c r="J733" s="377"/>
      <c r="K733" s="377"/>
      <c r="L733" s="377"/>
      <c r="M733" s="790"/>
      <c r="N733" s="370"/>
    </row>
    <row r="734" spans="1:14" ht="18.95" customHeight="1">
      <c r="A734" s="139"/>
      <c r="B734" s="215"/>
      <c r="C734" s="164"/>
      <c r="D734" s="248"/>
      <c r="E734" s="367"/>
      <c r="F734" s="382"/>
      <c r="G734" s="377"/>
      <c r="H734" s="377"/>
      <c r="I734" s="377"/>
      <c r="J734" s="377"/>
      <c r="K734" s="377"/>
      <c r="L734" s="377"/>
      <c r="M734" s="790"/>
      <c r="N734" s="370"/>
    </row>
    <row r="735" spans="1:14" ht="18.95" customHeight="1">
      <c r="A735" s="139"/>
      <c r="B735" s="215"/>
      <c r="C735" s="164"/>
      <c r="D735" s="248"/>
      <c r="E735" s="367"/>
      <c r="F735" s="382"/>
      <c r="G735" s="377"/>
      <c r="H735" s="377"/>
      <c r="I735" s="377"/>
      <c r="J735" s="377"/>
      <c r="K735" s="377"/>
      <c r="L735" s="377"/>
      <c r="M735" s="790"/>
      <c r="N735" s="370"/>
    </row>
    <row r="736" spans="1:14" ht="18.95" customHeight="1">
      <c r="A736" s="139"/>
      <c r="B736" s="215"/>
      <c r="C736" s="164"/>
      <c r="D736" s="164"/>
      <c r="E736" s="367"/>
      <c r="F736" s="382"/>
      <c r="G736" s="377"/>
      <c r="H736" s="377"/>
      <c r="I736" s="377"/>
      <c r="J736" s="377"/>
      <c r="K736" s="377"/>
      <c r="L736" s="377"/>
      <c r="M736" s="790"/>
      <c r="N736" s="370"/>
    </row>
    <row r="737" spans="1:14" ht="18.95" customHeight="1">
      <c r="A737" s="139"/>
      <c r="B737" s="215"/>
      <c r="C737" s="164"/>
      <c r="D737" s="164"/>
      <c r="E737" s="367"/>
      <c r="F737" s="382"/>
      <c r="G737" s="377"/>
      <c r="H737" s="377"/>
      <c r="I737" s="377"/>
      <c r="J737" s="377"/>
      <c r="K737" s="377"/>
      <c r="L737" s="377"/>
      <c r="M737" s="790"/>
      <c r="N737" s="370"/>
    </row>
    <row r="738" spans="1:14" ht="18.95" customHeight="1">
      <c r="A738" s="139"/>
      <c r="B738" s="215"/>
      <c r="C738" s="164"/>
      <c r="D738" s="164"/>
      <c r="E738" s="367"/>
      <c r="F738" s="382"/>
      <c r="G738" s="377"/>
      <c r="H738" s="377"/>
      <c r="I738" s="377"/>
      <c r="J738" s="377"/>
      <c r="K738" s="377"/>
      <c r="L738" s="377"/>
      <c r="M738" s="790"/>
      <c r="N738" s="370"/>
    </row>
    <row r="739" spans="1:14" ht="18.95" customHeight="1">
      <c r="A739" s="139"/>
      <c r="B739" s="215"/>
      <c r="C739" s="164"/>
      <c r="D739" s="164"/>
      <c r="E739" s="367"/>
      <c r="F739" s="382"/>
      <c r="G739" s="377"/>
      <c r="H739" s="377"/>
      <c r="I739" s="377"/>
      <c r="J739" s="377"/>
      <c r="K739" s="377"/>
      <c r="L739" s="377"/>
      <c r="M739" s="790"/>
      <c r="N739" s="370"/>
    </row>
    <row r="740" spans="1:14" ht="18.95" customHeight="1">
      <c r="A740" s="238"/>
      <c r="B740" s="487"/>
      <c r="C740" s="179"/>
      <c r="D740" s="167"/>
      <c r="E740" s="396"/>
      <c r="F740" s="464"/>
      <c r="G740" s="391"/>
      <c r="H740" s="391"/>
      <c r="I740" s="483"/>
      <c r="J740" s="478"/>
      <c r="K740" s="478"/>
      <c r="L740" s="484"/>
      <c r="M740" s="810"/>
      <c r="N740" s="224"/>
    </row>
    <row r="741" spans="1:14" ht="18.95" customHeight="1">
      <c r="A741" s="203"/>
      <c r="B741" s="488"/>
      <c r="C741" s="249"/>
      <c r="D741" s="167"/>
      <c r="E741" s="370"/>
      <c r="F741" s="382"/>
      <c r="G741" s="377"/>
      <c r="H741" s="377"/>
      <c r="I741" s="367"/>
      <c r="J741" s="377"/>
      <c r="K741" s="377"/>
      <c r="L741" s="372"/>
      <c r="M741" s="790"/>
      <c r="N741" s="224"/>
    </row>
    <row r="742" spans="1:14" ht="18.95" customHeight="1">
      <c r="A742" s="203"/>
      <c r="B742" s="1438"/>
      <c r="C742" s="1439"/>
      <c r="D742" s="1440"/>
      <c r="E742" s="370"/>
      <c r="F742" s="382"/>
      <c r="G742" s="370"/>
      <c r="H742" s="370"/>
      <c r="I742" s="370"/>
      <c r="J742" s="370"/>
      <c r="K742" s="370"/>
      <c r="L742" s="370"/>
      <c r="M742" s="456"/>
      <c r="N742" s="224"/>
    </row>
    <row r="743" spans="1:14" ht="18.95" customHeight="1">
      <c r="A743" s="139"/>
      <c r="B743" s="215"/>
      <c r="C743" s="164"/>
      <c r="D743" s="164"/>
      <c r="E743" s="367"/>
      <c r="F743" s="382"/>
      <c r="G743" s="377"/>
      <c r="H743" s="377"/>
      <c r="I743" s="377"/>
      <c r="J743" s="377"/>
      <c r="K743" s="377"/>
      <c r="L743" s="377"/>
      <c r="M743" s="790"/>
      <c r="N743" s="224"/>
    </row>
    <row r="744" spans="1:14" ht="18.95" customHeight="1">
      <c r="A744" s="139"/>
      <c r="B744" s="215"/>
      <c r="C744" s="152"/>
      <c r="D744" s="165"/>
      <c r="E744" s="367"/>
      <c r="F744" s="382"/>
      <c r="G744" s="377"/>
      <c r="H744" s="377"/>
      <c r="I744" s="377"/>
      <c r="J744" s="377"/>
      <c r="K744" s="377"/>
      <c r="L744" s="377"/>
      <c r="M744" s="790"/>
      <c r="N744" s="224"/>
    </row>
    <row r="745" spans="1:14" ht="18.95" customHeight="1">
      <c r="A745" s="139"/>
      <c r="B745" s="215"/>
      <c r="C745" s="164"/>
      <c r="D745" s="165"/>
      <c r="E745" s="367"/>
      <c r="F745" s="382"/>
      <c r="G745" s="377"/>
      <c r="H745" s="377"/>
      <c r="I745" s="377"/>
      <c r="J745" s="377"/>
      <c r="K745" s="377"/>
      <c r="L745" s="377"/>
      <c r="M745" s="790"/>
      <c r="N745" s="224"/>
    </row>
    <row r="746" spans="1:14" ht="18.95" customHeight="1">
      <c r="A746" s="139"/>
      <c r="B746" s="215"/>
      <c r="C746" s="164"/>
      <c r="D746" s="165"/>
      <c r="E746" s="367"/>
      <c r="F746" s="382"/>
      <c r="G746" s="377"/>
      <c r="H746" s="377"/>
      <c r="I746" s="377"/>
      <c r="J746" s="377"/>
      <c r="K746" s="377"/>
      <c r="L746" s="377"/>
      <c r="M746" s="790"/>
      <c r="N746" s="224"/>
    </row>
    <row r="747" spans="1:14" ht="18.95" customHeight="1">
      <c r="A747" s="139"/>
      <c r="B747" s="215"/>
      <c r="C747" s="164"/>
      <c r="D747" s="165"/>
      <c r="E747" s="367"/>
      <c r="F747" s="382"/>
      <c r="G747" s="377"/>
      <c r="H747" s="377"/>
      <c r="I747" s="377"/>
      <c r="J747" s="377"/>
      <c r="K747" s="377"/>
      <c r="L747" s="377"/>
      <c r="M747" s="790"/>
      <c r="N747" s="224"/>
    </row>
    <row r="748" spans="1:14" ht="18.95" customHeight="1">
      <c r="A748" s="139"/>
      <c r="B748" s="215"/>
      <c r="C748" s="164"/>
      <c r="D748" s="165"/>
      <c r="E748" s="367"/>
      <c r="F748" s="382"/>
      <c r="G748" s="377"/>
      <c r="H748" s="377"/>
      <c r="I748" s="377"/>
      <c r="J748" s="377"/>
      <c r="K748" s="377"/>
      <c r="L748" s="377"/>
      <c r="M748" s="790"/>
      <c r="N748" s="224"/>
    </row>
    <row r="749" spans="1:14" ht="18.95" customHeight="1">
      <c r="A749" s="139"/>
      <c r="B749" s="215"/>
      <c r="C749" s="152"/>
      <c r="D749" s="167"/>
      <c r="E749" s="367"/>
      <c r="F749" s="382"/>
      <c r="G749" s="377"/>
      <c r="H749" s="377"/>
      <c r="I749" s="367"/>
      <c r="J749" s="377"/>
      <c r="K749" s="377"/>
      <c r="L749" s="372"/>
      <c r="M749" s="790"/>
      <c r="N749" s="224"/>
    </row>
    <row r="750" spans="1:14" ht="18.95" customHeight="1">
      <c r="A750" s="243"/>
      <c r="B750" s="489"/>
      <c r="C750" s="232"/>
      <c r="D750" s="162"/>
      <c r="E750" s="367"/>
      <c r="F750" s="382"/>
      <c r="G750" s="377"/>
      <c r="H750" s="377"/>
      <c r="I750" s="377"/>
      <c r="J750" s="377"/>
      <c r="K750" s="377"/>
      <c r="L750" s="377"/>
      <c r="M750" s="790"/>
      <c r="N750" s="224"/>
    </row>
    <row r="751" spans="1:14" ht="18.95" customHeight="1">
      <c r="A751" s="243"/>
      <c r="B751" s="1441"/>
      <c r="C751" s="1442"/>
      <c r="D751" s="1443"/>
      <c r="E751" s="367"/>
      <c r="F751" s="382"/>
      <c r="G751" s="377"/>
      <c r="H751" s="377"/>
      <c r="I751" s="377"/>
      <c r="J751" s="377"/>
      <c r="K751" s="377"/>
      <c r="L751" s="377"/>
      <c r="M751" s="803"/>
      <c r="N751" s="224"/>
    </row>
    <row r="752" spans="1:14" ht="18.95" customHeight="1">
      <c r="A752" s="203"/>
      <c r="B752" s="417"/>
      <c r="C752" s="234"/>
      <c r="D752" s="167"/>
      <c r="E752" s="370"/>
      <c r="F752" s="382"/>
      <c r="G752" s="377"/>
      <c r="H752" s="377"/>
      <c r="I752" s="377"/>
      <c r="J752" s="377"/>
      <c r="K752" s="377"/>
      <c r="L752" s="377"/>
      <c r="M752" s="790"/>
      <c r="N752" s="224"/>
    </row>
    <row r="753" spans="1:14" ht="18.95" customHeight="1">
      <c r="A753" s="203"/>
      <c r="B753" s="416"/>
      <c r="C753" s="153"/>
      <c r="D753" s="167"/>
      <c r="E753" s="370"/>
      <c r="F753" s="382"/>
      <c r="G753" s="377"/>
      <c r="H753" s="377"/>
      <c r="I753" s="377"/>
      <c r="J753" s="377"/>
      <c r="K753" s="377"/>
      <c r="L753" s="377"/>
      <c r="M753" s="790"/>
      <c r="N753" s="224"/>
    </row>
    <row r="754" spans="1:14" ht="18.95" customHeight="1">
      <c r="A754" s="203"/>
      <c r="B754" s="416"/>
      <c r="C754" s="153"/>
      <c r="D754" s="235"/>
      <c r="E754" s="370"/>
      <c r="F754" s="382"/>
      <c r="G754" s="377"/>
      <c r="H754" s="377"/>
      <c r="I754" s="377"/>
      <c r="J754" s="377"/>
      <c r="K754" s="377"/>
      <c r="L754" s="377"/>
      <c r="M754" s="790"/>
      <c r="N754" s="224"/>
    </row>
    <row r="755" spans="1:14" ht="18.95" customHeight="1">
      <c r="A755" s="203"/>
      <c r="B755" s="416"/>
      <c r="C755" s="153"/>
      <c r="D755" s="235"/>
      <c r="E755" s="370"/>
      <c r="F755" s="382"/>
      <c r="G755" s="377"/>
      <c r="H755" s="377"/>
      <c r="I755" s="377"/>
      <c r="J755" s="377"/>
      <c r="K755" s="377"/>
      <c r="L755" s="377"/>
      <c r="M755" s="790"/>
      <c r="N755" s="224"/>
    </row>
    <row r="756" spans="1:14" ht="18.95" customHeight="1">
      <c r="A756" s="203"/>
      <c r="B756" s="485"/>
      <c r="C756" s="164"/>
      <c r="D756" s="164"/>
      <c r="E756" s="370"/>
      <c r="F756" s="382"/>
      <c r="G756" s="370"/>
      <c r="H756" s="370"/>
      <c r="I756" s="370"/>
      <c r="J756" s="370"/>
      <c r="K756" s="370"/>
      <c r="L756" s="370"/>
      <c r="M756" s="392"/>
      <c r="N756" s="224"/>
    </row>
    <row r="757" spans="1:14" ht="18.95" customHeight="1">
      <c r="A757" s="229"/>
      <c r="B757" s="485"/>
      <c r="C757" s="164"/>
      <c r="D757" s="164"/>
      <c r="E757" s="370"/>
      <c r="F757" s="382"/>
      <c r="G757" s="370"/>
      <c r="H757" s="370"/>
      <c r="I757" s="370"/>
      <c r="J757" s="370"/>
      <c r="K757" s="370"/>
      <c r="L757" s="370"/>
      <c r="M757" s="392"/>
      <c r="N757" s="224"/>
    </row>
    <row r="758" spans="1:14" ht="18.95" customHeight="1">
      <c r="A758" s="226"/>
      <c r="B758" s="486"/>
      <c r="C758" s="171"/>
      <c r="D758" s="171"/>
      <c r="E758" s="461"/>
      <c r="F758" s="459"/>
      <c r="G758" s="461"/>
      <c r="H758" s="461"/>
      <c r="I758" s="461"/>
      <c r="J758" s="461"/>
      <c r="K758" s="461"/>
      <c r="L758" s="461"/>
      <c r="M758" s="797"/>
      <c r="N758" s="401"/>
    </row>
  </sheetData>
  <mergeCells count="55">
    <mergeCell ref="L1:N1"/>
    <mergeCell ref="B77:D77"/>
    <mergeCell ref="B78:D78"/>
    <mergeCell ref="B79:D79"/>
    <mergeCell ref="B80:D80"/>
    <mergeCell ref="B65:D65"/>
    <mergeCell ref="B66:D66"/>
    <mergeCell ref="B67:D67"/>
    <mergeCell ref="B68:D68"/>
    <mergeCell ref="B69:D69"/>
    <mergeCell ref="A1:C1"/>
    <mergeCell ref="A2:C2"/>
    <mergeCell ref="A3:C3"/>
    <mergeCell ref="A5:A6"/>
    <mergeCell ref="B5:D6"/>
    <mergeCell ref="D1:I1"/>
    <mergeCell ref="B81:D81"/>
    <mergeCell ref="B71:D71"/>
    <mergeCell ref="B73:D73"/>
    <mergeCell ref="B74:D74"/>
    <mergeCell ref="B75:D75"/>
    <mergeCell ref="B76:D76"/>
    <mergeCell ref="B142:D142"/>
    <mergeCell ref="F5:F6"/>
    <mergeCell ref="G5:I5"/>
    <mergeCell ref="J5:L5"/>
    <mergeCell ref="N5:N6"/>
    <mergeCell ref="B13:D13"/>
    <mergeCell ref="B20:D20"/>
    <mergeCell ref="E5:E6"/>
    <mergeCell ref="B52:D52"/>
    <mergeCell ref="B55:D55"/>
    <mergeCell ref="B46:D46"/>
    <mergeCell ref="B82:D82"/>
    <mergeCell ref="B60:D60"/>
    <mergeCell ref="B61:D61"/>
    <mergeCell ref="B62:D62"/>
    <mergeCell ref="B63:D63"/>
    <mergeCell ref="B617:D617"/>
    <mergeCell ref="B152:D152"/>
    <mergeCell ref="B198:D198"/>
    <mergeCell ref="B354:D354"/>
    <mergeCell ref="B449:D449"/>
    <mergeCell ref="B461:D461"/>
    <mergeCell ref="B512:D512"/>
    <mergeCell ref="B522:D522"/>
    <mergeCell ref="B523:D523"/>
    <mergeCell ref="B533:D533"/>
    <mergeCell ref="B597:D597"/>
    <mergeCell ref="B610:D610"/>
    <mergeCell ref="B696:D696"/>
    <mergeCell ref="B702:D702"/>
    <mergeCell ref="B727:D727"/>
    <mergeCell ref="B742:D742"/>
    <mergeCell ref="B751:D751"/>
  </mergeCells>
  <printOptions horizontalCentered="1"/>
  <pageMargins left="0.39370078740157483" right="0.39370078740157483" top="1.1811023622047245" bottom="0" header="0.78740157480314965" footer="0"/>
  <pageSetup paperSize="9" scale="83" firstPageNumber="28" orientation="landscape" useFirstPageNumber="1" r:id="rId1"/>
  <headerFooter alignWithMargins="0">
    <oddHeader xml:space="preserve">&amp;C&amp;"Cordia New,Regular"&amp;14แบบแสดงรายการ ปริมาณงาน และราคา&amp;R&amp;"Cordia New,Regular"&amp;14แบบปร.4(ข) แผ่นที่ &amp;P/30    </oddHeader>
  </headerFooter>
  <rowBreaks count="25" manualBreakCount="25">
    <brk id="30" max="11" man="1"/>
    <brk id="58" max="11" man="1"/>
    <brk id="86" max="11" man="1"/>
    <brk id="114" max="11" man="1"/>
    <brk id="142" max="11" man="1"/>
    <brk id="170" max="11" man="1"/>
    <brk id="198" max="11" man="1"/>
    <brk id="226" max="11" man="1"/>
    <brk id="254" max="11" man="1"/>
    <brk id="282" max="11" man="1"/>
    <brk id="310" max="11" man="1"/>
    <brk id="338" max="11" man="1"/>
    <brk id="366" max="11" man="1"/>
    <brk id="394" max="11" man="1"/>
    <brk id="422" max="11" man="1"/>
    <brk id="450" max="11" man="1"/>
    <brk id="478" max="11" man="1"/>
    <brk id="506" max="11" man="1"/>
    <brk id="534" max="11" man="1"/>
    <brk id="562" max="11" man="1"/>
    <brk id="590" max="11" man="1"/>
    <brk id="618" max="11" man="1"/>
    <brk id="646" max="11" man="1"/>
    <brk id="674" max="11" man="1"/>
    <brk id="702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V49"/>
  <sheetViews>
    <sheetView view="pageBreakPreview" topLeftCell="A13" zoomScaleNormal="85" zoomScaleSheetLayoutView="100" workbookViewId="0">
      <selection activeCell="M1" sqref="M1"/>
    </sheetView>
  </sheetViews>
  <sheetFormatPr defaultColWidth="10.42578125" defaultRowHeight="18.95" customHeight="1"/>
  <cols>
    <col min="1" max="1" width="6.7109375" style="250" customWidth="1"/>
    <col min="2" max="2" width="5.42578125" style="829" customWidth="1"/>
    <col min="3" max="3" width="24.42578125" style="251" customWidth="1"/>
    <col min="4" max="4" width="52.7109375" style="252" customWidth="1"/>
    <col min="5" max="5" width="12.85546875" style="293" bestFit="1" customWidth="1"/>
    <col min="6" max="6" width="9.5703125" style="293" customWidth="1"/>
    <col min="7" max="7" width="18.85546875" style="293" hidden="1" customWidth="1"/>
    <col min="8" max="8" width="16.85546875" style="293" customWidth="1"/>
    <col min="9" max="9" width="16.7109375" style="293" customWidth="1"/>
    <col min="10" max="10" width="13.42578125" style="293" hidden="1" customWidth="1"/>
    <col min="11" max="11" width="14.5703125" style="293" customWidth="1"/>
    <col min="12" max="13" width="16.7109375" style="293" customWidth="1"/>
    <col min="14" max="14" width="16.140625" style="830" customWidth="1"/>
    <col min="15" max="16" width="13.85546875" style="250" bestFit="1" customWidth="1"/>
    <col min="17" max="16384" width="10.42578125" style="250"/>
  </cols>
  <sheetData>
    <row r="1" spans="1:22" ht="39" customHeight="1">
      <c r="A1" s="306"/>
      <c r="B1" s="1262"/>
      <c r="C1" s="1263" t="s">
        <v>33</v>
      </c>
      <c r="D1" s="1263"/>
      <c r="E1" s="1264" t="s">
        <v>35</v>
      </c>
      <c r="F1" s="1264" t="s">
        <v>34</v>
      </c>
      <c r="G1" s="1264"/>
      <c r="H1" s="1264"/>
      <c r="I1" s="1264" t="s">
        <v>36</v>
      </c>
      <c r="J1" s="1264"/>
      <c r="K1" s="1264"/>
      <c r="L1" s="1264" t="s">
        <v>37</v>
      </c>
      <c r="M1" s="1264" t="s">
        <v>38</v>
      </c>
    </row>
    <row r="2" spans="1:22" ht="18.95" customHeight="1">
      <c r="A2" s="119"/>
      <c r="B2" s="419" t="s">
        <v>2657</v>
      </c>
      <c r="C2" s="120"/>
      <c r="D2" s="121"/>
      <c r="E2" s="263"/>
      <c r="F2" s="264"/>
      <c r="G2" s="263"/>
      <c r="H2" s="263"/>
      <c r="I2" s="263"/>
      <c r="J2" s="265"/>
      <c r="K2" s="265"/>
      <c r="L2" s="266"/>
      <c r="M2" s="264"/>
      <c r="N2" s="811"/>
    </row>
    <row r="3" spans="1:22" ht="18.95" customHeight="1">
      <c r="A3" s="122"/>
      <c r="B3" s="315" t="s">
        <v>3</v>
      </c>
      <c r="C3" s="123"/>
      <c r="D3" s="124"/>
      <c r="E3" s="267"/>
      <c r="F3" s="268"/>
      <c r="G3" s="267"/>
      <c r="H3" s="267"/>
      <c r="I3" s="267"/>
      <c r="J3" s="269"/>
      <c r="K3" s="269"/>
      <c r="L3" s="269"/>
      <c r="M3" s="270"/>
      <c r="N3" s="812"/>
      <c r="O3" s="293">
        <f>P3*0.934908047</f>
        <v>14524968.1369095</v>
      </c>
      <c r="P3" s="293">
        <v>15536253.199999999</v>
      </c>
    </row>
    <row r="4" spans="1:22" ht="18.95" customHeight="1">
      <c r="A4" s="122"/>
      <c r="B4" s="315"/>
      <c r="C4" s="123"/>
      <c r="D4" s="124"/>
      <c r="E4" s="267"/>
      <c r="F4" s="268"/>
      <c r="G4" s="267"/>
      <c r="H4" s="267"/>
      <c r="I4" s="267"/>
      <c r="J4" s="269"/>
      <c r="K4" s="269"/>
      <c r="L4" s="269"/>
      <c r="M4" s="270"/>
      <c r="N4" s="812"/>
    </row>
    <row r="5" spans="1:22" ht="18.95" customHeight="1">
      <c r="A5" s="125">
        <v>1</v>
      </c>
      <c r="B5" s="638" t="s">
        <v>2658</v>
      </c>
      <c r="C5" s="123"/>
      <c r="D5" s="138"/>
      <c r="E5" s="267"/>
      <c r="F5" s="268"/>
      <c r="G5" s="267"/>
      <c r="H5" s="267"/>
      <c r="I5" s="267"/>
      <c r="J5" s="269"/>
      <c r="K5" s="269"/>
      <c r="L5" s="269"/>
      <c r="M5" s="270"/>
      <c r="N5" s="812"/>
    </row>
    <row r="6" spans="1:22" ht="18.95" customHeight="1">
      <c r="A6" s="125"/>
      <c r="B6" s="813" t="s">
        <v>245</v>
      </c>
      <c r="C6" s="814" t="s">
        <v>2659</v>
      </c>
      <c r="D6" s="127"/>
      <c r="E6" s="267">
        <v>130</v>
      </c>
      <c r="F6" s="268" t="s">
        <v>218</v>
      </c>
      <c r="G6" s="267">
        <v>0</v>
      </c>
      <c r="H6" s="267"/>
      <c r="I6" s="270">
        <f t="shared" ref="I6:I11" si="0">G6*E6</f>
        <v>0</v>
      </c>
      <c r="J6" s="269">
        <v>200</v>
      </c>
      <c r="K6" s="269">
        <f>J6*O6</f>
        <v>186.9816094</v>
      </c>
      <c r="L6" s="269">
        <f>E6*K6</f>
        <v>24307.609221999999</v>
      </c>
      <c r="M6" s="270">
        <f>SUM(L6)</f>
        <v>24307.609221999999</v>
      </c>
      <c r="N6" s="224" t="s">
        <v>2660</v>
      </c>
      <c r="O6" s="250">
        <v>0.93490804699999996</v>
      </c>
    </row>
    <row r="7" spans="1:22" ht="18.95" customHeight="1">
      <c r="A7" s="125"/>
      <c r="B7" s="815" t="s">
        <v>245</v>
      </c>
      <c r="C7" s="814" t="s">
        <v>2661</v>
      </c>
      <c r="D7" s="138"/>
      <c r="E7" s="267">
        <v>5060</v>
      </c>
      <c r="F7" s="268" t="s">
        <v>218</v>
      </c>
      <c r="G7" s="267">
        <v>0</v>
      </c>
      <c r="H7" s="267"/>
      <c r="I7" s="270">
        <f t="shared" si="0"/>
        <v>0</v>
      </c>
      <c r="J7" s="269">
        <v>40</v>
      </c>
      <c r="K7" s="269">
        <f t="shared" ref="K7:K16" si="1">J7*O7</f>
        <v>37.396321880000002</v>
      </c>
      <c r="L7" s="269">
        <f t="shared" ref="L7:L16" si="2">E7*K7</f>
        <v>189225.38871280002</v>
      </c>
      <c r="M7" s="270">
        <f t="shared" ref="M7:M12" si="3">SUM(L7)</f>
        <v>189225.38871280002</v>
      </c>
      <c r="N7" s="224" t="s">
        <v>2660</v>
      </c>
      <c r="O7" s="250">
        <v>0.93490804699999996</v>
      </c>
    </row>
    <row r="8" spans="1:22" ht="18.95" customHeight="1">
      <c r="A8" s="125"/>
      <c r="B8" s="815" t="s">
        <v>245</v>
      </c>
      <c r="C8" s="814" t="s">
        <v>2662</v>
      </c>
      <c r="D8" s="324"/>
      <c r="E8" s="267">
        <v>4400</v>
      </c>
      <c r="F8" s="268" t="s">
        <v>218</v>
      </c>
      <c r="G8" s="267">
        <v>0</v>
      </c>
      <c r="H8" s="267"/>
      <c r="I8" s="270">
        <f t="shared" si="0"/>
        <v>0</v>
      </c>
      <c r="J8" s="269">
        <v>20</v>
      </c>
      <c r="K8" s="269">
        <f t="shared" si="1"/>
        <v>18.698160940000001</v>
      </c>
      <c r="L8" s="269">
        <f t="shared" si="2"/>
        <v>82271.908135999998</v>
      </c>
      <c r="M8" s="270">
        <f t="shared" si="3"/>
        <v>82271.908135999998</v>
      </c>
      <c r="N8" s="224" t="s">
        <v>2663</v>
      </c>
      <c r="O8" s="250">
        <v>0.93490804699999996</v>
      </c>
    </row>
    <row r="9" spans="1:22" ht="18.95" customHeight="1">
      <c r="A9" s="125"/>
      <c r="B9" s="815" t="s">
        <v>245</v>
      </c>
      <c r="C9" s="814" t="s">
        <v>2664</v>
      </c>
      <c r="D9" s="138"/>
      <c r="E9" s="267">
        <v>715</v>
      </c>
      <c r="F9" s="268" t="s">
        <v>218</v>
      </c>
      <c r="G9" s="269">
        <v>0</v>
      </c>
      <c r="H9" s="269"/>
      <c r="I9" s="270">
        <f t="shared" si="0"/>
        <v>0</v>
      </c>
      <c r="J9" s="269">
        <v>40</v>
      </c>
      <c r="K9" s="269">
        <f t="shared" si="1"/>
        <v>37.396321880000002</v>
      </c>
      <c r="L9" s="269">
        <f t="shared" si="2"/>
        <v>26738.370144200002</v>
      </c>
      <c r="M9" s="270">
        <f t="shared" si="3"/>
        <v>26738.370144200002</v>
      </c>
      <c r="N9" s="224" t="s">
        <v>2660</v>
      </c>
      <c r="O9" s="250">
        <v>0.93490804699999996</v>
      </c>
      <c r="P9" s="407"/>
      <c r="Q9" s="407"/>
      <c r="R9" s="407"/>
      <c r="S9" s="407"/>
      <c r="T9" s="407"/>
      <c r="U9" s="407"/>
      <c r="V9" s="407"/>
    </row>
    <row r="10" spans="1:22" ht="18.95" customHeight="1">
      <c r="A10" s="125"/>
      <c r="B10" s="815" t="s">
        <v>245</v>
      </c>
      <c r="C10" s="814" t="s">
        <v>2665</v>
      </c>
      <c r="D10" s="324"/>
      <c r="E10" s="267">
        <v>130</v>
      </c>
      <c r="F10" s="268" t="s">
        <v>1079</v>
      </c>
      <c r="G10" s="267">
        <v>0</v>
      </c>
      <c r="H10" s="267"/>
      <c r="I10" s="270">
        <f t="shared" si="0"/>
        <v>0</v>
      </c>
      <c r="J10" s="269">
        <v>70</v>
      </c>
      <c r="K10" s="269">
        <f t="shared" si="1"/>
        <v>65.44356329</v>
      </c>
      <c r="L10" s="269">
        <f t="shared" si="2"/>
        <v>8507.6632277000008</v>
      </c>
      <c r="M10" s="270">
        <f t="shared" si="3"/>
        <v>8507.6632277000008</v>
      </c>
      <c r="N10" s="224" t="s">
        <v>2663</v>
      </c>
      <c r="O10" s="250">
        <v>0.93490804699999996</v>
      </c>
      <c r="P10" s="407"/>
      <c r="Q10" s="407"/>
      <c r="R10" s="407"/>
      <c r="S10" s="407"/>
      <c r="T10" s="407"/>
      <c r="U10" s="407"/>
      <c r="V10" s="407"/>
    </row>
    <row r="11" spans="1:22" ht="18.95" customHeight="1">
      <c r="A11" s="125"/>
      <c r="B11" s="813" t="s">
        <v>245</v>
      </c>
      <c r="C11" s="814" t="s">
        <v>2666</v>
      </c>
      <c r="D11" s="127"/>
      <c r="E11" s="267">
        <v>870</v>
      </c>
      <c r="F11" s="268" t="s">
        <v>218</v>
      </c>
      <c r="G11" s="269">
        <v>0</v>
      </c>
      <c r="H11" s="269"/>
      <c r="I11" s="270">
        <f t="shared" si="0"/>
        <v>0</v>
      </c>
      <c r="J11" s="269">
        <v>30</v>
      </c>
      <c r="K11" s="269">
        <f t="shared" si="1"/>
        <v>28.047241409999998</v>
      </c>
      <c r="L11" s="269">
        <f t="shared" si="2"/>
        <v>24401.100026699998</v>
      </c>
      <c r="M11" s="270">
        <f t="shared" si="3"/>
        <v>24401.100026699998</v>
      </c>
      <c r="N11" s="224" t="s">
        <v>2660</v>
      </c>
      <c r="O11" s="250">
        <v>0.93490804699999996</v>
      </c>
    </row>
    <row r="12" spans="1:22" ht="18.95" customHeight="1">
      <c r="A12" s="125"/>
      <c r="B12" s="813" t="s">
        <v>245</v>
      </c>
      <c r="C12" s="814" t="s">
        <v>2667</v>
      </c>
      <c r="D12" s="127"/>
      <c r="E12" s="267">
        <v>30</v>
      </c>
      <c r="F12" s="268" t="s">
        <v>402</v>
      </c>
      <c r="G12" s="269">
        <v>0</v>
      </c>
      <c r="H12" s="269"/>
      <c r="I12" s="270">
        <v>0</v>
      </c>
      <c r="J12" s="269">
        <v>100</v>
      </c>
      <c r="K12" s="269">
        <f t="shared" si="1"/>
        <v>93.490804699999998</v>
      </c>
      <c r="L12" s="269">
        <f t="shared" si="2"/>
        <v>2804.7241410000001</v>
      </c>
      <c r="M12" s="270">
        <f t="shared" si="3"/>
        <v>2804.7241410000001</v>
      </c>
      <c r="N12" s="224" t="s">
        <v>2663</v>
      </c>
      <c r="O12" s="250">
        <v>0.93490804699999996</v>
      </c>
    </row>
    <row r="13" spans="1:22" ht="18.95" customHeight="1">
      <c r="A13" s="816">
        <v>2</v>
      </c>
      <c r="B13" s="817" t="s">
        <v>2668</v>
      </c>
      <c r="C13" s="164"/>
      <c r="D13" s="164"/>
      <c r="E13" s="267">
        <v>830</v>
      </c>
      <c r="F13" s="268" t="s">
        <v>1079</v>
      </c>
      <c r="G13" s="269">
        <f>1140</f>
        <v>1140</v>
      </c>
      <c r="H13" s="269">
        <f>G13*O13</f>
        <v>1065.79517358</v>
      </c>
      <c r="I13" s="270">
        <f>H13*E13</f>
        <v>884609.99407140003</v>
      </c>
      <c r="J13" s="269">
        <v>415</v>
      </c>
      <c r="K13" s="269">
        <f t="shared" si="1"/>
        <v>387.98683950499998</v>
      </c>
      <c r="L13" s="269">
        <f t="shared" si="2"/>
        <v>322029.07678914996</v>
      </c>
      <c r="M13" s="267">
        <f>L13+I13</f>
        <v>1206639.07086055</v>
      </c>
      <c r="N13" s="812"/>
      <c r="O13" s="250">
        <v>0.93490804699999996</v>
      </c>
    </row>
    <row r="14" spans="1:22" ht="18.95" customHeight="1">
      <c r="A14" s="816">
        <v>3</v>
      </c>
      <c r="B14" s="817" t="s">
        <v>2669</v>
      </c>
      <c r="C14" s="152"/>
      <c r="D14" s="165"/>
      <c r="E14" s="267">
        <f>ROUND((170*16*2)+(51*16*2)+(97.4*18.95*2)+(22*18.95*2),0)</f>
        <v>11597</v>
      </c>
      <c r="F14" s="268" t="s">
        <v>218</v>
      </c>
      <c r="G14" s="269">
        <v>37</v>
      </c>
      <c r="H14" s="269">
        <f>G14*O14</f>
        <v>34.591597739000001</v>
      </c>
      <c r="I14" s="270">
        <f>H14*E14</f>
        <v>401158.75897918298</v>
      </c>
      <c r="J14" s="269">
        <f>+ROUND(37*30%,0)</f>
        <v>11</v>
      </c>
      <c r="K14" s="269">
        <f t="shared" si="1"/>
        <v>10.283988516999999</v>
      </c>
      <c r="L14" s="269">
        <f t="shared" si="2"/>
        <v>119263.41483164899</v>
      </c>
      <c r="M14" s="267">
        <f>L14+I14</f>
        <v>520422.17381083197</v>
      </c>
      <c r="N14" s="812"/>
      <c r="O14" s="250">
        <v>0.93490804699999996</v>
      </c>
    </row>
    <row r="15" spans="1:22" ht="18.75" customHeight="1">
      <c r="A15" s="816">
        <v>4</v>
      </c>
      <c r="B15" s="817" t="s">
        <v>182</v>
      </c>
      <c r="C15" s="152"/>
      <c r="D15" s="165"/>
      <c r="E15" s="267">
        <v>2</v>
      </c>
      <c r="F15" s="268" t="s">
        <v>2217</v>
      </c>
      <c r="G15" s="269">
        <v>0</v>
      </c>
      <c r="H15" s="269"/>
      <c r="I15" s="270">
        <f>G15*E15</f>
        <v>0</v>
      </c>
      <c r="J15" s="269">
        <v>30000</v>
      </c>
      <c r="K15" s="269">
        <f t="shared" si="1"/>
        <v>28047.241409999999</v>
      </c>
      <c r="L15" s="269">
        <f t="shared" si="2"/>
        <v>56094.482819999997</v>
      </c>
      <c r="M15" s="267">
        <f>L15+I15</f>
        <v>56094.482819999997</v>
      </c>
      <c r="N15" s="812"/>
      <c r="O15" s="250">
        <v>0.93490804699999996</v>
      </c>
    </row>
    <row r="16" spans="1:22" ht="18.95" customHeight="1">
      <c r="A16" s="816">
        <v>5</v>
      </c>
      <c r="B16" s="817" t="s">
        <v>2670</v>
      </c>
      <c r="C16" s="152"/>
      <c r="D16" s="165"/>
      <c r="E16" s="267">
        <v>33265</v>
      </c>
      <c r="F16" s="268" t="s">
        <v>1032</v>
      </c>
      <c r="G16" s="290">
        <v>0</v>
      </c>
      <c r="H16" s="290"/>
      <c r="I16" s="290">
        <f>G16*E16</f>
        <v>0</v>
      </c>
      <c r="J16" s="290">
        <v>52.48</v>
      </c>
      <c r="K16" s="269">
        <f t="shared" si="1"/>
        <v>49.063974306559999</v>
      </c>
      <c r="L16" s="269">
        <f t="shared" si="2"/>
        <v>1632113.1053077183</v>
      </c>
      <c r="M16" s="267">
        <f>L16+I16</f>
        <v>1632113.1053077183</v>
      </c>
      <c r="N16" s="812"/>
      <c r="O16" s="250">
        <v>0.93490804699999996</v>
      </c>
    </row>
    <row r="17" spans="1:16" ht="18.95" customHeight="1">
      <c r="A17" s="818"/>
      <c r="B17" s="817" t="s">
        <v>2671</v>
      </c>
      <c r="C17" s="152"/>
      <c r="D17" s="165"/>
      <c r="E17" s="267"/>
      <c r="F17" s="268"/>
      <c r="G17" s="290"/>
      <c r="H17" s="290"/>
      <c r="I17" s="290"/>
      <c r="J17" s="290"/>
      <c r="K17" s="435"/>
      <c r="L17" s="269"/>
      <c r="M17" s="267"/>
      <c r="N17" s="812"/>
      <c r="O17" s="250">
        <v>0.93490804699999996</v>
      </c>
    </row>
    <row r="18" spans="1:16" s="862" customFormat="1" ht="18.95" customHeight="1">
      <c r="A18" s="816">
        <v>6</v>
      </c>
      <c r="B18" s="817" t="s">
        <v>2672</v>
      </c>
      <c r="C18" s="152"/>
      <c r="D18" s="165"/>
      <c r="E18" s="267">
        <v>1</v>
      </c>
      <c r="F18" s="268" t="s">
        <v>351</v>
      </c>
      <c r="G18" s="290">
        <v>11500000</v>
      </c>
      <c r="H18" s="269">
        <f>G18*O18</f>
        <v>10751442.5405</v>
      </c>
      <c r="I18" s="290">
        <f>H18*E18</f>
        <v>10751442.5405</v>
      </c>
      <c r="J18" s="290"/>
      <c r="K18" s="435"/>
      <c r="L18" s="269">
        <f>J18*E18</f>
        <v>0</v>
      </c>
      <c r="M18" s="267">
        <f>L18+I18</f>
        <v>10751442.5405</v>
      </c>
      <c r="N18" s="971"/>
      <c r="O18" s="250">
        <v>0.93490804699999996</v>
      </c>
      <c r="P18" s="862" t="s">
        <v>2673</v>
      </c>
    </row>
    <row r="19" spans="1:16" ht="18.95" customHeight="1">
      <c r="A19" s="816"/>
      <c r="B19" s="817"/>
      <c r="C19" s="152"/>
      <c r="D19" s="165"/>
      <c r="E19" s="267"/>
      <c r="F19" s="268"/>
      <c r="G19" s="269"/>
      <c r="H19" s="269"/>
      <c r="I19" s="270"/>
      <c r="J19" s="269"/>
      <c r="K19" s="269"/>
      <c r="L19" s="269"/>
      <c r="M19" s="270"/>
      <c r="N19" s="812"/>
    </row>
    <row r="20" spans="1:16" ht="18.95" customHeight="1">
      <c r="A20" s="818"/>
      <c r="B20" s="817"/>
      <c r="C20" s="152"/>
      <c r="D20" s="165"/>
      <c r="E20" s="267"/>
      <c r="F20" s="268"/>
      <c r="G20" s="269"/>
      <c r="H20" s="269"/>
      <c r="I20" s="270"/>
      <c r="J20" s="269"/>
      <c r="K20" s="269"/>
      <c r="L20" s="269"/>
      <c r="M20" s="270"/>
      <c r="N20" s="812"/>
    </row>
    <row r="21" spans="1:16" ht="18.95" customHeight="1">
      <c r="A21" s="139"/>
      <c r="B21" s="1345" t="s">
        <v>2674</v>
      </c>
      <c r="C21" s="1346"/>
      <c r="D21" s="1356"/>
      <c r="E21" s="267"/>
      <c r="F21" s="268"/>
      <c r="G21" s="270"/>
      <c r="H21" s="270"/>
      <c r="I21" s="270"/>
      <c r="J21" s="270"/>
      <c r="K21" s="270"/>
      <c r="L21" s="270"/>
      <c r="M21" s="288">
        <f>SUM(M2:M20)</f>
        <v>14524968.1369095</v>
      </c>
      <c r="N21" s="812"/>
    </row>
    <row r="22" spans="1:16" ht="18.95" customHeight="1">
      <c r="A22" s="133"/>
      <c r="B22" s="819"/>
      <c r="C22" s="134"/>
      <c r="D22" s="135"/>
      <c r="E22" s="272"/>
      <c r="F22" s="273"/>
      <c r="G22" s="272"/>
      <c r="H22" s="272"/>
      <c r="I22" s="272"/>
      <c r="J22" s="272"/>
      <c r="K22" s="272"/>
      <c r="L22" s="274"/>
      <c r="M22" s="272"/>
      <c r="N22" s="820"/>
    </row>
    <row r="23" spans="1:16" ht="18.95" customHeight="1">
      <c r="A23" s="821"/>
      <c r="B23" s="822"/>
      <c r="C23" s="145"/>
      <c r="D23" s="823"/>
      <c r="E23" s="263"/>
      <c r="F23" s="264"/>
      <c r="G23" s="263"/>
      <c r="H23" s="263"/>
      <c r="I23" s="263"/>
      <c r="J23" s="265"/>
      <c r="K23" s="265"/>
      <c r="L23" s="265"/>
      <c r="M23" s="279"/>
      <c r="N23" s="811"/>
    </row>
    <row r="24" spans="1:16" ht="18.95" customHeight="1">
      <c r="A24" s="125"/>
      <c r="B24" s="813"/>
      <c r="C24" s="123"/>
      <c r="D24" s="127"/>
      <c r="E24" s="267"/>
      <c r="F24" s="268"/>
      <c r="G24" s="267"/>
      <c r="H24" s="267"/>
      <c r="I24" s="270"/>
      <c r="J24" s="269"/>
      <c r="K24" s="269"/>
      <c r="L24" s="269"/>
      <c r="M24" s="270"/>
      <c r="N24" s="812"/>
    </row>
    <row r="25" spans="1:16" ht="18.95" customHeight="1">
      <c r="A25" s="125"/>
      <c r="B25" s="815"/>
      <c r="C25" s="824"/>
      <c r="D25" s="138"/>
      <c r="E25" s="267"/>
      <c r="F25" s="268"/>
      <c r="G25" s="267"/>
      <c r="H25" s="267"/>
      <c r="I25" s="270"/>
      <c r="J25" s="269"/>
      <c r="K25" s="269"/>
      <c r="L25" s="269"/>
      <c r="M25" s="270"/>
      <c r="N25" s="812"/>
    </row>
    <row r="26" spans="1:16" ht="18.95" customHeight="1">
      <c r="A26" s="125"/>
      <c r="B26" s="815"/>
      <c r="C26" s="824"/>
      <c r="D26" s="324"/>
      <c r="E26" s="267"/>
      <c r="F26" s="268"/>
      <c r="G26" s="267"/>
      <c r="H26" s="267"/>
      <c r="I26" s="270"/>
      <c r="J26" s="269"/>
      <c r="K26" s="269"/>
      <c r="L26" s="269"/>
      <c r="M26" s="270"/>
      <c r="N26" s="812"/>
    </row>
    <row r="27" spans="1:16" ht="18.95" customHeight="1">
      <c r="A27" s="125"/>
      <c r="B27" s="815"/>
      <c r="C27" s="824"/>
      <c r="D27" s="138"/>
      <c r="E27" s="267"/>
      <c r="F27" s="268"/>
      <c r="G27" s="269"/>
      <c r="H27" s="269"/>
      <c r="I27" s="270"/>
      <c r="J27" s="269"/>
      <c r="K27" s="269"/>
      <c r="L27" s="269"/>
      <c r="M27" s="270"/>
      <c r="N27" s="812"/>
    </row>
    <row r="28" spans="1:16" ht="18.95" customHeight="1">
      <c r="A28" s="125"/>
      <c r="B28" s="815"/>
      <c r="C28" s="824"/>
      <c r="D28" s="324"/>
      <c r="E28" s="267"/>
      <c r="F28" s="268"/>
      <c r="G28" s="267"/>
      <c r="H28" s="267"/>
      <c r="I28" s="270"/>
      <c r="J28" s="269"/>
      <c r="K28" s="269"/>
      <c r="L28" s="269"/>
      <c r="M28" s="270"/>
      <c r="N28" s="812"/>
    </row>
    <row r="29" spans="1:16" ht="18.95" customHeight="1">
      <c r="A29" s="125"/>
      <c r="B29" s="813"/>
      <c r="C29" s="824"/>
      <c r="D29" s="127"/>
      <c r="E29" s="267"/>
      <c r="F29" s="268"/>
      <c r="G29" s="269"/>
      <c r="H29" s="269"/>
      <c r="I29" s="270"/>
      <c r="J29" s="269"/>
      <c r="K29" s="269"/>
      <c r="L29" s="269"/>
      <c r="M29" s="270"/>
      <c r="N29" s="812"/>
    </row>
    <row r="30" spans="1:16" ht="18.95" customHeight="1">
      <c r="A30" s="125"/>
      <c r="B30" s="813"/>
      <c r="C30" s="824"/>
      <c r="D30" s="127"/>
      <c r="E30" s="267"/>
      <c r="F30" s="268"/>
      <c r="G30" s="269"/>
      <c r="H30" s="269"/>
      <c r="I30" s="270"/>
      <c r="J30" s="269"/>
      <c r="K30" s="269"/>
      <c r="L30" s="269"/>
      <c r="M30" s="270"/>
      <c r="N30" s="812"/>
    </row>
    <row r="31" spans="1:16" ht="18.95" customHeight="1">
      <c r="A31" s="125"/>
      <c r="B31" s="813"/>
      <c r="C31" s="123"/>
      <c r="D31" s="138"/>
      <c r="E31" s="267"/>
      <c r="F31" s="268"/>
      <c r="G31" s="269"/>
      <c r="H31" s="269"/>
      <c r="I31" s="270"/>
      <c r="J31" s="269"/>
      <c r="K31" s="269"/>
      <c r="L31" s="269"/>
      <c r="M31" s="270"/>
      <c r="N31" s="812"/>
    </row>
    <row r="32" spans="1:16" ht="18.95" customHeight="1">
      <c r="A32" s="125"/>
      <c r="B32" s="1301"/>
      <c r="C32" s="1302"/>
      <c r="D32" s="1303"/>
      <c r="E32" s="267"/>
      <c r="F32" s="268"/>
      <c r="G32" s="269"/>
      <c r="H32" s="269"/>
      <c r="I32" s="269"/>
      <c r="J32" s="269"/>
      <c r="K32" s="269"/>
      <c r="L32" s="270"/>
      <c r="M32" s="281"/>
      <c r="N32" s="812"/>
    </row>
    <row r="33" spans="1:14" ht="18.95" customHeight="1">
      <c r="A33" s="125"/>
      <c r="B33" s="333"/>
      <c r="C33" s="334"/>
      <c r="D33" s="335"/>
      <c r="E33" s="267"/>
      <c r="F33" s="268"/>
      <c r="G33" s="269"/>
      <c r="H33" s="269"/>
      <c r="I33" s="269"/>
      <c r="J33" s="269"/>
      <c r="K33" s="269"/>
      <c r="L33" s="270"/>
      <c r="M33" s="281"/>
      <c r="N33" s="812"/>
    </row>
    <row r="34" spans="1:14" ht="18.95" customHeight="1">
      <c r="A34" s="203"/>
      <c r="B34" s="825"/>
      <c r="C34" s="826"/>
      <c r="D34" s="239"/>
      <c r="E34" s="270"/>
      <c r="F34" s="268"/>
      <c r="G34" s="270"/>
      <c r="H34" s="270"/>
      <c r="I34" s="270"/>
      <c r="J34" s="270"/>
      <c r="K34" s="270"/>
      <c r="L34" s="270"/>
      <c r="M34" s="288"/>
      <c r="N34" s="812"/>
    </row>
    <row r="35" spans="1:14" ht="18.95" customHeight="1">
      <c r="A35" s="154"/>
      <c r="B35" s="825"/>
      <c r="C35" s="826"/>
      <c r="D35" s="826"/>
      <c r="E35" s="270"/>
      <c r="F35" s="268"/>
      <c r="G35" s="270"/>
      <c r="H35" s="270"/>
      <c r="I35" s="270"/>
      <c r="J35" s="270"/>
      <c r="K35" s="270"/>
      <c r="L35" s="270"/>
      <c r="M35" s="288"/>
      <c r="N35" s="812"/>
    </row>
    <row r="36" spans="1:14" ht="18.95" customHeight="1">
      <c r="A36" s="818"/>
      <c r="B36" s="817"/>
      <c r="C36" s="164"/>
      <c r="D36" s="164"/>
      <c r="E36" s="267"/>
      <c r="F36" s="268"/>
      <c r="G36" s="269"/>
      <c r="H36" s="269"/>
      <c r="I36" s="270"/>
      <c r="J36" s="269"/>
      <c r="K36" s="269"/>
      <c r="L36" s="269"/>
      <c r="M36" s="270"/>
      <c r="N36" s="812"/>
    </row>
    <row r="37" spans="1:14" ht="18.95" customHeight="1">
      <c r="A37" s="818"/>
      <c r="B37" s="817"/>
      <c r="C37" s="152"/>
      <c r="D37" s="165"/>
      <c r="E37" s="267"/>
      <c r="F37" s="268"/>
      <c r="G37" s="270"/>
      <c r="H37" s="270"/>
      <c r="I37" s="270"/>
      <c r="J37" s="270"/>
      <c r="K37" s="270"/>
      <c r="L37" s="270"/>
      <c r="M37" s="270"/>
      <c r="N37" s="812"/>
    </row>
    <row r="38" spans="1:14" ht="18.95" customHeight="1">
      <c r="A38" s="139"/>
      <c r="B38" s="817"/>
      <c r="C38" s="164"/>
      <c r="D38" s="165"/>
      <c r="E38" s="267"/>
      <c r="F38" s="268"/>
      <c r="G38" s="270"/>
      <c r="H38" s="270"/>
      <c r="I38" s="270"/>
      <c r="J38" s="270"/>
      <c r="K38" s="270"/>
      <c r="L38" s="270"/>
      <c r="M38" s="270"/>
      <c r="N38" s="812"/>
    </row>
    <row r="39" spans="1:14" ht="18.95" customHeight="1">
      <c r="A39" s="139"/>
      <c r="B39" s="817"/>
      <c r="C39" s="164"/>
      <c r="D39" s="165"/>
      <c r="E39" s="267"/>
      <c r="F39" s="268"/>
      <c r="G39" s="270"/>
      <c r="H39" s="270"/>
      <c r="I39" s="270"/>
      <c r="J39" s="270"/>
      <c r="K39" s="270"/>
      <c r="L39" s="270"/>
      <c r="M39" s="270"/>
      <c r="N39" s="812"/>
    </row>
    <row r="40" spans="1:14" ht="18.95" customHeight="1">
      <c r="A40" s="139"/>
      <c r="B40" s="817"/>
      <c r="C40" s="164"/>
      <c r="D40" s="165"/>
      <c r="E40" s="267"/>
      <c r="F40" s="268"/>
      <c r="G40" s="270"/>
      <c r="H40" s="270"/>
      <c r="I40" s="270"/>
      <c r="J40" s="270"/>
      <c r="K40" s="270"/>
      <c r="L40" s="270"/>
      <c r="M40" s="270"/>
      <c r="N40" s="812"/>
    </row>
    <row r="41" spans="1:14" ht="18.95" customHeight="1">
      <c r="A41" s="139"/>
      <c r="B41" s="817"/>
      <c r="C41" s="152"/>
      <c r="D41" s="167"/>
      <c r="E41" s="267"/>
      <c r="F41" s="268"/>
      <c r="G41" s="270"/>
      <c r="H41" s="270"/>
      <c r="I41" s="267"/>
      <c r="J41" s="270"/>
      <c r="K41" s="270"/>
      <c r="L41" s="269"/>
      <c r="M41" s="270"/>
      <c r="N41" s="812"/>
    </row>
    <row r="42" spans="1:14" ht="18.95" customHeight="1">
      <c r="A42" s="243"/>
      <c r="B42" s="827"/>
      <c r="C42" s="232"/>
      <c r="D42" s="162"/>
      <c r="E42" s="267"/>
      <c r="F42" s="268"/>
      <c r="G42" s="270"/>
      <c r="H42" s="270"/>
      <c r="I42" s="270"/>
      <c r="J42" s="270"/>
      <c r="K42" s="270"/>
      <c r="L42" s="270"/>
      <c r="M42" s="270"/>
      <c r="N42" s="812"/>
    </row>
    <row r="43" spans="1:14" ht="18.95" customHeight="1">
      <c r="A43" s="203"/>
      <c r="B43" s="397"/>
      <c r="C43" s="234"/>
      <c r="D43" s="167"/>
      <c r="E43" s="270"/>
      <c r="F43" s="268"/>
      <c r="G43" s="270"/>
      <c r="H43" s="270"/>
      <c r="I43" s="270"/>
      <c r="J43" s="270"/>
      <c r="K43" s="270"/>
      <c r="L43" s="270"/>
      <c r="M43" s="270"/>
      <c r="N43" s="812"/>
    </row>
    <row r="44" spans="1:14" ht="18.95" customHeight="1">
      <c r="A44" s="203"/>
      <c r="B44" s="152"/>
      <c r="C44" s="153"/>
      <c r="D44" s="167"/>
      <c r="E44" s="270"/>
      <c r="F44" s="268"/>
      <c r="G44" s="270"/>
      <c r="H44" s="270"/>
      <c r="I44" s="270"/>
      <c r="J44" s="270"/>
      <c r="K44" s="270"/>
      <c r="L44" s="270"/>
      <c r="M44" s="270"/>
      <c r="N44" s="812"/>
    </row>
    <row r="45" spans="1:14" ht="18.95" customHeight="1">
      <c r="A45" s="203"/>
      <c r="B45" s="152"/>
      <c r="C45" s="153"/>
      <c r="D45" s="235"/>
      <c r="E45" s="270"/>
      <c r="F45" s="268"/>
      <c r="G45" s="270"/>
      <c r="H45" s="270"/>
      <c r="I45" s="270"/>
      <c r="J45" s="270"/>
      <c r="K45" s="270"/>
      <c r="L45" s="270"/>
      <c r="M45" s="270"/>
      <c r="N45" s="812"/>
    </row>
    <row r="46" spans="1:14" ht="18.95" customHeight="1">
      <c r="A46" s="203"/>
      <c r="B46" s="152"/>
      <c r="C46" s="153"/>
      <c r="D46" s="235"/>
      <c r="E46" s="270"/>
      <c r="F46" s="268"/>
      <c r="G46" s="270"/>
      <c r="H46" s="270"/>
      <c r="I46" s="270"/>
      <c r="J46" s="270"/>
      <c r="K46" s="270"/>
      <c r="L46" s="270"/>
      <c r="M46" s="270"/>
      <c r="N46" s="812"/>
    </row>
    <row r="47" spans="1:14" ht="18.95" customHeight="1">
      <c r="A47" s="203"/>
      <c r="B47" s="164"/>
      <c r="C47" s="164"/>
      <c r="D47" s="164"/>
      <c r="E47" s="270"/>
      <c r="F47" s="268"/>
      <c r="G47" s="270"/>
      <c r="H47" s="270"/>
      <c r="I47" s="270"/>
      <c r="J47" s="270"/>
      <c r="K47" s="270"/>
      <c r="L47" s="270"/>
      <c r="M47" s="270"/>
      <c r="N47" s="812"/>
    </row>
    <row r="48" spans="1:14" ht="18.95" customHeight="1">
      <c r="A48" s="229"/>
      <c r="B48" s="164"/>
      <c r="C48" s="164"/>
      <c r="D48" s="164"/>
      <c r="E48" s="270"/>
      <c r="F48" s="268"/>
      <c r="G48" s="270"/>
      <c r="H48" s="270"/>
      <c r="I48" s="270"/>
      <c r="J48" s="270"/>
      <c r="K48" s="270"/>
      <c r="L48" s="270"/>
      <c r="M48" s="270"/>
      <c r="N48" s="812"/>
    </row>
    <row r="49" spans="1:14" ht="18.95" customHeight="1">
      <c r="A49" s="226"/>
      <c r="B49" s="828"/>
      <c r="C49" s="171"/>
      <c r="D49" s="171"/>
      <c r="E49" s="278"/>
      <c r="F49" s="273"/>
      <c r="G49" s="278"/>
      <c r="H49" s="278"/>
      <c r="I49" s="278"/>
      <c r="J49" s="278"/>
      <c r="K49" s="278"/>
      <c r="L49" s="278"/>
      <c r="M49" s="278"/>
      <c r="N49" s="820"/>
    </row>
  </sheetData>
  <mergeCells count="2">
    <mergeCell ref="B21:D21"/>
    <mergeCell ref="B32:D32"/>
  </mergeCells>
  <printOptions horizontalCentered="1"/>
  <pageMargins left="0.39370078740157499" right="0.39370078740157499" top="1.1811023622047201" bottom="0" header="0.78740157480314998" footer="0"/>
  <pageSetup paperSize="9" scale="76" orientation="landscape" useFirstPageNumber="1" r:id="rId1"/>
  <headerFooter alignWithMargins="0">
    <oddHeader xml:space="preserve">&amp;C&amp;"Cordia New,Regular"&amp;14แบบแสดงรายการ ปริมาณงาน และราคา&amp;R&amp;"Cordia New,Regular"&amp;14แบบปร.4(พ.) แผ่นที่ &amp;P/1   </oddHeader>
  </headerFooter>
  <rowBreaks count="1" manualBreakCount="1">
    <brk id="22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kwanlux p</dc:creator>
  <cp:keywords/>
  <dc:description/>
  <cp:lastModifiedBy>วิทยา โสมานันท์</cp:lastModifiedBy>
  <cp:revision/>
  <dcterms:created xsi:type="dcterms:W3CDTF">2023-09-20T10:36:00Z</dcterms:created>
  <dcterms:modified xsi:type="dcterms:W3CDTF">2026-02-17T04:55:33Z</dcterms:modified>
  <cp:category/>
  <cp:contentStatus/>
</cp:coreProperties>
</file>