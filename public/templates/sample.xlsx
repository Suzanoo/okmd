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zanoo\Desktop\CSH\Schedule\Master-CSH1\"/>
    </mc:Choice>
  </mc:AlternateContent>
  <xr:revisionPtr revIDLastSave="588" documentId="13_ncr:1_{7F04408F-DB18-4B50-8ED8-79721D68EE73}" xr6:coauthVersionLast="47" xr6:coauthVersionMax="47" xr10:uidLastSave="{912A2EBA-837C-4257-BEE0-7D84AB87B319}"/>
  <bookViews>
    <workbookView xWindow="-120" yWindow="-120" windowWidth="29040" windowHeight="15840" tabRatio="349" firstSheet="1" activeTab="1" xr2:uid="{00000000-000D-0000-FFFF-FFFF00000000}"/>
  </bookViews>
  <sheets>
    <sheet name="SCH" sheetId="23" r:id="rId1"/>
    <sheet name="Progress_Summary" sheetId="24" r:id="rId2"/>
    <sheet name="man_power" sheetId="22" state="hidden" r:id="rId3"/>
  </sheets>
  <definedNames>
    <definedName name="_xlnm.Print_Area" localSheetId="2">man_power!$A$10:$BR$102</definedName>
    <definedName name="_xlnm.Print_Area" localSheetId="0">SCH!$A$1:$CF$95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" i="23" l="1"/>
  <c r="K1" i="23"/>
  <c r="L1" i="23"/>
  <c r="M1" i="23"/>
  <c r="N1" i="23"/>
  <c r="O1" i="23"/>
  <c r="P1" i="23"/>
  <c r="Q1" i="23"/>
  <c r="R1" i="23"/>
  <c r="S1" i="23"/>
  <c r="T1" i="23"/>
  <c r="U1" i="23"/>
  <c r="V1" i="23"/>
  <c r="W1" i="23"/>
  <c r="X1" i="23"/>
  <c r="Y1" i="23"/>
  <c r="Z1" i="23"/>
  <c r="AA1" i="23"/>
  <c r="AB1" i="23"/>
  <c r="AC1" i="23"/>
  <c r="AD1" i="23"/>
  <c r="AE1" i="23"/>
  <c r="AF1" i="23"/>
  <c r="AG1" i="23"/>
  <c r="AH1" i="23"/>
  <c r="AI1" i="23"/>
  <c r="AJ1" i="23"/>
  <c r="AK1" i="23"/>
  <c r="AL1" i="23"/>
  <c r="AM1" i="23"/>
  <c r="AN1" i="23"/>
  <c r="AO1" i="23"/>
  <c r="AP1" i="23"/>
  <c r="AQ1" i="23"/>
  <c r="AR1" i="23"/>
  <c r="AS1" i="23"/>
  <c r="AT1" i="23"/>
  <c r="AU1" i="23"/>
  <c r="AV1" i="23"/>
  <c r="AW1" i="23"/>
  <c r="AX1" i="23"/>
  <c r="AY1" i="23"/>
  <c r="AZ1" i="23"/>
  <c r="BA1" i="23"/>
  <c r="BB1" i="23"/>
  <c r="BC1" i="23"/>
  <c r="BD1" i="23"/>
  <c r="BE1" i="23"/>
  <c r="BF1" i="23"/>
  <c r="BG1" i="23"/>
  <c r="BH1" i="23"/>
  <c r="BI1" i="23"/>
  <c r="BJ1" i="23"/>
  <c r="BK1" i="23"/>
  <c r="BL1" i="23"/>
  <c r="BM1" i="23"/>
  <c r="BN1" i="23"/>
  <c r="BO1" i="23"/>
  <c r="BP1" i="23"/>
  <c r="BQ1" i="23"/>
  <c r="BR1" i="23"/>
  <c r="BS1" i="23"/>
  <c r="BT1" i="23"/>
  <c r="BU1" i="23"/>
  <c r="BV1" i="23"/>
  <c r="BW1" i="23"/>
  <c r="BX1" i="23"/>
  <c r="BY1" i="23"/>
  <c r="BZ1" i="23"/>
  <c r="CA1" i="23"/>
  <c r="CB1" i="23"/>
  <c r="CC1" i="23"/>
  <c r="CD1" i="23"/>
  <c r="CE1" i="23"/>
  <c r="I1" i="23"/>
  <c r="BD1" i="24"/>
  <c r="BE1" i="24"/>
  <c r="BF1" i="24"/>
  <c r="BG1" i="24"/>
  <c r="BH1" i="24"/>
  <c r="BI1" i="24"/>
  <c r="BJ1" i="24"/>
  <c r="BK1" i="24"/>
  <c r="BL1" i="24"/>
  <c r="BM1" i="24"/>
  <c r="BN1" i="24"/>
  <c r="BO1" i="24"/>
  <c r="BP1" i="24"/>
  <c r="BQ1" i="24"/>
  <c r="BR1" i="24"/>
  <c r="BS1" i="24"/>
  <c r="BT1" i="24"/>
  <c r="BU1" i="24"/>
  <c r="BV1" i="24"/>
  <c r="BW1" i="24"/>
  <c r="BX1" i="24"/>
  <c r="BM3" i="24"/>
  <c r="BN3" i="24"/>
  <c r="BO3" i="24"/>
  <c r="BP3" i="24"/>
  <c r="BQ3" i="24"/>
  <c r="BR3" i="24"/>
  <c r="BS3" i="24"/>
  <c r="BT3" i="24"/>
  <c r="BU3" i="24"/>
  <c r="BV3" i="24"/>
  <c r="BW3" i="24"/>
  <c r="BX3" i="24"/>
  <c r="B1" i="24"/>
  <c r="C1" i="24"/>
  <c r="D1" i="24"/>
  <c r="E1" i="24"/>
  <c r="F1" i="24"/>
  <c r="G1" i="24"/>
  <c r="H1" i="24"/>
  <c r="I1" i="24"/>
  <c r="J1" i="24"/>
  <c r="K1" i="24"/>
  <c r="L1" i="24"/>
  <c r="M1" i="24"/>
  <c r="N1" i="24"/>
  <c r="O1" i="24"/>
  <c r="P1" i="24"/>
  <c r="Q1" i="24"/>
  <c r="R1" i="24"/>
  <c r="S1" i="24"/>
  <c r="T1" i="24"/>
  <c r="U1" i="24"/>
  <c r="V1" i="24"/>
  <c r="W1" i="24"/>
  <c r="X1" i="24"/>
  <c r="Y1" i="24"/>
  <c r="Z1" i="24"/>
  <c r="AA1" i="24"/>
  <c r="AB1" i="24"/>
  <c r="AC1" i="24"/>
  <c r="AD1" i="24"/>
  <c r="AE1" i="24"/>
  <c r="AF1" i="24"/>
  <c r="AG1" i="24"/>
  <c r="AH1" i="24"/>
  <c r="AI1" i="24"/>
  <c r="AJ1" i="24"/>
  <c r="AK1" i="24"/>
  <c r="AL1" i="24"/>
  <c r="AM1" i="24"/>
  <c r="AN1" i="24"/>
  <c r="AO1" i="24"/>
  <c r="AP1" i="24"/>
  <c r="AQ1" i="24"/>
  <c r="AR1" i="24"/>
  <c r="AS1" i="24"/>
  <c r="AT1" i="24"/>
  <c r="AU1" i="24"/>
  <c r="AV1" i="24"/>
  <c r="AW1" i="24"/>
  <c r="AX1" i="24"/>
  <c r="AY1" i="24"/>
  <c r="AZ1" i="24"/>
  <c r="BA1" i="24"/>
  <c r="BB1" i="24"/>
  <c r="BC1" i="24"/>
  <c r="A1" i="24"/>
  <c r="H4" i="23"/>
  <c r="G83" i="23"/>
  <c r="F83" i="23" s="1"/>
  <c r="G79" i="23"/>
  <c r="F79" i="23" s="1"/>
  <c r="G78" i="23"/>
  <c r="F78" i="23" s="1"/>
  <c r="G77" i="23"/>
  <c r="F77" i="23" s="1"/>
  <c r="G75" i="23"/>
  <c r="F75" i="23" s="1"/>
  <c r="G74" i="23"/>
  <c r="F74" i="23" s="1"/>
  <c r="G73" i="23"/>
  <c r="F73" i="23" s="1"/>
  <c r="G72" i="23"/>
  <c r="F72" i="23" s="1"/>
  <c r="G71" i="23"/>
  <c r="F71" i="23" s="1"/>
  <c r="G67" i="23"/>
  <c r="F67" i="23" s="1"/>
  <c r="G66" i="23"/>
  <c r="F66" i="23" s="1"/>
  <c r="G65" i="23"/>
  <c r="F65" i="23" s="1"/>
  <c r="G63" i="23"/>
  <c r="F63" i="23" s="1"/>
  <c r="G61" i="23"/>
  <c r="F61" i="23" s="1"/>
  <c r="G59" i="23"/>
  <c r="F59" i="23" s="1"/>
  <c r="G57" i="23"/>
  <c r="F57" i="23" s="1"/>
  <c r="G55" i="23"/>
  <c r="F55" i="23" s="1"/>
  <c r="G53" i="23"/>
  <c r="F53" i="23" s="1"/>
  <c r="G51" i="23"/>
  <c r="F51" i="23" s="1"/>
  <c r="G47" i="23"/>
  <c r="F47" i="23" s="1"/>
  <c r="G45" i="23"/>
  <c r="F45" i="23" s="1"/>
  <c r="G43" i="23"/>
  <c r="F43" i="23" s="1"/>
  <c r="G41" i="23"/>
  <c r="F41" i="23" s="1"/>
  <c r="G39" i="23"/>
  <c r="F39" i="23" s="1"/>
  <c r="G37" i="23"/>
  <c r="F37" i="23" s="1"/>
  <c r="G35" i="23"/>
  <c r="F35" i="23" s="1"/>
  <c r="G29" i="23"/>
  <c r="F29" i="23" s="1"/>
  <c r="G28" i="23"/>
  <c r="F28" i="23" s="1"/>
  <c r="G27" i="23"/>
  <c r="F27" i="23" s="1"/>
  <c r="G25" i="23"/>
  <c r="F25" i="23" s="1"/>
  <c r="G23" i="23"/>
  <c r="F23" i="23" s="1"/>
  <c r="G21" i="23"/>
  <c r="F21" i="23" s="1"/>
  <c r="G19" i="23"/>
  <c r="F19" i="23" s="1"/>
  <c r="G17" i="23"/>
  <c r="F17" i="23" s="1"/>
  <c r="G15" i="23"/>
  <c r="F15" i="23" s="1"/>
  <c r="G13" i="23"/>
  <c r="F13" i="23" s="1"/>
  <c r="G5" i="23"/>
  <c r="F5" i="23" s="1"/>
  <c r="C86" i="23"/>
  <c r="BQ82" i="23"/>
  <c r="BP82" i="23"/>
  <c r="BQ9" i="23"/>
  <c r="BP9" i="23"/>
  <c r="CF63" i="23"/>
  <c r="BO9" i="23"/>
  <c r="BN9" i="23"/>
  <c r="BM9" i="23"/>
  <c r="BL9" i="23"/>
  <c r="G9" i="23" s="1"/>
  <c r="F9" i="23" s="1"/>
  <c r="BK7" i="23"/>
  <c r="BJ7" i="23"/>
  <c r="D82" i="23" l="1"/>
  <c r="D83" i="23" s="1"/>
  <c r="D78" i="23"/>
  <c r="D79" i="23" s="1"/>
  <c r="D76" i="23"/>
  <c r="D77" i="23" s="1"/>
  <c r="D74" i="23"/>
  <c r="D75" i="23" s="1"/>
  <c r="D72" i="23"/>
  <c r="D73" i="23" s="1"/>
  <c r="D70" i="23"/>
  <c r="D71" i="23" s="1"/>
  <c r="D38" i="23"/>
  <c r="D39" i="23" s="1"/>
  <c r="D36" i="23"/>
  <c r="D37" i="23" s="1"/>
  <c r="D34" i="23"/>
  <c r="D35" i="23" s="1"/>
  <c r="D28" i="23"/>
  <c r="D29" i="23" s="1"/>
  <c r="D26" i="23"/>
  <c r="D27" i="23" s="1"/>
  <c r="D24" i="23"/>
  <c r="D25" i="23" s="1"/>
  <c r="D22" i="23"/>
  <c r="D23" i="23" s="1"/>
  <c r="D20" i="23"/>
  <c r="D21" i="23" s="1"/>
  <c r="D18" i="23"/>
  <c r="D19" i="23" s="1"/>
  <c r="D16" i="23"/>
  <c r="D17" i="23" s="1"/>
  <c r="D14" i="23"/>
  <c r="D15" i="23" s="1"/>
  <c r="D12" i="23"/>
  <c r="D13" i="23" s="1"/>
  <c r="D8" i="23"/>
  <c r="D9" i="23" s="1"/>
  <c r="D6" i="23"/>
  <c r="D7" i="23" s="1"/>
  <c r="D4" i="23"/>
  <c r="AV34" i="23"/>
  <c r="Q7" i="23"/>
  <c r="R7" i="23"/>
  <c r="S7" i="23"/>
  <c r="T7" i="23"/>
  <c r="U7" i="23"/>
  <c r="V7" i="23"/>
  <c r="W7" i="23"/>
  <c r="X7" i="23"/>
  <c r="Y7" i="23"/>
  <c r="Z7" i="23"/>
  <c r="AB7" i="23"/>
  <c r="AC7" i="23"/>
  <c r="AD7" i="23"/>
  <c r="AE7" i="23"/>
  <c r="AF7" i="23"/>
  <c r="AG7" i="23"/>
  <c r="AH7" i="23"/>
  <c r="AI7" i="23"/>
  <c r="AJ7" i="23"/>
  <c r="AK7" i="23"/>
  <c r="AL7" i="23"/>
  <c r="AM7" i="23"/>
  <c r="AN7" i="23"/>
  <c r="AP7" i="23"/>
  <c r="AQ7" i="23"/>
  <c r="AR7" i="23"/>
  <c r="AS7" i="23"/>
  <c r="AT7" i="23"/>
  <c r="AU7" i="23"/>
  <c r="AV7" i="23"/>
  <c r="AW7" i="23"/>
  <c r="AX7" i="23"/>
  <c r="AY7" i="23"/>
  <c r="AZ7" i="23"/>
  <c r="BA7" i="23"/>
  <c r="BB7" i="23"/>
  <c r="BC7" i="23"/>
  <c r="BD7" i="23"/>
  <c r="BE7" i="23"/>
  <c r="BF7" i="23"/>
  <c r="BG7" i="23"/>
  <c r="BH7" i="23"/>
  <c r="BI7" i="23"/>
  <c r="P7" i="23"/>
  <c r="G7" i="23" s="1"/>
  <c r="BJ60" i="23"/>
  <c r="BK60" i="23"/>
  <c r="BJ56" i="23"/>
  <c r="D5" i="23" l="1"/>
  <c r="F7" i="23"/>
  <c r="G87" i="23"/>
  <c r="CF7" i="23"/>
  <c r="BG64" i="23"/>
  <c r="AY70" i="23"/>
  <c r="BG52" i="23"/>
  <c r="BH52" i="23"/>
  <c r="BI50" i="23"/>
  <c r="AX70" i="23"/>
  <c r="BI76" i="23"/>
  <c r="BK62" i="23"/>
  <c r="AT38" i="23"/>
  <c r="BG76" i="23"/>
  <c r="BH76" i="23"/>
  <c r="BI46" i="23"/>
  <c r="BG42" i="23"/>
  <c r="BI34" i="23"/>
  <c r="BE34" i="23" l="1"/>
  <c r="BH34" i="23" l="1"/>
  <c r="AW70" i="23"/>
  <c r="AV70" i="23"/>
  <c r="BH46" i="23"/>
  <c r="AS38" i="23"/>
  <c r="BH50" i="23"/>
  <c r="BI56" i="23"/>
  <c r="BE52" i="23"/>
  <c r="BF52" i="23"/>
  <c r="BF76" i="23"/>
  <c r="BE76" i="23"/>
  <c r="BD76" i="23"/>
  <c r="G76" i="23" s="1"/>
  <c r="F76" i="23" s="1"/>
  <c r="BD50" i="23"/>
  <c r="BE50" i="23"/>
  <c r="BF50" i="23"/>
  <c r="BG50" i="23"/>
  <c r="BG46" i="23"/>
  <c r="BG34" i="23"/>
  <c r="BF34" i="23"/>
  <c r="BD34" i="23"/>
  <c r="BH56" i="23"/>
  <c r="BF46" i="23"/>
  <c r="G46" i="23" s="1"/>
  <c r="F46" i="23" s="1"/>
  <c r="BO82" i="23"/>
  <c r="BN82" i="23"/>
  <c r="BM82" i="23"/>
  <c r="BL82" i="23"/>
  <c r="BK82" i="23"/>
  <c r="BJ82" i="23"/>
  <c r="BI82" i="23"/>
  <c r="BH82" i="23"/>
  <c r="BG82" i="23"/>
  <c r="BF82" i="23"/>
  <c r="BE82" i="23"/>
  <c r="BD82" i="23"/>
  <c r="BC82" i="23"/>
  <c r="BB82" i="23"/>
  <c r="BA82" i="23"/>
  <c r="G82" i="23" s="1"/>
  <c r="F82" i="23" s="1"/>
  <c r="CF43" i="23" l="1"/>
  <c r="BC34" i="23" l="1"/>
  <c r="BB34" i="23"/>
  <c r="BA34" i="23"/>
  <c r="AZ34" i="23"/>
  <c r="AY34" i="23"/>
  <c r="AX34" i="23"/>
  <c r="AW34" i="23"/>
  <c r="G34" i="23" s="1"/>
  <c r="F34" i="23" s="1"/>
  <c r="BL8" i="23" l="1"/>
  <c r="AU70" i="23"/>
  <c r="AT70" i="23"/>
  <c r="AS70" i="23"/>
  <c r="AR70" i="23"/>
  <c r="AQ70" i="23"/>
  <c r="AP70" i="23"/>
  <c r="AN70" i="23"/>
  <c r="AM70" i="23"/>
  <c r="AL70" i="23"/>
  <c r="G70" i="23" s="1"/>
  <c r="F70" i="23" s="1"/>
  <c r="P6" i="23" l="1"/>
  <c r="M4" i="23"/>
  <c r="CF77" i="23" l="1"/>
  <c r="CF75" i="23"/>
  <c r="AU40" i="23"/>
  <c r="AV40" i="23"/>
  <c r="AT40" i="23"/>
  <c r="G40" i="23" s="1"/>
  <c r="F40" i="23" s="1"/>
  <c r="AR38" i="23"/>
  <c r="AQ38" i="23"/>
  <c r="AP38" i="23"/>
  <c r="AN38" i="23"/>
  <c r="G38" i="23" s="1"/>
  <c r="F38" i="23" s="1"/>
  <c r="CF76" i="23" l="1"/>
  <c r="CF74" i="23"/>
  <c r="CF38" i="23"/>
  <c r="AU22" i="23"/>
  <c r="AT22" i="23"/>
  <c r="AS22" i="23"/>
  <c r="AR22" i="23"/>
  <c r="G22" i="23" s="1"/>
  <c r="F22" i="23" s="1"/>
  <c r="CF5" i="23" l="1"/>
  <c r="CF9" i="23"/>
  <c r="CF10" i="23"/>
  <c r="CF11" i="23"/>
  <c r="CF13" i="23"/>
  <c r="CF15" i="23"/>
  <c r="CF17" i="23"/>
  <c r="CF19" i="23"/>
  <c r="CF21" i="23"/>
  <c r="CF23" i="23"/>
  <c r="CF25" i="23"/>
  <c r="CF27" i="23"/>
  <c r="CF29" i="23"/>
  <c r="CF30" i="23"/>
  <c r="CF31" i="23"/>
  <c r="CF32" i="23"/>
  <c r="CF33" i="23"/>
  <c r="CF35" i="23"/>
  <c r="CF37" i="23"/>
  <c r="CF41" i="23"/>
  <c r="CF47" i="23"/>
  <c r="CF48" i="23"/>
  <c r="CF49" i="23"/>
  <c r="CF51" i="23"/>
  <c r="CF53" i="23"/>
  <c r="CF55" i="23"/>
  <c r="CF57" i="23"/>
  <c r="CF59" i="23"/>
  <c r="CF61" i="23"/>
  <c r="CF66" i="23"/>
  <c r="CF67" i="23"/>
  <c r="CF68" i="23"/>
  <c r="CF71" i="23"/>
  <c r="CF73" i="23"/>
  <c r="CF79" i="23"/>
  <c r="CF80" i="23"/>
  <c r="BJ62" i="23" l="1"/>
  <c r="CF70" i="23" l="1"/>
  <c r="CF22" i="23"/>
  <c r="CF78" i="23"/>
  <c r="CF72" i="23"/>
  <c r="BK64" i="23" l="1"/>
  <c r="BJ64" i="23"/>
  <c r="BH64" i="23"/>
  <c r="BI64" i="23"/>
  <c r="BI62" i="23"/>
  <c r="BH62" i="23"/>
  <c r="BI60" i="23"/>
  <c r="BH60" i="23"/>
  <c r="BG60" i="23"/>
  <c r="G60" i="23" s="1"/>
  <c r="F60" i="23" s="1"/>
  <c r="BI58" i="23"/>
  <c r="BH58" i="23"/>
  <c r="BG58" i="23"/>
  <c r="BF58" i="23"/>
  <c r="G58" i="23" s="1"/>
  <c r="F58" i="23" s="1"/>
  <c r="BG56" i="23"/>
  <c r="BF56" i="23"/>
  <c r="BE56" i="23"/>
  <c r="G56" i="23" s="1"/>
  <c r="F56" i="23" s="1"/>
  <c r="BE54" i="23"/>
  <c r="BD54" i="23"/>
  <c r="G54" i="23" s="1"/>
  <c r="F54" i="23" s="1"/>
  <c r="BD52" i="23"/>
  <c r="BC52" i="23"/>
  <c r="BB52" i="23"/>
  <c r="BA52" i="23"/>
  <c r="G52" i="23" s="1"/>
  <c r="F52" i="23" s="1"/>
  <c r="BC50" i="23"/>
  <c r="BB50" i="23"/>
  <c r="G50" i="23" s="1"/>
  <c r="F50" i="23" s="1"/>
  <c r="BK44" i="23"/>
  <c r="BJ44" i="23"/>
  <c r="BI44" i="23"/>
  <c r="BH44" i="23"/>
  <c r="BG44" i="23"/>
  <c r="BF44" i="23"/>
  <c r="G44" i="23" s="1"/>
  <c r="F44" i="23" s="1"/>
  <c r="BF42" i="23"/>
  <c r="BE42" i="23"/>
  <c r="BD42" i="23"/>
  <c r="BC42" i="23"/>
  <c r="G42" i="23" s="1"/>
  <c r="F42" i="23" s="1"/>
  <c r="BE36" i="23"/>
  <c r="BD36" i="23"/>
  <c r="BC36" i="23"/>
  <c r="BB36" i="23"/>
  <c r="BA36" i="23"/>
  <c r="AZ36" i="23"/>
  <c r="AY36" i="23"/>
  <c r="AX36" i="23"/>
  <c r="G36" i="23" s="1"/>
  <c r="F36" i="23" s="1"/>
  <c r="AY26" i="23"/>
  <c r="AX26" i="23"/>
  <c r="AW26" i="23"/>
  <c r="AV26" i="23"/>
  <c r="G26" i="23" s="1"/>
  <c r="F26" i="23" s="1"/>
  <c r="AY24" i="23"/>
  <c r="AX24" i="23"/>
  <c r="AW24" i="23"/>
  <c r="AV24" i="23"/>
  <c r="G24" i="23" s="1"/>
  <c r="F24" i="23" s="1"/>
  <c r="AW20" i="23"/>
  <c r="AV20" i="23"/>
  <c r="AU20" i="23"/>
  <c r="AT20" i="23"/>
  <c r="AS20" i="23"/>
  <c r="AR20" i="23"/>
  <c r="AQ20" i="23"/>
  <c r="AP20" i="23"/>
  <c r="G20" i="23" s="1"/>
  <c r="F20" i="23" s="1"/>
  <c r="Q12" i="23"/>
  <c r="R12" i="23"/>
  <c r="S12" i="23"/>
  <c r="V14" i="23"/>
  <c r="AB16" i="23"/>
  <c r="AC18" i="23"/>
  <c r="W14" i="23" l="1"/>
  <c r="CF62" i="23"/>
  <c r="G62" i="23"/>
  <c r="F62" i="23" s="1"/>
  <c r="G64" i="23"/>
  <c r="F64" i="23" s="1"/>
  <c r="CF64" i="23"/>
  <c r="CF40" i="23"/>
  <c r="CF24" i="23"/>
  <c r="CF36" i="23"/>
  <c r="CF54" i="23"/>
  <c r="CF60" i="23"/>
  <c r="CF28" i="23"/>
  <c r="CF44" i="23"/>
  <c r="X14" i="23"/>
  <c r="CF56" i="23"/>
  <c r="CF26" i="23"/>
  <c r="CF46" i="23"/>
  <c r="CF52" i="23"/>
  <c r="CF42" i="23"/>
  <c r="CF20" i="23"/>
  <c r="CF34" i="23"/>
  <c r="CF50" i="23"/>
  <c r="CF58" i="23"/>
  <c r="AC16" i="23"/>
  <c r="T12" i="23"/>
  <c r="AD18" i="23"/>
  <c r="Y14" i="23" l="1"/>
  <c r="AE18" i="23"/>
  <c r="U12" i="23"/>
  <c r="AD16" i="23"/>
  <c r="I4" i="23"/>
  <c r="J4" i="23"/>
  <c r="K4" i="23"/>
  <c r="L4" i="23"/>
  <c r="N4" i="23"/>
  <c r="CF83" i="23"/>
  <c r="G4" i="23" l="1"/>
  <c r="F4" i="23" s="1"/>
  <c r="D66" i="23"/>
  <c r="D67" i="23" s="1"/>
  <c r="D64" i="23"/>
  <c r="D65" i="23" s="1"/>
  <c r="D62" i="23"/>
  <c r="D63" i="23" s="1"/>
  <c r="D60" i="23"/>
  <c r="D61" i="23" s="1"/>
  <c r="D58" i="23"/>
  <c r="D59" i="23" s="1"/>
  <c r="D56" i="23"/>
  <c r="D57" i="23" s="1"/>
  <c r="D54" i="23"/>
  <c r="D55" i="23" s="1"/>
  <c r="D52" i="23"/>
  <c r="D53" i="23" s="1"/>
  <c r="D50" i="23"/>
  <c r="D51" i="23" s="1"/>
  <c r="D46" i="23"/>
  <c r="D47" i="23" s="1"/>
  <c r="D44" i="23"/>
  <c r="D45" i="23" s="1"/>
  <c r="D42" i="23"/>
  <c r="D43" i="23" s="1"/>
  <c r="D40" i="23"/>
  <c r="CF4" i="23"/>
  <c r="Z14" i="23"/>
  <c r="G14" i="23" s="1"/>
  <c r="F14" i="23" s="1"/>
  <c r="BM8" i="23"/>
  <c r="V12" i="23"/>
  <c r="AE16" i="23"/>
  <c r="AF18" i="23"/>
  <c r="CF82" i="23"/>
  <c r="D41" i="23" l="1"/>
  <c r="H97" i="23" a="1"/>
  <c r="H97" i="23" s="1"/>
  <c r="H99" i="23" s="1"/>
  <c r="A3" i="24" s="1"/>
  <c r="BS97" i="23" a="1"/>
  <c r="BS97" i="23" s="1"/>
  <c r="BR97" i="23" a="1"/>
  <c r="BR97" i="23" s="1"/>
  <c r="BL97" i="23" a="1"/>
  <c r="BL97" i="23" s="1"/>
  <c r="AO97" i="23" a="1"/>
  <c r="AO97" i="23" s="1"/>
  <c r="AA97" i="23" a="1"/>
  <c r="AA97" i="23" s="1"/>
  <c r="P97" i="23" a="1"/>
  <c r="P97" i="23" s="1"/>
  <c r="O97" i="23" a="1"/>
  <c r="O97" i="23" s="1"/>
  <c r="N97" i="23" a="1"/>
  <c r="N97" i="23" s="1"/>
  <c r="M97" i="23" a="1"/>
  <c r="M97" i="23" s="1"/>
  <c r="L97" i="23" a="1"/>
  <c r="L97" i="23" s="1"/>
  <c r="K97" i="23" a="1"/>
  <c r="K97" i="23" s="1"/>
  <c r="J97" i="23" a="1"/>
  <c r="J97" i="23" s="1"/>
  <c r="I97" i="23" a="1"/>
  <c r="I97" i="23" s="1"/>
  <c r="I99" i="23" s="1"/>
  <c r="B3" i="24" s="1"/>
  <c r="H96" i="23" a="1"/>
  <c r="H96" i="23" s="1"/>
  <c r="H98" i="23" s="1"/>
  <c r="A2" i="24" s="1"/>
  <c r="I96" i="23" a="1"/>
  <c r="I96" i="23" s="1"/>
  <c r="I98" i="23" s="1"/>
  <c r="B2" i="24" s="1"/>
  <c r="J96" i="23" a="1"/>
  <c r="J96" i="23" s="1"/>
  <c r="J98" i="23" s="1"/>
  <c r="K96" i="23" a="1"/>
  <c r="K96" i="23" s="1"/>
  <c r="L96" i="23" a="1"/>
  <c r="L96" i="23" s="1"/>
  <c r="M96" i="23" a="1"/>
  <c r="M96" i="23" s="1"/>
  <c r="N96" i="23" a="1"/>
  <c r="N96" i="23" s="1"/>
  <c r="O96" i="23" a="1"/>
  <c r="O96" i="23" s="1"/>
  <c r="P96" i="23" a="1"/>
  <c r="P96" i="23" s="1"/>
  <c r="AA96" i="23" a="1"/>
  <c r="AA96" i="23" s="1"/>
  <c r="AO96" i="23" a="1"/>
  <c r="AO96" i="23" s="1"/>
  <c r="BL96" i="23" a="1"/>
  <c r="BL96" i="23" s="1"/>
  <c r="BR96" i="23" a="1"/>
  <c r="BR96" i="23" s="1"/>
  <c r="BS96" i="23" a="1"/>
  <c r="BS96" i="23" s="1"/>
  <c r="BT96" i="23" a="1"/>
  <c r="BT96" i="23" s="1"/>
  <c r="BU96" i="23" a="1"/>
  <c r="BU96" i="23" s="1"/>
  <c r="BV96" i="23" a="1"/>
  <c r="BV96" i="23" s="1"/>
  <c r="BW96" i="23" a="1"/>
  <c r="BW96" i="23" s="1"/>
  <c r="BX96" i="23" a="1"/>
  <c r="BX96" i="23" s="1"/>
  <c r="BY96" i="23" a="1"/>
  <c r="BY96" i="23" s="1"/>
  <c r="BZ96" i="23" a="1"/>
  <c r="BZ96" i="23" s="1"/>
  <c r="CA96" i="23" a="1"/>
  <c r="CA96" i="23" s="1"/>
  <c r="CB96" i="23" a="1"/>
  <c r="CB96" i="23" s="1"/>
  <c r="CC96" i="23" a="1"/>
  <c r="CC96" i="23" s="1"/>
  <c r="CD96" i="23" a="1"/>
  <c r="CD96" i="23" s="1"/>
  <c r="CE96" i="23" a="1"/>
  <c r="CE96" i="23" s="1"/>
  <c r="D86" i="23"/>
  <c r="CF14" i="23"/>
  <c r="W12" i="23"/>
  <c r="AG18" i="23"/>
  <c r="AF16" i="23"/>
  <c r="BN8" i="23"/>
  <c r="BN97" i="23" l="1" a="1"/>
  <c r="BN97" i="23" s="1"/>
  <c r="BN96" i="23" a="1"/>
  <c r="BN96" i="23" s="1"/>
  <c r="K98" i="23"/>
  <c r="C2" i="24"/>
  <c r="J99" i="23"/>
  <c r="BM97" i="23" a="1"/>
  <c r="BM97" i="23" s="1"/>
  <c r="BM96" i="23" a="1"/>
  <c r="BM96" i="23" s="1"/>
  <c r="BO8" i="23"/>
  <c r="AH18" i="23"/>
  <c r="X12" i="23"/>
  <c r="G12" i="23" s="1"/>
  <c r="F12" i="23" s="1"/>
  <c r="AG16" i="23"/>
  <c r="G16" i="23" s="1"/>
  <c r="F16" i="23" s="1"/>
  <c r="Q6" i="23"/>
  <c r="Q97" i="23" l="1" a="1"/>
  <c r="Q97" i="23" s="1"/>
  <c r="Q96" i="23" a="1"/>
  <c r="Q96" i="23" s="1"/>
  <c r="BP8" i="23"/>
  <c r="BO97" i="23" a="1"/>
  <c r="BO97" i="23" s="1"/>
  <c r="BO96" i="23" a="1"/>
  <c r="BO96" i="23" s="1"/>
  <c r="K99" i="23"/>
  <c r="C3" i="24"/>
  <c r="L98" i="23"/>
  <c r="D2" i="24"/>
  <c r="R6" i="23"/>
  <c r="CF12" i="23"/>
  <c r="CF16" i="23"/>
  <c r="AI18" i="23"/>
  <c r="G18" i="23" s="1"/>
  <c r="F18" i="23" s="1"/>
  <c r="R97" i="23" l="1" a="1"/>
  <c r="R97" i="23" s="1"/>
  <c r="R96" i="23" a="1"/>
  <c r="R96" i="23" s="1"/>
  <c r="M98" i="23"/>
  <c r="E2" i="24"/>
  <c r="L99" i="23"/>
  <c r="D3" i="24"/>
  <c r="BQ8" i="23"/>
  <c r="BP97" i="23" a="1"/>
  <c r="BP97" i="23" s="1"/>
  <c r="BP96" i="23" a="1"/>
  <c r="BP96" i="23" s="1"/>
  <c r="G8" i="23"/>
  <c r="F8" i="23" s="1"/>
  <c r="CF18" i="23"/>
  <c r="S6" i="23"/>
  <c r="S97" i="23" l="1" a="1"/>
  <c r="S97" i="23" s="1"/>
  <c r="S96" i="23" a="1"/>
  <c r="S96" i="23" s="1"/>
  <c r="BQ97" i="23" a="1"/>
  <c r="BQ97" i="23" s="1"/>
  <c r="BQ96" i="23" a="1"/>
  <c r="BQ96" i="23" s="1"/>
  <c r="M99" i="23"/>
  <c r="E3" i="24"/>
  <c r="N98" i="23"/>
  <c r="F2" i="24"/>
  <c r="T6" i="23"/>
  <c r="T97" i="23" l="1" a="1"/>
  <c r="T97" i="23" s="1"/>
  <c r="T96" i="23" a="1"/>
  <c r="T96" i="23" s="1"/>
  <c r="O98" i="23"/>
  <c r="G2" i="24"/>
  <c r="N99" i="23"/>
  <c r="F3" i="24"/>
  <c r="U6" i="23"/>
  <c r="U97" i="23" l="1" a="1"/>
  <c r="U97" i="23" s="1"/>
  <c r="U96" i="23" a="1"/>
  <c r="U96" i="23" s="1"/>
  <c r="O99" i="23"/>
  <c r="G3" i="24"/>
  <c r="P98" i="23"/>
  <c r="H2" i="24"/>
  <c r="CF8" i="23"/>
  <c r="V6" i="23"/>
  <c r="G15" i="22"/>
  <c r="H15" i="22" s="1"/>
  <c r="BR98" i="22"/>
  <c r="BR97" i="22"/>
  <c r="BR96" i="22"/>
  <c r="BR95" i="22"/>
  <c r="BR94" i="22"/>
  <c r="BR93" i="22"/>
  <c r="BR92" i="22"/>
  <c r="BR91" i="22"/>
  <c r="BR90" i="22"/>
  <c r="BR89" i="22"/>
  <c r="BR88" i="22"/>
  <c r="BR86" i="22"/>
  <c r="BR85" i="22"/>
  <c r="BR84" i="22"/>
  <c r="BR83" i="22"/>
  <c r="BR82" i="22"/>
  <c r="BR81" i="22"/>
  <c r="BR80" i="22"/>
  <c r="BR78" i="22"/>
  <c r="BR76" i="22"/>
  <c r="BR74" i="22"/>
  <c r="BR72" i="22"/>
  <c r="BR71" i="22"/>
  <c r="BR70" i="22"/>
  <c r="BR68" i="22"/>
  <c r="BR66" i="22"/>
  <c r="BR64" i="22"/>
  <c r="BR63" i="22"/>
  <c r="BR62" i="22"/>
  <c r="BR61" i="22"/>
  <c r="BR60" i="22"/>
  <c r="BR58" i="22"/>
  <c r="BR57" i="22"/>
  <c r="BR56" i="22"/>
  <c r="BR54" i="22"/>
  <c r="BR52" i="22"/>
  <c r="BR50" i="22"/>
  <c r="BR48" i="22"/>
  <c r="BR46" i="22"/>
  <c r="BR44" i="22"/>
  <c r="BR43" i="22"/>
  <c r="BR42" i="22"/>
  <c r="BR41" i="22"/>
  <c r="BR40" i="22"/>
  <c r="BR38" i="22"/>
  <c r="BR36" i="22"/>
  <c r="BR34" i="22"/>
  <c r="BR32" i="22"/>
  <c r="BS32" i="22" s="1"/>
  <c r="BR30" i="22"/>
  <c r="BR28" i="22"/>
  <c r="BR26" i="22"/>
  <c r="BR25" i="22"/>
  <c r="BR24" i="22"/>
  <c r="BR22" i="22"/>
  <c r="BR21" i="22"/>
  <c r="BR20" i="22"/>
  <c r="BR18" i="22"/>
  <c r="BR16" i="22"/>
  <c r="BS16" i="22" s="1"/>
  <c r="AQ87" i="22"/>
  <c r="BH77" i="22"/>
  <c r="BC75" i="22"/>
  <c r="BC73" i="22"/>
  <c r="BD73" i="22" s="1"/>
  <c r="AX69" i="22"/>
  <c r="AW67" i="22"/>
  <c r="AO49" i="22"/>
  <c r="AP49" i="22" s="1"/>
  <c r="AQ49" i="22" s="1"/>
  <c r="BR49" i="22" s="1"/>
  <c r="BJ101" i="22"/>
  <c r="AM101" i="22"/>
  <c r="Y101" i="22"/>
  <c r="L101" i="22"/>
  <c r="F101" i="22"/>
  <c r="M17" i="22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Z17" i="22" s="1"/>
  <c r="AA17" i="22" s="1"/>
  <c r="AB17" i="22" s="1"/>
  <c r="AC17" i="22" s="1"/>
  <c r="AD17" i="22" s="1"/>
  <c r="AE17" i="22" s="1"/>
  <c r="AF17" i="22" s="1"/>
  <c r="AG17" i="22" s="1"/>
  <c r="AH17" i="22" s="1"/>
  <c r="AI17" i="22" s="1"/>
  <c r="AJ17" i="22" s="1"/>
  <c r="AK17" i="22" s="1"/>
  <c r="AL17" i="22" s="1"/>
  <c r="AN17" i="22" s="1"/>
  <c r="AO17" i="22" s="1"/>
  <c r="AP17" i="22" s="1"/>
  <c r="AQ17" i="22" s="1"/>
  <c r="AR17" i="22" s="1"/>
  <c r="AS17" i="22" s="1"/>
  <c r="AT17" i="22" s="1"/>
  <c r="AU17" i="22" s="1"/>
  <c r="AV17" i="22" s="1"/>
  <c r="AW17" i="22" s="1"/>
  <c r="AX17" i="22" s="1"/>
  <c r="AY17" i="22" s="1"/>
  <c r="AZ17" i="22" s="1"/>
  <c r="BA17" i="22" s="1"/>
  <c r="BB17" i="22" s="1"/>
  <c r="BC17" i="22" s="1"/>
  <c r="BD17" i="22" s="1"/>
  <c r="BE17" i="22" s="1"/>
  <c r="BF17" i="22" s="1"/>
  <c r="BG17" i="22" s="1"/>
  <c r="BH17" i="22" s="1"/>
  <c r="BI17" i="22" s="1"/>
  <c r="BK99" i="22"/>
  <c r="BL99" i="22" s="1"/>
  <c r="BM99" i="22" s="1"/>
  <c r="BN99" i="22" s="1"/>
  <c r="BO99" i="22" s="1"/>
  <c r="BP99" i="22" s="1"/>
  <c r="BQ99" i="22" s="1"/>
  <c r="C97" i="22"/>
  <c r="C91" i="22"/>
  <c r="C83" i="22"/>
  <c r="BD79" i="22"/>
  <c r="AU65" i="22"/>
  <c r="C63" i="22"/>
  <c r="BC59" i="22"/>
  <c r="BD59" i="22" s="1"/>
  <c r="BE59" i="22" s="1"/>
  <c r="BF59" i="22" s="1"/>
  <c r="BG59" i="22" s="1"/>
  <c r="BH59" i="22" s="1"/>
  <c r="BI59" i="22" s="1"/>
  <c r="BA55" i="22"/>
  <c r="BB55" i="22" s="1"/>
  <c r="BC55" i="22" s="1"/>
  <c r="BD55" i="22" s="1"/>
  <c r="BE55" i="22" s="1"/>
  <c r="BF55" i="22" s="1"/>
  <c r="AZ53" i="22"/>
  <c r="BA53" i="22" s="1"/>
  <c r="BB53" i="22" s="1"/>
  <c r="AW47" i="22"/>
  <c r="C43" i="22"/>
  <c r="AR37" i="22"/>
  <c r="AS37" i="22" s="1"/>
  <c r="AT37" i="22" s="1"/>
  <c r="AU37" i="22" s="1"/>
  <c r="AV37" i="22" s="1"/>
  <c r="AW37" i="22" s="1"/>
  <c r="AO35" i="22"/>
  <c r="AE33" i="22"/>
  <c r="AF33" i="22" s="1"/>
  <c r="AG33" i="22" s="1"/>
  <c r="AH33" i="22" s="1"/>
  <c r="AI33" i="22" s="1"/>
  <c r="AJ33" i="22" s="1"/>
  <c r="AK33" i="22" s="1"/>
  <c r="AB31" i="22"/>
  <c r="S27" i="22"/>
  <c r="H23" i="22"/>
  <c r="I23" i="22" s="1"/>
  <c r="J23" i="22" s="1"/>
  <c r="K23" i="22" s="1"/>
  <c r="C21" i="22"/>
  <c r="BK19" i="22"/>
  <c r="BL19" i="22" s="1"/>
  <c r="BM19" i="22" s="1"/>
  <c r="BN19" i="22" s="1"/>
  <c r="BO19" i="22" s="1"/>
  <c r="BP19" i="22" s="1"/>
  <c r="BQ19" i="22" s="1"/>
  <c r="C13" i="22"/>
  <c r="V97" i="23" l="1" a="1"/>
  <c r="V97" i="23" s="1"/>
  <c r="V96" i="23" a="1"/>
  <c r="V96" i="23" s="1"/>
  <c r="Q98" i="23"/>
  <c r="I2" i="24"/>
  <c r="P99" i="23"/>
  <c r="H3" i="24"/>
  <c r="BQ101" i="22"/>
  <c r="G101" i="22"/>
  <c r="W6" i="23"/>
  <c r="C41" i="22"/>
  <c r="BD75" i="22"/>
  <c r="BE75" i="22" s="1"/>
  <c r="BF75" i="22" s="1"/>
  <c r="BG75" i="22" s="1"/>
  <c r="BH75" i="22" s="1"/>
  <c r="AR87" i="22"/>
  <c r="AS87" i="22" s="1"/>
  <c r="AT87" i="22" s="1"/>
  <c r="AU87" i="22" s="1"/>
  <c r="AV87" i="22" s="1"/>
  <c r="AW87" i="22" s="1"/>
  <c r="AX87" i="22" s="1"/>
  <c r="AY87" i="22" s="1"/>
  <c r="AZ87" i="22" s="1"/>
  <c r="BA87" i="22" s="1"/>
  <c r="BB87" i="22" s="1"/>
  <c r="BC87" i="22" s="1"/>
  <c r="BD87" i="22" s="1"/>
  <c r="BE87" i="22" s="1"/>
  <c r="BF87" i="22" s="1"/>
  <c r="BG87" i="22" s="1"/>
  <c r="BH87" i="22" s="1"/>
  <c r="BI87" i="22" s="1"/>
  <c r="I15" i="22"/>
  <c r="J15" i="22" s="1"/>
  <c r="H101" i="22"/>
  <c r="P101" i="22"/>
  <c r="AN101" i="22"/>
  <c r="BO101" i="22"/>
  <c r="M101" i="22"/>
  <c r="Q101" i="22"/>
  <c r="AY69" i="22"/>
  <c r="AZ69" i="22" s="1"/>
  <c r="BA69" i="22" s="1"/>
  <c r="BB69" i="22" s="1"/>
  <c r="BC69" i="22" s="1"/>
  <c r="BD69" i="22" s="1"/>
  <c r="BE69" i="22" s="1"/>
  <c r="BF69" i="22" s="1"/>
  <c r="BG69" i="22" s="1"/>
  <c r="BE73" i="22"/>
  <c r="BF73" i="22" s="1"/>
  <c r="BG73" i="22" s="1"/>
  <c r="BH73" i="22" s="1"/>
  <c r="BI77" i="22"/>
  <c r="BR77" i="22" s="1"/>
  <c r="BR17" i="22"/>
  <c r="BR33" i="22"/>
  <c r="BR37" i="22"/>
  <c r="N101" i="22"/>
  <c r="R101" i="22"/>
  <c r="BK101" i="22"/>
  <c r="AX67" i="22"/>
  <c r="AY67" i="22" s="1"/>
  <c r="AZ67" i="22" s="1"/>
  <c r="BA67" i="22" s="1"/>
  <c r="BB67" i="22" s="1"/>
  <c r="BC67" i="22" s="1"/>
  <c r="BD67" i="22" s="1"/>
  <c r="BE67" i="22" s="1"/>
  <c r="BF67" i="22" s="1"/>
  <c r="O101" i="22"/>
  <c r="S101" i="22"/>
  <c r="BM101" i="22"/>
  <c r="BR19" i="22"/>
  <c r="BR23" i="22"/>
  <c r="BR55" i="22"/>
  <c r="BR59" i="22"/>
  <c r="BR99" i="22"/>
  <c r="BL101" i="22"/>
  <c r="BP101" i="22"/>
  <c r="BN101" i="22"/>
  <c r="T27" i="22"/>
  <c r="U27" i="22" s="1"/>
  <c r="V27" i="22" s="1"/>
  <c r="W27" i="22" s="1"/>
  <c r="X27" i="22" s="1"/>
  <c r="AP35" i="22"/>
  <c r="AQ35" i="22" s="1"/>
  <c r="AR35" i="22" s="1"/>
  <c r="AS35" i="22" s="1"/>
  <c r="AT35" i="22" s="1"/>
  <c r="AU35" i="22" s="1"/>
  <c r="BC53" i="22"/>
  <c r="AX47" i="22"/>
  <c r="AY47" i="22" s="1"/>
  <c r="AZ47" i="22" s="1"/>
  <c r="BA47" i="22" s="1"/>
  <c r="BB47" i="22" s="1"/>
  <c r="BE79" i="22"/>
  <c r="BF79" i="22" s="1"/>
  <c r="BG79" i="22" s="1"/>
  <c r="BH79" i="22" s="1"/>
  <c r="BI79" i="22" s="1"/>
  <c r="W29" i="22"/>
  <c r="AC31" i="22"/>
  <c r="AD31" i="22" s="1"/>
  <c r="AE31" i="22" s="1"/>
  <c r="AF31" i="22" s="1"/>
  <c r="AG31" i="22" s="1"/>
  <c r="AH31" i="22" s="1"/>
  <c r="AI31" i="22" s="1"/>
  <c r="AJ31" i="22" s="1"/>
  <c r="AV65" i="22"/>
  <c r="AO39" i="22"/>
  <c r="AS45" i="22"/>
  <c r="AI51" i="22"/>
  <c r="W97" i="23" l="1" a="1"/>
  <c r="W97" i="23" s="1"/>
  <c r="W96" i="23" a="1"/>
  <c r="W96" i="23" s="1"/>
  <c r="Q99" i="23"/>
  <c r="I3" i="24"/>
  <c r="R98" i="23"/>
  <c r="J2" i="24"/>
  <c r="I101" i="22"/>
  <c r="BJ102" i="22"/>
  <c r="BI101" i="22"/>
  <c r="X6" i="23"/>
  <c r="F102" i="22"/>
  <c r="BR27" i="22"/>
  <c r="BR87" i="22"/>
  <c r="BR75" i="22"/>
  <c r="X29" i="22"/>
  <c r="Z29" i="22" s="1"/>
  <c r="AP39" i="22"/>
  <c r="AQ39" i="22" s="1"/>
  <c r="AR39" i="22" s="1"/>
  <c r="AS39" i="22" s="1"/>
  <c r="AT39" i="22" s="1"/>
  <c r="AU39" i="22" s="1"/>
  <c r="AV39" i="22" s="1"/>
  <c r="AW39" i="22" s="1"/>
  <c r="W101" i="22"/>
  <c r="AF101" i="22"/>
  <c r="V101" i="22"/>
  <c r="U101" i="22"/>
  <c r="BR67" i="22"/>
  <c r="AH101" i="22"/>
  <c r="AO101" i="22"/>
  <c r="BR69" i="22"/>
  <c r="BR35" i="22"/>
  <c r="AW65" i="22"/>
  <c r="AX65" i="22" s="1"/>
  <c r="AY65" i="22" s="1"/>
  <c r="AZ65" i="22" s="1"/>
  <c r="BA65" i="22" s="1"/>
  <c r="BB65" i="22" s="1"/>
  <c r="BC65" i="22" s="1"/>
  <c r="BG101" i="22"/>
  <c r="BD53" i="22"/>
  <c r="BR53" i="22" s="1"/>
  <c r="BN102" i="22"/>
  <c r="AE101" i="22"/>
  <c r="N102" i="22"/>
  <c r="AG101" i="22"/>
  <c r="T101" i="22"/>
  <c r="R102" i="22" s="1"/>
  <c r="BR73" i="22"/>
  <c r="BR79" i="22"/>
  <c r="BR31" i="22"/>
  <c r="J101" i="22"/>
  <c r="K15" i="22"/>
  <c r="BF101" i="22"/>
  <c r="BH101" i="22"/>
  <c r="AJ51" i="22"/>
  <c r="AI101" i="22"/>
  <c r="BC47" i="22"/>
  <c r="AT45" i="22"/>
  <c r="X97" i="23" l="1" a="1"/>
  <c r="X97" i="23" s="1"/>
  <c r="X96" i="23" a="1"/>
  <c r="X96" i="23" s="1"/>
  <c r="S98" i="23"/>
  <c r="K2" i="24"/>
  <c r="R99" i="23"/>
  <c r="J3" i="24"/>
  <c r="AR101" i="22"/>
  <c r="AP101" i="22"/>
  <c r="AS101" i="22"/>
  <c r="BR65" i="22"/>
  <c r="Y6" i="23"/>
  <c r="BR39" i="22"/>
  <c r="BB101" i="22"/>
  <c r="AQ101" i="22"/>
  <c r="AA29" i="22"/>
  <c r="Z101" i="22"/>
  <c r="BF102" i="22"/>
  <c r="X101" i="22"/>
  <c r="V102" i="22" s="1"/>
  <c r="K101" i="22"/>
  <c r="J102" i="22" s="1"/>
  <c r="BR15" i="22"/>
  <c r="AK51" i="22"/>
  <c r="AJ101" i="22"/>
  <c r="BD47" i="22"/>
  <c r="BC101" i="22"/>
  <c r="AU45" i="22"/>
  <c r="AT101" i="22"/>
  <c r="C103" i="22"/>
  <c r="Y97" i="23" l="1" a="1"/>
  <c r="Y97" i="23" s="1"/>
  <c r="Y96" i="23" a="1"/>
  <c r="Y96" i="23" s="1"/>
  <c r="S99" i="23"/>
  <c r="K3" i="24"/>
  <c r="T98" i="23"/>
  <c r="L2" i="24"/>
  <c r="AP102" i="22"/>
  <c r="Z6" i="23"/>
  <c r="AB29" i="22"/>
  <c r="AA101" i="22"/>
  <c r="AL51" i="22"/>
  <c r="AL101" i="22" s="1"/>
  <c r="AL102" i="22" s="1"/>
  <c r="AK101" i="22"/>
  <c r="AH102" i="22" s="1"/>
  <c r="BE47" i="22"/>
  <c r="BD101" i="22"/>
  <c r="AV45" i="22"/>
  <c r="AU101" i="22"/>
  <c r="Z97" i="23" l="1" a="1"/>
  <c r="Z97" i="23" s="1"/>
  <c r="Z96" i="23" a="1"/>
  <c r="Z96" i="23" s="1"/>
  <c r="U98" i="23"/>
  <c r="M2" i="24"/>
  <c r="T99" i="23"/>
  <c r="L3" i="24"/>
  <c r="AB6" i="23"/>
  <c r="BE101" i="22"/>
  <c r="BB102" i="22" s="1"/>
  <c r="BR47" i="22"/>
  <c r="AC29" i="22"/>
  <c r="AB101" i="22"/>
  <c r="BR51" i="22"/>
  <c r="AW45" i="22"/>
  <c r="AV101" i="22"/>
  <c r="AB97" i="23" l="1" a="1"/>
  <c r="AB97" i="23" s="1"/>
  <c r="AB96" i="23" a="1"/>
  <c r="AB96" i="23" s="1"/>
  <c r="U99" i="23"/>
  <c r="M3" i="24"/>
  <c r="V98" i="23"/>
  <c r="N2" i="24"/>
  <c r="AC6" i="23"/>
  <c r="AD29" i="22"/>
  <c r="AC101" i="22"/>
  <c r="Z102" i="22" s="1"/>
  <c r="AX45" i="22"/>
  <c r="AW101" i="22"/>
  <c r="AT102" i="22" s="1"/>
  <c r="AC97" i="23" l="1" a="1"/>
  <c r="AC97" i="23" s="1"/>
  <c r="AC96" i="23" a="1"/>
  <c r="AC96" i="23" s="1"/>
  <c r="W98" i="23"/>
  <c r="O2" i="24"/>
  <c r="V99" i="23"/>
  <c r="N3" i="24"/>
  <c r="AD6" i="23"/>
  <c r="AD101" i="22"/>
  <c r="AD102" i="22" s="1"/>
  <c r="BR29" i="22"/>
  <c r="AY45" i="22"/>
  <c r="AX101" i="22"/>
  <c r="AD97" i="23" l="1" a="1"/>
  <c r="AD97" i="23" s="1"/>
  <c r="AD96" i="23" a="1"/>
  <c r="AD96" i="23" s="1"/>
  <c r="W99" i="23"/>
  <c r="O3" i="24"/>
  <c r="X98" i="23"/>
  <c r="P2" i="24"/>
  <c r="AE6" i="23"/>
  <c r="AZ45" i="22"/>
  <c r="AY101" i="22"/>
  <c r="AE97" i="23" l="1" a="1"/>
  <c r="AE97" i="23" s="1"/>
  <c r="AE96" i="23" a="1"/>
  <c r="AE96" i="23" s="1"/>
  <c r="Y98" i="23"/>
  <c r="Q2" i="24"/>
  <c r="X99" i="23"/>
  <c r="P3" i="24"/>
  <c r="AF6" i="23"/>
  <c r="BA45" i="22"/>
  <c r="BR45" i="22" s="1"/>
  <c r="BR101" i="22" s="1"/>
  <c r="AZ101" i="22"/>
  <c r="AF97" i="23" l="1" a="1"/>
  <c r="AF97" i="23" s="1"/>
  <c r="AF96" i="23" a="1"/>
  <c r="AF96" i="23" s="1"/>
  <c r="Y99" i="23"/>
  <c r="Q3" i="24"/>
  <c r="Z98" i="23"/>
  <c r="R2" i="24"/>
  <c r="AG6" i="23"/>
  <c r="BA101" i="22"/>
  <c r="AX102" i="22" s="1"/>
  <c r="AG97" i="23" l="1" a="1"/>
  <c r="AG97" i="23" s="1"/>
  <c r="AG96" i="23" a="1"/>
  <c r="AG96" i="23" s="1"/>
  <c r="AA98" i="23"/>
  <c r="S2" i="24"/>
  <c r="Z99" i="23"/>
  <c r="R3" i="24"/>
  <c r="AH6" i="23"/>
  <c r="AH97" i="23" l="1" a="1"/>
  <c r="AH97" i="23" s="1"/>
  <c r="AH96" i="23" a="1"/>
  <c r="AH96" i="23" s="1"/>
  <c r="AA99" i="23"/>
  <c r="S3" i="24"/>
  <c r="AB98" i="23"/>
  <c r="T2" i="24"/>
  <c r="AI6" i="23"/>
  <c r="AI97" i="23" l="1" a="1"/>
  <c r="AI97" i="23" s="1"/>
  <c r="AI96" i="23" a="1"/>
  <c r="AI96" i="23" s="1"/>
  <c r="AC98" i="23"/>
  <c r="U2" i="24"/>
  <c r="AB99" i="23"/>
  <c r="T3" i="24"/>
  <c r="AJ6" i="23"/>
  <c r="AJ97" i="23" l="1" a="1"/>
  <c r="AJ97" i="23" s="1"/>
  <c r="AJ96" i="23" a="1"/>
  <c r="AJ96" i="23" s="1"/>
  <c r="AC99" i="23"/>
  <c r="U3" i="24"/>
  <c r="AD98" i="23"/>
  <c r="V2" i="24"/>
  <c r="AK6" i="23"/>
  <c r="AK97" i="23" l="1" a="1"/>
  <c r="AK97" i="23" s="1"/>
  <c r="AK96" i="23" a="1"/>
  <c r="AK96" i="23" s="1"/>
  <c r="AE98" i="23"/>
  <c r="W2" i="24"/>
  <c r="AD99" i="23"/>
  <c r="V3" i="24"/>
  <c r="AL6" i="23"/>
  <c r="AL97" i="23" l="1" a="1"/>
  <c r="AL97" i="23" s="1"/>
  <c r="AL96" i="23" a="1"/>
  <c r="AL96" i="23" s="1"/>
  <c r="AE99" i="23"/>
  <c r="W3" i="24"/>
  <c r="AF98" i="23"/>
  <c r="X2" i="24"/>
  <c r="AM6" i="23"/>
  <c r="AM97" i="23" l="1" a="1"/>
  <c r="AM97" i="23" s="1"/>
  <c r="AM96" i="23" a="1"/>
  <c r="AM96" i="23" s="1"/>
  <c r="AG98" i="23"/>
  <c r="Y2" i="24"/>
  <c r="AF99" i="23"/>
  <c r="X3" i="24"/>
  <c r="AN6" i="23"/>
  <c r="AN97" i="23" l="1" a="1"/>
  <c r="AN97" i="23" s="1"/>
  <c r="AN96" i="23" a="1"/>
  <c r="AN96" i="23" s="1"/>
  <c r="AG99" i="23"/>
  <c r="Y3" i="24"/>
  <c r="AH98" i="23"/>
  <c r="Z2" i="24"/>
  <c r="AP6" i="23"/>
  <c r="AP97" i="23" l="1" a="1"/>
  <c r="AP97" i="23" s="1"/>
  <c r="AP96" i="23" a="1"/>
  <c r="AP96" i="23" s="1"/>
  <c r="AI98" i="23"/>
  <c r="AA2" i="24"/>
  <c r="AH99" i="23"/>
  <c r="Z3" i="24"/>
  <c r="AQ6" i="23"/>
  <c r="AQ97" i="23" l="1" a="1"/>
  <c r="AQ97" i="23" s="1"/>
  <c r="AQ96" i="23" a="1"/>
  <c r="AQ96" i="23" s="1"/>
  <c r="AI99" i="23"/>
  <c r="AA3" i="24"/>
  <c r="AJ98" i="23"/>
  <c r="AB2" i="24"/>
  <c r="AR6" i="23"/>
  <c r="AR97" i="23" l="1" a="1"/>
  <c r="AR97" i="23" s="1"/>
  <c r="AR96" i="23" a="1"/>
  <c r="AR96" i="23" s="1"/>
  <c r="AK98" i="23"/>
  <c r="AC2" i="24"/>
  <c r="AJ99" i="23"/>
  <c r="AB3" i="24"/>
  <c r="AS6" i="23"/>
  <c r="AS97" i="23" l="1" a="1"/>
  <c r="AS97" i="23" s="1"/>
  <c r="AS96" i="23" a="1"/>
  <c r="AS96" i="23" s="1"/>
  <c r="AK99" i="23"/>
  <c r="AC3" i="24"/>
  <c r="AL98" i="23"/>
  <c r="AD2" i="24"/>
  <c r="AT6" i="23"/>
  <c r="AT97" i="23" l="1" a="1"/>
  <c r="AT97" i="23" s="1"/>
  <c r="AT96" i="23" a="1"/>
  <c r="AT96" i="23" s="1"/>
  <c r="AM98" i="23"/>
  <c r="AE2" i="24"/>
  <c r="AL99" i="23"/>
  <c r="AD3" i="24"/>
  <c r="AU6" i="23"/>
  <c r="AU97" i="23" l="1" a="1"/>
  <c r="AU97" i="23" s="1"/>
  <c r="AU96" i="23" a="1"/>
  <c r="AU96" i="23" s="1"/>
  <c r="AM99" i="23"/>
  <c r="AE3" i="24"/>
  <c r="AN98" i="23"/>
  <c r="AF2" i="24"/>
  <c r="AV6" i="23"/>
  <c r="AV97" i="23" l="1" a="1"/>
  <c r="AV97" i="23" s="1"/>
  <c r="AV96" i="23" a="1"/>
  <c r="AV96" i="23" s="1"/>
  <c r="AO98" i="23"/>
  <c r="AG2" i="24"/>
  <c r="AN99" i="23"/>
  <c r="AF3" i="24"/>
  <c r="AW6" i="23"/>
  <c r="AW97" i="23" l="1" a="1"/>
  <c r="AW97" i="23" s="1"/>
  <c r="AW96" i="23" a="1"/>
  <c r="AW96" i="23" s="1"/>
  <c r="AO99" i="23"/>
  <c r="AG3" i="24"/>
  <c r="AP98" i="23"/>
  <c r="AH2" i="24"/>
  <c r="AX6" i="23"/>
  <c r="AX97" i="23" l="1" a="1"/>
  <c r="AX97" i="23" s="1"/>
  <c r="AX96" i="23" a="1"/>
  <c r="AX96" i="23" s="1"/>
  <c r="AQ98" i="23"/>
  <c r="AI2" i="24"/>
  <c r="AP99" i="23"/>
  <c r="AH3" i="24"/>
  <c r="AY6" i="23"/>
  <c r="AY97" i="23" l="1" a="1"/>
  <c r="AY97" i="23" s="1"/>
  <c r="AY96" i="23" a="1"/>
  <c r="AY96" i="23" s="1"/>
  <c r="AQ99" i="23"/>
  <c r="AI3" i="24"/>
  <c r="AR98" i="23"/>
  <c r="AJ2" i="24"/>
  <c r="AZ6" i="23"/>
  <c r="AZ97" i="23" l="1" a="1"/>
  <c r="AZ97" i="23" s="1"/>
  <c r="AZ96" i="23" a="1"/>
  <c r="AZ96" i="23" s="1"/>
  <c r="AS98" i="23"/>
  <c r="AK2" i="24"/>
  <c r="AR99" i="23"/>
  <c r="AJ3" i="24"/>
  <c r="BA6" i="23"/>
  <c r="BA97" i="23" l="1" a="1"/>
  <c r="BA97" i="23" s="1"/>
  <c r="BA96" i="23" a="1"/>
  <c r="BA96" i="23" s="1"/>
  <c r="AS99" i="23"/>
  <c r="AK3" i="24"/>
  <c r="AT98" i="23"/>
  <c r="AL2" i="24"/>
  <c r="BB6" i="23"/>
  <c r="BB97" i="23" l="1" a="1"/>
  <c r="BB97" i="23" s="1"/>
  <c r="BB96" i="23" a="1"/>
  <c r="BB96" i="23" s="1"/>
  <c r="AU98" i="23"/>
  <c r="AM2" i="24"/>
  <c r="AT99" i="23"/>
  <c r="AL3" i="24"/>
  <c r="BC6" i="23"/>
  <c r="BC97" i="23" l="1" a="1"/>
  <c r="BC97" i="23" s="1"/>
  <c r="BC96" i="23" a="1"/>
  <c r="BC96" i="23" s="1"/>
  <c r="AU99" i="23"/>
  <c r="AM3" i="24"/>
  <c r="AV98" i="23"/>
  <c r="AN2" i="24"/>
  <c r="BD6" i="23"/>
  <c r="BD97" i="23" l="1" a="1"/>
  <c r="BD97" i="23" s="1"/>
  <c r="BD96" i="23" a="1"/>
  <c r="BD96" i="23" s="1"/>
  <c r="AW98" i="23"/>
  <c r="AO2" i="24"/>
  <c r="AV99" i="23"/>
  <c r="AN3" i="24"/>
  <c r="BE6" i="23"/>
  <c r="BE97" i="23" l="1" a="1"/>
  <c r="BE97" i="23" s="1"/>
  <c r="BE96" i="23" a="1"/>
  <c r="BE96" i="23" s="1"/>
  <c r="AW99" i="23"/>
  <c r="AO3" i="24"/>
  <c r="AX98" i="23"/>
  <c r="AP2" i="24"/>
  <c r="BF6" i="23"/>
  <c r="BF97" i="23" l="1" a="1"/>
  <c r="BF97" i="23" s="1"/>
  <c r="BF96" i="23" a="1"/>
  <c r="BF96" i="23" s="1"/>
  <c r="AY98" i="23"/>
  <c r="AQ2" i="24"/>
  <c r="AX99" i="23"/>
  <c r="AP3" i="24"/>
  <c r="BG6" i="23"/>
  <c r="BG97" i="23" l="1" a="1"/>
  <c r="BG97" i="23" s="1"/>
  <c r="BG96" i="23" a="1"/>
  <c r="BG96" i="23" s="1"/>
  <c r="AY99" i="23"/>
  <c r="AQ3" i="24"/>
  <c r="AZ98" i="23"/>
  <c r="AR2" i="24"/>
  <c r="BH6" i="23"/>
  <c r="BH97" i="23" l="1" a="1"/>
  <c r="BH97" i="23" s="1"/>
  <c r="BH96" i="23" a="1"/>
  <c r="BH96" i="23" s="1"/>
  <c r="BA98" i="23"/>
  <c r="AS2" i="24"/>
  <c r="AZ99" i="23"/>
  <c r="AR3" i="24"/>
  <c r="BI6" i="23"/>
  <c r="BI97" i="23" l="1" a="1"/>
  <c r="BI97" i="23" s="1"/>
  <c r="BI96" i="23" a="1"/>
  <c r="BI96" i="23" s="1"/>
  <c r="BA99" i="23"/>
  <c r="AS3" i="24"/>
  <c r="BB98" i="23"/>
  <c r="AT2" i="24"/>
  <c r="BJ6" i="23"/>
  <c r="BJ97" i="23" l="1" a="1"/>
  <c r="BJ97" i="23" s="1"/>
  <c r="BJ96" i="23" a="1"/>
  <c r="BJ96" i="23" s="1"/>
  <c r="BC98" i="23"/>
  <c r="AU2" i="24"/>
  <c r="BB99" i="23"/>
  <c r="AT3" i="24"/>
  <c r="BK6" i="23"/>
  <c r="G6" i="23" l="1"/>
  <c r="F6" i="23" s="1"/>
  <c r="BK97" i="23" a="1"/>
  <c r="BK97" i="23" s="1"/>
  <c r="BK96" i="23" a="1"/>
  <c r="BK96" i="23" s="1"/>
  <c r="BC99" i="23"/>
  <c r="AU3" i="24"/>
  <c r="BD98" i="23"/>
  <c r="AV2" i="24"/>
  <c r="CF6" i="23"/>
  <c r="BE98" i="23" l="1"/>
  <c r="AW2" i="24"/>
  <c r="BD99" i="23"/>
  <c r="AV3" i="24"/>
  <c r="CF39" i="23"/>
  <c r="BE99" i="23" l="1"/>
  <c r="AW3" i="24"/>
  <c r="BF98" i="23"/>
  <c r="AX2" i="24"/>
  <c r="F87" i="23"/>
  <c r="BG98" i="23" l="1"/>
  <c r="AY2" i="24"/>
  <c r="BF99" i="23"/>
  <c r="AX3" i="24"/>
  <c r="CF45" i="23"/>
  <c r="BG99" i="23" l="1"/>
  <c r="AY3" i="24"/>
  <c r="BH98" i="23"/>
  <c r="AZ2" i="24"/>
  <c r="BI98" i="23" l="1"/>
  <c r="BA2" i="24"/>
  <c r="BH99" i="23"/>
  <c r="AZ3" i="24"/>
  <c r="BI99" i="23" l="1"/>
  <c r="BA3" i="24"/>
  <c r="BJ98" i="23"/>
  <c r="BB2" i="24"/>
  <c r="BK98" i="23" l="1"/>
  <c r="BC2" i="24"/>
  <c r="BJ99" i="23"/>
  <c r="BB3" i="24"/>
  <c r="BK99" i="23" l="1"/>
  <c r="BC3" i="24"/>
  <c r="BL98" i="23"/>
  <c r="BD2" i="24"/>
  <c r="BM98" i="23" l="1"/>
  <c r="BE2" i="24"/>
  <c r="BL99" i="23"/>
  <c r="BD3" i="24"/>
  <c r="BM99" i="23" l="1"/>
  <c r="BE3" i="24"/>
  <c r="BN98" i="23"/>
  <c r="BF2" i="24"/>
  <c r="BO98" i="23" l="1"/>
  <c r="BG2" i="24"/>
  <c r="BN99" i="23"/>
  <c r="BF3" i="24"/>
  <c r="BO99" i="23" l="1"/>
  <c r="BG3" i="24"/>
  <c r="BP98" i="23"/>
  <c r="BH2" i="24"/>
  <c r="BQ98" i="23" l="1"/>
  <c r="BI2" i="24"/>
  <c r="BP99" i="23"/>
  <c r="BH3" i="24"/>
  <c r="BQ99" i="23" l="1"/>
  <c r="BI3" i="24"/>
  <c r="BR98" i="23"/>
  <c r="BJ2" i="24"/>
  <c r="BS98" i="23" l="1"/>
  <c r="BK2" i="24"/>
  <c r="BR99" i="23"/>
  <c r="BJ3" i="24"/>
  <c r="BS99" i="23" l="1"/>
  <c r="BL3" i="24" s="1"/>
  <c r="BK3" i="24"/>
  <c r="BT98" i="23"/>
  <c r="BL2" i="24"/>
  <c r="BU98" i="23" l="1"/>
  <c r="BM2" i="24"/>
  <c r="BV98" i="23" l="1"/>
  <c r="BN2" i="24"/>
  <c r="BW98" i="23" l="1"/>
  <c r="BO2" i="24"/>
  <c r="BX98" i="23" l="1"/>
  <c r="BP2" i="24"/>
  <c r="BY98" i="23" l="1"/>
  <c r="BQ2" i="24"/>
  <c r="BZ98" i="23" l="1"/>
  <c r="BR2" i="24"/>
  <c r="CA98" i="23" l="1"/>
  <c r="BS2" i="24"/>
  <c r="CB98" i="23" l="1"/>
  <c r="BT2" i="24"/>
  <c r="CC98" i="23" l="1"/>
  <c r="BU2" i="24"/>
  <c r="CD98" i="23" l="1"/>
  <c r="BV2" i="24"/>
  <c r="CE98" i="23" l="1"/>
  <c r="BX2" i="24" s="1"/>
  <c r="BW2" i="2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<sst xmlns="http://schemas.openxmlformats.org/spreadsheetml/2006/main" count="245" uniqueCount="90">
  <si>
    <t>WBS</t>
  </si>
  <si>
    <t>Activities</t>
  </si>
  <si>
    <t>Amount(THB)</t>
  </si>
  <si>
    <t>%W</t>
  </si>
  <si>
    <t>DataType</t>
  </si>
  <si>
    <t>Progress</t>
  </si>
  <si>
    <t>%Progress</t>
  </si>
  <si>
    <t>Recheck Sum Percent</t>
  </si>
  <si>
    <t>Preliminaries</t>
  </si>
  <si>
    <t>เตรียมการก่อสร้าง</t>
  </si>
  <si>
    <t>Plan</t>
  </si>
  <si>
    <t>Actual</t>
  </si>
  <si>
    <t>ดำเนินการก่อสร้าง</t>
  </si>
  <si>
    <t>การส่งมอบงาน</t>
  </si>
  <si>
    <t>Structure</t>
  </si>
  <si>
    <t>งานเสาเข็ม</t>
  </si>
  <si>
    <t>งานฐานราก</t>
  </si>
  <si>
    <t>งานเสา</t>
  </si>
  <si>
    <t>งานคาน</t>
  </si>
  <si>
    <t>งานพื้น</t>
  </si>
  <si>
    <t>งานผนัง ค.ส.ล.</t>
  </si>
  <si>
    <t>งานบันได ค.ส.ล.</t>
  </si>
  <si>
    <t>งาน Ramp</t>
  </si>
  <si>
    <t>งานเบ็ดเตล็ด</t>
  </si>
  <si>
    <t>Architecture</t>
  </si>
  <si>
    <t>A</t>
  </si>
  <si>
    <t>หมวดงานสถาปัตยกรรม (คลังสินค้า)</t>
  </si>
  <si>
    <t>งานผนังและวัสดุตกแต่งผิวผนัง</t>
  </si>
  <si>
    <t>งานพื้นและวัสดุตกแต่งผิวพื้น</t>
  </si>
  <si>
    <t>งานหลังคา</t>
  </si>
  <si>
    <t>งานฝ้าเพดาน</t>
  </si>
  <si>
    <t>งานประตู-หน้าต่าง</t>
  </si>
  <si>
    <t>งานทาสี</t>
  </si>
  <si>
    <t>B</t>
  </si>
  <si>
    <t>หมวดงานสถาปัตยกรรม (ออฟฟิศ)</t>
  </si>
  <si>
    <t>งานบัวเชิงผนัง</t>
  </si>
  <si>
    <t>งานตกแต่งผิวบันได</t>
  </si>
  <si>
    <t>งานสุขภัณฑ์</t>
  </si>
  <si>
    <t>External</t>
  </si>
  <si>
    <t>งานกำแพงกันดิน</t>
  </si>
  <si>
    <t>งานถนนรอบอาคาร</t>
  </si>
  <si>
    <t>งานระบบระบายน้ำรอบอาคาร</t>
  </si>
  <si>
    <t>งานถังเก็บน้ำ</t>
  </si>
  <si>
    <t>งานฐานวางถังน้ำดี , ถังบำบัดและถังดักไขมัน</t>
  </si>
  <si>
    <t>MEP</t>
  </si>
  <si>
    <t>หมวดงานระบบประกอบอาคาร</t>
  </si>
  <si>
    <t>Acc.Plan</t>
  </si>
  <si>
    <t>Acc.Actual</t>
  </si>
  <si>
    <t>date</t>
  </si>
  <si>
    <t>1to7</t>
  </si>
  <si>
    <t xml:space="preserve">8to14 </t>
  </si>
  <si>
    <t>15to22</t>
  </si>
  <si>
    <t>23to30</t>
  </si>
  <si>
    <t>Num</t>
  </si>
  <si>
    <t>ลำดับ</t>
  </si>
  <si>
    <t>รายการ</t>
  </si>
  <si>
    <t xml:space="preserve">Amount (THB)
</t>
  </si>
  <si>
    <t>Man-Hr</t>
  </si>
  <si>
    <t>Remark</t>
  </si>
  <si>
    <t>งานเตรียมการและดำเนินงาน</t>
  </si>
  <si>
    <t>งานโครสร้างอาคารโรงงาน</t>
  </si>
  <si>
    <t>งานถมดินพร้อมบดอัด</t>
  </si>
  <si>
    <t>งานเข็มตอก</t>
  </si>
  <si>
    <t>งานฐานรากและตอม่อ</t>
  </si>
  <si>
    <t xml:space="preserve">งานติดตั้งเสา </t>
  </si>
  <si>
    <t>งานติดตั้งคาน</t>
  </si>
  <si>
    <t xml:space="preserve">งานโครงสร้างหลังคา  TRUSS </t>
  </si>
  <si>
    <t xml:space="preserve">งานโครงสร้างพื้นชั้นที่ 1 </t>
  </si>
  <si>
    <t>งานบันได คสล</t>
  </si>
  <si>
    <t>งานโครงสร้างอาคารสำนักงาน</t>
  </si>
  <si>
    <t>งานสถาปัตยกรรม</t>
  </si>
  <si>
    <t>งานสถาปัตยกรรมโรงงาน</t>
  </si>
  <si>
    <t>งานผนังและวัสดุตกแต่งผนัง</t>
  </si>
  <si>
    <t>งานพื้นและวัสดุตกแต่งพื้น</t>
  </si>
  <si>
    <t>Louver and Siding</t>
  </si>
  <si>
    <t>งานมุงหลังคา</t>
  </si>
  <si>
    <t>งานตกแต่งบันได</t>
  </si>
  <si>
    <t>งานประตูหน้าต่าง</t>
  </si>
  <si>
    <t>งานติดตั้งสุขภัณฑ์</t>
  </si>
  <si>
    <t>งานสถาปัตยกรรมอาคารสำนักงาน</t>
  </si>
  <si>
    <t>งานคิดตั้งสุขภัณฑ์</t>
  </si>
  <si>
    <t>งานภายนอก</t>
  </si>
  <si>
    <t>งานภายนอกอาคาร</t>
  </si>
  <si>
    <t>งานระบบประกอบอาคาร</t>
  </si>
  <si>
    <t>งานระบบไฟฟ้ากำลังและแสงสว่าง</t>
  </si>
  <si>
    <t>ระบบสุขาภิบาลและป้องกันอัคคีภัย</t>
  </si>
  <si>
    <t>Defection &amp; Hanover</t>
  </si>
  <si>
    <t>Defect &amp; Handover</t>
  </si>
  <si>
    <t>Q'ty</t>
  </si>
  <si>
    <t>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</si>
</sst>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87" formatCode="_(* #,##0.00_);_(* \(#,##0.00\);_(* &quot;-&quot;??_);_(@_)"/>
    <numFmt numFmtId="188" formatCode="0.0"/>
    <numFmt numFmtId="189" formatCode="0.000"/>
    <numFmt numFmtId="190" formatCode="mm/yyyy"/>
    <numFmt numFmtId="191" formatCode="_-* #,##0_-;\-* #,##0_-;_-* &quot;-&quot;??_-;_-@_-"/>
    <numFmt numFmtId="192" formatCode="yyyy\-mm\-dd;@"/>
  </numFmts>
  <fonts count="24">
    <font>
      <sz val="16"/>
      <color theme="1"/>
      <name val="AngsanaUPC"/>
      <family val="2"/>
      <charset val="222"/>
    </font>
    <font>
      <sz val="11"/>
      <color theme="1"/>
      <name val="Calibri"/>
      <family val="2"/>
      <charset val="222"/>
      <scheme val="minor"/>
    </font>
    <font>
      <sz val="16"/>
      <color theme="1"/>
      <name val="AngsanaUPC"/>
      <family val="2"/>
      <charset val="222"/>
    </font>
    <font>
      <sz val="10"/>
      <name val="Arial"/>
      <family val="2"/>
    </font>
    <font>
      <sz val="12"/>
      <color theme="1"/>
      <name val="Browallia New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4"/>
      <name val="Cordia New"/>
      <family val="2"/>
    </font>
    <font>
      <sz val="12"/>
      <color indexed="8"/>
      <name val="Verdana"/>
      <family val="2"/>
    </font>
    <font>
      <sz val="16"/>
      <color indexed="9"/>
      <name val="Helvetica"/>
      <family val="2"/>
    </font>
    <font>
      <sz val="16"/>
      <color indexed="8"/>
      <name val="AngsanaUPC"/>
      <family val="2"/>
      <charset val="222"/>
    </font>
    <font>
      <sz val="14"/>
      <name val="AngsanaUPC"/>
      <family val="1"/>
    </font>
    <font>
      <sz val="14"/>
      <color theme="1"/>
      <name val="Angsana New"/>
      <family val="2"/>
      <charset val="222"/>
    </font>
    <font>
      <sz val="14"/>
      <name val="AngsanaUPC"/>
      <family val="1"/>
      <charset val="222"/>
    </font>
    <font>
      <sz val="8"/>
      <color theme="1"/>
      <name val="Arial"/>
      <family val="2"/>
    </font>
    <font>
      <sz val="8"/>
      <color rgb="FF0070C0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sz val="18"/>
      <color theme="1"/>
      <name val="Cordia New"/>
      <family val="2"/>
    </font>
    <font>
      <b/>
      <sz val="18"/>
      <color theme="1"/>
      <name val="Cordia New"/>
      <family val="2"/>
    </font>
    <font>
      <sz val="18"/>
      <name val="Cordia New"/>
      <family val="2"/>
    </font>
    <font>
      <b/>
      <sz val="20"/>
      <color theme="1"/>
      <name val="Cordia New"/>
      <family val="2"/>
    </font>
    <font>
      <sz val="8"/>
      <name val="AngsanaUPC"/>
      <family val="2"/>
      <charset val="222"/>
    </font>
    <font>
      <sz val="12"/>
      <color theme="0"/>
      <name val="AngsanaUPC"/>
      <family val="2"/>
      <charset val="22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1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87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190" fontId="3" fillId="0" borderId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8" fillId="0" borderId="0" applyNumberFormat="0" applyFill="0" applyBorder="0" applyProtection="0">
      <alignment vertical="top"/>
    </xf>
    <xf numFmtId="43" fontId="9" fillId="0" borderId="0" applyFont="0" applyFill="0" applyBorder="0" applyAlignment="0" applyProtection="0"/>
    <xf numFmtId="0" fontId="8" fillId="0" borderId="0" applyNumberFormat="0" applyFill="0" applyBorder="0" applyProtection="0">
      <alignment vertical="top"/>
    </xf>
    <xf numFmtId="0" fontId="10" fillId="0" borderId="0"/>
    <xf numFmtId="43" fontId="5" fillId="0" borderId="0" applyFont="0" applyFill="0" applyBorder="0" applyAlignment="0" applyProtection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3" fillId="0" borderId="0"/>
    <xf numFmtId="0" fontId="12" fillId="0" borderId="0"/>
    <xf numFmtId="0" fontId="7" fillId="0" borderId="0"/>
    <xf numFmtId="0" fontId="12" fillId="0" borderId="0"/>
    <xf numFmtId="0" fontId="1" fillId="0" borderId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11" fillId="0" borderId="0"/>
    <xf numFmtId="43" fontId="3" fillId="0" borderId="0" applyFont="0" applyFill="0" applyBorder="0" applyAlignment="0" applyProtection="0"/>
    <xf numFmtId="0" fontId="1" fillId="0" borderId="0"/>
    <xf numFmtId="0" fontId="5" fillId="0" borderId="0"/>
    <xf numFmtId="43" fontId="13" fillId="0" borderId="0" applyFont="0" applyFill="0" applyBorder="0" applyAlignment="0" applyProtection="0"/>
    <xf numFmtId="0" fontId="11" fillId="0" borderId="0"/>
    <xf numFmtId="43" fontId="1" fillId="0" borderId="0" applyFont="0" applyFill="0" applyBorder="0" applyAlignment="0" applyProtection="0"/>
  </cellStyleXfs>
  <cellXfs count="25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0" fontId="4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89" fontId="4" fillId="0" borderId="0" xfId="0" applyNumberFormat="1" applyFont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43" fontId="14" fillId="3" borderId="20" xfId="0" applyNumberFormat="1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43" fontId="14" fillId="0" borderId="6" xfId="1" applyFont="1" applyBorder="1"/>
    <xf numFmtId="43" fontId="14" fillId="0" borderId="30" xfId="0" applyNumberFormat="1" applyFont="1" applyBorder="1" applyAlignment="1">
      <alignment horizontal="center" vertical="center"/>
    </xf>
    <xf numFmtId="10" fontId="14" fillId="0" borderId="30" xfId="2" applyNumberFormat="1" applyFont="1" applyBorder="1" applyAlignment="1">
      <alignment horizontal="center" vertical="center"/>
    </xf>
    <xf numFmtId="0" fontId="14" fillId="3" borderId="21" xfId="0" applyFont="1" applyFill="1" applyBorder="1" applyAlignment="1">
      <alignment horizontal="left" vertical="center"/>
    </xf>
    <xf numFmtId="43" fontId="14" fillId="0" borderId="2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10" fontId="14" fillId="0" borderId="24" xfId="2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10" fontId="14" fillId="0" borderId="32" xfId="2" applyNumberFormat="1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3" borderId="20" xfId="0" applyFont="1" applyFill="1" applyBorder="1" applyAlignment="1">
      <alignment horizontal="right"/>
    </xf>
    <xf numFmtId="0" fontId="14" fillId="0" borderId="5" xfId="0" applyFont="1" applyBorder="1"/>
    <xf numFmtId="0" fontId="14" fillId="0" borderId="34" xfId="0" applyFont="1" applyBorder="1"/>
    <xf numFmtId="0" fontId="14" fillId="0" borderId="33" xfId="0" applyFont="1" applyBorder="1"/>
    <xf numFmtId="0" fontId="14" fillId="0" borderId="37" xfId="0" applyFont="1" applyBorder="1"/>
    <xf numFmtId="0" fontId="14" fillId="0" borderId="38" xfId="0" applyFont="1" applyBorder="1"/>
    <xf numFmtId="0" fontId="14" fillId="0" borderId="39" xfId="0" applyFont="1" applyBorder="1"/>
    <xf numFmtId="0" fontId="14" fillId="5" borderId="39" xfId="0" applyFont="1" applyFill="1" applyBorder="1"/>
    <xf numFmtId="0" fontId="14" fillId="5" borderId="38" xfId="0" applyFont="1" applyFill="1" applyBorder="1"/>
    <xf numFmtId="0" fontId="14" fillId="0" borderId="6" xfId="0" applyFont="1" applyBorder="1"/>
    <xf numFmtId="0" fontId="14" fillId="5" borderId="34" xfId="0" applyFont="1" applyFill="1" applyBorder="1"/>
    <xf numFmtId="0" fontId="14" fillId="5" borderId="5" xfId="0" applyFont="1" applyFill="1" applyBorder="1"/>
    <xf numFmtId="43" fontId="14" fillId="4" borderId="30" xfId="0" applyNumberFormat="1" applyFont="1" applyFill="1" applyBorder="1" applyAlignment="1">
      <alignment horizontal="center" vertical="center"/>
    </xf>
    <xf numFmtId="10" fontId="14" fillId="0" borderId="29" xfId="2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2" fontId="17" fillId="0" borderId="2" xfId="1" applyNumberFormat="1" applyFont="1" applyFill="1" applyBorder="1" applyAlignment="1">
      <alignment horizontal="center" vertical="center"/>
    </xf>
    <xf numFmtId="2" fontId="17" fillId="0" borderId="29" xfId="1" applyNumberFormat="1" applyFont="1" applyFill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188" fontId="17" fillId="0" borderId="29" xfId="1" applyNumberFormat="1" applyFont="1" applyFill="1" applyBorder="1" applyAlignment="1">
      <alignment horizontal="center" vertical="center"/>
    </xf>
    <xf numFmtId="188" fontId="17" fillId="0" borderId="1" xfId="1" applyNumberFormat="1" applyFont="1" applyFill="1" applyBorder="1" applyAlignment="1">
      <alignment horizontal="center" vertical="center"/>
    </xf>
    <xf numFmtId="2" fontId="14" fillId="5" borderId="9" xfId="0" applyNumberFormat="1" applyFont="1" applyFill="1" applyBorder="1" applyAlignment="1">
      <alignment horizontal="center" vertical="center"/>
    </xf>
    <xf numFmtId="2" fontId="14" fillId="5" borderId="1" xfId="0" applyNumberFormat="1" applyFont="1" applyFill="1" applyBorder="1" applyAlignment="1">
      <alignment horizontal="center" vertical="center"/>
    </xf>
    <xf numFmtId="0" fontId="14" fillId="3" borderId="30" xfId="0" applyFont="1" applyFill="1" applyBorder="1" applyAlignment="1">
      <alignment horizontal="right"/>
    </xf>
    <xf numFmtId="0" fontId="14" fillId="3" borderId="30" xfId="0" applyFont="1" applyFill="1" applyBorder="1" applyAlignment="1">
      <alignment horizontal="left" vertical="center"/>
    </xf>
    <xf numFmtId="43" fontId="14" fillId="3" borderId="30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43" fontId="14" fillId="0" borderId="9" xfId="0" applyNumberFormat="1" applyFont="1" applyBorder="1" applyAlignment="1">
      <alignment horizontal="center" vertical="center"/>
    </xf>
    <xf numFmtId="43" fontId="14" fillId="5" borderId="9" xfId="0" applyNumberFormat="1" applyFont="1" applyFill="1" applyBorder="1" applyAlignment="1">
      <alignment horizontal="center" vertical="center"/>
    </xf>
    <xf numFmtId="43" fontId="14" fillId="0" borderId="1" xfId="0" applyNumberFormat="1" applyFont="1" applyBorder="1" applyAlignment="1">
      <alignment horizontal="center" vertical="center"/>
    </xf>
    <xf numFmtId="43" fontId="14" fillId="0" borderId="29" xfId="0" applyNumberFormat="1" applyFont="1" applyBorder="1" applyAlignment="1">
      <alignment horizontal="center" vertical="center"/>
    </xf>
    <xf numFmtId="188" fontId="17" fillId="0" borderId="2" xfId="1" applyNumberFormat="1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right"/>
    </xf>
    <xf numFmtId="0" fontId="14" fillId="2" borderId="30" xfId="0" applyFont="1" applyFill="1" applyBorder="1" applyAlignment="1">
      <alignment horizontal="left" vertical="center"/>
    </xf>
    <xf numFmtId="43" fontId="14" fillId="2" borderId="30" xfId="0" applyNumberFormat="1" applyFont="1" applyFill="1" applyBorder="1" applyAlignment="1">
      <alignment horizontal="center" vertical="center"/>
    </xf>
    <xf numFmtId="2" fontId="14" fillId="0" borderId="40" xfId="0" applyNumberFormat="1" applyFont="1" applyBorder="1" applyAlignment="1">
      <alignment horizontal="center" vertical="center"/>
    </xf>
    <xf numFmtId="0" fontId="16" fillId="2" borderId="30" xfId="0" applyFont="1" applyFill="1" applyBorder="1" applyAlignment="1">
      <alignment horizontal="right"/>
    </xf>
    <xf numFmtId="0" fontId="16" fillId="2" borderId="30" xfId="0" applyFont="1" applyFill="1" applyBorder="1" applyAlignment="1">
      <alignment horizontal="left" vertical="center"/>
    </xf>
    <xf numFmtId="2" fontId="15" fillId="0" borderId="1" xfId="0" applyNumberFormat="1" applyFont="1" applyBorder="1" applyAlignment="1">
      <alignment horizontal="center" vertical="center"/>
    </xf>
    <xf numFmtId="188" fontId="17" fillId="0" borderId="15" xfId="1" applyNumberFormat="1" applyFont="1" applyFill="1" applyBorder="1" applyAlignment="1">
      <alignment horizontal="center" vertical="center"/>
    </xf>
    <xf numFmtId="188" fontId="17" fillId="0" borderId="32" xfId="1" applyNumberFormat="1" applyFont="1" applyFill="1" applyBorder="1" applyAlignment="1">
      <alignment horizontal="center" vertical="center"/>
    </xf>
    <xf numFmtId="2" fontId="17" fillId="0" borderId="32" xfId="1" applyNumberFormat="1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2" fontId="14" fillId="0" borderId="35" xfId="0" applyNumberFormat="1" applyFont="1" applyBorder="1" applyAlignment="1">
      <alignment horizontal="center" vertical="center"/>
    </xf>
    <xf numFmtId="2" fontId="14" fillId="5" borderId="35" xfId="0" applyNumberFormat="1" applyFont="1" applyFill="1" applyBorder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1" fontId="14" fillId="0" borderId="2" xfId="0" applyNumberFormat="1" applyFont="1" applyBorder="1" applyAlignment="1">
      <alignment horizontal="center" vertical="center"/>
    </xf>
    <xf numFmtId="1" fontId="14" fillId="0" borderId="9" xfId="0" applyNumberFormat="1" applyFont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/>
    </xf>
    <xf numFmtId="1" fontId="14" fillId="0" borderId="29" xfId="0" applyNumberFormat="1" applyFont="1" applyBorder="1" applyAlignment="1">
      <alignment horizontal="center" vertical="center"/>
    </xf>
    <xf numFmtId="1" fontId="14" fillId="5" borderId="9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191" fontId="14" fillId="5" borderId="35" xfId="0" applyNumberFormat="1" applyFont="1" applyFill="1" applyBorder="1" applyAlignment="1">
      <alignment horizontal="center" vertical="center"/>
    </xf>
    <xf numFmtId="191" fontId="14" fillId="5" borderId="10" xfId="0" applyNumberFormat="1" applyFont="1" applyFill="1" applyBorder="1" applyAlignment="1">
      <alignment horizontal="center" vertical="center"/>
    </xf>
    <xf numFmtId="1" fontId="14" fillId="0" borderId="30" xfId="1" applyNumberFormat="1" applyFont="1" applyFill="1" applyBorder="1" applyAlignment="1">
      <alignment horizontal="center"/>
    </xf>
    <xf numFmtId="1" fontId="14" fillId="0" borderId="20" xfId="1" applyNumberFormat="1" applyFont="1" applyFill="1" applyBorder="1"/>
    <xf numFmtId="0" fontId="14" fillId="6" borderId="20" xfId="0" applyFont="1" applyFill="1" applyBorder="1" applyAlignment="1">
      <alignment horizontal="right"/>
    </xf>
    <xf numFmtId="0" fontId="14" fillId="6" borderId="20" xfId="0" applyFont="1" applyFill="1" applyBorder="1" applyAlignment="1">
      <alignment horizontal="center" vertical="center"/>
    </xf>
    <xf numFmtId="0" fontId="14" fillId="6" borderId="30" xfId="0" applyFont="1" applyFill="1" applyBorder="1" applyAlignment="1">
      <alignment horizontal="right"/>
    </xf>
    <xf numFmtId="0" fontId="14" fillId="6" borderId="30" xfId="0" applyFont="1" applyFill="1" applyBorder="1" applyAlignment="1">
      <alignment horizontal="left" vertical="center"/>
    </xf>
    <xf numFmtId="0" fontId="14" fillId="7" borderId="30" xfId="0" applyFont="1" applyFill="1" applyBorder="1" applyAlignment="1">
      <alignment horizontal="right"/>
    </xf>
    <xf numFmtId="0" fontId="14" fillId="7" borderId="30" xfId="0" applyFont="1" applyFill="1" applyBorder="1" applyAlignment="1">
      <alignment horizontal="left" vertical="center"/>
    </xf>
    <xf numFmtId="0" fontId="14" fillId="5" borderId="43" xfId="0" applyFont="1" applyFill="1" applyBorder="1"/>
    <xf numFmtId="187" fontId="17" fillId="5" borderId="24" xfId="4" applyFont="1" applyFill="1" applyBorder="1" applyAlignment="1">
      <alignment horizontal="center" vertical="center"/>
    </xf>
    <xf numFmtId="10" fontId="14" fillId="5" borderId="24" xfId="2" applyNumberFormat="1" applyFont="1" applyFill="1" applyBorder="1" applyAlignment="1">
      <alignment horizontal="center" vertical="center"/>
    </xf>
    <xf numFmtId="10" fontId="14" fillId="5" borderId="32" xfId="2" applyNumberFormat="1" applyFont="1" applyFill="1" applyBorder="1" applyAlignment="1">
      <alignment horizontal="center" vertical="center"/>
    </xf>
    <xf numFmtId="191" fontId="14" fillId="5" borderId="15" xfId="1" applyNumberFormat="1" applyFont="1" applyFill="1" applyBorder="1" applyAlignment="1">
      <alignment horizontal="center" vertical="center"/>
    </xf>
    <xf numFmtId="191" fontId="14" fillId="5" borderId="32" xfId="0" applyNumberFormat="1" applyFont="1" applyFill="1" applyBorder="1" applyAlignment="1">
      <alignment horizontal="center" vertical="center"/>
    </xf>
    <xf numFmtId="191" fontId="14" fillId="0" borderId="30" xfId="1" applyNumberFormat="1" applyFont="1" applyFill="1" applyBorder="1" applyAlignment="1">
      <alignment horizontal="center"/>
    </xf>
    <xf numFmtId="191" fontId="14" fillId="0" borderId="24" xfId="1" applyNumberFormat="1" applyFont="1" applyFill="1" applyBorder="1"/>
    <xf numFmtId="0" fontId="3" fillId="5" borderId="16" xfId="3" applyFill="1" applyBorder="1" applyAlignment="1">
      <alignment horizontal="right" vertical="center"/>
    </xf>
    <xf numFmtId="0" fontId="18" fillId="0" borderId="0" xfId="0" applyFont="1"/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43" fontId="18" fillId="0" borderId="0" xfId="1" applyFont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43" fontId="18" fillId="0" borderId="42" xfId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3" borderId="20" xfId="0" applyFont="1" applyFill="1" applyBorder="1" applyAlignment="1">
      <alignment horizontal="left" vertical="center"/>
    </xf>
    <xf numFmtId="0" fontId="18" fillId="3" borderId="20" xfId="0" applyFont="1" applyFill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30" xfId="0" applyFont="1" applyBorder="1" applyAlignment="1">
      <alignment horizontal="left" vertical="center"/>
    </xf>
    <xf numFmtId="10" fontId="18" fillId="0" borderId="30" xfId="2" applyNumberFormat="1" applyFont="1" applyBorder="1" applyAlignment="1">
      <alignment horizontal="center" vertical="center"/>
    </xf>
    <xf numFmtId="10" fontId="18" fillId="0" borderId="11" xfId="2" applyNumberFormat="1" applyFont="1" applyBorder="1" applyAlignment="1">
      <alignment horizontal="center" vertical="center"/>
    </xf>
    <xf numFmtId="43" fontId="18" fillId="0" borderId="11" xfId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43" fontId="18" fillId="0" borderId="30" xfId="0" applyNumberFormat="1" applyFont="1" applyBorder="1" applyAlignment="1">
      <alignment horizontal="center" vertical="center"/>
    </xf>
    <xf numFmtId="2" fontId="20" fillId="0" borderId="29" xfId="1" applyNumberFormat="1" applyFont="1" applyFill="1" applyBorder="1" applyAlignment="1">
      <alignment horizontal="center" vertical="center"/>
    </xf>
    <xf numFmtId="2" fontId="18" fillId="0" borderId="29" xfId="0" applyNumberFormat="1" applyFont="1" applyBorder="1" applyAlignment="1">
      <alignment horizontal="center" vertical="center"/>
    </xf>
    <xf numFmtId="0" fontId="19" fillId="3" borderId="30" xfId="0" applyFont="1" applyFill="1" applyBorder="1" applyAlignment="1">
      <alignment horizontal="left" vertical="center"/>
    </xf>
    <xf numFmtId="0" fontId="18" fillId="3" borderId="21" xfId="0" applyFont="1" applyFill="1" applyBorder="1" applyAlignment="1">
      <alignment horizontal="left" vertical="center"/>
    </xf>
    <xf numFmtId="0" fontId="18" fillId="3" borderId="30" xfId="0" applyFont="1" applyFill="1" applyBorder="1" applyAlignment="1">
      <alignment horizontal="left" vertical="center"/>
    </xf>
    <xf numFmtId="0" fontId="19" fillId="2" borderId="30" xfId="0" applyFont="1" applyFill="1" applyBorder="1" applyAlignment="1">
      <alignment horizontal="left" vertical="center"/>
    </xf>
    <xf numFmtId="0" fontId="18" fillId="2" borderId="30" xfId="0" applyFont="1" applyFill="1" applyBorder="1" applyAlignment="1">
      <alignment horizontal="left" vertical="center"/>
    </xf>
    <xf numFmtId="43" fontId="19" fillId="8" borderId="20" xfId="0" applyNumberFormat="1" applyFont="1" applyFill="1" applyBorder="1" applyAlignment="1">
      <alignment horizontal="center" vertical="center"/>
    </xf>
    <xf numFmtId="10" fontId="18" fillId="8" borderId="20" xfId="0" applyNumberFormat="1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43" fontId="18" fillId="8" borderId="42" xfId="1" applyFont="1" applyFill="1" applyBorder="1" applyAlignment="1">
      <alignment horizontal="center" vertical="center"/>
    </xf>
    <xf numFmtId="43" fontId="18" fillId="0" borderId="20" xfId="0" applyNumberFormat="1" applyFont="1" applyBorder="1" applyAlignment="1">
      <alignment horizontal="center" vertical="center"/>
    </xf>
    <xf numFmtId="43" fontId="18" fillId="8" borderId="30" xfId="0" applyNumberFormat="1" applyFont="1" applyFill="1" applyBorder="1" applyAlignment="1">
      <alignment horizontal="center" vertical="center"/>
    </xf>
    <xf numFmtId="10" fontId="18" fillId="8" borderId="30" xfId="2" applyNumberFormat="1" applyFont="1" applyFill="1" applyBorder="1" applyAlignment="1">
      <alignment horizontal="center" vertical="center"/>
    </xf>
    <xf numFmtId="10" fontId="18" fillId="8" borderId="11" xfId="2" applyNumberFormat="1" applyFont="1" applyFill="1" applyBorder="1" applyAlignment="1">
      <alignment horizontal="center" vertical="center"/>
    </xf>
    <xf numFmtId="43" fontId="18" fillId="8" borderId="11" xfId="1" applyFont="1" applyFill="1" applyBorder="1" applyAlignment="1">
      <alignment horizontal="center" vertical="center"/>
    </xf>
    <xf numFmtId="2" fontId="18" fillId="8" borderId="1" xfId="0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43" fontId="18" fillId="0" borderId="19" xfId="1" applyFont="1" applyBorder="1" applyAlignment="1">
      <alignment horizontal="center" vertical="center"/>
    </xf>
    <xf numFmtId="0" fontId="20" fillId="0" borderId="17" xfId="3" applyFont="1" applyBorder="1" applyAlignment="1">
      <alignment horizontal="right" vertical="center"/>
    </xf>
    <xf numFmtId="0" fontId="20" fillId="0" borderId="12" xfId="3" applyFont="1" applyBorder="1" applyAlignment="1">
      <alignment horizontal="right" vertical="center"/>
    </xf>
    <xf numFmtId="0" fontId="20" fillId="0" borderId="16" xfId="3" applyFont="1" applyBorder="1" applyAlignment="1">
      <alignment horizontal="right" vertical="center"/>
    </xf>
    <xf numFmtId="0" fontId="20" fillId="0" borderId="14" xfId="3" applyFont="1" applyBorder="1" applyAlignment="1">
      <alignment horizontal="right" vertical="center"/>
    </xf>
    <xf numFmtId="0" fontId="18" fillId="0" borderId="21" xfId="0" applyFont="1" applyBorder="1" applyAlignment="1">
      <alignment horizontal="left" vertical="center"/>
    </xf>
    <xf numFmtId="0" fontId="20" fillId="0" borderId="46" xfId="3" applyFont="1" applyBorder="1" applyAlignment="1">
      <alignment horizontal="right" vertical="center"/>
    </xf>
    <xf numFmtId="0" fontId="18" fillId="0" borderId="20" xfId="0" applyFont="1" applyBorder="1" applyAlignment="1">
      <alignment horizontal="left" vertical="center"/>
    </xf>
    <xf numFmtId="9" fontId="18" fillId="8" borderId="30" xfId="2" applyFont="1" applyFill="1" applyBorder="1" applyAlignment="1">
      <alignment horizontal="center" vertical="center"/>
    </xf>
    <xf numFmtId="0" fontId="18" fillId="7" borderId="17" xfId="0" applyFont="1" applyFill="1" applyBorder="1" applyAlignment="1">
      <alignment horizontal="left" vertical="center"/>
    </xf>
    <xf numFmtId="43" fontId="18" fillId="7" borderId="30" xfId="0" applyNumberFormat="1" applyFont="1" applyFill="1" applyBorder="1" applyAlignment="1">
      <alignment horizontal="center" vertical="center"/>
    </xf>
    <xf numFmtId="10" fontId="18" fillId="7" borderId="30" xfId="2" applyNumberFormat="1" applyFont="1" applyFill="1" applyBorder="1" applyAlignment="1">
      <alignment horizontal="center" vertical="center"/>
    </xf>
    <xf numFmtId="10" fontId="18" fillId="7" borderId="11" xfId="2" applyNumberFormat="1" applyFont="1" applyFill="1" applyBorder="1" applyAlignment="1">
      <alignment horizontal="center" vertical="center"/>
    </xf>
    <xf numFmtId="43" fontId="18" fillId="7" borderId="11" xfId="1" applyFont="1" applyFill="1" applyBorder="1" applyAlignment="1">
      <alignment horizontal="center" vertical="center"/>
    </xf>
    <xf numFmtId="2" fontId="18" fillId="7" borderId="2" xfId="0" applyNumberFormat="1" applyFont="1" applyFill="1" applyBorder="1" applyAlignment="1">
      <alignment horizontal="center" vertical="center"/>
    </xf>
    <xf numFmtId="2" fontId="18" fillId="7" borderId="1" xfId="0" applyNumberFormat="1" applyFont="1" applyFill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0" fontId="18" fillId="7" borderId="29" xfId="0" applyFont="1" applyFill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8" fillId="7" borderId="9" xfId="0" applyFont="1" applyFill="1" applyBorder="1" applyAlignment="1">
      <alignment horizontal="center" vertical="center"/>
    </xf>
    <xf numFmtId="2" fontId="20" fillId="7" borderId="29" xfId="1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188" fontId="20" fillId="7" borderId="29" xfId="1" applyNumberFormat="1" applyFont="1" applyFill="1" applyBorder="1" applyAlignment="1">
      <alignment horizontal="center" vertical="center"/>
    </xf>
    <xf numFmtId="188" fontId="20" fillId="7" borderId="1" xfId="1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9" fillId="3" borderId="17" xfId="0" applyFont="1" applyFill="1" applyBorder="1" applyAlignment="1">
      <alignment horizontal="right"/>
    </xf>
    <xf numFmtId="0" fontId="18" fillId="3" borderId="17" xfId="0" applyFont="1" applyFill="1" applyBorder="1" applyAlignment="1">
      <alignment horizontal="right"/>
    </xf>
    <xf numFmtId="0" fontId="18" fillId="0" borderId="12" xfId="0" applyFont="1" applyBorder="1" applyAlignment="1">
      <alignment horizontal="right"/>
    </xf>
    <xf numFmtId="0" fontId="19" fillId="3" borderId="12" xfId="0" applyFont="1" applyFill="1" applyBorder="1" applyAlignment="1">
      <alignment horizontal="right"/>
    </xf>
    <xf numFmtId="0" fontId="18" fillId="3" borderId="12" xfId="0" applyFont="1" applyFill="1" applyBorder="1" applyAlignment="1">
      <alignment horizontal="right"/>
    </xf>
    <xf numFmtId="0" fontId="18" fillId="0" borderId="46" xfId="0" applyFont="1" applyBorder="1" applyAlignment="1">
      <alignment horizontal="right"/>
    </xf>
    <xf numFmtId="0" fontId="18" fillId="0" borderId="17" xfId="0" applyFont="1" applyBorder="1" applyAlignment="1">
      <alignment horizontal="right"/>
    </xf>
    <xf numFmtId="2" fontId="18" fillId="0" borderId="46" xfId="0" applyNumberFormat="1" applyFont="1" applyBorder="1" applyAlignment="1">
      <alignment horizontal="right"/>
    </xf>
    <xf numFmtId="2" fontId="18" fillId="0" borderId="17" xfId="0" applyNumberFormat="1" applyFont="1" applyBorder="1" applyAlignment="1">
      <alignment horizontal="right"/>
    </xf>
    <xf numFmtId="0" fontId="21" fillId="3" borderId="12" xfId="0" applyFont="1" applyFill="1" applyBorder="1" applyAlignment="1">
      <alignment horizontal="right"/>
    </xf>
    <xf numFmtId="0" fontId="19" fillId="2" borderId="12" xfId="0" applyFont="1" applyFill="1" applyBorder="1" applyAlignment="1">
      <alignment horizontal="right"/>
    </xf>
    <xf numFmtId="0" fontId="18" fillId="2" borderId="12" xfId="0" applyFont="1" applyFill="1" applyBorder="1" applyAlignment="1">
      <alignment horizontal="right"/>
    </xf>
    <xf numFmtId="0" fontId="18" fillId="7" borderId="47" xfId="0" applyFont="1" applyFill="1" applyBorder="1" applyAlignment="1">
      <alignment horizontal="right"/>
    </xf>
    <xf numFmtId="0" fontId="18" fillId="0" borderId="23" xfId="0" applyFont="1" applyBorder="1" applyAlignment="1">
      <alignment horizontal="center"/>
    </xf>
    <xf numFmtId="2" fontId="18" fillId="8" borderId="29" xfId="0" applyNumberFormat="1" applyFont="1" applyFill="1" applyBorder="1" applyAlignment="1">
      <alignment horizontal="center" vertical="center"/>
    </xf>
    <xf numFmtId="2" fontId="18" fillId="9" borderId="9" xfId="0" applyNumberFormat="1" applyFont="1" applyFill="1" applyBorder="1" applyAlignment="1">
      <alignment horizontal="center" vertical="center"/>
    </xf>
    <xf numFmtId="2" fontId="18" fillId="9" borderId="1" xfId="0" applyNumberFormat="1" applyFont="1" applyFill="1" applyBorder="1" applyAlignment="1">
      <alignment horizontal="center" vertical="center"/>
    </xf>
    <xf numFmtId="2" fontId="20" fillId="0" borderId="1" xfId="1" applyNumberFormat="1" applyFont="1" applyFill="1" applyBorder="1" applyAlignment="1">
      <alignment horizontal="center" vertical="center"/>
    </xf>
    <xf numFmtId="2" fontId="0" fillId="0" borderId="0" xfId="0" applyNumberFormat="1"/>
    <xf numFmtId="1" fontId="14" fillId="5" borderId="44" xfId="1" applyNumberFormat="1" applyFont="1" applyFill="1" applyBorder="1" applyAlignment="1">
      <alignment horizontal="center" vertical="center"/>
    </xf>
    <xf numFmtId="1" fontId="14" fillId="5" borderId="45" xfId="1" applyNumberFormat="1" applyFont="1" applyFill="1" applyBorder="1" applyAlignment="1">
      <alignment horizontal="center" vertical="center"/>
    </xf>
    <xf numFmtId="1" fontId="14" fillId="5" borderId="23" xfId="1" applyNumberFormat="1" applyFont="1" applyFill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" xfId="0" applyNumberFormat="1" applyFont="1" applyBorder="1" applyAlignment="1">
      <alignment horizontal="center" vertical="center"/>
    </xf>
    <xf numFmtId="17" fontId="14" fillId="0" borderId="31" xfId="0" applyNumberFormat="1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30" xfId="0" applyFont="1" applyBorder="1" applyAlignment="1">
      <alignment horizontal="right"/>
    </xf>
    <xf numFmtId="0" fontId="14" fillId="0" borderId="30" xfId="0" applyFont="1" applyBorder="1" applyAlignment="1">
      <alignment horizontal="left" vertical="center"/>
    </xf>
    <xf numFmtId="0" fontId="14" fillId="0" borderId="21" xfId="0" applyFont="1" applyBorder="1" applyAlignment="1">
      <alignment horizontal="right"/>
    </xf>
    <xf numFmtId="0" fontId="14" fillId="0" borderId="20" xfId="0" applyFont="1" applyBorder="1" applyAlignment="1">
      <alignment horizontal="right"/>
    </xf>
    <xf numFmtId="0" fontId="14" fillId="0" borderId="21" xfId="0" applyFont="1" applyBorder="1" applyAlignment="1">
      <alignment horizontal="left" vertical="center"/>
    </xf>
    <xf numFmtId="0" fontId="14" fillId="0" borderId="20" xfId="0" applyFont="1" applyBorder="1" applyAlignment="1">
      <alignment horizontal="left" vertical="center"/>
    </xf>
    <xf numFmtId="0" fontId="14" fillId="0" borderId="18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/>
    </xf>
    <xf numFmtId="192" fontId="0" fillId="0" borderId="0" xfId="0" applyNumberFormat="1"/>
    <xf numFmtId="2" fontId="18" fillId="8" borderId="5" xfId="0" applyNumberFormat="1" applyFont="1" applyFill="1" applyBorder="1"/>
    <xf numFmtId="2" fontId="18" fillId="8" borderId="34" xfId="0" applyNumberFormat="1" applyFont="1" applyFill="1" applyBorder="1"/>
    <xf numFmtId="2" fontId="18" fillId="8" borderId="33" xfId="0" applyNumberFormat="1" applyFont="1" applyFill="1" applyBorder="1"/>
    <xf numFmtId="2" fontId="18" fillId="0" borderId="5" xfId="0" applyNumberFormat="1" applyFont="1" applyBorder="1"/>
    <xf numFmtId="2" fontId="18" fillId="0" borderId="34" xfId="0" applyNumberFormat="1" applyFont="1" applyBorder="1"/>
    <xf numFmtId="2" fontId="18" fillId="0" borderId="6" xfId="0" applyNumberFormat="1" applyFont="1" applyBorder="1"/>
    <xf numFmtId="2" fontId="18" fillId="0" borderId="33" xfId="0" applyNumberFormat="1" applyFont="1" applyBorder="1"/>
    <xf numFmtId="2" fontId="18" fillId="9" borderId="34" xfId="0" applyNumberFormat="1" applyFont="1" applyFill="1" applyBorder="1"/>
    <xf numFmtId="2" fontId="18" fillId="9" borderId="5" xfId="0" applyNumberFormat="1" applyFont="1" applyFill="1" applyBorder="1"/>
    <xf numFmtId="2" fontId="18" fillId="8" borderId="49" xfId="1" applyNumberFormat="1" applyFont="1" applyFill="1" applyBorder="1"/>
    <xf numFmtId="2" fontId="18" fillId="0" borderId="49" xfId="1" applyNumberFormat="1" applyFont="1" applyBorder="1"/>
    <xf numFmtId="2" fontId="18" fillId="0" borderId="50" xfId="0" applyNumberFormat="1" applyFont="1" applyBorder="1"/>
    <xf numFmtId="2" fontId="18" fillId="8" borderId="51" xfId="0" applyNumberFormat="1" applyFont="1" applyFill="1" applyBorder="1" applyAlignment="1">
      <alignment horizontal="center" vertical="center"/>
    </xf>
    <xf numFmtId="2" fontId="18" fillId="8" borderId="52" xfId="0" applyNumberFormat="1" applyFont="1" applyFill="1" applyBorder="1" applyAlignment="1">
      <alignment horizontal="center" vertical="center"/>
    </xf>
    <xf numFmtId="2" fontId="20" fillId="0" borderId="51" xfId="1" applyNumberFormat="1" applyFont="1" applyFill="1" applyBorder="1" applyAlignment="1">
      <alignment horizontal="center" vertical="center"/>
    </xf>
    <xf numFmtId="2" fontId="18" fillId="0" borderId="52" xfId="0" applyNumberFormat="1" applyFont="1" applyBorder="1" applyAlignment="1">
      <alignment horizontal="center" vertical="center"/>
    </xf>
    <xf numFmtId="2" fontId="18" fillId="7" borderId="51" xfId="0" applyNumberFormat="1" applyFont="1" applyFill="1" applyBorder="1" applyAlignment="1">
      <alignment horizontal="center" vertical="center"/>
    </xf>
    <xf numFmtId="0" fontId="18" fillId="7" borderId="52" xfId="0" applyFont="1" applyFill="1" applyBorder="1" applyAlignment="1">
      <alignment horizontal="center" vertical="center"/>
    </xf>
    <xf numFmtId="2" fontId="20" fillId="7" borderId="51" xfId="1" applyNumberFormat="1" applyFont="1" applyFill="1" applyBorder="1" applyAlignment="1">
      <alignment horizontal="center" vertical="center"/>
    </xf>
    <xf numFmtId="189" fontId="18" fillId="0" borderId="53" xfId="0" applyNumberFormat="1" applyFont="1" applyBorder="1" applyAlignment="1">
      <alignment horizontal="center" vertical="center"/>
    </xf>
    <xf numFmtId="189" fontId="18" fillId="0" borderId="0" xfId="0" applyNumberFormat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2" fontId="18" fillId="0" borderId="53" xfId="0" applyNumberFormat="1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43" fontId="18" fillId="0" borderId="55" xfId="1" applyFont="1" applyBorder="1" applyAlignment="1">
      <alignment horizontal="center" vertical="center"/>
    </xf>
    <xf numFmtId="10" fontId="18" fillId="8" borderId="42" xfId="1" applyNumberFormat="1" applyFont="1" applyFill="1" applyBorder="1" applyAlignment="1">
      <alignment horizontal="center" vertical="center"/>
    </xf>
    <xf numFmtId="10" fontId="18" fillId="0" borderId="42" xfId="1" applyNumberFormat="1" applyFont="1" applyBorder="1" applyAlignment="1">
      <alignment horizontal="center" vertical="center"/>
    </xf>
    <xf numFmtId="10" fontId="18" fillId="8" borderId="11" xfId="1" applyNumberFormat="1" applyFont="1" applyFill="1" applyBorder="1" applyAlignment="1">
      <alignment horizontal="center" vertical="center"/>
    </xf>
    <xf numFmtId="10" fontId="18" fillId="0" borderId="11" xfId="1" applyNumberFormat="1" applyFont="1" applyBorder="1" applyAlignment="1">
      <alignment horizontal="center" vertical="center"/>
    </xf>
    <xf numFmtId="10" fontId="18" fillId="7" borderId="11" xfId="1" applyNumberFormat="1" applyFont="1" applyFill="1" applyBorder="1" applyAlignment="1">
      <alignment horizontal="center" vertical="center"/>
    </xf>
    <xf numFmtId="2" fontId="18" fillId="8" borderId="57" xfId="1" applyNumberFormat="1" applyFont="1" applyFill="1" applyBorder="1"/>
    <xf numFmtId="2" fontId="18" fillId="0" borderId="57" xfId="1" applyNumberFormat="1" applyFont="1" applyBorder="1"/>
    <xf numFmtId="2" fontId="18" fillId="8" borderId="58" xfId="1" applyNumberFormat="1" applyFont="1" applyFill="1" applyBorder="1" applyAlignment="1">
      <alignment horizontal="center"/>
    </xf>
    <xf numFmtId="2" fontId="18" fillId="0" borderId="58" xfId="1" applyNumberFormat="1" applyFont="1" applyFill="1" applyBorder="1" applyAlignment="1">
      <alignment horizontal="center"/>
    </xf>
    <xf numFmtId="2" fontId="18" fillId="7" borderId="58" xfId="1" applyNumberFormat="1" applyFont="1" applyFill="1" applyBorder="1" applyAlignment="1">
      <alignment horizontal="center"/>
    </xf>
    <xf numFmtId="2" fontId="18" fillId="8" borderId="50" xfId="0" applyNumberFormat="1" applyFont="1" applyFill="1" applyBorder="1"/>
    <xf numFmtId="0" fontId="18" fillId="10" borderId="56" xfId="0" applyFont="1" applyFill="1" applyBorder="1" applyAlignment="1">
      <alignment horizontal="center" vertical="center"/>
    </xf>
    <xf numFmtId="192" fontId="23" fillId="10" borderId="59" xfId="0" applyNumberFormat="1" applyFont="1" applyFill="1" applyBorder="1" applyAlignment="1">
      <alignment horizontal="center" vertical="center"/>
    </xf>
    <xf numFmtId="192" fontId="23" fillId="10" borderId="60" xfId="0" applyNumberFormat="1" applyFont="1" applyFill="1" applyBorder="1" applyAlignment="1">
      <alignment horizontal="center" vertical="center"/>
    </xf>
    <xf numFmtId="192" fontId="23" fillId="10" borderId="61" xfId="0" applyNumberFormat="1" applyFont="1" applyFill="1" applyBorder="1" applyAlignment="1">
      <alignment horizontal="center" vertical="center"/>
    </xf>
  </cellXfs>
  <cellStyles count="81">
    <cellStyle name="Comma" xfId="1" builtinId="3"/>
    <cellStyle name="Comma 11 5" xfId="6" xr:uid="{29607972-5E19-490E-A785-950FFB4B3C93}"/>
    <cellStyle name="Comma 11 5 2" xfId="14" xr:uid="{78642E93-4EF3-41B5-9D2F-A314C33593B0}"/>
    <cellStyle name="Comma 12 2" xfId="75" xr:uid="{C58AE31B-AC65-4B05-B152-853CA7AF60D1}"/>
    <cellStyle name="Comma 13 2_Back Up บันได Precast(ST-1,ST-2)" xfId="7" xr:uid="{F3C33BBC-EF76-4F6E-9CE9-15DAA342D64E}"/>
    <cellStyle name="Comma 2" xfId="13" xr:uid="{41B15798-7ED5-4648-866A-5E9B2E4B0D56}"/>
    <cellStyle name="Comma 2 2" xfId="23" xr:uid="{D00821A2-1F0D-4883-9530-2A5F0FF544AC}"/>
    <cellStyle name="Comma 2 2 2" xfId="32" xr:uid="{322BA411-812B-4321-9491-A184CED58AB7}"/>
    <cellStyle name="Comma 2 2 2 2" xfId="40" xr:uid="{01E052BA-0447-4CA1-BEA7-DDCE5C7895D9}"/>
    <cellStyle name="Comma 2 2 3" xfId="38" xr:uid="{15B12C59-035E-49EF-BB8B-F7ED3EE9B60F}"/>
    <cellStyle name="Comma 2 2 4" xfId="73" xr:uid="{43F00758-39B4-4010-A1AA-1AE00397BC41}"/>
    <cellStyle name="Comma 2 3" xfId="49" xr:uid="{35654526-7481-4166-9FFE-DDC866BE437F}"/>
    <cellStyle name="Comma 2 3 5" xfId="28" xr:uid="{5C46A67A-F378-4CA4-B49F-028358DB018D}"/>
    <cellStyle name="Comma 24 6" xfId="50" xr:uid="{B5E65F9A-6FA1-43D9-9BF9-E83A10A10339}"/>
    <cellStyle name="Comma 3" xfId="18" xr:uid="{76946136-280F-4BF1-B3A2-5F7AD2475060}"/>
    <cellStyle name="Comma 3 12" xfId="24" xr:uid="{9040A64F-8492-4CCB-9B57-3D1BB8983786}"/>
    <cellStyle name="Comma 3 2" xfId="46" xr:uid="{A1BCADB9-8FD4-4A80-87F4-D0B427442CCA}"/>
    <cellStyle name="Comma 3 2 2" xfId="52" xr:uid="{3ED9223F-C852-4EE5-86EE-05E4D8294002}"/>
    <cellStyle name="Comma 3 3 7" xfId="78" xr:uid="{27A05B96-408A-4199-88B5-2B9885828FB9}"/>
    <cellStyle name="Comma 4" xfId="20" xr:uid="{8E9E1337-B763-469A-A7C6-720195C71677}"/>
    <cellStyle name="Comma 4 2" xfId="4" xr:uid="{00000000-0005-0000-0000-000001000000}"/>
    <cellStyle name="Comma 4 2 2" xfId="51" xr:uid="{69A798D7-C3DF-4916-B426-AB96CDD53F66}"/>
    <cellStyle name="Comma 4 2 3" xfId="31" xr:uid="{B00C15BA-E5D5-4508-ADCE-070BC2B7988C}"/>
    <cellStyle name="Comma 4 3" xfId="37" xr:uid="{E5FA0B71-2995-4545-8535-127340AFCD13}"/>
    <cellStyle name="Comma 5" xfId="43" xr:uid="{CDF9074F-216C-44CB-841D-3C6D14029E7B}"/>
    <cellStyle name="Comma 5 2 2 3" xfId="59" xr:uid="{DD83D5CD-738C-4172-BC03-E546FFCA3940}"/>
    <cellStyle name="Comma 6" xfId="12" xr:uid="{3461BD34-5280-4EF9-9765-28AFEBBD2B30}"/>
    <cellStyle name="Comma 6 2" xfId="15" xr:uid="{18DD3E1F-0A14-42A7-B003-98F064582C32}"/>
    <cellStyle name="Comma 6 3 2" xfId="60" xr:uid="{EF93B8A1-5678-4234-B148-5C60C8645AA4}"/>
    <cellStyle name="Comma 8" xfId="67" xr:uid="{F4495C5E-7709-4B2D-917F-425340950B89}"/>
    <cellStyle name="Comma 9 2" xfId="68" xr:uid="{C235EB36-324D-465B-8F9B-E17B6269F317}"/>
    <cellStyle name="Normal" xfId="0" builtinId="0"/>
    <cellStyle name="Normal 10 2" xfId="9" xr:uid="{68BDD36D-DC75-4E64-AA62-CF4FC7725594}"/>
    <cellStyle name="Normal 11 2 2 2" xfId="79" xr:uid="{DBD8F61F-E1B9-4A63-9C94-2A3E19022730}"/>
    <cellStyle name="Normal 2" xfId="8" xr:uid="{E0D456CE-9955-4589-9AF7-14A9E1A1C9FB}"/>
    <cellStyle name="Normal 2 2" xfId="26" xr:uid="{091784F7-9B91-4464-9326-095D646B1C08}"/>
    <cellStyle name="Normal 2 2 2" xfId="72" xr:uid="{D83279B5-5E1D-40A6-8A82-AE79D0CC6C1D}"/>
    <cellStyle name="Normal 2 2 2 2" xfId="76" xr:uid="{CA42EFC7-4AF2-4315-817A-A870C5BCF77C}"/>
    <cellStyle name="Normal 2 3" xfId="34" xr:uid="{60A95A67-38B4-4DDB-A56C-085ACCC6403A}"/>
    <cellStyle name="Normal 2 4" xfId="48" xr:uid="{EE0F712B-0B83-4CEB-B04D-187857370A30}"/>
    <cellStyle name="Normal 2 4 2" xfId="65" xr:uid="{909BBCB9-9185-4E8F-BEC9-CB1EB1443EFA}"/>
    <cellStyle name="Normal 2 5 3" xfId="63" xr:uid="{F4CFC6BE-A651-494A-A7A1-1FA2DDAB6882}"/>
    <cellStyle name="Normal 3" xfId="16" xr:uid="{313FA739-B92B-4FE6-9AAB-5D2A9BBA141F}"/>
    <cellStyle name="Normal 3 2" xfId="11" xr:uid="{2B2E923E-8A98-4B6F-86B6-1C1505874EF6}"/>
    <cellStyle name="Normal 3 2 2" xfId="25" xr:uid="{3D9ADB8A-7BEE-4460-98B5-3F720B799084}"/>
    <cellStyle name="Normal 3 2 3" xfId="47" xr:uid="{F78A2A0E-A5CA-49EF-B3AB-AA4CC9E3BF9C}"/>
    <cellStyle name="Normal 3 3" xfId="33" xr:uid="{F2E482AA-7CE5-4FB2-8DD0-FC0AA77DA9B5}"/>
    <cellStyle name="Normal 3 4" xfId="77" xr:uid="{113F65BE-5A97-4E8B-870E-EE1CD9661FD0}"/>
    <cellStyle name="Normal 4" xfId="17" xr:uid="{281276A6-85B1-40AD-8C6F-EDAF39683613}"/>
    <cellStyle name="Normal 4 2" xfId="44" xr:uid="{FF3BAE86-7101-4D99-A756-C01F2DB2DF2E}"/>
    <cellStyle name="Normal 4 2 2" xfId="55" xr:uid="{DE4769F1-EFBA-477C-A48E-6632CABAF216}"/>
    <cellStyle name="Normal 4 2 2 2 2" xfId="62" xr:uid="{B2885E3F-0774-495B-B4A3-570711A20CC2}"/>
    <cellStyle name="Normal 4 2 3" xfId="57" xr:uid="{2CA65B6C-6C73-41B5-8C8F-28E04016010C}"/>
    <cellStyle name="Normal 4 9" xfId="64" xr:uid="{0C71A436-BF1A-44B7-935C-4D2CC91E3265}"/>
    <cellStyle name="Normal 5" xfId="19" xr:uid="{4C7B6195-FE8D-49AD-B28D-78872701CBAD}"/>
    <cellStyle name="Normal 5 2" xfId="30" xr:uid="{5BE847A5-0133-4585-81A9-B39F175921A9}"/>
    <cellStyle name="Normal 5 2 2" xfId="39" xr:uid="{30763029-0804-4232-AE6C-15F5773ABE84}"/>
    <cellStyle name="Normal 5 3" xfId="36" xr:uid="{DEA67B08-82D8-4E50-A2EE-FA81B3BCFCF3}"/>
    <cellStyle name="Normal 5 4" xfId="45" xr:uid="{60A9439D-E5BD-49BF-B0B5-A347E6357961}"/>
    <cellStyle name="Normal 5 5" xfId="58" xr:uid="{8BEDFD7B-E078-407B-8524-45506889BEDC}"/>
    <cellStyle name="Normal 6" xfId="3" xr:uid="{00000000-0005-0000-0000-000003000000}"/>
    <cellStyle name="Normal 6 2" xfId="41" xr:uid="{B4396A02-35D8-450F-8C1E-C22264569BEC}"/>
    <cellStyle name="Normal 6 3" xfId="29" xr:uid="{161BF990-A3F3-4A29-A999-162BE6AAF030}"/>
    <cellStyle name="Normal 7" xfId="42" xr:uid="{9EFEC7AE-93B5-4B2C-BB44-91D8DB844FD2}"/>
    <cellStyle name="Normal 7 2" xfId="66" xr:uid="{D08D7461-AE14-4F52-B2C4-0F6FFB487D36}"/>
    <cellStyle name="Normal 8" xfId="74" xr:uid="{A208A34C-9E97-42F5-B4D2-A3CBF7F567F0}"/>
    <cellStyle name="Percent" xfId="2" builtinId="5"/>
    <cellStyle name="Percent 10 2" xfId="10" xr:uid="{42B568CA-F514-4CE0-8141-C8E7F8F5C5F9}"/>
    <cellStyle name="Percent 10 2 2" xfId="27" xr:uid="{C93F406D-32E5-40AC-B1A9-EB67D15A7AC5}"/>
    <cellStyle name="Percent 2" xfId="21" xr:uid="{45A798E0-899E-47DA-BF6C-FA4A33BF98E9}"/>
    <cellStyle name="Percent 2 2" xfId="35" xr:uid="{EA041E8D-313A-42F7-81EA-86B6E346B8FD}"/>
    <cellStyle name="Percent 2 3" xfId="53" xr:uid="{B0407DAF-3E1D-4D0D-B44D-E7D3F812CB84}"/>
    <cellStyle name="Percent 3" xfId="54" xr:uid="{4BF0DE7E-4E35-4519-B944-77E8A3C7C3C6}"/>
    <cellStyle name="Percent 3 2" xfId="69" xr:uid="{82DF4419-46C1-479D-9B61-D7787C52F24C}"/>
    <cellStyle name="เครื่องหมายจุลภาค 2 2" xfId="70" xr:uid="{DC3FC42A-5723-4A8D-BB91-EACA2B1020B4}"/>
    <cellStyle name="จุลภาค 2" xfId="80" xr:uid="{FDBBB5C4-7762-40E8-91DB-13ECA6369813}"/>
    <cellStyle name="ปกติ 2" xfId="61" xr:uid="{366DABED-AB0A-4507-8EF6-53590C14C7B6}"/>
    <cellStyle name="ปกติ 2 10 4" xfId="71" xr:uid="{F58CA250-4318-46D9-AABC-E6314E1E253B}"/>
    <cellStyle name="ปกติ 2 2 2" xfId="22" xr:uid="{365940D0-1C86-4AB6-9686-D3D899DC22ED}"/>
    <cellStyle name="ปกติ 3" xfId="5" xr:uid="{D4DCE116-36BC-4984-A2F9-568B5671F245}"/>
    <cellStyle name="ปกติ 4" xfId="56" xr:uid="{0B9351C1-A084-46F5-9688-91CF1F5712AB}"/>
  </cellStyles>
  <dxfs count="99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numFmt numFmtId="35" formatCode="_-* #,##0.00_-;\-* #,##0.00_-;_-* &quot;-&quot;??_-;_-@_-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ordia New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ordia New"/>
        <family val="2"/>
        <scheme val="none"/>
      </font>
      <alignment horizontal="center" vertical="center" textRotation="0" wrapText="0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70C0"/>
      <color rgb="FFE8F9A9"/>
      <color rgb="FF66FFCC"/>
      <color rgb="FFFFFFCC"/>
      <color rgb="FF00E266"/>
      <color rgb="FF99FFCC"/>
      <color rgb="FFFFC000"/>
      <color rgb="FFFFCCCC"/>
      <color rgb="FFD1FFD1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Man Power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2.664786135667177E-2"/>
          <c:y val="0.17171296296296296"/>
          <c:w val="0.95075041436204111"/>
          <c:h val="0.572030696548474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man_power!$F$101:$BQ$101</c:f>
              <c:numCache>
                <c:formatCode>_-* #,##0_-;\-* #,##0_-;_-* "-"??_-;_-@_-</c:formatCode>
                <c:ptCount val="64"/>
                <c:pt idx="0">
                  <c:v>20</c:v>
                </c:pt>
                <c:pt idx="1">
                  <c:v>20</c:v>
                </c:pt>
                <c:pt idx="2">
                  <c:v>20.25</c:v>
                </c:pt>
                <c:pt idx="3">
                  <c:v>20.25</c:v>
                </c:pt>
                <c:pt idx="4">
                  <c:v>20.25</c:v>
                </c:pt>
                <c:pt idx="5">
                  <c:v>20.25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37</c:v>
                </c:pt>
                <c:pt idx="17">
                  <c:v>37</c:v>
                </c:pt>
                <c:pt idx="18">
                  <c:v>37</c:v>
                </c:pt>
                <c:pt idx="19">
                  <c:v>0</c:v>
                </c:pt>
                <c:pt idx="20">
                  <c:v>12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34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42</c:v>
                </c:pt>
                <c:pt idx="29">
                  <c:v>42</c:v>
                </c:pt>
                <c:pt idx="30">
                  <c:v>42</c:v>
                </c:pt>
                <c:pt idx="31">
                  <c:v>35</c:v>
                </c:pt>
                <c:pt idx="32">
                  <c:v>20</c:v>
                </c:pt>
                <c:pt idx="33">
                  <c:v>0</c:v>
                </c:pt>
                <c:pt idx="34">
                  <c:v>85</c:v>
                </c:pt>
                <c:pt idx="35">
                  <c:v>85</c:v>
                </c:pt>
                <c:pt idx="36">
                  <c:v>110</c:v>
                </c:pt>
                <c:pt idx="37">
                  <c:v>117</c:v>
                </c:pt>
                <c:pt idx="38">
                  <c:v>132</c:v>
                </c:pt>
                <c:pt idx="39">
                  <c:v>132</c:v>
                </c:pt>
                <c:pt idx="40">
                  <c:v>162</c:v>
                </c:pt>
                <c:pt idx="41">
                  <c:v>162</c:v>
                </c:pt>
                <c:pt idx="42">
                  <c:v>172</c:v>
                </c:pt>
                <c:pt idx="43">
                  <c:v>180</c:v>
                </c:pt>
                <c:pt idx="44">
                  <c:v>148</c:v>
                </c:pt>
                <c:pt idx="45">
                  <c:v>148</c:v>
                </c:pt>
                <c:pt idx="46">
                  <c:v>155.19999999999999</c:v>
                </c:pt>
                <c:pt idx="47">
                  <c:v>155.19999999999999</c:v>
                </c:pt>
                <c:pt idx="48">
                  <c:v>152.19999999999999</c:v>
                </c:pt>
                <c:pt idx="49">
                  <c:v>162.19999999999999</c:v>
                </c:pt>
                <c:pt idx="50">
                  <c:v>132.19999999999999</c:v>
                </c:pt>
                <c:pt idx="51">
                  <c:v>132</c:v>
                </c:pt>
                <c:pt idx="52">
                  <c:v>102</c:v>
                </c:pt>
                <c:pt idx="53">
                  <c:v>80</c:v>
                </c:pt>
                <c:pt idx="54">
                  <c:v>72</c:v>
                </c:pt>
                <c:pt idx="55">
                  <c:v>55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4-44AF-93D6-BFCD9E96C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537487"/>
        <c:axId val="1456479103"/>
      </c:barChart>
      <c:catAx>
        <c:axId val="19925374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456479103"/>
        <c:crosses val="autoZero"/>
        <c:auto val="1"/>
        <c:lblAlgn val="ctr"/>
        <c:lblOffset val="100"/>
        <c:noMultiLvlLbl val="0"/>
      </c:catAx>
      <c:valAx>
        <c:axId val="145647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92537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6803</xdr:colOff>
      <xdr:row>103</xdr:row>
      <xdr:rowOff>19728</xdr:rowOff>
    </xdr:from>
    <xdr:to>
      <xdr:col>70</xdr:col>
      <xdr:colOff>0</xdr:colOff>
      <xdr:row>112</xdr:row>
      <xdr:rowOff>20411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92027-761D-6B65-6C82-9C2296B82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430999-5F11-40F8-A2F1-EA3ADE09391C}" name="SCH" displayName="SCH" ref="A1:G99" totalsRowShown="0" headerRowDxfId="94" headerRowBorderDxfId="92" tableBorderDxfId="93">
  <autoFilter ref="A1:G99" xr:uid="{79430999-5F11-40F8-A2F1-EA3ADE09391C}"/>
  <tableColumns count="7">
    <tableColumn id="1" xr3:uid="{E4BADB19-6C05-462D-90CC-6A503F40C198}" name="WBS" dataDxfId="91"/>
    <tableColumn id="2" xr3:uid="{39584740-EA0B-4781-9C6C-7320C3A74424}" name="Activities" dataDxfId="90" dataCellStyle="Normal 6"/>
    <tableColumn id="3" xr3:uid="{D728D376-086F-4346-AE53-6789075443E2}" name="Amount(THB)" dataDxfId="89"/>
    <tableColumn id="4" xr3:uid="{13108CB2-67A6-4615-AAE2-BD59329C0B56}" name="%W" dataDxfId="88" dataCellStyle="Percent"/>
    <tableColumn id="5" xr3:uid="{C785AF79-BAB1-49A6-8018-B1302FC43742}" name="DataType" dataDxfId="87" dataCellStyle="Percent"/>
    <tableColumn id="6" xr3:uid="{6A877CEA-47C3-46A1-9C1B-FDBFD641EB00}" name="Progress" dataDxfId="86" dataCellStyle="Comma"/>
    <tableColumn id="7" xr3:uid="{3FE02BF8-E019-439E-810A-6411464B820C}" name="%Progress" dataDxfId="85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5E44-1940-4B6D-A2D6-762CC9198E03}">
  <sheetPr>
    <tabColor rgb="FFFF99FF"/>
    <pageSetUpPr fitToPage="1"/>
  </sheetPr>
  <dimension ref="A1:CF102"/>
  <sheetViews>
    <sheetView zoomScale="55" zoomScaleNormal="55" zoomScaleSheetLayoutView="50" workbookViewId="0">
      <selection activeCell="CG2" sqref="CG2"/>
    </sheetView>
  </sheetViews>
  <sheetFormatPr defaultColWidth="8.85546875" defaultRowHeight="27.75"/>
  <cols>
    <col min="1" max="1" width="11.140625" style="104" customWidth="1"/>
    <col min="2" max="2" width="33.85546875" style="105" customWidth="1"/>
    <col min="3" max="3" width="22.140625" style="106" customWidth="1"/>
    <col min="4" max="4" width="11.42578125" style="106" customWidth="1"/>
    <col min="5" max="5" width="13.42578125" style="106" customWidth="1"/>
    <col min="6" max="6" width="23.140625" style="107" customWidth="1"/>
    <col min="7" max="7" width="16.28515625" style="107" bestFit="1" customWidth="1"/>
    <col min="8" max="8" width="8.140625" style="234" bestFit="1" customWidth="1"/>
    <col min="9" max="62" width="8.140625" style="231" bestFit="1" customWidth="1"/>
    <col min="63" max="63" width="8.28515625" style="231" bestFit="1" customWidth="1"/>
    <col min="64" max="68" width="8.140625" style="231" bestFit="1" customWidth="1"/>
    <col min="69" max="82" width="8.28515625" style="231" bestFit="1" customWidth="1"/>
    <col min="83" max="83" width="8.28515625" style="232" bestFit="1" customWidth="1"/>
    <col min="84" max="84" width="24" style="104" bestFit="1" customWidth="1"/>
    <col min="85" max="16384" width="8.85546875" style="104"/>
  </cols>
  <sheetData>
    <row r="1" spans="1:84" ht="62.25" customHeight="1">
      <c r="A1" s="166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42" t="s">
        <v>5</v>
      </c>
      <c r="G1" s="235" t="s">
        <v>6</v>
      </c>
      <c r="H1" s="248">
        <v>46060</v>
      </c>
      <c r="I1" s="249">
        <f>H1+7</f>
        <v>46067</v>
      </c>
      <c r="J1" s="249">
        <f t="shared" ref="J1:BU1" si="0">I1+7</f>
        <v>46074</v>
      </c>
      <c r="K1" s="250">
        <f t="shared" si="0"/>
        <v>46081</v>
      </c>
      <c r="L1" s="248">
        <f t="shared" si="0"/>
        <v>46088</v>
      </c>
      <c r="M1" s="249">
        <f t="shared" si="0"/>
        <v>46095</v>
      </c>
      <c r="N1" s="249">
        <f t="shared" si="0"/>
        <v>46102</v>
      </c>
      <c r="O1" s="250">
        <f t="shared" si="0"/>
        <v>46109</v>
      </c>
      <c r="P1" s="248">
        <f t="shared" si="0"/>
        <v>46116</v>
      </c>
      <c r="Q1" s="249">
        <f t="shared" si="0"/>
        <v>46123</v>
      </c>
      <c r="R1" s="249">
        <f t="shared" si="0"/>
        <v>46130</v>
      </c>
      <c r="S1" s="250">
        <f t="shared" si="0"/>
        <v>46137</v>
      </c>
      <c r="T1" s="248">
        <f t="shared" si="0"/>
        <v>46144</v>
      </c>
      <c r="U1" s="249">
        <f t="shared" si="0"/>
        <v>46151</v>
      </c>
      <c r="V1" s="249">
        <f t="shared" si="0"/>
        <v>46158</v>
      </c>
      <c r="W1" s="250">
        <f t="shared" si="0"/>
        <v>46165</v>
      </c>
      <c r="X1" s="248">
        <f t="shared" si="0"/>
        <v>46172</v>
      </c>
      <c r="Y1" s="249">
        <f t="shared" si="0"/>
        <v>46179</v>
      </c>
      <c r="Z1" s="249">
        <f t="shared" si="0"/>
        <v>46186</v>
      </c>
      <c r="AA1" s="250">
        <f t="shared" si="0"/>
        <v>46193</v>
      </c>
      <c r="AB1" s="248">
        <f t="shared" si="0"/>
        <v>46200</v>
      </c>
      <c r="AC1" s="249">
        <f t="shared" si="0"/>
        <v>46207</v>
      </c>
      <c r="AD1" s="249">
        <f t="shared" si="0"/>
        <v>46214</v>
      </c>
      <c r="AE1" s="250">
        <f t="shared" si="0"/>
        <v>46221</v>
      </c>
      <c r="AF1" s="248">
        <f t="shared" si="0"/>
        <v>46228</v>
      </c>
      <c r="AG1" s="249">
        <f t="shared" si="0"/>
        <v>46235</v>
      </c>
      <c r="AH1" s="249">
        <f t="shared" si="0"/>
        <v>46242</v>
      </c>
      <c r="AI1" s="250">
        <f t="shared" si="0"/>
        <v>46249</v>
      </c>
      <c r="AJ1" s="248">
        <f t="shared" si="0"/>
        <v>46256</v>
      </c>
      <c r="AK1" s="249">
        <f t="shared" si="0"/>
        <v>46263</v>
      </c>
      <c r="AL1" s="249">
        <f t="shared" si="0"/>
        <v>46270</v>
      </c>
      <c r="AM1" s="250">
        <f t="shared" si="0"/>
        <v>46277</v>
      </c>
      <c r="AN1" s="248">
        <f t="shared" si="0"/>
        <v>46284</v>
      </c>
      <c r="AO1" s="249">
        <f t="shared" si="0"/>
        <v>46291</v>
      </c>
      <c r="AP1" s="249">
        <f t="shared" si="0"/>
        <v>46298</v>
      </c>
      <c r="AQ1" s="250">
        <f t="shared" si="0"/>
        <v>46305</v>
      </c>
      <c r="AR1" s="248">
        <f t="shared" si="0"/>
        <v>46312</v>
      </c>
      <c r="AS1" s="249">
        <f t="shared" si="0"/>
        <v>46319</v>
      </c>
      <c r="AT1" s="249">
        <f t="shared" si="0"/>
        <v>46326</v>
      </c>
      <c r="AU1" s="250">
        <f t="shared" si="0"/>
        <v>46333</v>
      </c>
      <c r="AV1" s="248">
        <f t="shared" si="0"/>
        <v>46340</v>
      </c>
      <c r="AW1" s="249">
        <f t="shared" si="0"/>
        <v>46347</v>
      </c>
      <c r="AX1" s="249">
        <f t="shared" si="0"/>
        <v>46354</v>
      </c>
      <c r="AY1" s="250">
        <f t="shared" si="0"/>
        <v>46361</v>
      </c>
      <c r="AZ1" s="248">
        <f t="shared" si="0"/>
        <v>46368</v>
      </c>
      <c r="BA1" s="249">
        <f t="shared" si="0"/>
        <v>46375</v>
      </c>
      <c r="BB1" s="249">
        <f t="shared" si="0"/>
        <v>46382</v>
      </c>
      <c r="BC1" s="250">
        <f t="shared" si="0"/>
        <v>46389</v>
      </c>
      <c r="BD1" s="248">
        <f t="shared" si="0"/>
        <v>46396</v>
      </c>
      <c r="BE1" s="249">
        <f t="shared" si="0"/>
        <v>46403</v>
      </c>
      <c r="BF1" s="249">
        <f t="shared" si="0"/>
        <v>46410</v>
      </c>
      <c r="BG1" s="250">
        <f t="shared" si="0"/>
        <v>46417</v>
      </c>
      <c r="BH1" s="248">
        <f t="shared" si="0"/>
        <v>46424</v>
      </c>
      <c r="BI1" s="249">
        <f t="shared" si="0"/>
        <v>46431</v>
      </c>
      <c r="BJ1" s="249">
        <f t="shared" si="0"/>
        <v>46438</v>
      </c>
      <c r="BK1" s="250">
        <f t="shared" si="0"/>
        <v>46445</v>
      </c>
      <c r="BL1" s="248">
        <f t="shared" si="0"/>
        <v>46452</v>
      </c>
      <c r="BM1" s="249">
        <f t="shared" si="0"/>
        <v>46459</v>
      </c>
      <c r="BN1" s="249">
        <f t="shared" si="0"/>
        <v>46466</v>
      </c>
      <c r="BO1" s="250">
        <f t="shared" si="0"/>
        <v>46473</v>
      </c>
      <c r="BP1" s="248">
        <f t="shared" si="0"/>
        <v>46480</v>
      </c>
      <c r="BQ1" s="249">
        <f t="shared" si="0"/>
        <v>46487</v>
      </c>
      <c r="BR1" s="249">
        <f t="shared" si="0"/>
        <v>46494</v>
      </c>
      <c r="BS1" s="250">
        <f t="shared" si="0"/>
        <v>46501</v>
      </c>
      <c r="BT1" s="248">
        <f t="shared" si="0"/>
        <v>46508</v>
      </c>
      <c r="BU1" s="249">
        <f t="shared" si="0"/>
        <v>46515</v>
      </c>
      <c r="BV1" s="249">
        <f t="shared" ref="BV1:CE1" si="1">BU1+7</f>
        <v>46522</v>
      </c>
      <c r="BW1" s="250">
        <f t="shared" si="1"/>
        <v>46529</v>
      </c>
      <c r="BX1" s="248">
        <f t="shared" si="1"/>
        <v>46536</v>
      </c>
      <c r="BY1" s="249">
        <f t="shared" si="1"/>
        <v>46543</v>
      </c>
      <c r="BZ1" s="249">
        <f t="shared" si="1"/>
        <v>46550</v>
      </c>
      <c r="CA1" s="250">
        <f t="shared" si="1"/>
        <v>46557</v>
      </c>
      <c r="CB1" s="248">
        <f t="shared" si="1"/>
        <v>46564</v>
      </c>
      <c r="CC1" s="249">
        <f t="shared" si="1"/>
        <v>46571</v>
      </c>
      <c r="CD1" s="249">
        <f t="shared" si="1"/>
        <v>46578</v>
      </c>
      <c r="CE1" s="250">
        <f t="shared" si="1"/>
        <v>46585</v>
      </c>
      <c r="CF1" s="247" t="s">
        <v>7</v>
      </c>
    </row>
    <row r="2" spans="1:84" ht="30" customHeight="1">
      <c r="A2" s="167">
        <v>1</v>
      </c>
      <c r="B2" s="111" t="s">
        <v>8</v>
      </c>
      <c r="C2" s="129"/>
      <c r="D2" s="130"/>
      <c r="E2" s="131"/>
      <c r="F2" s="132"/>
      <c r="G2" s="236"/>
      <c r="H2" s="219"/>
      <c r="I2" s="210"/>
      <c r="J2" s="210"/>
      <c r="K2" s="211"/>
      <c r="L2" s="212"/>
      <c r="M2" s="210"/>
      <c r="N2" s="210"/>
      <c r="O2" s="211"/>
      <c r="P2" s="212"/>
      <c r="Q2" s="210"/>
      <c r="R2" s="210"/>
      <c r="S2" s="211"/>
      <c r="T2" s="212"/>
      <c r="U2" s="210"/>
      <c r="V2" s="210"/>
      <c r="W2" s="211"/>
      <c r="X2" s="212"/>
      <c r="Y2" s="210"/>
      <c r="Z2" s="210"/>
      <c r="AA2" s="217"/>
      <c r="AB2" s="212"/>
      <c r="AC2" s="210"/>
      <c r="AD2" s="210"/>
      <c r="AE2" s="211"/>
      <c r="AF2" s="212"/>
      <c r="AG2" s="210"/>
      <c r="AH2" s="210"/>
      <c r="AI2" s="211"/>
      <c r="AJ2" s="212"/>
      <c r="AK2" s="210"/>
      <c r="AL2" s="210"/>
      <c r="AM2" s="211"/>
      <c r="AN2" s="212"/>
      <c r="AO2" s="218"/>
      <c r="AP2" s="210"/>
      <c r="AQ2" s="211"/>
      <c r="AR2" s="212"/>
      <c r="AS2" s="210"/>
      <c r="AT2" s="210"/>
      <c r="AU2" s="211"/>
      <c r="AV2" s="212"/>
      <c r="AW2" s="210"/>
      <c r="AX2" s="210"/>
      <c r="AY2" s="211"/>
      <c r="AZ2" s="212"/>
      <c r="BA2" s="210"/>
      <c r="BB2" s="210"/>
      <c r="BC2" s="211"/>
      <c r="BD2" s="212"/>
      <c r="BE2" s="210"/>
      <c r="BF2" s="210"/>
      <c r="BG2" s="211"/>
      <c r="BH2" s="212"/>
      <c r="BI2" s="210"/>
      <c r="BJ2" s="210"/>
      <c r="BK2" s="211"/>
      <c r="BL2" s="212"/>
      <c r="BM2" s="210"/>
      <c r="BN2" s="210"/>
      <c r="BO2" s="211"/>
      <c r="BP2" s="212"/>
      <c r="BQ2" s="210"/>
      <c r="BR2" s="210"/>
      <c r="BS2" s="211"/>
      <c r="BT2" s="212"/>
      <c r="BU2" s="210"/>
      <c r="BV2" s="210"/>
      <c r="BW2" s="211"/>
      <c r="BX2" s="212"/>
      <c r="BY2" s="210"/>
      <c r="BZ2" s="210"/>
      <c r="CA2" s="211"/>
      <c r="CB2" s="212"/>
      <c r="CC2" s="210"/>
      <c r="CD2" s="210"/>
      <c r="CE2" s="246"/>
      <c r="CF2" s="241"/>
    </row>
    <row r="3" spans="1:84" ht="30" customHeight="1">
      <c r="A3" s="168"/>
      <c r="B3" s="112"/>
      <c r="C3" s="133"/>
      <c r="D3" s="113"/>
      <c r="E3" s="108"/>
      <c r="F3" s="109"/>
      <c r="G3" s="237"/>
      <c r="H3" s="220"/>
      <c r="I3" s="213"/>
      <c r="J3" s="213"/>
      <c r="K3" s="214"/>
      <c r="L3" s="215"/>
      <c r="M3" s="213"/>
      <c r="N3" s="213"/>
      <c r="O3" s="214"/>
      <c r="P3" s="215"/>
      <c r="Q3" s="213"/>
      <c r="R3" s="213"/>
      <c r="S3" s="214"/>
      <c r="T3" s="216"/>
      <c r="U3" s="213"/>
      <c r="V3" s="213"/>
      <c r="W3" s="214"/>
      <c r="X3" s="216"/>
      <c r="Y3" s="213"/>
      <c r="Z3" s="213"/>
      <c r="AA3" s="217"/>
      <c r="AB3" s="216"/>
      <c r="AC3" s="213"/>
      <c r="AD3" s="213"/>
      <c r="AE3" s="214"/>
      <c r="AF3" s="216"/>
      <c r="AG3" s="213"/>
      <c r="AH3" s="213"/>
      <c r="AI3" s="214"/>
      <c r="AJ3" s="216"/>
      <c r="AK3" s="213"/>
      <c r="AL3" s="213"/>
      <c r="AM3" s="214"/>
      <c r="AN3" s="216"/>
      <c r="AO3" s="218"/>
      <c r="AP3" s="213"/>
      <c r="AQ3" s="214"/>
      <c r="AR3" s="216"/>
      <c r="AS3" s="213"/>
      <c r="AT3" s="213"/>
      <c r="AU3" s="214"/>
      <c r="AV3" s="216"/>
      <c r="AW3" s="213"/>
      <c r="AX3" s="213"/>
      <c r="AY3" s="214"/>
      <c r="AZ3" s="216"/>
      <c r="BA3" s="213"/>
      <c r="BB3" s="213"/>
      <c r="BC3" s="214"/>
      <c r="BD3" s="216"/>
      <c r="BE3" s="213"/>
      <c r="BF3" s="213"/>
      <c r="BG3" s="214"/>
      <c r="BH3" s="216"/>
      <c r="BI3" s="213"/>
      <c r="BJ3" s="213"/>
      <c r="BK3" s="214"/>
      <c r="BL3" s="216"/>
      <c r="BM3" s="213"/>
      <c r="BN3" s="213"/>
      <c r="BO3" s="214"/>
      <c r="BP3" s="216"/>
      <c r="BQ3" s="213"/>
      <c r="BR3" s="213"/>
      <c r="BS3" s="214"/>
      <c r="BT3" s="216"/>
      <c r="BU3" s="213"/>
      <c r="BV3" s="213"/>
      <c r="BW3" s="214"/>
      <c r="BX3" s="216"/>
      <c r="BY3" s="213"/>
      <c r="BZ3" s="213"/>
      <c r="CA3" s="214"/>
      <c r="CB3" s="216"/>
      <c r="CC3" s="213"/>
      <c r="CD3" s="213"/>
      <c r="CE3" s="221"/>
      <c r="CF3" s="242"/>
    </row>
    <row r="4" spans="1:84" ht="30" customHeight="1">
      <c r="A4" s="169">
        <v>1.1000000000000001</v>
      </c>
      <c r="B4" s="114" t="s">
        <v>9</v>
      </c>
      <c r="C4" s="134">
        <v>2566436.96</v>
      </c>
      <c r="D4" s="135">
        <f>C4/$C$86</f>
        <v>2.122992646960049E-2</v>
      </c>
      <c r="E4" s="136" t="s">
        <v>10</v>
      </c>
      <c r="F4" s="137">
        <f>G4*$C$4</f>
        <v>2566436.96</v>
      </c>
      <c r="G4" s="238">
        <f>SUM(H4:CE4)/100</f>
        <v>1</v>
      </c>
      <c r="H4" s="222">
        <f>100/8</f>
        <v>12.5</v>
      </c>
      <c r="I4" s="138">
        <f t="shared" ref="I4:N4" si="2">100/8</f>
        <v>12.5</v>
      </c>
      <c r="J4" s="138">
        <f t="shared" si="2"/>
        <v>12.5</v>
      </c>
      <c r="K4" s="139">
        <f t="shared" si="2"/>
        <v>12.5</v>
      </c>
      <c r="L4" s="138">
        <f t="shared" si="2"/>
        <v>12.5</v>
      </c>
      <c r="M4" s="138">
        <f>100/8</f>
        <v>12.5</v>
      </c>
      <c r="N4" s="138">
        <f t="shared" si="2"/>
        <v>12.5</v>
      </c>
      <c r="O4" s="139">
        <v>12.5</v>
      </c>
      <c r="P4" s="138"/>
      <c r="Q4" s="138"/>
      <c r="R4" s="138"/>
      <c r="S4" s="139"/>
      <c r="T4" s="181"/>
      <c r="U4" s="138"/>
      <c r="V4" s="138"/>
      <c r="W4" s="139"/>
      <c r="X4" s="181"/>
      <c r="Y4" s="138"/>
      <c r="Z4" s="138"/>
      <c r="AA4" s="182"/>
      <c r="AB4" s="181"/>
      <c r="AC4" s="138"/>
      <c r="AD4" s="138"/>
      <c r="AE4" s="139"/>
      <c r="AF4" s="181"/>
      <c r="AG4" s="138"/>
      <c r="AH4" s="138"/>
      <c r="AI4" s="139"/>
      <c r="AJ4" s="181"/>
      <c r="AK4" s="138"/>
      <c r="AL4" s="138"/>
      <c r="AM4" s="139"/>
      <c r="AN4" s="181"/>
      <c r="AO4" s="183"/>
      <c r="AP4" s="138"/>
      <c r="AQ4" s="139"/>
      <c r="AR4" s="181"/>
      <c r="AS4" s="138"/>
      <c r="AT4" s="138"/>
      <c r="AU4" s="139"/>
      <c r="AV4" s="181"/>
      <c r="AW4" s="138"/>
      <c r="AX4" s="138"/>
      <c r="AY4" s="139"/>
      <c r="AZ4" s="181"/>
      <c r="BA4" s="138"/>
      <c r="BB4" s="138"/>
      <c r="BC4" s="139"/>
      <c r="BD4" s="181"/>
      <c r="BE4" s="138"/>
      <c r="BF4" s="138"/>
      <c r="BG4" s="139"/>
      <c r="BH4" s="181"/>
      <c r="BI4" s="138"/>
      <c r="BJ4" s="138"/>
      <c r="BK4" s="139"/>
      <c r="BL4" s="181"/>
      <c r="BM4" s="138"/>
      <c r="BN4" s="138"/>
      <c r="BO4" s="139"/>
      <c r="BP4" s="181"/>
      <c r="BQ4" s="138"/>
      <c r="BR4" s="138"/>
      <c r="BS4" s="139"/>
      <c r="BT4" s="181"/>
      <c r="BU4" s="138"/>
      <c r="BV4" s="138"/>
      <c r="BW4" s="139"/>
      <c r="BX4" s="181"/>
      <c r="BY4" s="138"/>
      <c r="BZ4" s="138"/>
      <c r="CA4" s="139"/>
      <c r="CB4" s="181"/>
      <c r="CC4" s="138"/>
      <c r="CD4" s="138"/>
      <c r="CE4" s="223"/>
      <c r="CF4" s="243">
        <f>SUM(H4:CE4)</f>
        <v>100</v>
      </c>
    </row>
    <row r="5" spans="1:84" ht="30" customHeight="1">
      <c r="A5" s="169"/>
      <c r="B5" s="114"/>
      <c r="C5" s="121"/>
      <c r="D5" s="115">
        <f>D4</f>
        <v>2.122992646960049E-2</v>
      </c>
      <c r="E5" s="116" t="s">
        <v>11</v>
      </c>
      <c r="F5" s="117">
        <f>G5*$C$4</f>
        <v>2566436.96</v>
      </c>
      <c r="G5" s="239">
        <f t="shared" ref="G5:G67" si="3">SUM(H5:CE5)/100</f>
        <v>1</v>
      </c>
      <c r="H5" s="224">
        <v>15</v>
      </c>
      <c r="I5" s="119">
        <v>15</v>
      </c>
      <c r="J5" s="119">
        <v>15</v>
      </c>
      <c r="K5" s="120">
        <v>15</v>
      </c>
      <c r="L5" s="122">
        <v>15</v>
      </c>
      <c r="M5" s="119">
        <v>15</v>
      </c>
      <c r="N5" s="119">
        <v>5</v>
      </c>
      <c r="O5" s="120">
        <v>5</v>
      </c>
      <c r="P5" s="123"/>
      <c r="Q5" s="118"/>
      <c r="R5" s="119"/>
      <c r="S5" s="120"/>
      <c r="T5" s="122"/>
      <c r="U5" s="184"/>
      <c r="V5" s="119"/>
      <c r="W5" s="120"/>
      <c r="X5" s="122"/>
      <c r="Y5" s="184"/>
      <c r="Z5" s="119"/>
      <c r="AA5" s="182"/>
      <c r="AB5" s="122"/>
      <c r="AC5" s="184"/>
      <c r="AD5" s="119"/>
      <c r="AE5" s="120"/>
      <c r="AF5" s="122"/>
      <c r="AG5" s="119"/>
      <c r="AH5" s="119"/>
      <c r="AI5" s="120"/>
      <c r="AJ5" s="122"/>
      <c r="AK5" s="119"/>
      <c r="AL5" s="119"/>
      <c r="AM5" s="120"/>
      <c r="AN5" s="122"/>
      <c r="AO5" s="183"/>
      <c r="AP5" s="119"/>
      <c r="AQ5" s="120"/>
      <c r="AR5" s="122"/>
      <c r="AS5" s="119"/>
      <c r="AT5" s="119"/>
      <c r="AU5" s="120"/>
      <c r="AV5" s="122"/>
      <c r="AW5" s="119"/>
      <c r="AX5" s="119"/>
      <c r="AY5" s="120"/>
      <c r="AZ5" s="122"/>
      <c r="BA5" s="119"/>
      <c r="BB5" s="119"/>
      <c r="BC5" s="120"/>
      <c r="BD5" s="122"/>
      <c r="BE5" s="119"/>
      <c r="BF5" s="119"/>
      <c r="BG5" s="120"/>
      <c r="BH5" s="122"/>
      <c r="BI5" s="119"/>
      <c r="BJ5" s="119"/>
      <c r="BK5" s="120"/>
      <c r="BL5" s="122"/>
      <c r="BM5" s="119"/>
      <c r="BN5" s="119"/>
      <c r="BO5" s="120"/>
      <c r="BP5" s="122"/>
      <c r="BQ5" s="119"/>
      <c r="BR5" s="119"/>
      <c r="BS5" s="120"/>
      <c r="BT5" s="122"/>
      <c r="BU5" s="119"/>
      <c r="BV5" s="119"/>
      <c r="BW5" s="120"/>
      <c r="BX5" s="122"/>
      <c r="BY5" s="119"/>
      <c r="BZ5" s="119"/>
      <c r="CA5" s="120"/>
      <c r="CB5" s="122"/>
      <c r="CC5" s="119"/>
      <c r="CD5" s="119"/>
      <c r="CE5" s="225"/>
      <c r="CF5" s="244">
        <f t="shared" ref="CF5:CF33" si="4">SUM(H5:CE5)</f>
        <v>100</v>
      </c>
    </row>
    <row r="6" spans="1:84" ht="30" customHeight="1">
      <c r="A6" s="169">
        <v>1.2</v>
      </c>
      <c r="B6" s="114" t="s">
        <v>12</v>
      </c>
      <c r="C6" s="134">
        <v>11648830</v>
      </c>
      <c r="D6" s="135">
        <f>C6/$C$86</f>
        <v>9.6360755479798069E-2</v>
      </c>
      <c r="E6" s="136" t="s">
        <v>10</v>
      </c>
      <c r="F6" s="137">
        <f>G6*$C$6</f>
        <v>11648830.000000006</v>
      </c>
      <c r="G6" s="238">
        <f t="shared" si="3"/>
        <v>1.0000000000000004</v>
      </c>
      <c r="H6" s="222"/>
      <c r="I6" s="138"/>
      <c r="J6" s="138"/>
      <c r="K6" s="139"/>
      <c r="L6" s="138"/>
      <c r="M6" s="138"/>
      <c r="N6" s="138"/>
      <c r="O6" s="139"/>
      <c r="P6" s="138">
        <f>100/46</f>
        <v>2.1739130434782608</v>
      </c>
      <c r="Q6" s="138">
        <f t="shared" ref="Q6:BC6" si="5">P6</f>
        <v>2.1739130434782608</v>
      </c>
      <c r="R6" s="138">
        <f>Q6</f>
        <v>2.1739130434782608</v>
      </c>
      <c r="S6" s="139">
        <f t="shared" si="5"/>
        <v>2.1739130434782608</v>
      </c>
      <c r="T6" s="181">
        <f t="shared" si="5"/>
        <v>2.1739130434782608</v>
      </c>
      <c r="U6" s="138">
        <f t="shared" si="5"/>
        <v>2.1739130434782608</v>
      </c>
      <c r="V6" s="138">
        <f t="shared" si="5"/>
        <v>2.1739130434782608</v>
      </c>
      <c r="W6" s="139">
        <f t="shared" si="5"/>
        <v>2.1739130434782608</v>
      </c>
      <c r="X6" s="181">
        <f t="shared" si="5"/>
        <v>2.1739130434782608</v>
      </c>
      <c r="Y6" s="138">
        <f t="shared" si="5"/>
        <v>2.1739130434782608</v>
      </c>
      <c r="Z6" s="138">
        <f t="shared" si="5"/>
        <v>2.1739130434782608</v>
      </c>
      <c r="AA6" s="182"/>
      <c r="AB6" s="181">
        <f>Z6</f>
        <v>2.1739130434782608</v>
      </c>
      <c r="AC6" s="138">
        <f t="shared" si="5"/>
        <v>2.1739130434782608</v>
      </c>
      <c r="AD6" s="138">
        <f t="shared" si="5"/>
        <v>2.1739130434782608</v>
      </c>
      <c r="AE6" s="139">
        <f t="shared" si="5"/>
        <v>2.1739130434782608</v>
      </c>
      <c r="AF6" s="181">
        <f t="shared" si="5"/>
        <v>2.1739130434782608</v>
      </c>
      <c r="AG6" s="138">
        <f>AF6</f>
        <v>2.1739130434782608</v>
      </c>
      <c r="AH6" s="138">
        <f t="shared" si="5"/>
        <v>2.1739130434782608</v>
      </c>
      <c r="AI6" s="139">
        <f t="shared" si="5"/>
        <v>2.1739130434782608</v>
      </c>
      <c r="AJ6" s="181">
        <f t="shared" si="5"/>
        <v>2.1739130434782608</v>
      </c>
      <c r="AK6" s="138">
        <f t="shared" si="5"/>
        <v>2.1739130434782608</v>
      </c>
      <c r="AL6" s="138">
        <f t="shared" si="5"/>
        <v>2.1739130434782608</v>
      </c>
      <c r="AM6" s="139">
        <f t="shared" si="5"/>
        <v>2.1739130434782608</v>
      </c>
      <c r="AN6" s="181">
        <f t="shared" si="5"/>
        <v>2.1739130434782608</v>
      </c>
      <c r="AO6" s="183"/>
      <c r="AP6" s="138">
        <f>AN6</f>
        <v>2.1739130434782608</v>
      </c>
      <c r="AQ6" s="139">
        <f t="shared" si="5"/>
        <v>2.1739130434782608</v>
      </c>
      <c r="AR6" s="181">
        <f t="shared" si="5"/>
        <v>2.1739130434782608</v>
      </c>
      <c r="AS6" s="138">
        <f t="shared" si="5"/>
        <v>2.1739130434782608</v>
      </c>
      <c r="AT6" s="138">
        <f t="shared" si="5"/>
        <v>2.1739130434782608</v>
      </c>
      <c r="AU6" s="139">
        <f t="shared" si="5"/>
        <v>2.1739130434782608</v>
      </c>
      <c r="AV6" s="181">
        <f t="shared" si="5"/>
        <v>2.1739130434782608</v>
      </c>
      <c r="AW6" s="138">
        <f t="shared" si="5"/>
        <v>2.1739130434782608</v>
      </c>
      <c r="AX6" s="138">
        <f t="shared" si="5"/>
        <v>2.1739130434782608</v>
      </c>
      <c r="AY6" s="139">
        <f t="shared" si="5"/>
        <v>2.1739130434782608</v>
      </c>
      <c r="AZ6" s="181">
        <f t="shared" si="5"/>
        <v>2.1739130434782608</v>
      </c>
      <c r="BA6" s="138">
        <f t="shared" si="5"/>
        <v>2.1739130434782608</v>
      </c>
      <c r="BB6" s="138">
        <f t="shared" si="5"/>
        <v>2.1739130434782608</v>
      </c>
      <c r="BC6" s="139">
        <f t="shared" si="5"/>
        <v>2.1739130434782608</v>
      </c>
      <c r="BD6" s="181">
        <f t="shared" ref="BD6" si="6">BC6</f>
        <v>2.1739130434782608</v>
      </c>
      <c r="BE6" s="138">
        <f t="shared" ref="BE6" si="7">BD6</f>
        <v>2.1739130434782608</v>
      </c>
      <c r="BF6" s="138">
        <f t="shared" ref="BF6" si="8">BE6</f>
        <v>2.1739130434782608</v>
      </c>
      <c r="BG6" s="139">
        <f t="shared" ref="BG6" si="9">BF6</f>
        <v>2.1739130434782608</v>
      </c>
      <c r="BH6" s="181">
        <f t="shared" ref="BH6" si="10">BG6</f>
        <v>2.1739130434782608</v>
      </c>
      <c r="BI6" s="138">
        <f t="shared" ref="BI6" si="11">BH6</f>
        <v>2.1739130434782608</v>
      </c>
      <c r="BJ6" s="138">
        <f t="shared" ref="BJ6" si="12">BI6</f>
        <v>2.1739130434782608</v>
      </c>
      <c r="BK6" s="139">
        <f t="shared" ref="BK6" si="13">BJ6</f>
        <v>2.1739130434782608</v>
      </c>
      <c r="BL6" s="181"/>
      <c r="BM6" s="138"/>
      <c r="BN6" s="138"/>
      <c r="BO6" s="139"/>
      <c r="BP6" s="181"/>
      <c r="BQ6" s="138"/>
      <c r="BR6" s="138"/>
      <c r="BS6" s="139"/>
      <c r="BT6" s="181"/>
      <c r="BU6" s="138"/>
      <c r="BV6" s="138"/>
      <c r="BW6" s="139"/>
      <c r="BX6" s="181"/>
      <c r="BY6" s="138"/>
      <c r="BZ6" s="138"/>
      <c r="CA6" s="139"/>
      <c r="CB6" s="181"/>
      <c r="CC6" s="138"/>
      <c r="CD6" s="138"/>
      <c r="CE6" s="223"/>
      <c r="CF6" s="243">
        <f t="shared" si="4"/>
        <v>100.00000000000004</v>
      </c>
    </row>
    <row r="7" spans="1:84" ht="30" customHeight="1">
      <c r="A7" s="169"/>
      <c r="B7" s="114"/>
      <c r="C7" s="121"/>
      <c r="D7" s="115">
        <f>D6</f>
        <v>9.6360755479798069E-2</v>
      </c>
      <c r="E7" s="116" t="s">
        <v>11</v>
      </c>
      <c r="F7" s="117">
        <f>G7*$C$6</f>
        <v>11648830.000000006</v>
      </c>
      <c r="G7" s="239">
        <f t="shared" si="3"/>
        <v>1.0000000000000004</v>
      </c>
      <c r="H7" s="224"/>
      <c r="I7" s="119"/>
      <c r="J7" s="119"/>
      <c r="K7" s="120"/>
      <c r="L7" s="122"/>
      <c r="M7" s="119"/>
      <c r="N7" s="119"/>
      <c r="O7" s="120"/>
      <c r="P7" s="123">
        <f>100/46</f>
        <v>2.1739130434782608</v>
      </c>
      <c r="Q7" s="118">
        <f t="shared" ref="Q7:BK7" si="14">100/46</f>
        <v>2.1739130434782608</v>
      </c>
      <c r="R7" s="119">
        <f t="shared" si="14"/>
        <v>2.1739130434782608</v>
      </c>
      <c r="S7" s="120">
        <f t="shared" si="14"/>
        <v>2.1739130434782608</v>
      </c>
      <c r="T7" s="122">
        <f t="shared" si="14"/>
        <v>2.1739130434782608</v>
      </c>
      <c r="U7" s="184">
        <f t="shared" si="14"/>
        <v>2.1739130434782608</v>
      </c>
      <c r="V7" s="119">
        <f t="shared" si="14"/>
        <v>2.1739130434782608</v>
      </c>
      <c r="W7" s="120">
        <f t="shared" si="14"/>
        <v>2.1739130434782608</v>
      </c>
      <c r="X7" s="122">
        <f t="shared" si="14"/>
        <v>2.1739130434782608</v>
      </c>
      <c r="Y7" s="184">
        <f t="shared" si="14"/>
        <v>2.1739130434782608</v>
      </c>
      <c r="Z7" s="119">
        <f t="shared" si="14"/>
        <v>2.1739130434782608</v>
      </c>
      <c r="AA7" s="182"/>
      <c r="AB7" s="122">
        <f t="shared" si="14"/>
        <v>2.1739130434782608</v>
      </c>
      <c r="AC7" s="184">
        <f t="shared" si="14"/>
        <v>2.1739130434782608</v>
      </c>
      <c r="AD7" s="119">
        <f t="shared" si="14"/>
        <v>2.1739130434782608</v>
      </c>
      <c r="AE7" s="120">
        <f t="shared" si="14"/>
        <v>2.1739130434782608</v>
      </c>
      <c r="AF7" s="122">
        <f t="shared" si="14"/>
        <v>2.1739130434782608</v>
      </c>
      <c r="AG7" s="119">
        <f t="shared" si="14"/>
        <v>2.1739130434782608</v>
      </c>
      <c r="AH7" s="119">
        <f t="shared" si="14"/>
        <v>2.1739130434782608</v>
      </c>
      <c r="AI7" s="120">
        <f t="shared" si="14"/>
        <v>2.1739130434782608</v>
      </c>
      <c r="AJ7" s="122">
        <f t="shared" si="14"/>
        <v>2.1739130434782608</v>
      </c>
      <c r="AK7" s="119">
        <f t="shared" si="14"/>
        <v>2.1739130434782608</v>
      </c>
      <c r="AL7" s="119">
        <f t="shared" si="14"/>
        <v>2.1739130434782608</v>
      </c>
      <c r="AM7" s="120">
        <f t="shared" si="14"/>
        <v>2.1739130434782608</v>
      </c>
      <c r="AN7" s="122">
        <f t="shared" si="14"/>
        <v>2.1739130434782608</v>
      </c>
      <c r="AO7" s="183"/>
      <c r="AP7" s="119">
        <f t="shared" si="14"/>
        <v>2.1739130434782608</v>
      </c>
      <c r="AQ7" s="120">
        <f t="shared" si="14"/>
        <v>2.1739130434782608</v>
      </c>
      <c r="AR7" s="122">
        <f t="shared" si="14"/>
        <v>2.1739130434782608</v>
      </c>
      <c r="AS7" s="119">
        <f t="shared" si="14"/>
        <v>2.1739130434782608</v>
      </c>
      <c r="AT7" s="119">
        <f t="shared" si="14"/>
        <v>2.1739130434782608</v>
      </c>
      <c r="AU7" s="120">
        <f t="shared" si="14"/>
        <v>2.1739130434782608</v>
      </c>
      <c r="AV7" s="122">
        <f t="shared" si="14"/>
        <v>2.1739130434782608</v>
      </c>
      <c r="AW7" s="119">
        <f t="shared" si="14"/>
        <v>2.1739130434782608</v>
      </c>
      <c r="AX7" s="119">
        <f t="shared" si="14"/>
        <v>2.1739130434782608</v>
      </c>
      <c r="AY7" s="120">
        <f t="shared" si="14"/>
        <v>2.1739130434782608</v>
      </c>
      <c r="AZ7" s="122">
        <f t="shared" si="14"/>
        <v>2.1739130434782608</v>
      </c>
      <c r="BA7" s="119">
        <f t="shared" si="14"/>
        <v>2.1739130434782608</v>
      </c>
      <c r="BB7" s="119">
        <f t="shared" si="14"/>
        <v>2.1739130434782608</v>
      </c>
      <c r="BC7" s="120">
        <f t="shared" si="14"/>
        <v>2.1739130434782608</v>
      </c>
      <c r="BD7" s="122">
        <f t="shared" si="14"/>
        <v>2.1739130434782608</v>
      </c>
      <c r="BE7" s="119">
        <f t="shared" si="14"/>
        <v>2.1739130434782608</v>
      </c>
      <c r="BF7" s="119">
        <f t="shared" si="14"/>
        <v>2.1739130434782608</v>
      </c>
      <c r="BG7" s="120">
        <f t="shared" si="14"/>
        <v>2.1739130434782608</v>
      </c>
      <c r="BH7" s="122">
        <f t="shared" si="14"/>
        <v>2.1739130434782608</v>
      </c>
      <c r="BI7" s="119">
        <f t="shared" si="14"/>
        <v>2.1739130434782608</v>
      </c>
      <c r="BJ7" s="119">
        <f t="shared" si="14"/>
        <v>2.1739130434782608</v>
      </c>
      <c r="BK7" s="120">
        <f t="shared" si="14"/>
        <v>2.1739130434782608</v>
      </c>
      <c r="BL7" s="122"/>
      <c r="BM7" s="119"/>
      <c r="BN7" s="119"/>
      <c r="BO7" s="120"/>
      <c r="BP7" s="122"/>
      <c r="BQ7" s="119"/>
      <c r="BR7" s="119"/>
      <c r="BS7" s="120"/>
      <c r="BT7" s="122"/>
      <c r="BU7" s="119"/>
      <c r="BV7" s="119"/>
      <c r="BW7" s="120"/>
      <c r="BX7" s="122"/>
      <c r="BY7" s="119"/>
      <c r="BZ7" s="119"/>
      <c r="CA7" s="120"/>
      <c r="CB7" s="122"/>
      <c r="CC7" s="119"/>
      <c r="CD7" s="119"/>
      <c r="CE7" s="225"/>
      <c r="CF7" s="244">
        <f>SUM(H7:CE7)</f>
        <v>100.00000000000004</v>
      </c>
    </row>
    <row r="8" spans="1:84" ht="30" customHeight="1">
      <c r="A8" s="169">
        <v>1.3</v>
      </c>
      <c r="B8" s="114" t="s">
        <v>13</v>
      </c>
      <c r="C8" s="134">
        <v>260000</v>
      </c>
      <c r="D8" s="135">
        <f>C8/$C$86</f>
        <v>2.1507564643614423E-3</v>
      </c>
      <c r="E8" s="136" t="s">
        <v>10</v>
      </c>
      <c r="F8" s="137">
        <f>G8*$C$8</f>
        <v>260000.00000000006</v>
      </c>
      <c r="G8" s="238">
        <f t="shared" si="3"/>
        <v>1.0000000000000002</v>
      </c>
      <c r="H8" s="222"/>
      <c r="I8" s="138"/>
      <c r="J8" s="138"/>
      <c r="K8" s="139"/>
      <c r="L8" s="138"/>
      <c r="M8" s="138"/>
      <c r="N8" s="138"/>
      <c r="O8" s="139"/>
      <c r="P8" s="138"/>
      <c r="Q8" s="138"/>
      <c r="R8" s="138"/>
      <c r="S8" s="139"/>
      <c r="T8" s="181"/>
      <c r="U8" s="138"/>
      <c r="V8" s="138"/>
      <c r="W8" s="139"/>
      <c r="X8" s="181"/>
      <c r="Y8" s="138"/>
      <c r="Z8" s="138"/>
      <c r="AA8" s="182"/>
      <c r="AB8" s="181"/>
      <c r="AC8" s="138"/>
      <c r="AD8" s="138"/>
      <c r="AE8" s="139"/>
      <c r="AF8" s="181"/>
      <c r="AG8" s="138"/>
      <c r="AH8" s="138"/>
      <c r="AI8" s="139"/>
      <c r="AJ8" s="181"/>
      <c r="AK8" s="138"/>
      <c r="AL8" s="138"/>
      <c r="AM8" s="139"/>
      <c r="AN8" s="181"/>
      <c r="AO8" s="183"/>
      <c r="AP8" s="138"/>
      <c r="AQ8" s="139"/>
      <c r="AR8" s="181"/>
      <c r="AS8" s="138"/>
      <c r="AT8" s="138"/>
      <c r="AU8" s="139"/>
      <c r="AV8" s="181"/>
      <c r="AW8" s="138"/>
      <c r="AX8" s="138"/>
      <c r="AY8" s="139"/>
      <c r="AZ8" s="181"/>
      <c r="BA8" s="138"/>
      <c r="BB8" s="138"/>
      <c r="BC8" s="139"/>
      <c r="BD8" s="181"/>
      <c r="BE8" s="138"/>
      <c r="BF8" s="138"/>
      <c r="BG8" s="139"/>
      <c r="BH8" s="181"/>
      <c r="BI8" s="138"/>
      <c r="BJ8" s="138"/>
      <c r="BK8" s="139"/>
      <c r="BL8" s="181">
        <f>100/6</f>
        <v>16.666666666666668</v>
      </c>
      <c r="BM8" s="138">
        <f>BL8</f>
        <v>16.666666666666668</v>
      </c>
      <c r="BN8" s="138">
        <f t="shared" ref="BN8" si="15">BM8</f>
        <v>16.666666666666668</v>
      </c>
      <c r="BO8" s="139">
        <f>BN8</f>
        <v>16.666666666666668</v>
      </c>
      <c r="BP8" s="181">
        <f t="shared" ref="BP8:BQ8" si="16">BO8</f>
        <v>16.666666666666668</v>
      </c>
      <c r="BQ8" s="138">
        <f t="shared" si="16"/>
        <v>16.666666666666668</v>
      </c>
      <c r="BR8" s="138"/>
      <c r="BS8" s="139"/>
      <c r="BT8" s="181"/>
      <c r="BU8" s="138"/>
      <c r="BV8" s="138"/>
      <c r="BW8" s="139"/>
      <c r="BX8" s="181"/>
      <c r="BY8" s="138"/>
      <c r="BZ8" s="138"/>
      <c r="CA8" s="139"/>
      <c r="CB8" s="181"/>
      <c r="CC8" s="138"/>
      <c r="CD8" s="138"/>
      <c r="CE8" s="223"/>
      <c r="CF8" s="243">
        <f t="shared" si="4"/>
        <v>100.00000000000001</v>
      </c>
    </row>
    <row r="9" spans="1:84" ht="30" customHeight="1">
      <c r="A9" s="169"/>
      <c r="B9" s="114"/>
      <c r="C9" s="121"/>
      <c r="D9" s="115">
        <f>D8</f>
        <v>2.1507564643614423E-3</v>
      </c>
      <c r="E9" s="116" t="s">
        <v>11</v>
      </c>
      <c r="F9" s="117">
        <f>G9*$C$8</f>
        <v>260000.00000000006</v>
      </c>
      <c r="G9" s="239">
        <f t="shared" si="3"/>
        <v>1.0000000000000002</v>
      </c>
      <c r="H9" s="224"/>
      <c r="I9" s="119"/>
      <c r="J9" s="119"/>
      <c r="K9" s="120"/>
      <c r="L9" s="122"/>
      <c r="M9" s="119"/>
      <c r="N9" s="119"/>
      <c r="O9" s="120"/>
      <c r="P9" s="123"/>
      <c r="Q9" s="118"/>
      <c r="R9" s="119"/>
      <c r="S9" s="120"/>
      <c r="T9" s="122"/>
      <c r="U9" s="184"/>
      <c r="V9" s="119"/>
      <c r="W9" s="120"/>
      <c r="X9" s="122"/>
      <c r="Y9" s="184"/>
      <c r="Z9" s="119"/>
      <c r="AA9" s="182"/>
      <c r="AB9" s="122"/>
      <c r="AC9" s="184"/>
      <c r="AD9" s="119"/>
      <c r="AE9" s="120"/>
      <c r="AF9" s="122"/>
      <c r="AG9" s="119"/>
      <c r="AH9" s="119"/>
      <c r="AI9" s="120"/>
      <c r="AJ9" s="122"/>
      <c r="AK9" s="119"/>
      <c r="AL9" s="119"/>
      <c r="AM9" s="120"/>
      <c r="AN9" s="122"/>
      <c r="AO9" s="183"/>
      <c r="AP9" s="119"/>
      <c r="AQ9" s="120"/>
      <c r="AR9" s="122"/>
      <c r="AS9" s="119"/>
      <c r="AT9" s="119"/>
      <c r="AU9" s="120"/>
      <c r="AV9" s="122"/>
      <c r="AW9" s="119"/>
      <c r="AX9" s="119"/>
      <c r="AY9" s="120"/>
      <c r="AZ9" s="122"/>
      <c r="BA9" s="119"/>
      <c r="BB9" s="119"/>
      <c r="BC9" s="120"/>
      <c r="BD9" s="122"/>
      <c r="BE9" s="119"/>
      <c r="BF9" s="119"/>
      <c r="BG9" s="120"/>
      <c r="BH9" s="122"/>
      <c r="BI9" s="119"/>
      <c r="BJ9" s="119"/>
      <c r="BK9" s="120"/>
      <c r="BL9" s="122">
        <f>100/6</f>
        <v>16.666666666666668</v>
      </c>
      <c r="BM9" s="119">
        <f>100/6</f>
        <v>16.666666666666668</v>
      </c>
      <c r="BN9" s="119">
        <f>100/6</f>
        <v>16.666666666666668</v>
      </c>
      <c r="BO9" s="120">
        <f>100/6</f>
        <v>16.666666666666668</v>
      </c>
      <c r="BP9" s="122">
        <f t="shared" ref="BP9:BQ9" si="17">100/6</f>
        <v>16.666666666666668</v>
      </c>
      <c r="BQ9" s="119">
        <f t="shared" si="17"/>
        <v>16.666666666666668</v>
      </c>
      <c r="BR9" s="119"/>
      <c r="BS9" s="120"/>
      <c r="BT9" s="122"/>
      <c r="BU9" s="119"/>
      <c r="BV9" s="119"/>
      <c r="BW9" s="120"/>
      <c r="BX9" s="122"/>
      <c r="BY9" s="119"/>
      <c r="BZ9" s="119"/>
      <c r="CA9" s="120"/>
      <c r="CB9" s="122"/>
      <c r="CC9" s="119"/>
      <c r="CD9" s="119"/>
      <c r="CE9" s="225"/>
      <c r="CF9" s="244">
        <f t="shared" si="4"/>
        <v>100.00000000000001</v>
      </c>
    </row>
    <row r="10" spans="1:84" ht="30" customHeight="1">
      <c r="A10" s="170">
        <v>2</v>
      </c>
      <c r="B10" s="124" t="s">
        <v>14</v>
      </c>
      <c r="C10" s="134"/>
      <c r="D10" s="135"/>
      <c r="E10" s="136"/>
      <c r="F10" s="137"/>
      <c r="G10" s="238"/>
      <c r="H10" s="222"/>
      <c r="I10" s="138"/>
      <c r="J10" s="138"/>
      <c r="K10" s="139"/>
      <c r="L10" s="138"/>
      <c r="M10" s="138"/>
      <c r="N10" s="138"/>
      <c r="O10" s="139"/>
      <c r="P10" s="138"/>
      <c r="Q10" s="138"/>
      <c r="R10" s="138"/>
      <c r="S10" s="139"/>
      <c r="T10" s="181"/>
      <c r="U10" s="138"/>
      <c r="V10" s="138"/>
      <c r="W10" s="139"/>
      <c r="X10" s="181"/>
      <c r="Y10" s="138"/>
      <c r="Z10" s="138"/>
      <c r="AA10" s="182"/>
      <c r="AB10" s="181"/>
      <c r="AC10" s="138"/>
      <c r="AD10" s="138"/>
      <c r="AE10" s="139"/>
      <c r="AF10" s="181"/>
      <c r="AG10" s="138"/>
      <c r="AH10" s="138"/>
      <c r="AI10" s="139"/>
      <c r="AJ10" s="181"/>
      <c r="AK10" s="138"/>
      <c r="AL10" s="138"/>
      <c r="AM10" s="139"/>
      <c r="AN10" s="181"/>
      <c r="AO10" s="183"/>
      <c r="AP10" s="138"/>
      <c r="AQ10" s="139"/>
      <c r="AR10" s="181"/>
      <c r="AS10" s="138"/>
      <c r="AT10" s="138"/>
      <c r="AU10" s="139"/>
      <c r="AV10" s="181"/>
      <c r="AW10" s="138"/>
      <c r="AX10" s="138"/>
      <c r="AY10" s="139"/>
      <c r="AZ10" s="181"/>
      <c r="BA10" s="138"/>
      <c r="BB10" s="138"/>
      <c r="BC10" s="139"/>
      <c r="BD10" s="181"/>
      <c r="BE10" s="138"/>
      <c r="BF10" s="138"/>
      <c r="BG10" s="139"/>
      <c r="BH10" s="181"/>
      <c r="BI10" s="138"/>
      <c r="BJ10" s="138"/>
      <c r="BK10" s="139"/>
      <c r="BL10" s="181"/>
      <c r="BM10" s="138"/>
      <c r="BN10" s="138"/>
      <c r="BO10" s="139"/>
      <c r="BP10" s="181"/>
      <c r="BQ10" s="138"/>
      <c r="BR10" s="138"/>
      <c r="BS10" s="139"/>
      <c r="BT10" s="181"/>
      <c r="BU10" s="138"/>
      <c r="BV10" s="138"/>
      <c r="BW10" s="139"/>
      <c r="BX10" s="181"/>
      <c r="BY10" s="138"/>
      <c r="BZ10" s="138"/>
      <c r="CA10" s="139"/>
      <c r="CB10" s="181"/>
      <c r="CC10" s="138"/>
      <c r="CD10" s="138"/>
      <c r="CE10" s="223"/>
      <c r="CF10" s="243">
        <f t="shared" si="4"/>
        <v>0</v>
      </c>
    </row>
    <row r="11" spans="1:84" ht="30" customHeight="1">
      <c r="A11" s="171"/>
      <c r="B11" s="125"/>
      <c r="C11" s="121"/>
      <c r="D11" s="115"/>
      <c r="E11" s="116"/>
      <c r="F11" s="117"/>
      <c r="G11" s="239"/>
      <c r="H11" s="224"/>
      <c r="I11" s="119"/>
      <c r="J11" s="119"/>
      <c r="K11" s="120"/>
      <c r="L11" s="122"/>
      <c r="M11" s="119"/>
      <c r="N11" s="119"/>
      <c r="O11" s="120"/>
      <c r="P11" s="123"/>
      <c r="Q11" s="118"/>
      <c r="R11" s="119"/>
      <c r="S11" s="120"/>
      <c r="T11" s="122"/>
      <c r="U11" s="184"/>
      <c r="V11" s="119"/>
      <c r="W11" s="120"/>
      <c r="X11" s="122"/>
      <c r="Y11" s="184"/>
      <c r="Z11" s="119"/>
      <c r="AA11" s="182"/>
      <c r="AB11" s="122"/>
      <c r="AC11" s="184"/>
      <c r="AD11" s="119"/>
      <c r="AE11" s="120"/>
      <c r="AF11" s="122"/>
      <c r="AG11" s="119"/>
      <c r="AH11" s="119"/>
      <c r="AI11" s="120"/>
      <c r="AJ11" s="122"/>
      <c r="AK11" s="119"/>
      <c r="AL11" s="119"/>
      <c r="AM11" s="120"/>
      <c r="AN11" s="122"/>
      <c r="AO11" s="183"/>
      <c r="AP11" s="119"/>
      <c r="AQ11" s="120"/>
      <c r="AR11" s="122"/>
      <c r="AS11" s="119"/>
      <c r="AT11" s="119"/>
      <c r="AU11" s="120"/>
      <c r="AV11" s="122"/>
      <c r="AW11" s="119"/>
      <c r="AX11" s="119"/>
      <c r="AY11" s="120"/>
      <c r="AZ11" s="122"/>
      <c r="BA11" s="119"/>
      <c r="BB11" s="119"/>
      <c r="BC11" s="120"/>
      <c r="BD11" s="122"/>
      <c r="BE11" s="119"/>
      <c r="BF11" s="119"/>
      <c r="BG11" s="120"/>
      <c r="BH11" s="122"/>
      <c r="BI11" s="119"/>
      <c r="BJ11" s="119"/>
      <c r="BK11" s="120"/>
      <c r="BL11" s="122"/>
      <c r="BM11" s="119"/>
      <c r="BN11" s="119"/>
      <c r="BO11" s="120"/>
      <c r="BP11" s="122"/>
      <c r="BQ11" s="119"/>
      <c r="BR11" s="119"/>
      <c r="BS11" s="120"/>
      <c r="BT11" s="122"/>
      <c r="BU11" s="119"/>
      <c r="BV11" s="119"/>
      <c r="BW11" s="120"/>
      <c r="BX11" s="122"/>
      <c r="BY11" s="119"/>
      <c r="BZ11" s="119"/>
      <c r="CA11" s="120"/>
      <c r="CB11" s="122"/>
      <c r="CC11" s="119"/>
      <c r="CD11" s="119"/>
      <c r="CE11" s="225"/>
      <c r="CF11" s="244">
        <f t="shared" si="4"/>
        <v>0</v>
      </c>
    </row>
    <row r="12" spans="1:84" ht="30" customHeight="1">
      <c r="A12" s="169">
        <v>2.1</v>
      </c>
      <c r="B12" s="114" t="s">
        <v>15</v>
      </c>
      <c r="C12" s="134">
        <v>11469838.57</v>
      </c>
      <c r="D12" s="135">
        <f>C12/$C$86</f>
        <v>9.4880113267729618E-2</v>
      </c>
      <c r="E12" s="136" t="s">
        <v>10</v>
      </c>
      <c r="F12" s="137">
        <f>G12*$C$12</f>
        <v>11469838.57</v>
      </c>
      <c r="G12" s="238">
        <f t="shared" si="3"/>
        <v>1</v>
      </c>
      <c r="H12" s="222"/>
      <c r="I12" s="138"/>
      <c r="J12" s="138"/>
      <c r="K12" s="139"/>
      <c r="L12" s="138"/>
      <c r="M12" s="138"/>
      <c r="N12" s="138"/>
      <c r="O12" s="139"/>
      <c r="P12" s="138"/>
      <c r="Q12" s="138">
        <f>100/8</f>
        <v>12.5</v>
      </c>
      <c r="R12" s="138">
        <f t="shared" ref="R12:S12" si="18">100/8</f>
        <v>12.5</v>
      </c>
      <c r="S12" s="139">
        <f t="shared" si="18"/>
        <v>12.5</v>
      </c>
      <c r="T12" s="181">
        <f>S12</f>
        <v>12.5</v>
      </c>
      <c r="U12" s="138">
        <f t="shared" ref="U12:X12" si="19">T12</f>
        <v>12.5</v>
      </c>
      <c r="V12" s="138">
        <f t="shared" si="19"/>
        <v>12.5</v>
      </c>
      <c r="W12" s="139">
        <f t="shared" si="19"/>
        <v>12.5</v>
      </c>
      <c r="X12" s="181">
        <f t="shared" si="19"/>
        <v>12.5</v>
      </c>
      <c r="Y12" s="138"/>
      <c r="Z12" s="138"/>
      <c r="AA12" s="182"/>
      <c r="AB12" s="181"/>
      <c r="AC12" s="138"/>
      <c r="AD12" s="138"/>
      <c r="AE12" s="139"/>
      <c r="AF12" s="181"/>
      <c r="AG12" s="138"/>
      <c r="AH12" s="138"/>
      <c r="AI12" s="139"/>
      <c r="AJ12" s="181"/>
      <c r="AK12" s="138"/>
      <c r="AL12" s="138"/>
      <c r="AM12" s="139"/>
      <c r="AN12" s="181"/>
      <c r="AO12" s="183"/>
      <c r="AP12" s="138"/>
      <c r="AQ12" s="139"/>
      <c r="AR12" s="181"/>
      <c r="AS12" s="138"/>
      <c r="AT12" s="138"/>
      <c r="AU12" s="139"/>
      <c r="AV12" s="181"/>
      <c r="AW12" s="138"/>
      <c r="AX12" s="138"/>
      <c r="AY12" s="139"/>
      <c r="AZ12" s="181"/>
      <c r="BA12" s="138"/>
      <c r="BB12" s="138"/>
      <c r="BC12" s="139"/>
      <c r="BD12" s="181"/>
      <c r="BE12" s="138"/>
      <c r="BF12" s="138"/>
      <c r="BG12" s="139"/>
      <c r="BH12" s="181"/>
      <c r="BI12" s="138"/>
      <c r="BJ12" s="138"/>
      <c r="BK12" s="139"/>
      <c r="BL12" s="181"/>
      <c r="BM12" s="138"/>
      <c r="BN12" s="138"/>
      <c r="BO12" s="139"/>
      <c r="BP12" s="181"/>
      <c r="BQ12" s="138"/>
      <c r="BR12" s="138"/>
      <c r="BS12" s="139"/>
      <c r="BT12" s="181"/>
      <c r="BU12" s="138"/>
      <c r="BV12" s="138"/>
      <c r="BW12" s="139"/>
      <c r="BX12" s="181"/>
      <c r="BY12" s="138"/>
      <c r="BZ12" s="138"/>
      <c r="CA12" s="139"/>
      <c r="CB12" s="181"/>
      <c r="CC12" s="138"/>
      <c r="CD12" s="138"/>
      <c r="CE12" s="223"/>
      <c r="CF12" s="243">
        <f t="shared" si="4"/>
        <v>100</v>
      </c>
    </row>
    <row r="13" spans="1:84" ht="30" customHeight="1">
      <c r="A13" s="169"/>
      <c r="B13" s="114"/>
      <c r="C13" s="121"/>
      <c r="D13" s="115">
        <f>D12</f>
        <v>9.4880113267729618E-2</v>
      </c>
      <c r="E13" s="116" t="s">
        <v>11</v>
      </c>
      <c r="F13" s="117">
        <f>G13*$C$12</f>
        <v>11469838.57</v>
      </c>
      <c r="G13" s="239">
        <f t="shared" si="3"/>
        <v>1</v>
      </c>
      <c r="H13" s="224"/>
      <c r="I13" s="119"/>
      <c r="J13" s="119"/>
      <c r="K13" s="120"/>
      <c r="L13" s="122"/>
      <c r="M13" s="119"/>
      <c r="N13" s="119"/>
      <c r="O13" s="120"/>
      <c r="P13" s="123"/>
      <c r="Q13" s="118">
        <v>4.67</v>
      </c>
      <c r="R13" s="119">
        <v>10.27</v>
      </c>
      <c r="S13" s="120">
        <v>11.06</v>
      </c>
      <c r="T13" s="122">
        <v>8</v>
      </c>
      <c r="U13" s="184">
        <v>14</v>
      </c>
      <c r="V13" s="119">
        <v>16</v>
      </c>
      <c r="W13" s="120">
        <v>16</v>
      </c>
      <c r="X13" s="122">
        <v>14</v>
      </c>
      <c r="Y13" s="184">
        <v>6</v>
      </c>
      <c r="Z13" s="119"/>
      <c r="AA13" s="182"/>
      <c r="AB13" s="122"/>
      <c r="AC13" s="184"/>
      <c r="AD13" s="119"/>
      <c r="AE13" s="120"/>
      <c r="AF13" s="122"/>
      <c r="AG13" s="119"/>
      <c r="AH13" s="119"/>
      <c r="AI13" s="120"/>
      <c r="AJ13" s="122"/>
      <c r="AK13" s="119"/>
      <c r="AL13" s="119"/>
      <c r="AM13" s="120"/>
      <c r="AN13" s="122"/>
      <c r="AO13" s="183"/>
      <c r="AP13" s="119"/>
      <c r="AQ13" s="120"/>
      <c r="AR13" s="122"/>
      <c r="AS13" s="119"/>
      <c r="AT13" s="119"/>
      <c r="AU13" s="120"/>
      <c r="AV13" s="122"/>
      <c r="AW13" s="119"/>
      <c r="AX13" s="119"/>
      <c r="AY13" s="120"/>
      <c r="AZ13" s="122"/>
      <c r="BA13" s="119"/>
      <c r="BB13" s="119"/>
      <c r="BC13" s="120"/>
      <c r="BD13" s="122"/>
      <c r="BE13" s="119"/>
      <c r="BF13" s="119"/>
      <c r="BG13" s="120"/>
      <c r="BH13" s="122"/>
      <c r="BI13" s="119"/>
      <c r="BJ13" s="119"/>
      <c r="BK13" s="120"/>
      <c r="BL13" s="122"/>
      <c r="BM13" s="119"/>
      <c r="BN13" s="119"/>
      <c r="BO13" s="120"/>
      <c r="BP13" s="122"/>
      <c r="BQ13" s="119"/>
      <c r="BR13" s="119"/>
      <c r="BS13" s="120"/>
      <c r="BT13" s="122"/>
      <c r="BU13" s="119"/>
      <c r="BV13" s="119"/>
      <c r="BW13" s="120"/>
      <c r="BX13" s="122"/>
      <c r="BY13" s="119"/>
      <c r="BZ13" s="119"/>
      <c r="CA13" s="120"/>
      <c r="CB13" s="122"/>
      <c r="CC13" s="119"/>
      <c r="CD13" s="119"/>
      <c r="CE13" s="225"/>
      <c r="CF13" s="244">
        <f t="shared" si="4"/>
        <v>100</v>
      </c>
    </row>
    <row r="14" spans="1:84" ht="30" customHeight="1">
      <c r="A14" s="172">
        <v>2.2000000000000002</v>
      </c>
      <c r="B14" s="114" t="s">
        <v>16</v>
      </c>
      <c r="C14" s="134">
        <v>8375914.0300000003</v>
      </c>
      <c r="D14" s="135">
        <f>C14/$C$86</f>
        <v>6.9286735557531537E-2</v>
      </c>
      <c r="E14" s="136" t="s">
        <v>10</v>
      </c>
      <c r="F14" s="137">
        <f>G14*$C$14</f>
        <v>8375914.0300000003</v>
      </c>
      <c r="G14" s="238">
        <f t="shared" si="3"/>
        <v>1</v>
      </c>
      <c r="H14" s="222"/>
      <c r="I14" s="138"/>
      <c r="J14" s="138"/>
      <c r="K14" s="139"/>
      <c r="L14" s="138"/>
      <c r="M14" s="138"/>
      <c r="N14" s="138"/>
      <c r="O14" s="139"/>
      <c r="P14" s="138"/>
      <c r="Q14" s="138"/>
      <c r="R14" s="138"/>
      <c r="S14" s="139"/>
      <c r="T14" s="181"/>
      <c r="U14" s="138"/>
      <c r="V14" s="138">
        <f>100/5</f>
        <v>20</v>
      </c>
      <c r="W14" s="139">
        <f t="shared" ref="W14" si="20">V14</f>
        <v>20</v>
      </c>
      <c r="X14" s="181">
        <f>W14</f>
        <v>20</v>
      </c>
      <c r="Y14" s="138">
        <f>X14</f>
        <v>20</v>
      </c>
      <c r="Z14" s="138">
        <f>Y14</f>
        <v>20</v>
      </c>
      <c r="AA14" s="182"/>
      <c r="AB14" s="181"/>
      <c r="AC14" s="138"/>
      <c r="AD14" s="138"/>
      <c r="AE14" s="139"/>
      <c r="AF14" s="181"/>
      <c r="AG14" s="138"/>
      <c r="AH14" s="138"/>
      <c r="AI14" s="139"/>
      <c r="AJ14" s="181"/>
      <c r="AK14" s="138"/>
      <c r="AL14" s="138"/>
      <c r="AM14" s="139"/>
      <c r="AN14" s="181"/>
      <c r="AO14" s="183"/>
      <c r="AP14" s="138"/>
      <c r="AQ14" s="139"/>
      <c r="AR14" s="181"/>
      <c r="AS14" s="138"/>
      <c r="AT14" s="138"/>
      <c r="AU14" s="139"/>
      <c r="AV14" s="181"/>
      <c r="AW14" s="138"/>
      <c r="AX14" s="138"/>
      <c r="AY14" s="139"/>
      <c r="AZ14" s="181"/>
      <c r="BA14" s="138"/>
      <c r="BB14" s="138"/>
      <c r="BC14" s="139"/>
      <c r="BD14" s="181"/>
      <c r="BE14" s="138"/>
      <c r="BF14" s="138"/>
      <c r="BG14" s="139"/>
      <c r="BH14" s="181"/>
      <c r="BI14" s="138"/>
      <c r="BJ14" s="138"/>
      <c r="BK14" s="139"/>
      <c r="BL14" s="181"/>
      <c r="BM14" s="138"/>
      <c r="BN14" s="138"/>
      <c r="BO14" s="139"/>
      <c r="BP14" s="181"/>
      <c r="BQ14" s="138"/>
      <c r="BR14" s="138"/>
      <c r="BS14" s="139"/>
      <c r="BT14" s="181"/>
      <c r="BU14" s="138"/>
      <c r="BV14" s="138"/>
      <c r="BW14" s="139"/>
      <c r="BX14" s="181"/>
      <c r="BY14" s="138"/>
      <c r="BZ14" s="138"/>
      <c r="CA14" s="139"/>
      <c r="CB14" s="181"/>
      <c r="CC14" s="138"/>
      <c r="CD14" s="138"/>
      <c r="CE14" s="223"/>
      <c r="CF14" s="243">
        <f t="shared" si="4"/>
        <v>100</v>
      </c>
    </row>
    <row r="15" spans="1:84" ht="30" customHeight="1">
      <c r="A15" s="173"/>
      <c r="B15" s="114"/>
      <c r="C15" s="121"/>
      <c r="D15" s="115">
        <f>D14</f>
        <v>6.9286735557531537E-2</v>
      </c>
      <c r="E15" s="116" t="s">
        <v>11</v>
      </c>
      <c r="F15" s="117">
        <f>G15*$C$14</f>
        <v>8375914.0300000003</v>
      </c>
      <c r="G15" s="239">
        <f t="shared" si="3"/>
        <v>1</v>
      </c>
      <c r="H15" s="224"/>
      <c r="I15" s="119"/>
      <c r="J15" s="119"/>
      <c r="K15" s="120"/>
      <c r="L15" s="122"/>
      <c r="M15" s="119"/>
      <c r="N15" s="119"/>
      <c r="O15" s="120"/>
      <c r="P15" s="123"/>
      <c r="Q15" s="118"/>
      <c r="R15" s="119"/>
      <c r="S15" s="120"/>
      <c r="T15" s="122"/>
      <c r="U15" s="184">
        <v>15</v>
      </c>
      <c r="V15" s="119">
        <v>13</v>
      </c>
      <c r="W15" s="120">
        <v>3</v>
      </c>
      <c r="X15" s="122">
        <v>15</v>
      </c>
      <c r="Y15" s="184">
        <v>16</v>
      </c>
      <c r="Z15" s="119">
        <v>38</v>
      </c>
      <c r="AA15" s="182"/>
      <c r="AB15" s="122"/>
      <c r="AC15" s="184"/>
      <c r="AD15" s="119"/>
      <c r="AE15" s="120"/>
      <c r="AF15" s="122"/>
      <c r="AG15" s="119"/>
      <c r="AH15" s="119"/>
      <c r="AI15" s="120"/>
      <c r="AJ15" s="122"/>
      <c r="AK15" s="119"/>
      <c r="AL15" s="119"/>
      <c r="AM15" s="120"/>
      <c r="AN15" s="122"/>
      <c r="AO15" s="183"/>
      <c r="AP15" s="119"/>
      <c r="AQ15" s="120"/>
      <c r="AR15" s="122"/>
      <c r="AS15" s="119"/>
      <c r="AT15" s="119"/>
      <c r="AU15" s="120"/>
      <c r="AV15" s="122"/>
      <c r="AW15" s="119"/>
      <c r="AX15" s="119"/>
      <c r="AY15" s="120"/>
      <c r="AZ15" s="122"/>
      <c r="BA15" s="119"/>
      <c r="BB15" s="119"/>
      <c r="BC15" s="120"/>
      <c r="BD15" s="122"/>
      <c r="BE15" s="119"/>
      <c r="BF15" s="119"/>
      <c r="BG15" s="120"/>
      <c r="BH15" s="122"/>
      <c r="BI15" s="119"/>
      <c r="BJ15" s="119"/>
      <c r="BK15" s="120"/>
      <c r="BL15" s="122"/>
      <c r="BM15" s="119"/>
      <c r="BN15" s="119"/>
      <c r="BO15" s="120"/>
      <c r="BP15" s="122"/>
      <c r="BQ15" s="119"/>
      <c r="BR15" s="119"/>
      <c r="BS15" s="120"/>
      <c r="BT15" s="122"/>
      <c r="BU15" s="119"/>
      <c r="BV15" s="119"/>
      <c r="BW15" s="120"/>
      <c r="BX15" s="122"/>
      <c r="BY15" s="119"/>
      <c r="BZ15" s="119"/>
      <c r="CA15" s="120"/>
      <c r="CB15" s="122"/>
      <c r="CC15" s="119"/>
      <c r="CD15" s="119"/>
      <c r="CE15" s="225"/>
      <c r="CF15" s="244">
        <f t="shared" si="4"/>
        <v>100</v>
      </c>
    </row>
    <row r="16" spans="1:84" ht="30" customHeight="1">
      <c r="A16" s="169">
        <v>2.2999999999999998</v>
      </c>
      <c r="B16" s="114" t="s">
        <v>17</v>
      </c>
      <c r="C16" s="134">
        <v>3045675.9</v>
      </c>
      <c r="D16" s="135">
        <f>C16/$C$86</f>
        <v>2.5194258193364818E-2</v>
      </c>
      <c r="E16" s="136" t="s">
        <v>10</v>
      </c>
      <c r="F16" s="137">
        <f>G16*$C$16</f>
        <v>3045675.9000000004</v>
      </c>
      <c r="G16" s="238">
        <f t="shared" si="3"/>
        <v>1.0000000000000002</v>
      </c>
      <c r="H16" s="222"/>
      <c r="I16" s="138"/>
      <c r="J16" s="138"/>
      <c r="K16" s="139"/>
      <c r="L16" s="138"/>
      <c r="M16" s="138"/>
      <c r="N16" s="138"/>
      <c r="O16" s="139"/>
      <c r="P16" s="138"/>
      <c r="Q16" s="138"/>
      <c r="R16" s="138"/>
      <c r="S16" s="139"/>
      <c r="T16" s="181"/>
      <c r="U16" s="138"/>
      <c r="V16" s="138"/>
      <c r="W16" s="139"/>
      <c r="X16" s="181"/>
      <c r="Y16" s="138"/>
      <c r="Z16" s="138"/>
      <c r="AA16" s="182"/>
      <c r="AB16" s="181">
        <f>100/6</f>
        <v>16.666666666666668</v>
      </c>
      <c r="AC16" s="138">
        <f>AB16</f>
        <v>16.666666666666668</v>
      </c>
      <c r="AD16" s="138">
        <f>AC16</f>
        <v>16.666666666666668</v>
      </c>
      <c r="AE16" s="139">
        <f>AD16</f>
        <v>16.666666666666668</v>
      </c>
      <c r="AF16" s="181">
        <f>AE16</f>
        <v>16.666666666666668</v>
      </c>
      <c r="AG16" s="138">
        <f>AF16</f>
        <v>16.666666666666668</v>
      </c>
      <c r="AH16" s="138"/>
      <c r="AI16" s="139"/>
      <c r="AJ16" s="181"/>
      <c r="AK16" s="138"/>
      <c r="AL16" s="138"/>
      <c r="AM16" s="139"/>
      <c r="AN16" s="181"/>
      <c r="AO16" s="183"/>
      <c r="AP16" s="138"/>
      <c r="AQ16" s="139"/>
      <c r="AR16" s="181"/>
      <c r="AS16" s="138"/>
      <c r="AT16" s="138"/>
      <c r="AU16" s="139"/>
      <c r="AV16" s="181"/>
      <c r="AW16" s="138"/>
      <c r="AX16" s="138"/>
      <c r="AY16" s="139"/>
      <c r="AZ16" s="181"/>
      <c r="BA16" s="138"/>
      <c r="BB16" s="138"/>
      <c r="BC16" s="139"/>
      <c r="BD16" s="181"/>
      <c r="BE16" s="138"/>
      <c r="BF16" s="138"/>
      <c r="BG16" s="139"/>
      <c r="BH16" s="181"/>
      <c r="BI16" s="138"/>
      <c r="BJ16" s="138"/>
      <c r="BK16" s="139"/>
      <c r="BL16" s="181"/>
      <c r="BM16" s="138"/>
      <c r="BN16" s="138"/>
      <c r="BO16" s="139"/>
      <c r="BP16" s="181"/>
      <c r="BQ16" s="138"/>
      <c r="BR16" s="138"/>
      <c r="BS16" s="139"/>
      <c r="BT16" s="181"/>
      <c r="BU16" s="138"/>
      <c r="BV16" s="138"/>
      <c r="BW16" s="139"/>
      <c r="BX16" s="181"/>
      <c r="BY16" s="138"/>
      <c r="BZ16" s="138"/>
      <c r="CA16" s="139"/>
      <c r="CB16" s="181"/>
      <c r="CC16" s="138"/>
      <c r="CD16" s="138"/>
      <c r="CE16" s="223"/>
      <c r="CF16" s="243">
        <f t="shared" si="4"/>
        <v>100.00000000000001</v>
      </c>
    </row>
    <row r="17" spans="1:84" ht="30" customHeight="1">
      <c r="A17" s="169"/>
      <c r="B17" s="114"/>
      <c r="C17" s="121"/>
      <c r="D17" s="115">
        <f>D16</f>
        <v>2.5194258193364818E-2</v>
      </c>
      <c r="E17" s="116" t="s">
        <v>11</v>
      </c>
      <c r="F17" s="117">
        <f>G17*$C$16</f>
        <v>3045675.9</v>
      </c>
      <c r="G17" s="239">
        <f t="shared" si="3"/>
        <v>1</v>
      </c>
      <c r="H17" s="224"/>
      <c r="I17" s="119"/>
      <c r="J17" s="119"/>
      <c r="K17" s="120"/>
      <c r="L17" s="122"/>
      <c r="M17" s="119"/>
      <c r="N17" s="119"/>
      <c r="O17" s="120"/>
      <c r="P17" s="123"/>
      <c r="Q17" s="118"/>
      <c r="R17" s="119"/>
      <c r="S17" s="120"/>
      <c r="T17" s="122"/>
      <c r="U17" s="184"/>
      <c r="V17" s="119"/>
      <c r="W17" s="120"/>
      <c r="X17" s="122"/>
      <c r="Y17" s="184"/>
      <c r="Z17" s="119"/>
      <c r="AA17" s="182"/>
      <c r="AB17" s="122">
        <v>2.2400000000000002</v>
      </c>
      <c r="AC17" s="184">
        <v>6.74</v>
      </c>
      <c r="AD17" s="119">
        <v>35.020000000000003</v>
      </c>
      <c r="AE17" s="120">
        <v>26</v>
      </c>
      <c r="AF17" s="122">
        <v>6</v>
      </c>
      <c r="AG17" s="119">
        <v>4</v>
      </c>
      <c r="AH17" s="119">
        <v>4</v>
      </c>
      <c r="AI17" s="120">
        <v>2</v>
      </c>
      <c r="AJ17" s="122">
        <v>8</v>
      </c>
      <c r="AK17" s="119">
        <v>6</v>
      </c>
      <c r="AL17" s="119"/>
      <c r="AM17" s="120"/>
      <c r="AN17" s="122"/>
      <c r="AO17" s="183"/>
      <c r="AP17" s="119"/>
      <c r="AQ17" s="120"/>
      <c r="AR17" s="122"/>
      <c r="AS17" s="119"/>
      <c r="AT17" s="119"/>
      <c r="AU17" s="120"/>
      <c r="AV17" s="122"/>
      <c r="AW17" s="119"/>
      <c r="AX17" s="119"/>
      <c r="AY17" s="120"/>
      <c r="AZ17" s="122"/>
      <c r="BA17" s="119"/>
      <c r="BB17" s="119"/>
      <c r="BC17" s="120"/>
      <c r="BD17" s="122"/>
      <c r="BE17" s="119"/>
      <c r="BF17" s="119"/>
      <c r="BG17" s="120"/>
      <c r="BH17" s="122"/>
      <c r="BI17" s="119"/>
      <c r="BJ17" s="119"/>
      <c r="BK17" s="120"/>
      <c r="BL17" s="122"/>
      <c r="BM17" s="119"/>
      <c r="BN17" s="119"/>
      <c r="BO17" s="120"/>
      <c r="BP17" s="122"/>
      <c r="BQ17" s="119"/>
      <c r="BR17" s="119"/>
      <c r="BS17" s="120"/>
      <c r="BT17" s="122"/>
      <c r="BU17" s="119"/>
      <c r="BV17" s="119"/>
      <c r="BW17" s="120"/>
      <c r="BX17" s="122"/>
      <c r="BY17" s="119"/>
      <c r="BZ17" s="119"/>
      <c r="CA17" s="120"/>
      <c r="CB17" s="122"/>
      <c r="CC17" s="119"/>
      <c r="CD17" s="119"/>
      <c r="CE17" s="225"/>
      <c r="CF17" s="244">
        <f t="shared" si="4"/>
        <v>100</v>
      </c>
    </row>
    <row r="18" spans="1:84" ht="30" customHeight="1">
      <c r="A18" s="172">
        <v>2.4</v>
      </c>
      <c r="B18" s="114" t="s">
        <v>18</v>
      </c>
      <c r="C18" s="134">
        <v>4095836.8</v>
      </c>
      <c r="D18" s="135">
        <f>C18/$C$86</f>
        <v>3.3881336440651853E-2</v>
      </c>
      <c r="E18" s="136" t="s">
        <v>10</v>
      </c>
      <c r="F18" s="137">
        <f>G18*$C$18</f>
        <v>4095836.8000000007</v>
      </c>
      <c r="G18" s="238">
        <f t="shared" si="3"/>
        <v>1.0000000000000002</v>
      </c>
      <c r="H18" s="222"/>
      <c r="I18" s="138"/>
      <c r="J18" s="138"/>
      <c r="K18" s="139"/>
      <c r="L18" s="138"/>
      <c r="M18" s="138"/>
      <c r="N18" s="138"/>
      <c r="O18" s="139"/>
      <c r="P18" s="138"/>
      <c r="Q18" s="138"/>
      <c r="R18" s="138"/>
      <c r="S18" s="139"/>
      <c r="T18" s="181"/>
      <c r="U18" s="138"/>
      <c r="V18" s="138"/>
      <c r="W18" s="139"/>
      <c r="X18" s="181"/>
      <c r="Y18" s="138"/>
      <c r="Z18" s="138"/>
      <c r="AA18" s="182"/>
      <c r="AB18" s="181"/>
      <c r="AC18" s="138">
        <f>100/7</f>
        <v>14.285714285714286</v>
      </c>
      <c r="AD18" s="138">
        <f t="shared" ref="AD18:AI18" si="21">AC18</f>
        <v>14.285714285714286</v>
      </c>
      <c r="AE18" s="139">
        <f t="shared" si="21"/>
        <v>14.285714285714286</v>
      </c>
      <c r="AF18" s="181">
        <f t="shared" si="21"/>
        <v>14.285714285714286</v>
      </c>
      <c r="AG18" s="138">
        <f t="shared" si="21"/>
        <v>14.285714285714286</v>
      </c>
      <c r="AH18" s="138">
        <f t="shared" si="21"/>
        <v>14.285714285714286</v>
      </c>
      <c r="AI18" s="139">
        <f t="shared" si="21"/>
        <v>14.285714285714286</v>
      </c>
      <c r="AJ18" s="181"/>
      <c r="AK18" s="138"/>
      <c r="AL18" s="138"/>
      <c r="AM18" s="139"/>
      <c r="AN18" s="181"/>
      <c r="AO18" s="183"/>
      <c r="AP18" s="138"/>
      <c r="AQ18" s="139"/>
      <c r="AR18" s="181"/>
      <c r="AS18" s="138"/>
      <c r="AT18" s="138"/>
      <c r="AU18" s="139"/>
      <c r="AV18" s="181"/>
      <c r="AW18" s="138"/>
      <c r="AX18" s="138"/>
      <c r="AY18" s="139"/>
      <c r="AZ18" s="181"/>
      <c r="BA18" s="138"/>
      <c r="BB18" s="138"/>
      <c r="BC18" s="139"/>
      <c r="BD18" s="181"/>
      <c r="BE18" s="138"/>
      <c r="BF18" s="138"/>
      <c r="BG18" s="139"/>
      <c r="BH18" s="181"/>
      <c r="BI18" s="138"/>
      <c r="BJ18" s="138"/>
      <c r="BK18" s="139"/>
      <c r="BL18" s="181"/>
      <c r="BM18" s="138"/>
      <c r="BN18" s="138"/>
      <c r="BO18" s="139"/>
      <c r="BP18" s="181"/>
      <c r="BQ18" s="138"/>
      <c r="BR18" s="138"/>
      <c r="BS18" s="139"/>
      <c r="BT18" s="181"/>
      <c r="BU18" s="138"/>
      <c r="BV18" s="138"/>
      <c r="BW18" s="139"/>
      <c r="BX18" s="181"/>
      <c r="BY18" s="138"/>
      <c r="BZ18" s="138"/>
      <c r="CA18" s="139"/>
      <c r="CB18" s="181"/>
      <c r="CC18" s="138"/>
      <c r="CD18" s="138"/>
      <c r="CE18" s="223"/>
      <c r="CF18" s="243">
        <f t="shared" si="4"/>
        <v>100.00000000000001</v>
      </c>
    </row>
    <row r="19" spans="1:84" ht="30" customHeight="1">
      <c r="A19" s="173"/>
      <c r="B19" s="114"/>
      <c r="C19" s="121"/>
      <c r="D19" s="115">
        <f>D18</f>
        <v>3.3881336440651853E-2</v>
      </c>
      <c r="E19" s="116" t="s">
        <v>11</v>
      </c>
      <c r="F19" s="117">
        <f>G19*$C$18</f>
        <v>4095836.8</v>
      </c>
      <c r="G19" s="239">
        <f t="shared" si="3"/>
        <v>1</v>
      </c>
      <c r="H19" s="224"/>
      <c r="I19" s="119"/>
      <c r="J19" s="119"/>
      <c r="K19" s="120"/>
      <c r="L19" s="122"/>
      <c r="M19" s="119"/>
      <c r="N19" s="119"/>
      <c r="O19" s="120"/>
      <c r="P19" s="123"/>
      <c r="Q19" s="118"/>
      <c r="R19" s="119"/>
      <c r="S19" s="120"/>
      <c r="T19" s="122"/>
      <c r="U19" s="184"/>
      <c r="V19" s="119"/>
      <c r="W19" s="120"/>
      <c r="X19" s="122"/>
      <c r="Y19" s="184"/>
      <c r="Z19" s="119"/>
      <c r="AA19" s="182"/>
      <c r="AB19" s="122"/>
      <c r="AC19" s="184"/>
      <c r="AD19" s="119"/>
      <c r="AE19" s="120"/>
      <c r="AF19" s="122">
        <v>10</v>
      </c>
      <c r="AG19" s="119">
        <v>10</v>
      </c>
      <c r="AH19" s="119">
        <v>10</v>
      </c>
      <c r="AI19" s="120">
        <v>20</v>
      </c>
      <c r="AJ19" s="122">
        <v>20</v>
      </c>
      <c r="AK19" s="119">
        <v>10</v>
      </c>
      <c r="AL19" s="119">
        <v>10</v>
      </c>
      <c r="AM19" s="120">
        <v>10</v>
      </c>
      <c r="AN19" s="122"/>
      <c r="AO19" s="183"/>
      <c r="AP19" s="119"/>
      <c r="AQ19" s="120"/>
      <c r="AR19" s="122"/>
      <c r="AS19" s="119"/>
      <c r="AT19" s="119"/>
      <c r="AU19" s="120"/>
      <c r="AV19" s="122"/>
      <c r="AW19" s="119"/>
      <c r="AX19" s="119"/>
      <c r="AY19" s="120"/>
      <c r="AZ19" s="122"/>
      <c r="BA19" s="119"/>
      <c r="BB19" s="119"/>
      <c r="BC19" s="120"/>
      <c r="BD19" s="122"/>
      <c r="BE19" s="119"/>
      <c r="BF19" s="119"/>
      <c r="BG19" s="120"/>
      <c r="BH19" s="122"/>
      <c r="BI19" s="119"/>
      <c r="BJ19" s="119"/>
      <c r="BK19" s="120"/>
      <c r="BL19" s="122"/>
      <c r="BM19" s="119"/>
      <c r="BN19" s="119"/>
      <c r="BO19" s="120"/>
      <c r="BP19" s="122"/>
      <c r="BQ19" s="119"/>
      <c r="BR19" s="119"/>
      <c r="BS19" s="120"/>
      <c r="BT19" s="122"/>
      <c r="BU19" s="119"/>
      <c r="BV19" s="119"/>
      <c r="BW19" s="120"/>
      <c r="BX19" s="122"/>
      <c r="BY19" s="119"/>
      <c r="BZ19" s="119"/>
      <c r="CA19" s="120"/>
      <c r="CB19" s="122"/>
      <c r="CC19" s="119"/>
      <c r="CD19" s="119"/>
      <c r="CE19" s="225"/>
      <c r="CF19" s="244">
        <f t="shared" si="4"/>
        <v>100</v>
      </c>
    </row>
    <row r="20" spans="1:84" ht="30" customHeight="1">
      <c r="A20" s="169">
        <v>2.5</v>
      </c>
      <c r="B20" s="114" t="s">
        <v>19</v>
      </c>
      <c r="C20" s="134">
        <v>17041214.300000001</v>
      </c>
      <c r="D20" s="135">
        <f>C20/$C$86</f>
        <v>0.14096731467805249</v>
      </c>
      <c r="E20" s="136" t="s">
        <v>10</v>
      </c>
      <c r="F20" s="137">
        <f>G20*$C$20</f>
        <v>17041214.300000001</v>
      </c>
      <c r="G20" s="238">
        <f t="shared" si="3"/>
        <v>1</v>
      </c>
      <c r="H20" s="222"/>
      <c r="I20" s="138"/>
      <c r="J20" s="138"/>
      <c r="K20" s="139"/>
      <c r="L20" s="138"/>
      <c r="M20" s="138"/>
      <c r="N20" s="138"/>
      <c r="O20" s="139"/>
      <c r="P20" s="138"/>
      <c r="Q20" s="138"/>
      <c r="R20" s="138"/>
      <c r="S20" s="139"/>
      <c r="T20" s="181"/>
      <c r="U20" s="138"/>
      <c r="V20" s="138"/>
      <c r="W20" s="139"/>
      <c r="X20" s="181"/>
      <c r="Y20" s="138"/>
      <c r="Z20" s="138"/>
      <c r="AA20" s="182"/>
      <c r="AB20" s="181"/>
      <c r="AC20" s="138"/>
      <c r="AD20" s="138"/>
      <c r="AE20" s="139"/>
      <c r="AF20" s="181"/>
      <c r="AG20" s="138"/>
      <c r="AH20" s="138"/>
      <c r="AI20" s="139"/>
      <c r="AJ20" s="181"/>
      <c r="AK20" s="138"/>
      <c r="AL20" s="138"/>
      <c r="AM20" s="139"/>
      <c r="AN20" s="181"/>
      <c r="AO20" s="183"/>
      <c r="AP20" s="138">
        <f>100/8</f>
        <v>12.5</v>
      </c>
      <c r="AQ20" s="139">
        <f t="shared" ref="AQ20:AW20" si="22">100/8</f>
        <v>12.5</v>
      </c>
      <c r="AR20" s="181">
        <f t="shared" si="22"/>
        <v>12.5</v>
      </c>
      <c r="AS20" s="138">
        <f t="shared" si="22"/>
        <v>12.5</v>
      </c>
      <c r="AT20" s="138">
        <f t="shared" si="22"/>
        <v>12.5</v>
      </c>
      <c r="AU20" s="139">
        <f t="shared" si="22"/>
        <v>12.5</v>
      </c>
      <c r="AV20" s="181">
        <f t="shared" si="22"/>
        <v>12.5</v>
      </c>
      <c r="AW20" s="138">
        <f t="shared" si="22"/>
        <v>12.5</v>
      </c>
      <c r="AX20" s="138"/>
      <c r="AY20" s="139"/>
      <c r="AZ20" s="181"/>
      <c r="BA20" s="138"/>
      <c r="BB20" s="138"/>
      <c r="BC20" s="139"/>
      <c r="BD20" s="181"/>
      <c r="BE20" s="138"/>
      <c r="BF20" s="138"/>
      <c r="BG20" s="139"/>
      <c r="BH20" s="181"/>
      <c r="BI20" s="138"/>
      <c r="BJ20" s="138"/>
      <c r="BK20" s="139"/>
      <c r="BL20" s="181"/>
      <c r="BM20" s="138"/>
      <c r="BN20" s="138"/>
      <c r="BO20" s="139"/>
      <c r="BP20" s="181"/>
      <c r="BQ20" s="138"/>
      <c r="BR20" s="138"/>
      <c r="BS20" s="139"/>
      <c r="BT20" s="181"/>
      <c r="BU20" s="138"/>
      <c r="BV20" s="138"/>
      <c r="BW20" s="139"/>
      <c r="BX20" s="181"/>
      <c r="BY20" s="138"/>
      <c r="BZ20" s="138"/>
      <c r="CA20" s="139"/>
      <c r="CB20" s="181"/>
      <c r="CC20" s="138"/>
      <c r="CD20" s="138"/>
      <c r="CE20" s="223"/>
      <c r="CF20" s="243">
        <f t="shared" si="4"/>
        <v>100</v>
      </c>
    </row>
    <row r="21" spans="1:84" ht="30" customHeight="1">
      <c r="A21" s="169"/>
      <c r="B21" s="114"/>
      <c r="C21" s="121"/>
      <c r="D21" s="115">
        <f>D20</f>
        <v>0.14096731467805249</v>
      </c>
      <c r="E21" s="116" t="s">
        <v>11</v>
      </c>
      <c r="F21" s="117">
        <f>G21*$C$20</f>
        <v>0</v>
      </c>
      <c r="G21" s="239">
        <f t="shared" si="3"/>
        <v>0</v>
      </c>
      <c r="H21" s="224"/>
      <c r="I21" s="119"/>
      <c r="J21" s="119"/>
      <c r="K21" s="120"/>
      <c r="L21" s="122"/>
      <c r="M21" s="119"/>
      <c r="N21" s="119"/>
      <c r="O21" s="120"/>
      <c r="P21" s="123"/>
      <c r="Q21" s="118"/>
      <c r="R21" s="119"/>
      <c r="S21" s="120"/>
      <c r="T21" s="122"/>
      <c r="U21" s="184"/>
      <c r="V21" s="119"/>
      <c r="W21" s="120"/>
      <c r="X21" s="122"/>
      <c r="Y21" s="184"/>
      <c r="Z21" s="119"/>
      <c r="AA21" s="182"/>
      <c r="AB21" s="122"/>
      <c r="AC21" s="184"/>
      <c r="AD21" s="119"/>
      <c r="AE21" s="120"/>
      <c r="AF21" s="122"/>
      <c r="AG21" s="119"/>
      <c r="AH21" s="119"/>
      <c r="AI21" s="120"/>
      <c r="AJ21" s="122"/>
      <c r="AK21" s="119"/>
      <c r="AL21" s="119"/>
      <c r="AM21" s="120"/>
      <c r="AN21" s="122"/>
      <c r="AO21" s="183"/>
      <c r="AP21" s="119"/>
      <c r="AQ21" s="120"/>
      <c r="AR21" s="122"/>
      <c r="AS21" s="119"/>
      <c r="AT21" s="119"/>
      <c r="AU21" s="120"/>
      <c r="AV21" s="122"/>
      <c r="AW21" s="119"/>
      <c r="AX21" s="119"/>
      <c r="AY21" s="120"/>
      <c r="AZ21" s="122"/>
      <c r="BA21" s="119"/>
      <c r="BB21" s="119"/>
      <c r="BC21" s="120"/>
      <c r="BD21" s="122"/>
      <c r="BE21" s="119"/>
      <c r="BF21" s="119"/>
      <c r="BG21" s="120"/>
      <c r="BH21" s="122"/>
      <c r="BI21" s="119"/>
      <c r="BJ21" s="119"/>
      <c r="BK21" s="120"/>
      <c r="BL21" s="122"/>
      <c r="BM21" s="119"/>
      <c r="BN21" s="119"/>
      <c r="BO21" s="120"/>
      <c r="BP21" s="122"/>
      <c r="BQ21" s="119"/>
      <c r="BR21" s="119"/>
      <c r="BS21" s="120"/>
      <c r="BT21" s="122"/>
      <c r="BU21" s="119"/>
      <c r="BV21" s="119"/>
      <c r="BW21" s="120"/>
      <c r="BX21" s="122"/>
      <c r="BY21" s="119"/>
      <c r="BZ21" s="119"/>
      <c r="CA21" s="120"/>
      <c r="CB21" s="122"/>
      <c r="CC21" s="119"/>
      <c r="CD21" s="119"/>
      <c r="CE21" s="225"/>
      <c r="CF21" s="244">
        <f t="shared" si="4"/>
        <v>0</v>
      </c>
    </row>
    <row r="22" spans="1:84" ht="30" customHeight="1">
      <c r="A22" s="172">
        <v>2.6</v>
      </c>
      <c r="B22" s="114" t="s">
        <v>20</v>
      </c>
      <c r="C22" s="134">
        <v>57078</v>
      </c>
      <c r="D22" s="135">
        <f>C22/$C$86</f>
        <v>4.7215722104931688E-4</v>
      </c>
      <c r="E22" s="136" t="s">
        <v>10</v>
      </c>
      <c r="F22" s="137">
        <f>G22*$C$22</f>
        <v>57078</v>
      </c>
      <c r="G22" s="238">
        <f t="shared" si="3"/>
        <v>1</v>
      </c>
      <c r="H22" s="222"/>
      <c r="I22" s="138"/>
      <c r="J22" s="138"/>
      <c r="K22" s="139"/>
      <c r="L22" s="138"/>
      <c r="M22" s="138"/>
      <c r="N22" s="138"/>
      <c r="O22" s="139"/>
      <c r="P22" s="138"/>
      <c r="Q22" s="138"/>
      <c r="R22" s="138"/>
      <c r="S22" s="139"/>
      <c r="T22" s="181"/>
      <c r="U22" s="138"/>
      <c r="V22" s="138"/>
      <c r="W22" s="139"/>
      <c r="X22" s="181"/>
      <c r="Y22" s="138"/>
      <c r="Z22" s="138"/>
      <c r="AA22" s="182"/>
      <c r="AB22" s="181"/>
      <c r="AC22" s="138"/>
      <c r="AD22" s="138"/>
      <c r="AE22" s="139"/>
      <c r="AF22" s="181"/>
      <c r="AG22" s="138"/>
      <c r="AH22" s="138"/>
      <c r="AI22" s="139"/>
      <c r="AJ22" s="181"/>
      <c r="AK22" s="138"/>
      <c r="AL22" s="138"/>
      <c r="AM22" s="139"/>
      <c r="AN22" s="181"/>
      <c r="AO22" s="183"/>
      <c r="AP22" s="138"/>
      <c r="AQ22" s="139"/>
      <c r="AR22" s="181">
        <f>100/4</f>
        <v>25</v>
      </c>
      <c r="AS22" s="138">
        <f t="shared" ref="AS22:AU22" si="23">100/4</f>
        <v>25</v>
      </c>
      <c r="AT22" s="138">
        <f t="shared" si="23"/>
        <v>25</v>
      </c>
      <c r="AU22" s="139">
        <f t="shared" si="23"/>
        <v>25</v>
      </c>
      <c r="AV22" s="181"/>
      <c r="AW22" s="138"/>
      <c r="AX22" s="138"/>
      <c r="AY22" s="139"/>
      <c r="AZ22" s="181"/>
      <c r="BA22" s="138"/>
      <c r="BB22" s="138"/>
      <c r="BC22" s="139"/>
      <c r="BD22" s="181"/>
      <c r="BE22" s="138"/>
      <c r="BF22" s="138"/>
      <c r="BG22" s="139"/>
      <c r="BH22" s="181"/>
      <c r="BI22" s="138"/>
      <c r="BJ22" s="138"/>
      <c r="BK22" s="139"/>
      <c r="BL22" s="181"/>
      <c r="BM22" s="138"/>
      <c r="BN22" s="138"/>
      <c r="BO22" s="139"/>
      <c r="BP22" s="181"/>
      <c r="BQ22" s="138"/>
      <c r="BR22" s="138"/>
      <c r="BS22" s="139"/>
      <c r="BT22" s="181"/>
      <c r="BU22" s="138"/>
      <c r="BV22" s="138"/>
      <c r="BW22" s="139"/>
      <c r="BX22" s="181"/>
      <c r="BY22" s="138"/>
      <c r="BZ22" s="138"/>
      <c r="CA22" s="139"/>
      <c r="CB22" s="181"/>
      <c r="CC22" s="138"/>
      <c r="CD22" s="138"/>
      <c r="CE22" s="223"/>
      <c r="CF22" s="243">
        <f t="shared" si="4"/>
        <v>100</v>
      </c>
    </row>
    <row r="23" spans="1:84" ht="30" customHeight="1">
      <c r="A23" s="173"/>
      <c r="B23" s="114"/>
      <c r="C23" s="121"/>
      <c r="D23" s="115">
        <f>D22</f>
        <v>4.7215722104931688E-4</v>
      </c>
      <c r="E23" s="116" t="s">
        <v>11</v>
      </c>
      <c r="F23" s="117">
        <f>G23*$C$22</f>
        <v>57078</v>
      </c>
      <c r="G23" s="239">
        <f t="shared" si="3"/>
        <v>1</v>
      </c>
      <c r="H23" s="224"/>
      <c r="I23" s="119"/>
      <c r="J23" s="119"/>
      <c r="K23" s="120"/>
      <c r="L23" s="122"/>
      <c r="M23" s="119"/>
      <c r="N23" s="119"/>
      <c r="O23" s="120"/>
      <c r="P23" s="123"/>
      <c r="Q23" s="118"/>
      <c r="R23" s="119"/>
      <c r="S23" s="120"/>
      <c r="T23" s="122"/>
      <c r="U23" s="184"/>
      <c r="V23" s="119"/>
      <c r="W23" s="120"/>
      <c r="X23" s="122"/>
      <c r="Y23" s="184"/>
      <c r="Z23" s="119"/>
      <c r="AA23" s="182"/>
      <c r="AB23" s="122"/>
      <c r="AC23" s="184"/>
      <c r="AD23" s="119"/>
      <c r="AE23" s="120"/>
      <c r="AF23" s="122"/>
      <c r="AG23" s="119"/>
      <c r="AH23" s="119"/>
      <c r="AI23" s="120"/>
      <c r="AJ23" s="122"/>
      <c r="AK23" s="119"/>
      <c r="AL23" s="119"/>
      <c r="AM23" s="120"/>
      <c r="AN23" s="122"/>
      <c r="AO23" s="183"/>
      <c r="AP23" s="119"/>
      <c r="AQ23" s="120"/>
      <c r="AR23" s="122">
        <v>25</v>
      </c>
      <c r="AS23" s="119">
        <v>25</v>
      </c>
      <c r="AT23" s="119">
        <v>25</v>
      </c>
      <c r="AU23" s="120">
        <v>25</v>
      </c>
      <c r="AV23" s="122"/>
      <c r="AW23" s="119"/>
      <c r="AX23" s="119"/>
      <c r="AY23" s="120"/>
      <c r="AZ23" s="122"/>
      <c r="BA23" s="119"/>
      <c r="BB23" s="119"/>
      <c r="BC23" s="120"/>
      <c r="BD23" s="122"/>
      <c r="BE23" s="119"/>
      <c r="BF23" s="119"/>
      <c r="BG23" s="120"/>
      <c r="BH23" s="122"/>
      <c r="BI23" s="119"/>
      <c r="BJ23" s="119"/>
      <c r="BK23" s="120"/>
      <c r="BL23" s="122"/>
      <c r="BM23" s="119"/>
      <c r="BN23" s="119"/>
      <c r="BO23" s="120"/>
      <c r="BP23" s="122"/>
      <c r="BQ23" s="119"/>
      <c r="BR23" s="119"/>
      <c r="BS23" s="120"/>
      <c r="BT23" s="122"/>
      <c r="BU23" s="119"/>
      <c r="BV23" s="119"/>
      <c r="BW23" s="120"/>
      <c r="BX23" s="122"/>
      <c r="BY23" s="119"/>
      <c r="BZ23" s="119"/>
      <c r="CA23" s="120"/>
      <c r="CB23" s="122"/>
      <c r="CC23" s="119"/>
      <c r="CD23" s="119"/>
      <c r="CE23" s="225"/>
      <c r="CF23" s="244">
        <f t="shared" si="4"/>
        <v>100</v>
      </c>
    </row>
    <row r="24" spans="1:84" ht="30" customHeight="1">
      <c r="A24" s="169">
        <v>2.7</v>
      </c>
      <c r="B24" s="114" t="s">
        <v>21</v>
      </c>
      <c r="C24" s="134">
        <v>66738.5</v>
      </c>
      <c r="D24" s="135">
        <f>C24/$C$86</f>
        <v>5.5207023191071577E-4</v>
      </c>
      <c r="E24" s="136" t="s">
        <v>10</v>
      </c>
      <c r="F24" s="137">
        <f>G24*$C$24</f>
        <v>66738.5</v>
      </c>
      <c r="G24" s="238">
        <f t="shared" si="3"/>
        <v>1</v>
      </c>
      <c r="H24" s="222"/>
      <c r="I24" s="138"/>
      <c r="J24" s="138"/>
      <c r="K24" s="139"/>
      <c r="L24" s="138"/>
      <c r="M24" s="138"/>
      <c r="N24" s="138"/>
      <c r="O24" s="139"/>
      <c r="P24" s="138"/>
      <c r="Q24" s="138"/>
      <c r="R24" s="138"/>
      <c r="S24" s="139"/>
      <c r="T24" s="181"/>
      <c r="U24" s="138"/>
      <c r="V24" s="138"/>
      <c r="W24" s="139"/>
      <c r="X24" s="181"/>
      <c r="Y24" s="138"/>
      <c r="Z24" s="138"/>
      <c r="AA24" s="182"/>
      <c r="AB24" s="181"/>
      <c r="AC24" s="138"/>
      <c r="AD24" s="138"/>
      <c r="AE24" s="139"/>
      <c r="AF24" s="181"/>
      <c r="AG24" s="138"/>
      <c r="AH24" s="138"/>
      <c r="AI24" s="139"/>
      <c r="AJ24" s="181"/>
      <c r="AK24" s="138"/>
      <c r="AL24" s="138"/>
      <c r="AM24" s="139"/>
      <c r="AN24" s="181"/>
      <c r="AO24" s="183"/>
      <c r="AP24" s="138"/>
      <c r="AQ24" s="139"/>
      <c r="AR24" s="181"/>
      <c r="AS24" s="138"/>
      <c r="AT24" s="138"/>
      <c r="AU24" s="139"/>
      <c r="AV24" s="181">
        <f>100/4</f>
        <v>25</v>
      </c>
      <c r="AW24" s="138">
        <f t="shared" ref="AW24:AY26" si="24">100/4</f>
        <v>25</v>
      </c>
      <c r="AX24" s="138">
        <f t="shared" si="24"/>
        <v>25</v>
      </c>
      <c r="AY24" s="139">
        <f t="shared" si="24"/>
        <v>25</v>
      </c>
      <c r="AZ24" s="181"/>
      <c r="BA24" s="138"/>
      <c r="BB24" s="138"/>
      <c r="BC24" s="139"/>
      <c r="BD24" s="181"/>
      <c r="BE24" s="138"/>
      <c r="BF24" s="138"/>
      <c r="BG24" s="139"/>
      <c r="BH24" s="181"/>
      <c r="BI24" s="138"/>
      <c r="BJ24" s="138"/>
      <c r="BK24" s="139"/>
      <c r="BL24" s="181"/>
      <c r="BM24" s="138"/>
      <c r="BN24" s="138"/>
      <c r="BO24" s="139"/>
      <c r="BP24" s="181"/>
      <c r="BQ24" s="138"/>
      <c r="BR24" s="138"/>
      <c r="BS24" s="139"/>
      <c r="BT24" s="181"/>
      <c r="BU24" s="138"/>
      <c r="BV24" s="138"/>
      <c r="BW24" s="139"/>
      <c r="BX24" s="181"/>
      <c r="BY24" s="138"/>
      <c r="BZ24" s="138"/>
      <c r="CA24" s="139"/>
      <c r="CB24" s="181"/>
      <c r="CC24" s="138"/>
      <c r="CD24" s="138"/>
      <c r="CE24" s="223"/>
      <c r="CF24" s="243">
        <f t="shared" si="4"/>
        <v>100</v>
      </c>
    </row>
    <row r="25" spans="1:84" ht="30" customHeight="1">
      <c r="A25" s="169"/>
      <c r="B25" s="114"/>
      <c r="C25" s="121"/>
      <c r="D25" s="115">
        <f>D24</f>
        <v>5.5207023191071577E-4</v>
      </c>
      <c r="E25" s="116" t="s">
        <v>11</v>
      </c>
      <c r="F25" s="117">
        <f>G25*$C$24</f>
        <v>66738.5</v>
      </c>
      <c r="G25" s="239">
        <f t="shared" si="3"/>
        <v>1</v>
      </c>
      <c r="H25" s="224"/>
      <c r="I25" s="119"/>
      <c r="J25" s="119"/>
      <c r="K25" s="120"/>
      <c r="L25" s="122"/>
      <c r="M25" s="119"/>
      <c r="N25" s="119"/>
      <c r="O25" s="120"/>
      <c r="P25" s="123"/>
      <c r="Q25" s="118"/>
      <c r="R25" s="119"/>
      <c r="S25" s="120"/>
      <c r="T25" s="122"/>
      <c r="U25" s="184"/>
      <c r="V25" s="119"/>
      <c r="W25" s="120"/>
      <c r="X25" s="122"/>
      <c r="Y25" s="184"/>
      <c r="Z25" s="119"/>
      <c r="AA25" s="182"/>
      <c r="AB25" s="122"/>
      <c r="AC25" s="184"/>
      <c r="AD25" s="119"/>
      <c r="AE25" s="120"/>
      <c r="AF25" s="122"/>
      <c r="AG25" s="119"/>
      <c r="AH25" s="119"/>
      <c r="AI25" s="120"/>
      <c r="AJ25" s="122"/>
      <c r="AK25" s="119"/>
      <c r="AL25" s="119"/>
      <c r="AM25" s="120"/>
      <c r="AN25" s="122"/>
      <c r="AO25" s="183"/>
      <c r="AP25" s="119"/>
      <c r="AQ25" s="120"/>
      <c r="AR25" s="122"/>
      <c r="AS25" s="119"/>
      <c r="AT25" s="119"/>
      <c r="AU25" s="120"/>
      <c r="AV25" s="122"/>
      <c r="AW25" s="119"/>
      <c r="AX25" s="119"/>
      <c r="AY25" s="120"/>
      <c r="AZ25" s="122"/>
      <c r="BA25" s="119"/>
      <c r="BB25" s="119"/>
      <c r="BC25" s="120"/>
      <c r="BD25" s="122"/>
      <c r="BE25" s="119"/>
      <c r="BF25" s="119"/>
      <c r="BG25" s="120"/>
      <c r="BH25" s="122">
        <v>25</v>
      </c>
      <c r="BI25" s="119">
        <v>25</v>
      </c>
      <c r="BJ25" s="119"/>
      <c r="BK25" s="120"/>
      <c r="BL25" s="122">
        <v>10</v>
      </c>
      <c r="BM25" s="119"/>
      <c r="BN25" s="119"/>
      <c r="BO25" s="120"/>
      <c r="BP25" s="122"/>
      <c r="BQ25" s="119">
        <v>40</v>
      </c>
      <c r="BR25" s="119"/>
      <c r="BS25" s="120"/>
      <c r="BT25" s="122"/>
      <c r="BU25" s="119"/>
      <c r="BV25" s="119"/>
      <c r="BW25" s="120"/>
      <c r="BX25" s="122"/>
      <c r="BY25" s="119"/>
      <c r="BZ25" s="119"/>
      <c r="CA25" s="120"/>
      <c r="CB25" s="122"/>
      <c r="CC25" s="119"/>
      <c r="CD25" s="119"/>
      <c r="CE25" s="225"/>
      <c r="CF25" s="244">
        <f t="shared" si="4"/>
        <v>100</v>
      </c>
    </row>
    <row r="26" spans="1:84" ht="30" customHeight="1">
      <c r="A26" s="172">
        <v>2.8</v>
      </c>
      <c r="B26" s="114" t="s">
        <v>22</v>
      </c>
      <c r="C26" s="134">
        <v>242035.7</v>
      </c>
      <c r="D26" s="135">
        <f>C26/$C$86</f>
        <v>2.0021532553124873E-3</v>
      </c>
      <c r="E26" s="136" t="s">
        <v>10</v>
      </c>
      <c r="F26" s="137">
        <f>G26*$C$26</f>
        <v>242035.7</v>
      </c>
      <c r="G26" s="238">
        <f t="shared" si="3"/>
        <v>1</v>
      </c>
      <c r="H26" s="222"/>
      <c r="I26" s="138"/>
      <c r="J26" s="138"/>
      <c r="K26" s="139"/>
      <c r="L26" s="138"/>
      <c r="M26" s="138"/>
      <c r="N26" s="138"/>
      <c r="O26" s="139"/>
      <c r="P26" s="138"/>
      <c r="Q26" s="138"/>
      <c r="R26" s="138"/>
      <c r="S26" s="139"/>
      <c r="T26" s="181"/>
      <c r="U26" s="138"/>
      <c r="V26" s="138"/>
      <c r="W26" s="139"/>
      <c r="X26" s="181"/>
      <c r="Y26" s="138"/>
      <c r="Z26" s="138"/>
      <c r="AA26" s="182"/>
      <c r="AB26" s="181"/>
      <c r="AC26" s="138"/>
      <c r="AD26" s="138"/>
      <c r="AE26" s="139"/>
      <c r="AF26" s="181"/>
      <c r="AG26" s="138"/>
      <c r="AH26" s="138"/>
      <c r="AI26" s="139"/>
      <c r="AJ26" s="181"/>
      <c r="AK26" s="138"/>
      <c r="AL26" s="138"/>
      <c r="AM26" s="139"/>
      <c r="AN26" s="181"/>
      <c r="AO26" s="183"/>
      <c r="AP26" s="138"/>
      <c r="AQ26" s="139"/>
      <c r="AR26" s="181"/>
      <c r="AS26" s="138"/>
      <c r="AT26" s="138"/>
      <c r="AU26" s="139"/>
      <c r="AV26" s="181">
        <f>100/4</f>
        <v>25</v>
      </c>
      <c r="AW26" s="138">
        <f t="shared" si="24"/>
        <v>25</v>
      </c>
      <c r="AX26" s="138">
        <f t="shared" si="24"/>
        <v>25</v>
      </c>
      <c r="AY26" s="139">
        <f t="shared" si="24"/>
        <v>25</v>
      </c>
      <c r="AZ26" s="181"/>
      <c r="BA26" s="138"/>
      <c r="BB26" s="138"/>
      <c r="BC26" s="139"/>
      <c r="BD26" s="181"/>
      <c r="BE26" s="138"/>
      <c r="BF26" s="138"/>
      <c r="BG26" s="139"/>
      <c r="BH26" s="181"/>
      <c r="BI26" s="138"/>
      <c r="BJ26" s="138"/>
      <c r="BK26" s="139"/>
      <c r="BL26" s="181"/>
      <c r="BM26" s="138"/>
      <c r="BN26" s="138"/>
      <c r="BO26" s="139"/>
      <c r="BP26" s="181"/>
      <c r="BQ26" s="138"/>
      <c r="BR26" s="138"/>
      <c r="BS26" s="139"/>
      <c r="BT26" s="181"/>
      <c r="BU26" s="138"/>
      <c r="BV26" s="138"/>
      <c r="BW26" s="139"/>
      <c r="BX26" s="181"/>
      <c r="BY26" s="138"/>
      <c r="BZ26" s="138"/>
      <c r="CA26" s="139"/>
      <c r="CB26" s="181"/>
      <c r="CC26" s="138"/>
      <c r="CD26" s="138"/>
      <c r="CE26" s="223"/>
      <c r="CF26" s="243">
        <f t="shared" si="4"/>
        <v>100</v>
      </c>
    </row>
    <row r="27" spans="1:84" ht="30" customHeight="1">
      <c r="A27" s="173"/>
      <c r="B27" s="114"/>
      <c r="C27" s="121"/>
      <c r="D27" s="115">
        <f>D26</f>
        <v>2.0021532553124873E-3</v>
      </c>
      <c r="E27" s="116" t="s">
        <v>11</v>
      </c>
      <c r="F27" s="117">
        <f>G27*$C$26</f>
        <v>242035.7</v>
      </c>
      <c r="G27" s="239">
        <f t="shared" si="3"/>
        <v>1</v>
      </c>
      <c r="H27" s="224"/>
      <c r="I27" s="119"/>
      <c r="J27" s="119"/>
      <c r="K27" s="120"/>
      <c r="L27" s="122"/>
      <c r="M27" s="119"/>
      <c r="N27" s="119"/>
      <c r="O27" s="120"/>
      <c r="P27" s="123"/>
      <c r="Q27" s="118"/>
      <c r="R27" s="119"/>
      <c r="S27" s="120"/>
      <c r="T27" s="122"/>
      <c r="U27" s="184"/>
      <c r="V27" s="119"/>
      <c r="W27" s="120"/>
      <c r="X27" s="122"/>
      <c r="Y27" s="184"/>
      <c r="Z27" s="119"/>
      <c r="AA27" s="182"/>
      <c r="AB27" s="122"/>
      <c r="AC27" s="184"/>
      <c r="AD27" s="119"/>
      <c r="AE27" s="120"/>
      <c r="AF27" s="122"/>
      <c r="AG27" s="119"/>
      <c r="AH27" s="119"/>
      <c r="AI27" s="120"/>
      <c r="AJ27" s="122"/>
      <c r="AK27" s="119"/>
      <c r="AL27" s="119"/>
      <c r="AM27" s="120"/>
      <c r="AN27" s="122"/>
      <c r="AO27" s="183"/>
      <c r="AP27" s="119"/>
      <c r="AQ27" s="120"/>
      <c r="AR27" s="122"/>
      <c r="AS27" s="119"/>
      <c r="AT27" s="119"/>
      <c r="AU27" s="120"/>
      <c r="AV27" s="122"/>
      <c r="AW27" s="119"/>
      <c r="AX27" s="119"/>
      <c r="AY27" s="120"/>
      <c r="AZ27" s="122"/>
      <c r="BA27" s="119"/>
      <c r="BB27" s="119"/>
      <c r="BC27" s="120"/>
      <c r="BD27" s="122"/>
      <c r="BE27" s="119"/>
      <c r="BF27" s="119"/>
      <c r="BG27" s="120"/>
      <c r="BH27" s="122">
        <v>25</v>
      </c>
      <c r="BI27" s="119">
        <v>25</v>
      </c>
      <c r="BJ27" s="119"/>
      <c r="BK27" s="120"/>
      <c r="BL27" s="122">
        <v>10</v>
      </c>
      <c r="BM27" s="119"/>
      <c r="BN27" s="119"/>
      <c r="BO27" s="120"/>
      <c r="BP27" s="122">
        <v>15</v>
      </c>
      <c r="BQ27" s="119">
        <v>25</v>
      </c>
      <c r="BR27" s="119"/>
      <c r="BS27" s="120"/>
      <c r="BT27" s="122"/>
      <c r="BU27" s="119"/>
      <c r="BV27" s="119"/>
      <c r="BW27" s="120"/>
      <c r="BX27" s="122"/>
      <c r="BY27" s="119"/>
      <c r="BZ27" s="119"/>
      <c r="CA27" s="120"/>
      <c r="CB27" s="122"/>
      <c r="CC27" s="119"/>
      <c r="CD27" s="119"/>
      <c r="CE27" s="225"/>
      <c r="CF27" s="244">
        <f t="shared" si="4"/>
        <v>100</v>
      </c>
    </row>
    <row r="28" spans="1:84" ht="30" customHeight="1">
      <c r="A28" s="174">
        <v>2.1</v>
      </c>
      <c r="B28" s="114" t="s">
        <v>23</v>
      </c>
      <c r="C28" s="134">
        <v>1352696</v>
      </c>
      <c r="D28" s="135">
        <f>C28/$C$86</f>
        <v>1.1189691024291789E-2</v>
      </c>
      <c r="E28" s="136" t="s">
        <v>10</v>
      </c>
      <c r="F28" s="137">
        <f>G28*$C$28</f>
        <v>1352696</v>
      </c>
      <c r="G28" s="238">
        <f t="shared" si="3"/>
        <v>1</v>
      </c>
      <c r="H28" s="222"/>
      <c r="I28" s="138"/>
      <c r="J28" s="138"/>
      <c r="K28" s="139"/>
      <c r="L28" s="138"/>
      <c r="M28" s="138"/>
      <c r="N28" s="138"/>
      <c r="O28" s="139"/>
      <c r="P28" s="138"/>
      <c r="Q28" s="138"/>
      <c r="R28" s="138"/>
      <c r="S28" s="139"/>
      <c r="T28" s="181"/>
      <c r="U28" s="138"/>
      <c r="V28" s="138"/>
      <c r="W28" s="139"/>
      <c r="X28" s="181"/>
      <c r="Y28" s="138"/>
      <c r="Z28" s="138"/>
      <c r="AA28" s="182"/>
      <c r="AB28" s="181"/>
      <c r="AC28" s="138"/>
      <c r="AD28" s="138"/>
      <c r="AE28" s="139"/>
      <c r="AF28" s="181"/>
      <c r="AG28" s="138"/>
      <c r="AH28" s="138"/>
      <c r="AI28" s="139"/>
      <c r="AJ28" s="181"/>
      <c r="AK28" s="138"/>
      <c r="AL28" s="138"/>
      <c r="AM28" s="139"/>
      <c r="AN28" s="181"/>
      <c r="AO28" s="183"/>
      <c r="AP28" s="138"/>
      <c r="AQ28" s="139"/>
      <c r="AR28" s="181"/>
      <c r="AS28" s="138"/>
      <c r="AT28" s="138"/>
      <c r="AU28" s="139"/>
      <c r="AV28" s="181"/>
      <c r="AW28" s="138"/>
      <c r="AX28" s="138"/>
      <c r="AY28" s="139"/>
      <c r="AZ28" s="181"/>
      <c r="BA28" s="138"/>
      <c r="BB28" s="138"/>
      <c r="BC28" s="139"/>
      <c r="BD28" s="181">
        <v>25</v>
      </c>
      <c r="BE28" s="138">
        <v>25</v>
      </c>
      <c r="BF28" s="138">
        <v>25</v>
      </c>
      <c r="BG28" s="139">
        <v>25</v>
      </c>
      <c r="BH28" s="181"/>
      <c r="BI28" s="138"/>
      <c r="BJ28" s="138"/>
      <c r="BK28" s="139"/>
      <c r="BL28" s="181"/>
      <c r="BM28" s="138"/>
      <c r="BN28" s="138"/>
      <c r="BO28" s="139"/>
      <c r="BP28" s="181"/>
      <c r="BQ28" s="138"/>
      <c r="BR28" s="138"/>
      <c r="BS28" s="139"/>
      <c r="BT28" s="181"/>
      <c r="BU28" s="138"/>
      <c r="BV28" s="138"/>
      <c r="BW28" s="139"/>
      <c r="BX28" s="181"/>
      <c r="BY28" s="138"/>
      <c r="BZ28" s="138"/>
      <c r="CA28" s="139"/>
      <c r="CB28" s="181"/>
      <c r="CC28" s="138"/>
      <c r="CD28" s="138"/>
      <c r="CE28" s="223"/>
      <c r="CF28" s="243">
        <f t="shared" si="4"/>
        <v>100</v>
      </c>
    </row>
    <row r="29" spans="1:84" ht="30" customHeight="1">
      <c r="A29" s="175"/>
      <c r="B29" s="114"/>
      <c r="C29" s="121"/>
      <c r="D29" s="115">
        <f>D28</f>
        <v>1.1189691024291789E-2</v>
      </c>
      <c r="E29" s="116" t="s">
        <v>11</v>
      </c>
      <c r="F29" s="117">
        <f>G29*$C$28</f>
        <v>0</v>
      </c>
      <c r="G29" s="239">
        <f t="shared" si="3"/>
        <v>0</v>
      </c>
      <c r="H29" s="224"/>
      <c r="I29" s="119"/>
      <c r="J29" s="119"/>
      <c r="K29" s="120"/>
      <c r="L29" s="122"/>
      <c r="M29" s="119"/>
      <c r="N29" s="119"/>
      <c r="O29" s="120"/>
      <c r="P29" s="123"/>
      <c r="Q29" s="118"/>
      <c r="R29" s="119"/>
      <c r="S29" s="120"/>
      <c r="T29" s="122"/>
      <c r="U29" s="184"/>
      <c r="V29" s="119"/>
      <c r="W29" s="120"/>
      <c r="X29" s="122"/>
      <c r="Y29" s="184"/>
      <c r="Z29" s="119"/>
      <c r="AA29" s="182"/>
      <c r="AB29" s="122"/>
      <c r="AC29" s="184"/>
      <c r="AD29" s="119"/>
      <c r="AE29" s="120"/>
      <c r="AF29" s="122"/>
      <c r="AG29" s="119"/>
      <c r="AH29" s="119"/>
      <c r="AI29" s="120"/>
      <c r="AJ29" s="122"/>
      <c r="AK29" s="119"/>
      <c r="AL29" s="119"/>
      <c r="AM29" s="120"/>
      <c r="AN29" s="122"/>
      <c r="AO29" s="183"/>
      <c r="AP29" s="119"/>
      <c r="AQ29" s="120"/>
      <c r="AR29" s="122"/>
      <c r="AS29" s="119"/>
      <c r="AT29" s="119"/>
      <c r="AU29" s="120"/>
      <c r="AV29" s="122"/>
      <c r="AW29" s="119"/>
      <c r="AX29" s="119"/>
      <c r="AY29" s="120"/>
      <c r="AZ29" s="122"/>
      <c r="BA29" s="119"/>
      <c r="BB29" s="119"/>
      <c r="BC29" s="120"/>
      <c r="BD29" s="122"/>
      <c r="BE29" s="119"/>
      <c r="BF29" s="119"/>
      <c r="BG29" s="120"/>
      <c r="BH29" s="122"/>
      <c r="BI29" s="119"/>
      <c r="BJ29" s="119"/>
      <c r="BK29" s="120"/>
      <c r="BL29" s="122"/>
      <c r="BM29" s="119"/>
      <c r="BN29" s="119"/>
      <c r="BO29" s="120"/>
      <c r="BP29" s="122"/>
      <c r="BQ29" s="119"/>
      <c r="BR29" s="119"/>
      <c r="BS29" s="120"/>
      <c r="BT29" s="122"/>
      <c r="BU29" s="119"/>
      <c r="BV29" s="119"/>
      <c r="BW29" s="120"/>
      <c r="BX29" s="122"/>
      <c r="BY29" s="119"/>
      <c r="BZ29" s="119"/>
      <c r="CA29" s="120"/>
      <c r="CB29" s="122"/>
      <c r="CC29" s="119"/>
      <c r="CD29" s="119"/>
      <c r="CE29" s="225"/>
      <c r="CF29" s="244">
        <f t="shared" si="4"/>
        <v>0</v>
      </c>
    </row>
    <row r="30" spans="1:84" ht="30" customHeight="1">
      <c r="A30" s="176">
        <v>3</v>
      </c>
      <c r="B30" s="124" t="s">
        <v>24</v>
      </c>
      <c r="C30" s="134"/>
      <c r="D30" s="135"/>
      <c r="E30" s="136"/>
      <c r="F30" s="137"/>
      <c r="G30" s="238"/>
      <c r="H30" s="222"/>
      <c r="I30" s="138"/>
      <c r="J30" s="138"/>
      <c r="K30" s="139"/>
      <c r="L30" s="138"/>
      <c r="M30" s="138"/>
      <c r="N30" s="138"/>
      <c r="O30" s="139"/>
      <c r="P30" s="138"/>
      <c r="Q30" s="138"/>
      <c r="R30" s="138"/>
      <c r="S30" s="139"/>
      <c r="T30" s="181"/>
      <c r="U30" s="138"/>
      <c r="V30" s="138"/>
      <c r="W30" s="139"/>
      <c r="X30" s="181"/>
      <c r="Y30" s="138"/>
      <c r="Z30" s="138"/>
      <c r="AA30" s="182"/>
      <c r="AB30" s="181"/>
      <c r="AC30" s="138"/>
      <c r="AD30" s="138"/>
      <c r="AE30" s="139"/>
      <c r="AF30" s="181"/>
      <c r="AG30" s="138"/>
      <c r="AH30" s="138"/>
      <c r="AI30" s="139"/>
      <c r="AJ30" s="181"/>
      <c r="AK30" s="138"/>
      <c r="AL30" s="138"/>
      <c r="AM30" s="139"/>
      <c r="AN30" s="181"/>
      <c r="AO30" s="183"/>
      <c r="AP30" s="138"/>
      <c r="AQ30" s="139"/>
      <c r="AR30" s="181"/>
      <c r="AS30" s="138"/>
      <c r="AT30" s="138"/>
      <c r="AU30" s="139"/>
      <c r="AV30" s="181"/>
      <c r="AW30" s="138"/>
      <c r="AX30" s="138"/>
      <c r="AY30" s="139"/>
      <c r="AZ30" s="181"/>
      <c r="BA30" s="138"/>
      <c r="BB30" s="138"/>
      <c r="BC30" s="139"/>
      <c r="BD30" s="181"/>
      <c r="BE30" s="138"/>
      <c r="BF30" s="138"/>
      <c r="BG30" s="139"/>
      <c r="BH30" s="181"/>
      <c r="BI30" s="138"/>
      <c r="BJ30" s="138"/>
      <c r="BK30" s="139"/>
      <c r="BL30" s="181"/>
      <c r="BM30" s="138"/>
      <c r="BN30" s="138"/>
      <c r="BO30" s="139"/>
      <c r="BP30" s="181"/>
      <c r="BQ30" s="138"/>
      <c r="BR30" s="138"/>
      <c r="BS30" s="139"/>
      <c r="BT30" s="181"/>
      <c r="BU30" s="138"/>
      <c r="BV30" s="138"/>
      <c r="BW30" s="139"/>
      <c r="BX30" s="181"/>
      <c r="BY30" s="138"/>
      <c r="BZ30" s="138"/>
      <c r="CA30" s="139"/>
      <c r="CB30" s="181"/>
      <c r="CC30" s="138"/>
      <c r="CD30" s="138"/>
      <c r="CE30" s="223"/>
      <c r="CF30" s="243">
        <f t="shared" si="4"/>
        <v>0</v>
      </c>
    </row>
    <row r="31" spans="1:84" ht="30" customHeight="1">
      <c r="A31" s="171"/>
      <c r="B31" s="126"/>
      <c r="C31" s="121"/>
      <c r="D31" s="115"/>
      <c r="E31" s="116"/>
      <c r="F31" s="117"/>
      <c r="G31" s="239"/>
      <c r="H31" s="224"/>
      <c r="I31" s="119"/>
      <c r="J31" s="119"/>
      <c r="K31" s="120"/>
      <c r="L31" s="122"/>
      <c r="M31" s="119"/>
      <c r="N31" s="119"/>
      <c r="O31" s="120"/>
      <c r="P31" s="123"/>
      <c r="Q31" s="118"/>
      <c r="R31" s="119"/>
      <c r="S31" s="120"/>
      <c r="T31" s="122"/>
      <c r="U31" s="184"/>
      <c r="V31" s="119"/>
      <c r="W31" s="120"/>
      <c r="X31" s="122"/>
      <c r="Y31" s="184"/>
      <c r="Z31" s="119"/>
      <c r="AA31" s="182"/>
      <c r="AB31" s="122"/>
      <c r="AC31" s="184"/>
      <c r="AD31" s="119"/>
      <c r="AE31" s="120"/>
      <c r="AF31" s="122"/>
      <c r="AG31" s="119"/>
      <c r="AH31" s="119"/>
      <c r="AI31" s="120"/>
      <c r="AJ31" s="122"/>
      <c r="AK31" s="119"/>
      <c r="AL31" s="119"/>
      <c r="AM31" s="120"/>
      <c r="AN31" s="122"/>
      <c r="AO31" s="183"/>
      <c r="AP31" s="119"/>
      <c r="AQ31" s="120"/>
      <c r="AR31" s="122"/>
      <c r="AS31" s="119"/>
      <c r="AT31" s="119"/>
      <c r="AU31" s="120"/>
      <c r="AV31" s="122"/>
      <c r="AW31" s="119"/>
      <c r="AX31" s="119"/>
      <c r="AY31" s="120"/>
      <c r="AZ31" s="122"/>
      <c r="BA31" s="119"/>
      <c r="BB31" s="119"/>
      <c r="BC31" s="120"/>
      <c r="BD31" s="122"/>
      <c r="BE31" s="119"/>
      <c r="BF31" s="119"/>
      <c r="BG31" s="120"/>
      <c r="BH31" s="122"/>
      <c r="BI31" s="119"/>
      <c r="BJ31" s="119"/>
      <c r="BK31" s="120"/>
      <c r="BL31" s="122"/>
      <c r="BM31" s="119"/>
      <c r="BN31" s="119"/>
      <c r="BO31" s="120"/>
      <c r="BP31" s="122"/>
      <c r="BQ31" s="119"/>
      <c r="BR31" s="119"/>
      <c r="BS31" s="120"/>
      <c r="BT31" s="122"/>
      <c r="BU31" s="119"/>
      <c r="BV31" s="119"/>
      <c r="BW31" s="120"/>
      <c r="BX31" s="122"/>
      <c r="BY31" s="119"/>
      <c r="BZ31" s="119"/>
      <c r="CA31" s="120"/>
      <c r="CB31" s="122"/>
      <c r="CC31" s="119"/>
      <c r="CD31" s="119"/>
      <c r="CE31" s="225"/>
      <c r="CF31" s="244">
        <f t="shared" si="4"/>
        <v>0</v>
      </c>
    </row>
    <row r="32" spans="1:84" ht="30" customHeight="1">
      <c r="A32" s="177" t="s">
        <v>25</v>
      </c>
      <c r="B32" s="127" t="s">
        <v>26</v>
      </c>
      <c r="C32" s="134"/>
      <c r="D32" s="135"/>
      <c r="E32" s="136"/>
      <c r="F32" s="137"/>
      <c r="G32" s="238"/>
      <c r="H32" s="222"/>
      <c r="I32" s="138"/>
      <c r="J32" s="138"/>
      <c r="K32" s="139"/>
      <c r="L32" s="138"/>
      <c r="M32" s="138"/>
      <c r="N32" s="138"/>
      <c r="O32" s="139"/>
      <c r="P32" s="138"/>
      <c r="Q32" s="138"/>
      <c r="R32" s="138"/>
      <c r="S32" s="139"/>
      <c r="T32" s="181"/>
      <c r="U32" s="138"/>
      <c r="V32" s="138"/>
      <c r="W32" s="139"/>
      <c r="X32" s="181"/>
      <c r="Y32" s="138"/>
      <c r="Z32" s="138"/>
      <c r="AA32" s="182"/>
      <c r="AB32" s="181"/>
      <c r="AC32" s="138"/>
      <c r="AD32" s="138"/>
      <c r="AE32" s="139"/>
      <c r="AF32" s="181"/>
      <c r="AG32" s="138"/>
      <c r="AH32" s="138"/>
      <c r="AI32" s="139"/>
      <c r="AJ32" s="181"/>
      <c r="AK32" s="138"/>
      <c r="AL32" s="138"/>
      <c r="AM32" s="139"/>
      <c r="AN32" s="181"/>
      <c r="AO32" s="183"/>
      <c r="AP32" s="138"/>
      <c r="AQ32" s="139"/>
      <c r="AR32" s="181"/>
      <c r="AS32" s="138"/>
      <c r="AT32" s="138"/>
      <c r="AU32" s="139"/>
      <c r="AV32" s="181"/>
      <c r="AW32" s="138"/>
      <c r="AX32" s="138"/>
      <c r="AY32" s="139"/>
      <c r="AZ32" s="181"/>
      <c r="BA32" s="138"/>
      <c r="BB32" s="138"/>
      <c r="BC32" s="139"/>
      <c r="BD32" s="181"/>
      <c r="BE32" s="138"/>
      <c r="BF32" s="138"/>
      <c r="BG32" s="139"/>
      <c r="BH32" s="181"/>
      <c r="BI32" s="138"/>
      <c r="BJ32" s="138"/>
      <c r="BK32" s="139"/>
      <c r="BL32" s="181"/>
      <c r="BM32" s="138"/>
      <c r="BN32" s="138"/>
      <c r="BO32" s="139"/>
      <c r="BP32" s="181"/>
      <c r="BQ32" s="138"/>
      <c r="BR32" s="138"/>
      <c r="BS32" s="139"/>
      <c r="BT32" s="181"/>
      <c r="BU32" s="138"/>
      <c r="BV32" s="138"/>
      <c r="BW32" s="139"/>
      <c r="BX32" s="181"/>
      <c r="BY32" s="138"/>
      <c r="BZ32" s="138"/>
      <c r="CA32" s="139"/>
      <c r="CB32" s="181"/>
      <c r="CC32" s="138"/>
      <c r="CD32" s="138"/>
      <c r="CE32" s="223"/>
      <c r="CF32" s="243">
        <f t="shared" si="4"/>
        <v>0</v>
      </c>
    </row>
    <row r="33" spans="1:84" ht="30" customHeight="1">
      <c r="A33" s="178"/>
      <c r="B33" s="128"/>
      <c r="C33" s="121"/>
      <c r="D33" s="115"/>
      <c r="E33" s="116"/>
      <c r="F33" s="117"/>
      <c r="G33" s="239"/>
      <c r="H33" s="224"/>
      <c r="I33" s="119"/>
      <c r="J33" s="119"/>
      <c r="K33" s="120"/>
      <c r="L33" s="122"/>
      <c r="M33" s="119"/>
      <c r="N33" s="119"/>
      <c r="O33" s="120"/>
      <c r="P33" s="123"/>
      <c r="Q33" s="118"/>
      <c r="R33" s="119"/>
      <c r="S33" s="120"/>
      <c r="T33" s="122"/>
      <c r="U33" s="184"/>
      <c r="V33" s="119"/>
      <c r="W33" s="120"/>
      <c r="X33" s="122"/>
      <c r="Y33" s="184"/>
      <c r="Z33" s="119"/>
      <c r="AA33" s="182"/>
      <c r="AB33" s="122"/>
      <c r="AC33" s="184"/>
      <c r="AD33" s="119"/>
      <c r="AE33" s="120"/>
      <c r="AF33" s="122"/>
      <c r="AG33" s="119"/>
      <c r="AH33" s="119"/>
      <c r="AI33" s="120"/>
      <c r="AJ33" s="122"/>
      <c r="AK33" s="119"/>
      <c r="AL33" s="119"/>
      <c r="AM33" s="120"/>
      <c r="AN33" s="122"/>
      <c r="AO33" s="183"/>
      <c r="AP33" s="119"/>
      <c r="AQ33" s="120"/>
      <c r="AR33" s="122"/>
      <c r="AS33" s="119"/>
      <c r="AT33" s="119"/>
      <c r="AU33" s="120"/>
      <c r="AV33" s="122"/>
      <c r="AW33" s="119"/>
      <c r="AX33" s="119"/>
      <c r="AY33" s="120"/>
      <c r="AZ33" s="122"/>
      <c r="BA33" s="119"/>
      <c r="BB33" s="119"/>
      <c r="BC33" s="120"/>
      <c r="BD33" s="122"/>
      <c r="BE33" s="119"/>
      <c r="BF33" s="119"/>
      <c r="BG33" s="120"/>
      <c r="BH33" s="122"/>
      <c r="BI33" s="119"/>
      <c r="BJ33" s="119"/>
      <c r="BK33" s="120"/>
      <c r="BL33" s="122"/>
      <c r="BM33" s="119"/>
      <c r="BN33" s="119"/>
      <c r="BO33" s="120"/>
      <c r="BP33" s="122"/>
      <c r="BQ33" s="119"/>
      <c r="BR33" s="119"/>
      <c r="BS33" s="120"/>
      <c r="BT33" s="122"/>
      <c r="BU33" s="119"/>
      <c r="BV33" s="119"/>
      <c r="BW33" s="120"/>
      <c r="BX33" s="122"/>
      <c r="BY33" s="119"/>
      <c r="BZ33" s="119"/>
      <c r="CA33" s="120"/>
      <c r="CB33" s="122"/>
      <c r="CC33" s="119"/>
      <c r="CD33" s="119"/>
      <c r="CE33" s="225"/>
      <c r="CF33" s="244">
        <f t="shared" si="4"/>
        <v>0</v>
      </c>
    </row>
    <row r="34" spans="1:84" ht="30" customHeight="1">
      <c r="A34" s="169">
        <v>3.1</v>
      </c>
      <c r="B34" s="114" t="s">
        <v>27</v>
      </c>
      <c r="C34" s="134">
        <v>11322420</v>
      </c>
      <c r="D34" s="135">
        <f>C34/$C$86</f>
        <v>9.3660646181597224E-2</v>
      </c>
      <c r="E34" s="136" t="s">
        <v>10</v>
      </c>
      <c r="F34" s="137">
        <f>G34*$C$34</f>
        <v>11322419.999999998</v>
      </c>
      <c r="G34" s="238">
        <f t="shared" si="3"/>
        <v>0.99999999999999989</v>
      </c>
      <c r="H34" s="222"/>
      <c r="I34" s="138"/>
      <c r="J34" s="138"/>
      <c r="K34" s="139"/>
      <c r="L34" s="138"/>
      <c r="M34" s="138"/>
      <c r="N34" s="138"/>
      <c r="O34" s="139"/>
      <c r="P34" s="138"/>
      <c r="Q34" s="138"/>
      <c r="R34" s="138"/>
      <c r="S34" s="139"/>
      <c r="T34" s="181"/>
      <c r="U34" s="138"/>
      <c r="V34" s="138"/>
      <c r="W34" s="139"/>
      <c r="X34" s="181"/>
      <c r="Y34" s="138"/>
      <c r="Z34" s="138"/>
      <c r="AA34" s="182"/>
      <c r="AB34" s="181"/>
      <c r="AC34" s="138"/>
      <c r="AD34" s="138"/>
      <c r="AE34" s="139"/>
      <c r="AF34" s="181"/>
      <c r="AG34" s="138"/>
      <c r="AH34" s="138"/>
      <c r="AI34" s="139"/>
      <c r="AJ34" s="181"/>
      <c r="AK34" s="138"/>
      <c r="AL34" s="138"/>
      <c r="AM34" s="139"/>
      <c r="AN34" s="181"/>
      <c r="AO34" s="183"/>
      <c r="AP34" s="138"/>
      <c r="AQ34" s="139"/>
      <c r="AR34" s="181"/>
      <c r="AS34" s="138"/>
      <c r="AT34" s="138"/>
      <c r="AU34" s="139"/>
      <c r="AV34" s="181">
        <f>100/14</f>
        <v>7.1428571428571432</v>
      </c>
      <c r="AW34" s="138">
        <f t="shared" ref="AW34:BI34" si="25">100/14</f>
        <v>7.1428571428571432</v>
      </c>
      <c r="AX34" s="138">
        <f t="shared" si="25"/>
        <v>7.1428571428571432</v>
      </c>
      <c r="AY34" s="139">
        <f t="shared" si="25"/>
        <v>7.1428571428571432</v>
      </c>
      <c r="AZ34" s="181">
        <f t="shared" si="25"/>
        <v>7.1428571428571432</v>
      </c>
      <c r="BA34" s="138">
        <f t="shared" si="25"/>
        <v>7.1428571428571432</v>
      </c>
      <c r="BB34" s="138">
        <f t="shared" si="25"/>
        <v>7.1428571428571432</v>
      </c>
      <c r="BC34" s="139">
        <f t="shared" si="25"/>
        <v>7.1428571428571432</v>
      </c>
      <c r="BD34" s="181">
        <f>100/14</f>
        <v>7.1428571428571432</v>
      </c>
      <c r="BE34" s="138">
        <f>100/14</f>
        <v>7.1428571428571432</v>
      </c>
      <c r="BF34" s="138">
        <f t="shared" si="25"/>
        <v>7.1428571428571432</v>
      </c>
      <c r="BG34" s="139">
        <f t="shared" si="25"/>
        <v>7.1428571428571432</v>
      </c>
      <c r="BH34" s="181">
        <f t="shared" si="25"/>
        <v>7.1428571428571432</v>
      </c>
      <c r="BI34" s="138">
        <f t="shared" si="25"/>
        <v>7.1428571428571432</v>
      </c>
      <c r="BJ34" s="138"/>
      <c r="BK34" s="139"/>
      <c r="BL34" s="181"/>
      <c r="BM34" s="138"/>
      <c r="BN34" s="138"/>
      <c r="BO34" s="139"/>
      <c r="BP34" s="181"/>
      <c r="BQ34" s="138"/>
      <c r="BR34" s="138"/>
      <c r="BS34" s="139"/>
      <c r="BT34" s="181"/>
      <c r="BU34" s="138"/>
      <c r="BV34" s="138"/>
      <c r="BW34" s="139"/>
      <c r="BX34" s="181"/>
      <c r="BY34" s="138"/>
      <c r="BZ34" s="138"/>
      <c r="CA34" s="139"/>
      <c r="CB34" s="181"/>
      <c r="CC34" s="138"/>
      <c r="CD34" s="138"/>
      <c r="CE34" s="223"/>
      <c r="CF34" s="243">
        <f t="shared" ref="CF34:CF61" si="26">SUM(H34:CE34)</f>
        <v>99.999999999999986</v>
      </c>
    </row>
    <row r="35" spans="1:84" ht="30" customHeight="1">
      <c r="A35" s="169"/>
      <c r="B35" s="114"/>
      <c r="C35" s="121"/>
      <c r="D35" s="115">
        <f>D34</f>
        <v>9.3660646181597224E-2</v>
      </c>
      <c r="E35" s="116" t="s">
        <v>11</v>
      </c>
      <c r="F35" s="117">
        <f>G35*$C$34/10</f>
        <v>0</v>
      </c>
      <c r="G35" s="239">
        <f t="shared" si="3"/>
        <v>0</v>
      </c>
      <c r="H35" s="224"/>
      <c r="I35" s="119"/>
      <c r="J35" s="119"/>
      <c r="K35" s="120"/>
      <c r="L35" s="122"/>
      <c r="M35" s="119"/>
      <c r="N35" s="119"/>
      <c r="O35" s="120"/>
      <c r="P35" s="123"/>
      <c r="Q35" s="118"/>
      <c r="R35" s="119"/>
      <c r="S35" s="120"/>
      <c r="T35" s="122"/>
      <c r="U35" s="184"/>
      <c r="V35" s="119"/>
      <c r="W35" s="120"/>
      <c r="X35" s="122"/>
      <c r="Y35" s="184"/>
      <c r="Z35" s="119"/>
      <c r="AA35" s="182"/>
      <c r="AB35" s="122"/>
      <c r="AC35" s="184"/>
      <c r="AD35" s="119"/>
      <c r="AE35" s="120"/>
      <c r="AF35" s="122"/>
      <c r="AG35" s="119"/>
      <c r="AH35" s="119"/>
      <c r="AI35" s="120"/>
      <c r="AJ35" s="122"/>
      <c r="AK35" s="119"/>
      <c r="AL35" s="119"/>
      <c r="AM35" s="120"/>
      <c r="AN35" s="122"/>
      <c r="AO35" s="183"/>
      <c r="AP35" s="119"/>
      <c r="AQ35" s="120"/>
      <c r="AR35" s="122"/>
      <c r="AS35" s="119"/>
      <c r="AT35" s="119"/>
      <c r="AU35" s="120"/>
      <c r="AV35" s="122"/>
      <c r="AW35" s="119"/>
      <c r="AX35" s="119"/>
      <c r="AY35" s="120"/>
      <c r="AZ35" s="122"/>
      <c r="BA35" s="119"/>
      <c r="BB35" s="119"/>
      <c r="BC35" s="120"/>
      <c r="BD35" s="122"/>
      <c r="BE35" s="119"/>
      <c r="BF35" s="119"/>
      <c r="BG35" s="120"/>
      <c r="BH35" s="122"/>
      <c r="BI35" s="119"/>
      <c r="BJ35" s="119"/>
      <c r="BK35" s="120"/>
      <c r="BL35" s="122"/>
      <c r="BM35" s="119"/>
      <c r="BN35" s="119"/>
      <c r="BO35" s="120"/>
      <c r="BP35" s="122"/>
      <c r="BQ35" s="119"/>
      <c r="BR35" s="119"/>
      <c r="BS35" s="120"/>
      <c r="BT35" s="122"/>
      <c r="BU35" s="119"/>
      <c r="BV35" s="119"/>
      <c r="BW35" s="120"/>
      <c r="BX35" s="122"/>
      <c r="BY35" s="119"/>
      <c r="BZ35" s="119"/>
      <c r="CA35" s="120"/>
      <c r="CB35" s="122"/>
      <c r="CC35" s="119"/>
      <c r="CD35" s="119"/>
      <c r="CE35" s="225"/>
      <c r="CF35" s="244">
        <f t="shared" si="26"/>
        <v>0</v>
      </c>
    </row>
    <row r="36" spans="1:84" ht="30" customHeight="1">
      <c r="A36" s="169">
        <v>3.2</v>
      </c>
      <c r="B36" s="114" t="s">
        <v>28</v>
      </c>
      <c r="C36" s="134">
        <v>27880</v>
      </c>
      <c r="D36" s="135">
        <f>C36/$C$86</f>
        <v>2.3062727010152696E-4</v>
      </c>
      <c r="E36" s="136" t="s">
        <v>10</v>
      </c>
      <c r="F36" s="137">
        <f>G36*$C$36</f>
        <v>27880</v>
      </c>
      <c r="G36" s="238">
        <f t="shared" si="3"/>
        <v>1</v>
      </c>
      <c r="H36" s="222"/>
      <c r="I36" s="138"/>
      <c r="J36" s="138"/>
      <c r="K36" s="139"/>
      <c r="L36" s="138"/>
      <c r="M36" s="138"/>
      <c r="N36" s="138"/>
      <c r="O36" s="139"/>
      <c r="P36" s="138"/>
      <c r="Q36" s="138"/>
      <c r="R36" s="138"/>
      <c r="S36" s="139"/>
      <c r="T36" s="181"/>
      <c r="U36" s="138"/>
      <c r="V36" s="138"/>
      <c r="W36" s="139"/>
      <c r="X36" s="181"/>
      <c r="Y36" s="138"/>
      <c r="Z36" s="138"/>
      <c r="AA36" s="182"/>
      <c r="AB36" s="181"/>
      <c r="AC36" s="138"/>
      <c r="AD36" s="138"/>
      <c r="AE36" s="139"/>
      <c r="AF36" s="181"/>
      <c r="AG36" s="138"/>
      <c r="AH36" s="138"/>
      <c r="AI36" s="139"/>
      <c r="AJ36" s="181"/>
      <c r="AK36" s="138"/>
      <c r="AL36" s="138"/>
      <c r="AM36" s="139"/>
      <c r="AN36" s="181"/>
      <c r="AO36" s="183"/>
      <c r="AP36" s="138"/>
      <c r="AQ36" s="139"/>
      <c r="AR36" s="181"/>
      <c r="AS36" s="138"/>
      <c r="AT36" s="138"/>
      <c r="AU36" s="139"/>
      <c r="AV36" s="181"/>
      <c r="AW36" s="138"/>
      <c r="AX36" s="138">
        <f>100/8</f>
        <v>12.5</v>
      </c>
      <c r="AY36" s="139">
        <f t="shared" ref="AY36:BE36" si="27">100/8</f>
        <v>12.5</v>
      </c>
      <c r="AZ36" s="181">
        <f t="shared" si="27"/>
        <v>12.5</v>
      </c>
      <c r="BA36" s="138">
        <f t="shared" si="27"/>
        <v>12.5</v>
      </c>
      <c r="BB36" s="138">
        <f t="shared" si="27"/>
        <v>12.5</v>
      </c>
      <c r="BC36" s="139">
        <f t="shared" si="27"/>
        <v>12.5</v>
      </c>
      <c r="BD36" s="181">
        <f t="shared" si="27"/>
        <v>12.5</v>
      </c>
      <c r="BE36" s="138">
        <f t="shared" si="27"/>
        <v>12.5</v>
      </c>
      <c r="BF36" s="138"/>
      <c r="BG36" s="139"/>
      <c r="BH36" s="181"/>
      <c r="BI36" s="138"/>
      <c r="BJ36" s="138"/>
      <c r="BK36" s="139"/>
      <c r="BL36" s="181"/>
      <c r="BM36" s="138"/>
      <c r="BN36" s="138"/>
      <c r="BO36" s="139"/>
      <c r="BP36" s="181"/>
      <c r="BQ36" s="138"/>
      <c r="BR36" s="138"/>
      <c r="BS36" s="139"/>
      <c r="BT36" s="181"/>
      <c r="BU36" s="138"/>
      <c r="BV36" s="138"/>
      <c r="BW36" s="139"/>
      <c r="BX36" s="181"/>
      <c r="BY36" s="138"/>
      <c r="BZ36" s="138"/>
      <c r="CA36" s="139"/>
      <c r="CB36" s="181"/>
      <c r="CC36" s="138"/>
      <c r="CD36" s="138"/>
      <c r="CE36" s="223"/>
      <c r="CF36" s="243">
        <f t="shared" si="26"/>
        <v>100</v>
      </c>
    </row>
    <row r="37" spans="1:84" ht="30" customHeight="1">
      <c r="A37" s="169"/>
      <c r="B37" s="114"/>
      <c r="C37" s="121"/>
      <c r="D37" s="115">
        <f>D36</f>
        <v>2.3062727010152696E-4</v>
      </c>
      <c r="E37" s="116" t="s">
        <v>11</v>
      </c>
      <c r="F37" s="117">
        <f>G37*$C$36</f>
        <v>27880</v>
      </c>
      <c r="G37" s="239">
        <f t="shared" si="3"/>
        <v>1</v>
      </c>
      <c r="H37" s="224"/>
      <c r="I37" s="119"/>
      <c r="J37" s="119"/>
      <c r="K37" s="120"/>
      <c r="L37" s="122"/>
      <c r="M37" s="119"/>
      <c r="N37" s="119"/>
      <c r="O37" s="120"/>
      <c r="P37" s="123"/>
      <c r="Q37" s="118"/>
      <c r="R37" s="119"/>
      <c r="S37" s="120"/>
      <c r="T37" s="122"/>
      <c r="U37" s="184"/>
      <c r="V37" s="119"/>
      <c r="W37" s="120"/>
      <c r="X37" s="122"/>
      <c r="Y37" s="184"/>
      <c r="Z37" s="119"/>
      <c r="AA37" s="182"/>
      <c r="AB37" s="122"/>
      <c r="AC37" s="184"/>
      <c r="AD37" s="119"/>
      <c r="AE37" s="120"/>
      <c r="AF37" s="122"/>
      <c r="AG37" s="119"/>
      <c r="AH37" s="119"/>
      <c r="AI37" s="120"/>
      <c r="AJ37" s="122"/>
      <c r="AK37" s="119"/>
      <c r="AL37" s="119"/>
      <c r="AM37" s="120"/>
      <c r="AN37" s="122"/>
      <c r="AO37" s="183"/>
      <c r="AP37" s="119"/>
      <c r="AQ37" s="120"/>
      <c r="AR37" s="122"/>
      <c r="AS37" s="119"/>
      <c r="AT37" s="119"/>
      <c r="AU37" s="120"/>
      <c r="AV37" s="122"/>
      <c r="AW37" s="119"/>
      <c r="AX37" s="119"/>
      <c r="AY37" s="120"/>
      <c r="AZ37" s="122"/>
      <c r="BA37" s="119"/>
      <c r="BB37" s="119"/>
      <c r="BC37" s="120"/>
      <c r="BD37" s="122"/>
      <c r="BE37" s="119"/>
      <c r="BF37" s="119"/>
      <c r="BG37" s="120"/>
      <c r="BH37" s="122"/>
      <c r="BI37" s="119"/>
      <c r="BJ37" s="119"/>
      <c r="BK37" s="120"/>
      <c r="BL37" s="122"/>
      <c r="BM37" s="119"/>
      <c r="BN37" s="119"/>
      <c r="BO37" s="120"/>
      <c r="BP37" s="122"/>
      <c r="BQ37" s="119"/>
      <c r="BR37" s="119">
        <v>100</v>
      </c>
      <c r="BS37" s="120"/>
      <c r="BT37" s="122"/>
      <c r="BU37" s="119"/>
      <c r="BV37" s="119"/>
      <c r="BW37" s="120"/>
      <c r="BX37" s="122"/>
      <c r="BY37" s="119"/>
      <c r="BZ37" s="119"/>
      <c r="CA37" s="120"/>
      <c r="CB37" s="122"/>
      <c r="CC37" s="119"/>
      <c r="CD37" s="119"/>
      <c r="CE37" s="225"/>
      <c r="CF37" s="244">
        <f t="shared" si="26"/>
        <v>100</v>
      </c>
    </row>
    <row r="38" spans="1:84" ht="30" customHeight="1">
      <c r="A38" s="169">
        <v>3.3</v>
      </c>
      <c r="B38" s="147" t="s">
        <v>29</v>
      </c>
      <c r="C38" s="134">
        <v>9512634</v>
      </c>
      <c r="D38" s="135">
        <f>C38/$C$86</f>
        <v>7.8689842571555549E-2</v>
      </c>
      <c r="E38" s="136" t="s">
        <v>10</v>
      </c>
      <c r="F38" s="137">
        <f>G38*$C$38</f>
        <v>9512634.0000000019</v>
      </c>
      <c r="G38" s="238">
        <f t="shared" si="3"/>
        <v>1.0000000000000002</v>
      </c>
      <c r="H38" s="222"/>
      <c r="I38" s="138"/>
      <c r="J38" s="138"/>
      <c r="K38" s="139"/>
      <c r="L38" s="138"/>
      <c r="M38" s="138"/>
      <c r="N38" s="138"/>
      <c r="O38" s="139"/>
      <c r="P38" s="138"/>
      <c r="Q38" s="138"/>
      <c r="R38" s="138"/>
      <c r="S38" s="139"/>
      <c r="T38" s="181"/>
      <c r="U38" s="138"/>
      <c r="V38" s="138"/>
      <c r="W38" s="139"/>
      <c r="X38" s="181"/>
      <c r="Y38" s="138"/>
      <c r="Z38" s="138"/>
      <c r="AA38" s="182"/>
      <c r="AB38" s="181"/>
      <c r="AC38" s="138"/>
      <c r="AD38" s="138"/>
      <c r="AE38" s="139"/>
      <c r="AF38" s="181"/>
      <c r="AG38" s="138"/>
      <c r="AH38" s="138"/>
      <c r="AI38" s="139"/>
      <c r="AJ38" s="181"/>
      <c r="AK38" s="138"/>
      <c r="AL38" s="138"/>
      <c r="AM38" s="139"/>
      <c r="AN38" s="181">
        <f t="shared" ref="AN38:AT38" si="28">100/6</f>
        <v>16.666666666666668</v>
      </c>
      <c r="AO38" s="183"/>
      <c r="AP38" s="138">
        <f t="shared" si="28"/>
        <v>16.666666666666668</v>
      </c>
      <c r="AQ38" s="139">
        <f t="shared" si="28"/>
        <v>16.666666666666668</v>
      </c>
      <c r="AR38" s="181">
        <f t="shared" si="28"/>
        <v>16.666666666666668</v>
      </c>
      <c r="AS38" s="138">
        <f t="shared" si="28"/>
        <v>16.666666666666668</v>
      </c>
      <c r="AT38" s="138">
        <f t="shared" si="28"/>
        <v>16.666666666666668</v>
      </c>
      <c r="AU38" s="139"/>
      <c r="AV38" s="181"/>
      <c r="AW38" s="138"/>
      <c r="AX38" s="138"/>
      <c r="AY38" s="139"/>
      <c r="AZ38" s="181"/>
      <c r="BA38" s="138"/>
      <c r="BB38" s="138"/>
      <c r="BC38" s="139"/>
      <c r="BD38" s="181"/>
      <c r="BE38" s="138"/>
      <c r="BF38" s="138"/>
      <c r="BG38" s="139"/>
      <c r="BH38" s="181"/>
      <c r="BI38" s="138"/>
      <c r="BJ38" s="138"/>
      <c r="BK38" s="139"/>
      <c r="BL38" s="181"/>
      <c r="BM38" s="138"/>
      <c r="BN38" s="138"/>
      <c r="BO38" s="139"/>
      <c r="BP38" s="181"/>
      <c r="BQ38" s="138"/>
      <c r="BR38" s="138"/>
      <c r="BS38" s="139"/>
      <c r="BT38" s="181"/>
      <c r="BU38" s="138"/>
      <c r="BV38" s="138"/>
      <c r="BW38" s="139"/>
      <c r="BX38" s="181"/>
      <c r="BY38" s="138"/>
      <c r="BZ38" s="138"/>
      <c r="CA38" s="139"/>
      <c r="CB38" s="181"/>
      <c r="CC38" s="138"/>
      <c r="CD38" s="138"/>
      <c r="CE38" s="223"/>
      <c r="CF38" s="243">
        <f t="shared" ref="CF38:CF39" si="29">SUM(H38:CE38)</f>
        <v>100.00000000000001</v>
      </c>
    </row>
    <row r="39" spans="1:84" ht="30" customHeight="1">
      <c r="A39" s="169"/>
      <c r="B39" s="149"/>
      <c r="C39" s="121"/>
      <c r="D39" s="115">
        <f>D38</f>
        <v>7.8689842571555549E-2</v>
      </c>
      <c r="E39" s="116" t="s">
        <v>11</v>
      </c>
      <c r="F39" s="117">
        <f>G39*$C$38</f>
        <v>0</v>
      </c>
      <c r="G39" s="239">
        <f t="shared" si="3"/>
        <v>0</v>
      </c>
      <c r="H39" s="224"/>
      <c r="I39" s="119"/>
      <c r="J39" s="119"/>
      <c r="K39" s="120"/>
      <c r="L39" s="122"/>
      <c r="M39" s="119"/>
      <c r="N39" s="119"/>
      <c r="O39" s="120"/>
      <c r="P39" s="123"/>
      <c r="Q39" s="118"/>
      <c r="R39" s="119"/>
      <c r="S39" s="120"/>
      <c r="T39" s="122"/>
      <c r="U39" s="184"/>
      <c r="V39" s="119"/>
      <c r="W39" s="120"/>
      <c r="X39" s="122"/>
      <c r="Y39" s="184"/>
      <c r="Z39" s="119"/>
      <c r="AA39" s="182"/>
      <c r="AB39" s="122"/>
      <c r="AC39" s="184"/>
      <c r="AD39" s="119"/>
      <c r="AE39" s="120"/>
      <c r="AF39" s="122"/>
      <c r="AG39" s="119"/>
      <c r="AH39" s="119"/>
      <c r="AI39" s="120"/>
      <c r="AJ39" s="122"/>
      <c r="AK39" s="119"/>
      <c r="AL39" s="119"/>
      <c r="AM39" s="120"/>
      <c r="AN39" s="122"/>
      <c r="AO39" s="183"/>
      <c r="AP39" s="119"/>
      <c r="AQ39" s="120"/>
      <c r="AR39" s="122"/>
      <c r="AS39" s="119"/>
      <c r="AT39" s="119"/>
      <c r="AU39" s="120"/>
      <c r="AV39" s="122"/>
      <c r="AW39" s="119"/>
      <c r="AX39" s="119"/>
      <c r="AY39" s="120"/>
      <c r="AZ39" s="122"/>
      <c r="BA39" s="119"/>
      <c r="BB39" s="119"/>
      <c r="BC39" s="120"/>
      <c r="BD39" s="122"/>
      <c r="BE39" s="119"/>
      <c r="BF39" s="119"/>
      <c r="BG39" s="120"/>
      <c r="BH39" s="122"/>
      <c r="BI39" s="119"/>
      <c r="BJ39" s="119"/>
      <c r="BK39" s="120"/>
      <c r="BL39" s="122"/>
      <c r="BM39" s="119"/>
      <c r="BN39" s="119"/>
      <c r="BO39" s="120"/>
      <c r="BP39" s="122"/>
      <c r="BQ39" s="119"/>
      <c r="BR39" s="119"/>
      <c r="BS39" s="120"/>
      <c r="BT39" s="122"/>
      <c r="BU39" s="119"/>
      <c r="BV39" s="119"/>
      <c r="BW39" s="120"/>
      <c r="BX39" s="122"/>
      <c r="BY39" s="119"/>
      <c r="BZ39" s="119"/>
      <c r="CA39" s="120"/>
      <c r="CB39" s="122"/>
      <c r="CC39" s="119"/>
      <c r="CD39" s="119"/>
      <c r="CE39" s="225"/>
      <c r="CF39" s="244">
        <f t="shared" si="29"/>
        <v>0</v>
      </c>
    </row>
    <row r="40" spans="1:84" ht="30" customHeight="1">
      <c r="A40" s="169">
        <v>3.4</v>
      </c>
      <c r="B40" s="114" t="s">
        <v>30</v>
      </c>
      <c r="C40" s="134">
        <v>31320</v>
      </c>
      <c r="D40" s="135">
        <f>C40/$C$86</f>
        <v>2.5908343255307833E-4</v>
      </c>
      <c r="E40" s="136" t="s">
        <v>10</v>
      </c>
      <c r="F40" s="137">
        <f>G40*$C$40</f>
        <v>31320</v>
      </c>
      <c r="G40" s="238">
        <f t="shared" si="3"/>
        <v>1</v>
      </c>
      <c r="H40" s="222"/>
      <c r="I40" s="138"/>
      <c r="J40" s="138"/>
      <c r="K40" s="139"/>
      <c r="L40" s="138"/>
      <c r="M40" s="138"/>
      <c r="N40" s="138"/>
      <c r="O40" s="139"/>
      <c r="P40" s="138"/>
      <c r="Q40" s="138"/>
      <c r="R40" s="138"/>
      <c r="S40" s="139"/>
      <c r="T40" s="181"/>
      <c r="U40" s="138"/>
      <c r="V40" s="138"/>
      <c r="W40" s="139"/>
      <c r="X40" s="181"/>
      <c r="Y40" s="138"/>
      <c r="Z40" s="138"/>
      <c r="AA40" s="182"/>
      <c r="AB40" s="181"/>
      <c r="AC40" s="138"/>
      <c r="AD40" s="138"/>
      <c r="AE40" s="139"/>
      <c r="AF40" s="181"/>
      <c r="AG40" s="138"/>
      <c r="AH40" s="138"/>
      <c r="AI40" s="139"/>
      <c r="AJ40" s="181"/>
      <c r="AK40" s="138"/>
      <c r="AL40" s="138"/>
      <c r="AM40" s="139"/>
      <c r="AN40" s="181"/>
      <c r="AO40" s="183"/>
      <c r="AP40" s="138"/>
      <c r="AQ40" s="139"/>
      <c r="AR40" s="181"/>
      <c r="AS40" s="138"/>
      <c r="AT40" s="138">
        <f>100/3</f>
        <v>33.333333333333336</v>
      </c>
      <c r="AU40" s="139">
        <f t="shared" ref="AU40:AV40" si="30">100/3</f>
        <v>33.333333333333336</v>
      </c>
      <c r="AV40" s="181">
        <f t="shared" si="30"/>
        <v>33.333333333333336</v>
      </c>
      <c r="AW40" s="138"/>
      <c r="AX40" s="138"/>
      <c r="AY40" s="139"/>
      <c r="AZ40" s="181"/>
      <c r="BA40" s="138"/>
      <c r="BB40" s="138"/>
      <c r="BC40" s="139"/>
      <c r="BD40" s="181"/>
      <c r="BE40" s="138"/>
      <c r="BF40" s="138"/>
      <c r="BG40" s="139"/>
      <c r="BH40" s="181"/>
      <c r="BI40" s="138"/>
      <c r="BJ40" s="138"/>
      <c r="BK40" s="139"/>
      <c r="BL40" s="181"/>
      <c r="BM40" s="138"/>
      <c r="BN40" s="138"/>
      <c r="BO40" s="139"/>
      <c r="BP40" s="181"/>
      <c r="BQ40" s="138"/>
      <c r="BR40" s="138"/>
      <c r="BS40" s="139"/>
      <c r="BT40" s="181"/>
      <c r="BU40" s="138"/>
      <c r="BV40" s="138"/>
      <c r="BW40" s="139"/>
      <c r="BX40" s="181"/>
      <c r="BY40" s="138"/>
      <c r="BZ40" s="138"/>
      <c r="CA40" s="139"/>
      <c r="CB40" s="181"/>
      <c r="CC40" s="138"/>
      <c r="CD40" s="138"/>
      <c r="CE40" s="223"/>
      <c r="CF40" s="243">
        <f t="shared" si="26"/>
        <v>100</v>
      </c>
    </row>
    <row r="41" spans="1:84" ht="30" customHeight="1">
      <c r="A41" s="169"/>
      <c r="B41" s="114"/>
      <c r="C41" s="121"/>
      <c r="D41" s="115">
        <f>D40</f>
        <v>2.5908343255307833E-4</v>
      </c>
      <c r="E41" s="116" t="s">
        <v>11</v>
      </c>
      <c r="F41" s="117">
        <f>G41*$C$40</f>
        <v>31320</v>
      </c>
      <c r="G41" s="239">
        <f t="shared" si="3"/>
        <v>1</v>
      </c>
      <c r="H41" s="224"/>
      <c r="I41" s="119"/>
      <c r="J41" s="119"/>
      <c r="K41" s="120"/>
      <c r="L41" s="122"/>
      <c r="M41" s="119"/>
      <c r="N41" s="119"/>
      <c r="O41" s="120"/>
      <c r="P41" s="123"/>
      <c r="Q41" s="118"/>
      <c r="R41" s="119"/>
      <c r="S41" s="120"/>
      <c r="T41" s="122"/>
      <c r="U41" s="184"/>
      <c r="V41" s="119"/>
      <c r="W41" s="120"/>
      <c r="X41" s="122"/>
      <c r="Y41" s="184"/>
      <c r="Z41" s="119"/>
      <c r="AA41" s="182"/>
      <c r="AB41" s="122"/>
      <c r="AC41" s="184"/>
      <c r="AD41" s="119"/>
      <c r="AE41" s="120"/>
      <c r="AF41" s="122"/>
      <c r="AG41" s="119"/>
      <c r="AH41" s="119"/>
      <c r="AI41" s="120"/>
      <c r="AJ41" s="122"/>
      <c r="AK41" s="119"/>
      <c r="AL41" s="119"/>
      <c r="AM41" s="120"/>
      <c r="AN41" s="122"/>
      <c r="AO41" s="183"/>
      <c r="AP41" s="119"/>
      <c r="AQ41" s="120"/>
      <c r="AR41" s="122"/>
      <c r="AS41" s="119"/>
      <c r="AT41" s="119"/>
      <c r="AU41" s="120"/>
      <c r="AV41" s="122"/>
      <c r="AW41" s="119"/>
      <c r="AX41" s="119"/>
      <c r="AY41" s="120"/>
      <c r="AZ41" s="122"/>
      <c r="BA41" s="119"/>
      <c r="BB41" s="119"/>
      <c r="BC41" s="120"/>
      <c r="BD41" s="122"/>
      <c r="BE41" s="119"/>
      <c r="BF41" s="119"/>
      <c r="BG41" s="120"/>
      <c r="BH41" s="122"/>
      <c r="BI41" s="119"/>
      <c r="BJ41" s="119"/>
      <c r="BK41" s="120"/>
      <c r="BL41" s="122"/>
      <c r="BM41" s="119">
        <v>20</v>
      </c>
      <c r="BN41" s="119">
        <v>20</v>
      </c>
      <c r="BO41" s="120">
        <v>20</v>
      </c>
      <c r="BP41" s="122">
        <v>10</v>
      </c>
      <c r="BQ41" s="119">
        <v>20</v>
      </c>
      <c r="BR41" s="119">
        <v>10</v>
      </c>
      <c r="BS41" s="120"/>
      <c r="BT41" s="122"/>
      <c r="BU41" s="119"/>
      <c r="BV41" s="119"/>
      <c r="BW41" s="120"/>
      <c r="BX41" s="122"/>
      <c r="BY41" s="119"/>
      <c r="BZ41" s="119"/>
      <c r="CA41" s="120"/>
      <c r="CB41" s="122"/>
      <c r="CC41" s="119"/>
      <c r="CD41" s="119"/>
      <c r="CE41" s="225"/>
      <c r="CF41" s="244">
        <f t="shared" si="26"/>
        <v>100</v>
      </c>
    </row>
    <row r="42" spans="1:84" ht="30" customHeight="1">
      <c r="A42" s="169">
        <v>3.5</v>
      </c>
      <c r="B42" s="114" t="s">
        <v>31</v>
      </c>
      <c r="C42" s="134">
        <v>3079380</v>
      </c>
      <c r="D42" s="135">
        <f>C42/$C$86</f>
        <v>2.5473063235482069E-2</v>
      </c>
      <c r="E42" s="136" t="s">
        <v>10</v>
      </c>
      <c r="F42" s="137">
        <f>G42*$C$42</f>
        <v>3079380</v>
      </c>
      <c r="G42" s="238">
        <f t="shared" si="3"/>
        <v>1</v>
      </c>
      <c r="H42" s="222"/>
      <c r="I42" s="138"/>
      <c r="J42" s="138"/>
      <c r="K42" s="139"/>
      <c r="L42" s="138"/>
      <c r="M42" s="138"/>
      <c r="N42" s="138"/>
      <c r="O42" s="139"/>
      <c r="P42" s="138"/>
      <c r="Q42" s="138"/>
      <c r="R42" s="138"/>
      <c r="S42" s="139"/>
      <c r="T42" s="181"/>
      <c r="U42" s="138"/>
      <c r="V42" s="138"/>
      <c r="W42" s="139"/>
      <c r="X42" s="181"/>
      <c r="Y42" s="138"/>
      <c r="Z42" s="138"/>
      <c r="AA42" s="182"/>
      <c r="AB42" s="181"/>
      <c r="AC42" s="138"/>
      <c r="AD42" s="138"/>
      <c r="AE42" s="139"/>
      <c r="AF42" s="181"/>
      <c r="AG42" s="138"/>
      <c r="AH42" s="138"/>
      <c r="AI42" s="139"/>
      <c r="AJ42" s="181"/>
      <c r="AK42" s="138"/>
      <c r="AL42" s="138"/>
      <c r="AM42" s="139"/>
      <c r="AN42" s="181"/>
      <c r="AO42" s="183"/>
      <c r="AP42" s="138"/>
      <c r="AQ42" s="139"/>
      <c r="AR42" s="181"/>
      <c r="AS42" s="138"/>
      <c r="AT42" s="138"/>
      <c r="AU42" s="139"/>
      <c r="AV42" s="181"/>
      <c r="AW42" s="138"/>
      <c r="AX42" s="138"/>
      <c r="AY42" s="139"/>
      <c r="AZ42" s="181"/>
      <c r="BA42" s="138"/>
      <c r="BB42" s="138"/>
      <c r="BC42" s="139">
        <f t="shared" ref="BC42:BG42" si="31">100/5</f>
        <v>20</v>
      </c>
      <c r="BD42" s="181">
        <f t="shared" si="31"/>
        <v>20</v>
      </c>
      <c r="BE42" s="138">
        <f t="shared" si="31"/>
        <v>20</v>
      </c>
      <c r="BF42" s="138">
        <f t="shared" si="31"/>
        <v>20</v>
      </c>
      <c r="BG42" s="139">
        <f t="shared" si="31"/>
        <v>20</v>
      </c>
      <c r="BH42" s="181"/>
      <c r="BI42" s="138"/>
      <c r="BJ42" s="138"/>
      <c r="BK42" s="139"/>
      <c r="BL42" s="181"/>
      <c r="BM42" s="138"/>
      <c r="BN42" s="138"/>
      <c r="BO42" s="139"/>
      <c r="BP42" s="181"/>
      <c r="BQ42" s="138"/>
      <c r="BR42" s="138"/>
      <c r="BS42" s="139"/>
      <c r="BT42" s="181"/>
      <c r="BU42" s="138"/>
      <c r="BV42" s="138"/>
      <c r="BW42" s="139"/>
      <c r="BX42" s="181"/>
      <c r="BY42" s="138"/>
      <c r="BZ42" s="138"/>
      <c r="CA42" s="139"/>
      <c r="CB42" s="181"/>
      <c r="CC42" s="138"/>
      <c r="CD42" s="138"/>
      <c r="CE42" s="223"/>
      <c r="CF42" s="243">
        <f t="shared" si="26"/>
        <v>100</v>
      </c>
    </row>
    <row r="43" spans="1:84" ht="30" customHeight="1">
      <c r="A43" s="169"/>
      <c r="B43" s="114"/>
      <c r="C43" s="121"/>
      <c r="D43" s="115">
        <f>D42</f>
        <v>2.5473063235482069E-2</v>
      </c>
      <c r="E43" s="116" t="s">
        <v>11</v>
      </c>
      <c r="F43" s="117">
        <f>G43*$C$42</f>
        <v>0</v>
      </c>
      <c r="G43" s="239">
        <f t="shared" si="3"/>
        <v>0</v>
      </c>
      <c r="H43" s="224"/>
      <c r="I43" s="119"/>
      <c r="J43" s="119"/>
      <c r="K43" s="120"/>
      <c r="L43" s="122"/>
      <c r="M43" s="119"/>
      <c r="N43" s="119"/>
      <c r="O43" s="120"/>
      <c r="P43" s="123"/>
      <c r="Q43" s="118"/>
      <c r="R43" s="119"/>
      <c r="S43" s="120"/>
      <c r="T43" s="122"/>
      <c r="U43" s="184"/>
      <c r="V43" s="119"/>
      <c r="W43" s="120"/>
      <c r="X43" s="122"/>
      <c r="Y43" s="184"/>
      <c r="Z43" s="119"/>
      <c r="AA43" s="182"/>
      <c r="AB43" s="122"/>
      <c r="AC43" s="184"/>
      <c r="AD43" s="119"/>
      <c r="AE43" s="120"/>
      <c r="AF43" s="122"/>
      <c r="AG43" s="119"/>
      <c r="AH43" s="119"/>
      <c r="AI43" s="120"/>
      <c r="AJ43" s="122"/>
      <c r="AK43" s="119"/>
      <c r="AL43" s="119"/>
      <c r="AM43" s="120"/>
      <c r="AN43" s="122"/>
      <c r="AO43" s="183"/>
      <c r="AP43" s="119"/>
      <c r="AQ43" s="120"/>
      <c r="AR43" s="122"/>
      <c r="AS43" s="119"/>
      <c r="AT43" s="119"/>
      <c r="AU43" s="120"/>
      <c r="AV43" s="122"/>
      <c r="AW43" s="119"/>
      <c r="AX43" s="119"/>
      <c r="AY43" s="120"/>
      <c r="AZ43" s="122"/>
      <c r="BA43" s="119"/>
      <c r="BB43" s="119"/>
      <c r="BC43" s="120"/>
      <c r="BD43" s="122"/>
      <c r="BE43" s="119"/>
      <c r="BF43" s="119"/>
      <c r="BG43" s="120"/>
      <c r="BH43" s="122"/>
      <c r="BI43" s="119"/>
      <c r="BJ43" s="119"/>
      <c r="BK43" s="120"/>
      <c r="BL43" s="122"/>
      <c r="BM43" s="119"/>
      <c r="BN43" s="119"/>
      <c r="BO43" s="120"/>
      <c r="BP43" s="122"/>
      <c r="BQ43" s="119"/>
      <c r="BR43" s="119"/>
      <c r="BS43" s="120"/>
      <c r="BT43" s="122"/>
      <c r="BU43" s="119"/>
      <c r="BV43" s="119"/>
      <c r="BW43" s="120"/>
      <c r="BX43" s="122"/>
      <c r="BY43" s="119"/>
      <c r="BZ43" s="119"/>
      <c r="CA43" s="120"/>
      <c r="CB43" s="122"/>
      <c r="CC43" s="119"/>
      <c r="CD43" s="119"/>
      <c r="CE43" s="225"/>
      <c r="CF43" s="244">
        <f>SUM(H43:CE43)</f>
        <v>0</v>
      </c>
    </row>
    <row r="44" spans="1:84" ht="30" customHeight="1">
      <c r="A44" s="169">
        <v>3.6</v>
      </c>
      <c r="B44" s="114" t="s">
        <v>32</v>
      </c>
      <c r="C44" s="134">
        <v>300140</v>
      </c>
      <c r="D44" s="135">
        <f>C44/$C$86</f>
        <v>2.4828001738978586E-3</v>
      </c>
      <c r="E44" s="136" t="s">
        <v>10</v>
      </c>
      <c r="F44" s="137">
        <f>G44*$C$44</f>
        <v>300140.00000000006</v>
      </c>
      <c r="G44" s="238">
        <f t="shared" si="3"/>
        <v>1.0000000000000002</v>
      </c>
      <c r="H44" s="222"/>
      <c r="I44" s="138"/>
      <c r="J44" s="138"/>
      <c r="K44" s="139"/>
      <c r="L44" s="138"/>
      <c r="M44" s="138"/>
      <c r="N44" s="138"/>
      <c r="O44" s="139"/>
      <c r="P44" s="138"/>
      <c r="Q44" s="138"/>
      <c r="R44" s="138"/>
      <c r="S44" s="139"/>
      <c r="T44" s="181"/>
      <c r="U44" s="138"/>
      <c r="V44" s="138"/>
      <c r="W44" s="139"/>
      <c r="X44" s="181"/>
      <c r="Y44" s="138"/>
      <c r="Z44" s="138"/>
      <c r="AA44" s="182"/>
      <c r="AB44" s="181"/>
      <c r="AC44" s="138"/>
      <c r="AD44" s="138"/>
      <c r="AE44" s="139"/>
      <c r="AF44" s="181"/>
      <c r="AG44" s="138"/>
      <c r="AH44" s="138"/>
      <c r="AI44" s="139"/>
      <c r="AJ44" s="181"/>
      <c r="AK44" s="138"/>
      <c r="AL44" s="138"/>
      <c r="AM44" s="139"/>
      <c r="AN44" s="181"/>
      <c r="AO44" s="183"/>
      <c r="AP44" s="138"/>
      <c r="AQ44" s="139"/>
      <c r="AR44" s="181"/>
      <c r="AS44" s="138"/>
      <c r="AT44" s="138"/>
      <c r="AU44" s="139"/>
      <c r="AV44" s="181"/>
      <c r="AW44" s="138"/>
      <c r="AX44" s="138"/>
      <c r="AY44" s="139"/>
      <c r="AZ44" s="181"/>
      <c r="BA44" s="138"/>
      <c r="BB44" s="138"/>
      <c r="BC44" s="139"/>
      <c r="BD44" s="181"/>
      <c r="BE44" s="138"/>
      <c r="BF44" s="138">
        <f>100/6</f>
        <v>16.666666666666668</v>
      </c>
      <c r="BG44" s="139">
        <f t="shared" ref="BG44:BK44" si="32">100/6</f>
        <v>16.666666666666668</v>
      </c>
      <c r="BH44" s="181">
        <f t="shared" si="32"/>
        <v>16.666666666666668</v>
      </c>
      <c r="BI44" s="138">
        <f t="shared" si="32"/>
        <v>16.666666666666668</v>
      </c>
      <c r="BJ44" s="138">
        <f t="shared" si="32"/>
        <v>16.666666666666668</v>
      </c>
      <c r="BK44" s="139">
        <f t="shared" si="32"/>
        <v>16.666666666666668</v>
      </c>
      <c r="BL44" s="181"/>
      <c r="BM44" s="138"/>
      <c r="BN44" s="138"/>
      <c r="BO44" s="139"/>
      <c r="BP44" s="181"/>
      <c r="BQ44" s="138"/>
      <c r="BR44" s="138"/>
      <c r="BS44" s="139"/>
      <c r="BT44" s="181"/>
      <c r="BU44" s="138"/>
      <c r="BV44" s="138"/>
      <c r="BW44" s="139"/>
      <c r="BX44" s="181"/>
      <c r="BY44" s="138"/>
      <c r="BZ44" s="138"/>
      <c r="CA44" s="139"/>
      <c r="CB44" s="181"/>
      <c r="CC44" s="138"/>
      <c r="CD44" s="138"/>
      <c r="CE44" s="223"/>
      <c r="CF44" s="243">
        <f t="shared" si="26"/>
        <v>100.00000000000001</v>
      </c>
    </row>
    <row r="45" spans="1:84" ht="30" customHeight="1">
      <c r="A45" s="169"/>
      <c r="B45" s="114"/>
      <c r="C45" s="121"/>
      <c r="D45" s="115">
        <f>D44</f>
        <v>2.4828001738978586E-3</v>
      </c>
      <c r="E45" s="116" t="s">
        <v>11</v>
      </c>
      <c r="F45" s="117">
        <f>G45*$C$44</f>
        <v>0</v>
      </c>
      <c r="G45" s="239">
        <f t="shared" si="3"/>
        <v>0</v>
      </c>
      <c r="H45" s="224"/>
      <c r="I45" s="119"/>
      <c r="J45" s="119"/>
      <c r="K45" s="120"/>
      <c r="L45" s="122"/>
      <c r="M45" s="119"/>
      <c r="N45" s="119"/>
      <c r="O45" s="120"/>
      <c r="P45" s="123"/>
      <c r="Q45" s="118"/>
      <c r="R45" s="119"/>
      <c r="S45" s="120"/>
      <c r="T45" s="122"/>
      <c r="U45" s="184"/>
      <c r="V45" s="119"/>
      <c r="W45" s="120"/>
      <c r="X45" s="122"/>
      <c r="Y45" s="184"/>
      <c r="Z45" s="119"/>
      <c r="AA45" s="182"/>
      <c r="AB45" s="122"/>
      <c r="AC45" s="184"/>
      <c r="AD45" s="119"/>
      <c r="AE45" s="120"/>
      <c r="AF45" s="122"/>
      <c r="AG45" s="119"/>
      <c r="AH45" s="119"/>
      <c r="AI45" s="120"/>
      <c r="AJ45" s="122"/>
      <c r="AK45" s="119"/>
      <c r="AL45" s="119"/>
      <c r="AM45" s="120"/>
      <c r="AN45" s="122"/>
      <c r="AO45" s="183"/>
      <c r="AP45" s="119"/>
      <c r="AQ45" s="120"/>
      <c r="AR45" s="122"/>
      <c r="AS45" s="119"/>
      <c r="AT45" s="119"/>
      <c r="AU45" s="120"/>
      <c r="AV45" s="122"/>
      <c r="AW45" s="119"/>
      <c r="AX45" s="119"/>
      <c r="AY45" s="120"/>
      <c r="AZ45" s="122"/>
      <c r="BA45" s="119"/>
      <c r="BB45" s="119"/>
      <c r="BC45" s="120"/>
      <c r="BD45" s="122"/>
      <c r="BE45" s="119"/>
      <c r="BF45" s="119"/>
      <c r="BG45" s="120"/>
      <c r="BH45" s="122"/>
      <c r="BI45" s="119"/>
      <c r="BJ45" s="119"/>
      <c r="BK45" s="120"/>
      <c r="BL45" s="122"/>
      <c r="BM45" s="119"/>
      <c r="BN45" s="119"/>
      <c r="BO45" s="120"/>
      <c r="BP45" s="122"/>
      <c r="BQ45" s="119"/>
      <c r="BR45" s="119"/>
      <c r="BS45" s="120"/>
      <c r="BT45" s="122"/>
      <c r="BU45" s="119"/>
      <c r="BV45" s="119"/>
      <c r="BW45" s="120"/>
      <c r="BX45" s="122"/>
      <c r="BY45" s="119"/>
      <c r="BZ45" s="119"/>
      <c r="CA45" s="120"/>
      <c r="CB45" s="122"/>
      <c r="CC45" s="119"/>
      <c r="CD45" s="119"/>
      <c r="CE45" s="225"/>
      <c r="CF45" s="244">
        <f t="shared" si="26"/>
        <v>0</v>
      </c>
    </row>
    <row r="46" spans="1:84" ht="30" customHeight="1">
      <c r="A46" s="169">
        <v>3.7</v>
      </c>
      <c r="B46" s="114" t="s">
        <v>23</v>
      </c>
      <c r="C46" s="134">
        <v>212960</v>
      </c>
      <c r="D46" s="135">
        <f>C46/$C$86</f>
        <v>1.7616349871169719E-3</v>
      </c>
      <c r="E46" s="136" t="s">
        <v>10</v>
      </c>
      <c r="F46" s="137">
        <f>G46*$C$46</f>
        <v>212960</v>
      </c>
      <c r="G46" s="238">
        <f t="shared" si="3"/>
        <v>1</v>
      </c>
      <c r="H46" s="222"/>
      <c r="I46" s="138"/>
      <c r="J46" s="138"/>
      <c r="K46" s="139"/>
      <c r="L46" s="138"/>
      <c r="M46" s="138"/>
      <c r="N46" s="138"/>
      <c r="O46" s="139"/>
      <c r="P46" s="138"/>
      <c r="Q46" s="138"/>
      <c r="R46" s="138"/>
      <c r="S46" s="139"/>
      <c r="T46" s="181"/>
      <c r="U46" s="138"/>
      <c r="V46" s="138"/>
      <c r="W46" s="139"/>
      <c r="X46" s="181"/>
      <c r="Y46" s="138"/>
      <c r="Z46" s="138"/>
      <c r="AA46" s="182"/>
      <c r="AB46" s="181"/>
      <c r="AC46" s="138"/>
      <c r="AD46" s="138"/>
      <c r="AE46" s="139"/>
      <c r="AF46" s="181"/>
      <c r="AG46" s="138"/>
      <c r="AH46" s="138"/>
      <c r="AI46" s="139"/>
      <c r="AJ46" s="181"/>
      <c r="AK46" s="138"/>
      <c r="AL46" s="138"/>
      <c r="AM46" s="139"/>
      <c r="AN46" s="181"/>
      <c r="AO46" s="183"/>
      <c r="AP46" s="138"/>
      <c r="AQ46" s="139"/>
      <c r="AR46" s="181"/>
      <c r="AS46" s="138"/>
      <c r="AT46" s="138"/>
      <c r="AU46" s="139"/>
      <c r="AV46" s="181"/>
      <c r="AW46" s="138"/>
      <c r="AX46" s="138"/>
      <c r="AY46" s="139"/>
      <c r="AZ46" s="181"/>
      <c r="BA46" s="138"/>
      <c r="BB46" s="138"/>
      <c r="BC46" s="139"/>
      <c r="BD46" s="181"/>
      <c r="BE46" s="138"/>
      <c r="BF46" s="138">
        <f t="shared" ref="BF46:BI46" si="33">100/4</f>
        <v>25</v>
      </c>
      <c r="BG46" s="139">
        <f t="shared" si="33"/>
        <v>25</v>
      </c>
      <c r="BH46" s="181">
        <f t="shared" si="33"/>
        <v>25</v>
      </c>
      <c r="BI46" s="138">
        <f t="shared" si="33"/>
        <v>25</v>
      </c>
      <c r="BJ46" s="138"/>
      <c r="BK46" s="139"/>
      <c r="BL46" s="181"/>
      <c r="BM46" s="138"/>
      <c r="BN46" s="138"/>
      <c r="BO46" s="139"/>
      <c r="BP46" s="181"/>
      <c r="BQ46" s="138"/>
      <c r="BR46" s="138"/>
      <c r="BS46" s="139"/>
      <c r="BT46" s="181"/>
      <c r="BU46" s="138"/>
      <c r="BV46" s="138"/>
      <c r="BW46" s="139"/>
      <c r="BX46" s="181"/>
      <c r="BY46" s="138"/>
      <c r="BZ46" s="138"/>
      <c r="CA46" s="139"/>
      <c r="CB46" s="181"/>
      <c r="CC46" s="138"/>
      <c r="CD46" s="138"/>
      <c r="CE46" s="223"/>
      <c r="CF46" s="243">
        <f t="shared" si="26"/>
        <v>100</v>
      </c>
    </row>
    <row r="47" spans="1:84" ht="30" customHeight="1">
      <c r="A47" s="169"/>
      <c r="B47" s="114"/>
      <c r="C47" s="121"/>
      <c r="D47" s="115">
        <f>D46</f>
        <v>1.7616349871169719E-3</v>
      </c>
      <c r="E47" s="116" t="s">
        <v>11</v>
      </c>
      <c r="F47" s="117">
        <f>G47*$C$46</f>
        <v>212960</v>
      </c>
      <c r="G47" s="239">
        <f t="shared" si="3"/>
        <v>1</v>
      </c>
      <c r="H47" s="224"/>
      <c r="I47" s="119"/>
      <c r="J47" s="119"/>
      <c r="K47" s="120"/>
      <c r="L47" s="122"/>
      <c r="M47" s="119"/>
      <c r="N47" s="119"/>
      <c r="O47" s="120"/>
      <c r="P47" s="123"/>
      <c r="Q47" s="118"/>
      <c r="R47" s="119"/>
      <c r="S47" s="120"/>
      <c r="T47" s="122"/>
      <c r="U47" s="184"/>
      <c r="V47" s="119"/>
      <c r="W47" s="120"/>
      <c r="X47" s="122"/>
      <c r="Y47" s="184"/>
      <c r="Z47" s="119"/>
      <c r="AA47" s="182"/>
      <c r="AB47" s="122"/>
      <c r="AC47" s="184"/>
      <c r="AD47" s="119"/>
      <c r="AE47" s="120"/>
      <c r="AF47" s="122"/>
      <c r="AG47" s="119"/>
      <c r="AH47" s="119"/>
      <c r="AI47" s="120"/>
      <c r="AJ47" s="122"/>
      <c r="AK47" s="119"/>
      <c r="AL47" s="119"/>
      <c r="AM47" s="120"/>
      <c r="AN47" s="122"/>
      <c r="AO47" s="183"/>
      <c r="AP47" s="119"/>
      <c r="AQ47" s="120"/>
      <c r="AR47" s="122"/>
      <c r="AS47" s="119"/>
      <c r="AT47" s="119"/>
      <c r="AU47" s="120"/>
      <c r="AV47" s="122"/>
      <c r="AW47" s="119"/>
      <c r="AX47" s="119"/>
      <c r="AY47" s="120"/>
      <c r="AZ47" s="122"/>
      <c r="BA47" s="119"/>
      <c r="BB47" s="119"/>
      <c r="BC47" s="120"/>
      <c r="BD47" s="122"/>
      <c r="BE47" s="119"/>
      <c r="BF47" s="119">
        <v>10</v>
      </c>
      <c r="BG47" s="120">
        <v>10</v>
      </c>
      <c r="BH47" s="122">
        <v>50</v>
      </c>
      <c r="BI47" s="119">
        <v>30</v>
      </c>
      <c r="BJ47" s="119"/>
      <c r="BK47" s="120"/>
      <c r="BL47" s="122"/>
      <c r="BM47" s="119"/>
      <c r="BN47" s="119"/>
      <c r="BO47" s="120"/>
      <c r="BP47" s="122"/>
      <c r="BQ47" s="119"/>
      <c r="BR47" s="119"/>
      <c r="BS47" s="120"/>
      <c r="BT47" s="122"/>
      <c r="BU47" s="119"/>
      <c r="BV47" s="119"/>
      <c r="BW47" s="120"/>
      <c r="BX47" s="122"/>
      <c r="BY47" s="119"/>
      <c r="BZ47" s="119"/>
      <c r="CA47" s="120"/>
      <c r="CB47" s="122"/>
      <c r="CC47" s="119"/>
      <c r="CD47" s="119"/>
      <c r="CE47" s="225"/>
      <c r="CF47" s="244">
        <f t="shared" si="26"/>
        <v>100</v>
      </c>
    </row>
    <row r="48" spans="1:84" ht="30" customHeight="1">
      <c r="A48" s="177" t="s">
        <v>33</v>
      </c>
      <c r="B48" s="127" t="s">
        <v>34</v>
      </c>
      <c r="C48" s="134"/>
      <c r="D48" s="135"/>
      <c r="E48" s="136"/>
      <c r="F48" s="137"/>
      <c r="G48" s="238"/>
      <c r="H48" s="222"/>
      <c r="I48" s="138"/>
      <c r="J48" s="138"/>
      <c r="K48" s="139"/>
      <c r="L48" s="138"/>
      <c r="M48" s="138"/>
      <c r="N48" s="138"/>
      <c r="O48" s="139"/>
      <c r="P48" s="138"/>
      <c r="Q48" s="138"/>
      <c r="R48" s="138"/>
      <c r="S48" s="139"/>
      <c r="T48" s="181"/>
      <c r="U48" s="138"/>
      <c r="V48" s="138"/>
      <c r="W48" s="139"/>
      <c r="X48" s="181"/>
      <c r="Y48" s="138"/>
      <c r="Z48" s="138"/>
      <c r="AA48" s="182"/>
      <c r="AB48" s="181"/>
      <c r="AC48" s="138"/>
      <c r="AD48" s="138"/>
      <c r="AE48" s="139"/>
      <c r="AF48" s="181"/>
      <c r="AG48" s="138"/>
      <c r="AH48" s="138"/>
      <c r="AI48" s="139"/>
      <c r="AJ48" s="181"/>
      <c r="AK48" s="138"/>
      <c r="AL48" s="138"/>
      <c r="AM48" s="139"/>
      <c r="AN48" s="181"/>
      <c r="AO48" s="183"/>
      <c r="AP48" s="138"/>
      <c r="AQ48" s="139"/>
      <c r="AR48" s="181"/>
      <c r="AS48" s="138"/>
      <c r="AT48" s="138"/>
      <c r="AU48" s="139"/>
      <c r="AV48" s="181"/>
      <c r="AW48" s="138"/>
      <c r="AX48" s="138"/>
      <c r="AY48" s="139"/>
      <c r="AZ48" s="181"/>
      <c r="BA48" s="138"/>
      <c r="BB48" s="138"/>
      <c r="BC48" s="139"/>
      <c r="BD48" s="181"/>
      <c r="BE48" s="138"/>
      <c r="BF48" s="138"/>
      <c r="BG48" s="139"/>
      <c r="BH48" s="181"/>
      <c r="BI48" s="138"/>
      <c r="BJ48" s="138"/>
      <c r="BK48" s="139"/>
      <c r="BL48" s="181"/>
      <c r="BM48" s="138"/>
      <c r="BN48" s="138"/>
      <c r="BO48" s="139"/>
      <c r="BP48" s="181"/>
      <c r="BQ48" s="138"/>
      <c r="BR48" s="138"/>
      <c r="BS48" s="139"/>
      <c r="BT48" s="181"/>
      <c r="BU48" s="138"/>
      <c r="BV48" s="138"/>
      <c r="BW48" s="139"/>
      <c r="BX48" s="181"/>
      <c r="BY48" s="138"/>
      <c r="BZ48" s="138"/>
      <c r="CA48" s="139"/>
      <c r="CB48" s="181"/>
      <c r="CC48" s="138"/>
      <c r="CD48" s="138"/>
      <c r="CE48" s="223"/>
      <c r="CF48" s="243">
        <f t="shared" si="26"/>
        <v>0</v>
      </c>
    </row>
    <row r="49" spans="1:84" ht="30" customHeight="1">
      <c r="A49" s="177"/>
      <c r="B49" s="127"/>
      <c r="C49" s="121"/>
      <c r="D49" s="115"/>
      <c r="E49" s="116"/>
      <c r="F49" s="117"/>
      <c r="G49" s="239"/>
      <c r="H49" s="224"/>
      <c r="I49" s="119"/>
      <c r="J49" s="119"/>
      <c r="K49" s="120"/>
      <c r="L49" s="122"/>
      <c r="M49" s="119"/>
      <c r="N49" s="119"/>
      <c r="O49" s="120"/>
      <c r="P49" s="123"/>
      <c r="Q49" s="118"/>
      <c r="R49" s="119"/>
      <c r="S49" s="120"/>
      <c r="T49" s="122"/>
      <c r="U49" s="184"/>
      <c r="V49" s="119"/>
      <c r="W49" s="120"/>
      <c r="X49" s="122"/>
      <c r="Y49" s="184"/>
      <c r="Z49" s="119"/>
      <c r="AA49" s="182"/>
      <c r="AB49" s="122"/>
      <c r="AC49" s="184"/>
      <c r="AD49" s="119"/>
      <c r="AE49" s="120"/>
      <c r="AF49" s="122"/>
      <c r="AG49" s="119"/>
      <c r="AH49" s="119"/>
      <c r="AI49" s="120"/>
      <c r="AJ49" s="122"/>
      <c r="AK49" s="119"/>
      <c r="AL49" s="119"/>
      <c r="AM49" s="120"/>
      <c r="AN49" s="122"/>
      <c r="AO49" s="183"/>
      <c r="AP49" s="119"/>
      <c r="AQ49" s="120"/>
      <c r="AR49" s="122"/>
      <c r="AS49" s="119"/>
      <c r="AT49" s="119"/>
      <c r="AU49" s="120"/>
      <c r="AV49" s="122"/>
      <c r="AW49" s="119"/>
      <c r="AX49" s="119"/>
      <c r="AY49" s="120"/>
      <c r="AZ49" s="122"/>
      <c r="BA49" s="119"/>
      <c r="BB49" s="119"/>
      <c r="BC49" s="120"/>
      <c r="BD49" s="122"/>
      <c r="BE49" s="119"/>
      <c r="BF49" s="119"/>
      <c r="BG49" s="120"/>
      <c r="BH49" s="122"/>
      <c r="BI49" s="119"/>
      <c r="BJ49" s="119"/>
      <c r="BK49" s="120"/>
      <c r="BL49" s="122"/>
      <c r="BM49" s="119"/>
      <c r="BN49" s="119"/>
      <c r="BO49" s="120"/>
      <c r="BP49" s="122"/>
      <c r="BQ49" s="119"/>
      <c r="BR49" s="119"/>
      <c r="BS49" s="120"/>
      <c r="BT49" s="122"/>
      <c r="BU49" s="119"/>
      <c r="BV49" s="119"/>
      <c r="BW49" s="120"/>
      <c r="BX49" s="122"/>
      <c r="BY49" s="119"/>
      <c r="BZ49" s="119"/>
      <c r="CA49" s="120"/>
      <c r="CB49" s="122"/>
      <c r="CC49" s="119"/>
      <c r="CD49" s="119"/>
      <c r="CE49" s="225"/>
      <c r="CF49" s="244">
        <f t="shared" si="26"/>
        <v>0</v>
      </c>
    </row>
    <row r="50" spans="1:84" ht="30" customHeight="1">
      <c r="A50" s="169">
        <v>3.1</v>
      </c>
      <c r="B50" s="114" t="s">
        <v>27</v>
      </c>
      <c r="C50" s="134">
        <v>244910</v>
      </c>
      <c r="D50" s="135">
        <f>C50/$C$86</f>
        <v>2.0259298680260032E-3</v>
      </c>
      <c r="E50" s="136" t="s">
        <v>10</v>
      </c>
      <c r="F50" s="137">
        <f>G50*$C$50</f>
        <v>244910</v>
      </c>
      <c r="G50" s="238">
        <f t="shared" si="3"/>
        <v>1</v>
      </c>
      <c r="H50" s="222"/>
      <c r="I50" s="138"/>
      <c r="J50" s="138"/>
      <c r="K50" s="139"/>
      <c r="L50" s="138"/>
      <c r="M50" s="138"/>
      <c r="N50" s="138"/>
      <c r="O50" s="139"/>
      <c r="P50" s="138"/>
      <c r="Q50" s="138"/>
      <c r="R50" s="138"/>
      <c r="S50" s="139"/>
      <c r="T50" s="181"/>
      <c r="U50" s="138"/>
      <c r="V50" s="138"/>
      <c r="W50" s="139"/>
      <c r="X50" s="181"/>
      <c r="Y50" s="138"/>
      <c r="Z50" s="138"/>
      <c r="AA50" s="182"/>
      <c r="AB50" s="181"/>
      <c r="AC50" s="138"/>
      <c r="AD50" s="138"/>
      <c r="AE50" s="139"/>
      <c r="AF50" s="181"/>
      <c r="AG50" s="138"/>
      <c r="AH50" s="138"/>
      <c r="AI50" s="139"/>
      <c r="AJ50" s="181"/>
      <c r="AK50" s="138"/>
      <c r="AL50" s="138"/>
      <c r="AM50" s="139"/>
      <c r="AN50" s="181"/>
      <c r="AO50" s="183"/>
      <c r="AP50" s="138"/>
      <c r="AQ50" s="139"/>
      <c r="AR50" s="181"/>
      <c r="AS50" s="138"/>
      <c r="AT50" s="138"/>
      <c r="AU50" s="139"/>
      <c r="AV50" s="181"/>
      <c r="AW50" s="138"/>
      <c r="AX50" s="138"/>
      <c r="AY50" s="139"/>
      <c r="AZ50" s="181"/>
      <c r="BA50" s="138"/>
      <c r="BB50" s="138">
        <f t="shared" ref="BB50:BI50" si="34">100/8</f>
        <v>12.5</v>
      </c>
      <c r="BC50" s="139">
        <f t="shared" si="34"/>
        <v>12.5</v>
      </c>
      <c r="BD50" s="181">
        <f t="shared" si="34"/>
        <v>12.5</v>
      </c>
      <c r="BE50" s="138">
        <f t="shared" si="34"/>
        <v>12.5</v>
      </c>
      <c r="BF50" s="138">
        <f t="shared" si="34"/>
        <v>12.5</v>
      </c>
      <c r="BG50" s="139">
        <f t="shared" si="34"/>
        <v>12.5</v>
      </c>
      <c r="BH50" s="181">
        <f t="shared" si="34"/>
        <v>12.5</v>
      </c>
      <c r="BI50" s="138">
        <f t="shared" si="34"/>
        <v>12.5</v>
      </c>
      <c r="BJ50" s="138"/>
      <c r="BK50" s="139"/>
      <c r="BL50" s="181"/>
      <c r="BM50" s="138"/>
      <c r="BN50" s="138"/>
      <c r="BO50" s="139"/>
      <c r="BP50" s="181"/>
      <c r="BQ50" s="138"/>
      <c r="BR50" s="138"/>
      <c r="BS50" s="139"/>
      <c r="BT50" s="181"/>
      <c r="BU50" s="138"/>
      <c r="BV50" s="138"/>
      <c r="BW50" s="139"/>
      <c r="BX50" s="181"/>
      <c r="BY50" s="138"/>
      <c r="BZ50" s="138"/>
      <c r="CA50" s="139"/>
      <c r="CB50" s="181"/>
      <c r="CC50" s="138"/>
      <c r="CD50" s="138"/>
      <c r="CE50" s="223"/>
      <c r="CF50" s="243">
        <f t="shared" si="26"/>
        <v>100</v>
      </c>
    </row>
    <row r="51" spans="1:84" ht="30" customHeight="1">
      <c r="A51" s="169"/>
      <c r="B51" s="114"/>
      <c r="C51" s="121"/>
      <c r="D51" s="115">
        <f>D50</f>
        <v>2.0259298680260032E-3</v>
      </c>
      <c r="E51" s="116" t="s">
        <v>11</v>
      </c>
      <c r="F51" s="117">
        <f>G51*$C$50</f>
        <v>244910</v>
      </c>
      <c r="G51" s="239">
        <f t="shared" si="3"/>
        <v>1</v>
      </c>
      <c r="H51" s="224"/>
      <c r="I51" s="119"/>
      <c r="J51" s="119"/>
      <c r="K51" s="120"/>
      <c r="L51" s="122"/>
      <c r="M51" s="119"/>
      <c r="N51" s="119"/>
      <c r="O51" s="120"/>
      <c r="P51" s="123"/>
      <c r="Q51" s="118"/>
      <c r="R51" s="119"/>
      <c r="S51" s="120"/>
      <c r="T51" s="122"/>
      <c r="U51" s="184"/>
      <c r="V51" s="119"/>
      <c r="W51" s="120"/>
      <c r="X51" s="122"/>
      <c r="Y51" s="184"/>
      <c r="Z51" s="119"/>
      <c r="AA51" s="182"/>
      <c r="AB51" s="122"/>
      <c r="AC51" s="184"/>
      <c r="AD51" s="119"/>
      <c r="AE51" s="120"/>
      <c r="AF51" s="122"/>
      <c r="AG51" s="119"/>
      <c r="AH51" s="119"/>
      <c r="AI51" s="120"/>
      <c r="AJ51" s="122"/>
      <c r="AK51" s="119"/>
      <c r="AL51" s="119"/>
      <c r="AM51" s="120"/>
      <c r="AN51" s="122"/>
      <c r="AO51" s="183"/>
      <c r="AP51" s="119"/>
      <c r="AQ51" s="120"/>
      <c r="AR51" s="122"/>
      <c r="AS51" s="119"/>
      <c r="AT51" s="119"/>
      <c r="AU51" s="120"/>
      <c r="AV51" s="122"/>
      <c r="AW51" s="119"/>
      <c r="AX51" s="119"/>
      <c r="AY51" s="120"/>
      <c r="AZ51" s="122"/>
      <c r="BA51" s="119"/>
      <c r="BB51" s="119"/>
      <c r="BC51" s="120"/>
      <c r="BD51" s="122"/>
      <c r="BE51" s="119"/>
      <c r="BF51" s="119"/>
      <c r="BG51" s="120"/>
      <c r="BH51" s="122"/>
      <c r="BI51" s="119"/>
      <c r="BJ51" s="119"/>
      <c r="BK51" s="120">
        <v>88</v>
      </c>
      <c r="BL51" s="122">
        <v>12</v>
      </c>
      <c r="BM51" s="119"/>
      <c r="BN51" s="119"/>
      <c r="BO51" s="120"/>
      <c r="BP51" s="122"/>
      <c r="BQ51" s="119"/>
      <c r="BR51" s="119"/>
      <c r="BS51" s="120"/>
      <c r="BT51" s="122"/>
      <c r="BU51" s="119"/>
      <c r="BV51" s="119"/>
      <c r="BW51" s="120"/>
      <c r="BX51" s="122"/>
      <c r="BY51" s="119"/>
      <c r="BZ51" s="119"/>
      <c r="CA51" s="120"/>
      <c r="CB51" s="122"/>
      <c r="CC51" s="119"/>
      <c r="CD51" s="119"/>
      <c r="CE51" s="225"/>
      <c r="CF51" s="244">
        <f t="shared" si="26"/>
        <v>100</v>
      </c>
    </row>
    <row r="52" spans="1:84" ht="30" customHeight="1">
      <c r="A52" s="169">
        <v>3.2</v>
      </c>
      <c r="B52" s="114" t="s">
        <v>28</v>
      </c>
      <c r="C52" s="134">
        <v>324210</v>
      </c>
      <c r="D52" s="135">
        <f>C52/$C$86</f>
        <v>2.6819105896562427E-3</v>
      </c>
      <c r="E52" s="136" t="s">
        <v>10</v>
      </c>
      <c r="F52" s="137">
        <f>G52*$C$52</f>
        <v>324210</v>
      </c>
      <c r="G52" s="238">
        <f t="shared" si="3"/>
        <v>1</v>
      </c>
      <c r="H52" s="222"/>
      <c r="I52" s="138"/>
      <c r="J52" s="138"/>
      <c r="K52" s="139"/>
      <c r="L52" s="138"/>
      <c r="M52" s="138"/>
      <c r="N52" s="138"/>
      <c r="O52" s="139"/>
      <c r="P52" s="138"/>
      <c r="Q52" s="138"/>
      <c r="R52" s="138"/>
      <c r="S52" s="139"/>
      <c r="T52" s="181"/>
      <c r="U52" s="138"/>
      <c r="V52" s="138"/>
      <c r="W52" s="139"/>
      <c r="X52" s="181"/>
      <c r="Y52" s="138"/>
      <c r="Z52" s="138"/>
      <c r="AA52" s="182"/>
      <c r="AB52" s="181"/>
      <c r="AC52" s="138"/>
      <c r="AD52" s="138"/>
      <c r="AE52" s="139"/>
      <c r="AF52" s="181"/>
      <c r="AG52" s="138"/>
      <c r="AH52" s="138"/>
      <c r="AI52" s="139"/>
      <c r="AJ52" s="181"/>
      <c r="AK52" s="138"/>
      <c r="AL52" s="138"/>
      <c r="AM52" s="139"/>
      <c r="AN52" s="181"/>
      <c r="AO52" s="183"/>
      <c r="AP52" s="138"/>
      <c r="AQ52" s="139"/>
      <c r="AR52" s="181"/>
      <c r="AS52" s="138"/>
      <c r="AT52" s="138"/>
      <c r="AU52" s="139"/>
      <c r="AV52" s="181"/>
      <c r="AW52" s="138"/>
      <c r="AX52" s="138"/>
      <c r="AY52" s="139"/>
      <c r="AZ52" s="181"/>
      <c r="BA52" s="138">
        <f t="shared" ref="BA52:BH52" si="35">100/8</f>
        <v>12.5</v>
      </c>
      <c r="BB52" s="138">
        <f t="shared" si="35"/>
        <v>12.5</v>
      </c>
      <c r="BC52" s="139">
        <f t="shared" si="35"/>
        <v>12.5</v>
      </c>
      <c r="BD52" s="181">
        <f t="shared" si="35"/>
        <v>12.5</v>
      </c>
      <c r="BE52" s="138">
        <f t="shared" si="35"/>
        <v>12.5</v>
      </c>
      <c r="BF52" s="138">
        <f t="shared" si="35"/>
        <v>12.5</v>
      </c>
      <c r="BG52" s="139">
        <f t="shared" si="35"/>
        <v>12.5</v>
      </c>
      <c r="BH52" s="181">
        <f t="shared" si="35"/>
        <v>12.5</v>
      </c>
      <c r="BI52" s="138"/>
      <c r="BJ52" s="138"/>
      <c r="BK52" s="139"/>
      <c r="BL52" s="181"/>
      <c r="BM52" s="138"/>
      <c r="BN52" s="138"/>
      <c r="BO52" s="139"/>
      <c r="BP52" s="181"/>
      <c r="BQ52" s="138"/>
      <c r="BR52" s="138"/>
      <c r="BS52" s="139"/>
      <c r="BT52" s="181"/>
      <c r="BU52" s="138"/>
      <c r="BV52" s="138"/>
      <c r="BW52" s="139"/>
      <c r="BX52" s="181"/>
      <c r="BY52" s="138"/>
      <c r="BZ52" s="138"/>
      <c r="CA52" s="139"/>
      <c r="CB52" s="181"/>
      <c r="CC52" s="138"/>
      <c r="CD52" s="138"/>
      <c r="CE52" s="223"/>
      <c r="CF52" s="243">
        <f t="shared" si="26"/>
        <v>100</v>
      </c>
    </row>
    <row r="53" spans="1:84" ht="30" customHeight="1">
      <c r="A53" s="169"/>
      <c r="B53" s="114"/>
      <c r="C53" s="121"/>
      <c r="D53" s="115">
        <f>D52</f>
        <v>2.6819105896562427E-3</v>
      </c>
      <c r="E53" s="116" t="s">
        <v>11</v>
      </c>
      <c r="F53" s="117">
        <f>G53*$C$52</f>
        <v>324210</v>
      </c>
      <c r="G53" s="239">
        <f t="shared" si="3"/>
        <v>1</v>
      </c>
      <c r="H53" s="224"/>
      <c r="I53" s="119"/>
      <c r="J53" s="119"/>
      <c r="K53" s="120"/>
      <c r="L53" s="122"/>
      <c r="M53" s="119"/>
      <c r="N53" s="119"/>
      <c r="O53" s="120"/>
      <c r="P53" s="123"/>
      <c r="Q53" s="118"/>
      <c r="R53" s="119"/>
      <c r="S53" s="120"/>
      <c r="T53" s="122"/>
      <c r="U53" s="184"/>
      <c r="V53" s="119"/>
      <c r="W53" s="120"/>
      <c r="X53" s="122"/>
      <c r="Y53" s="184"/>
      <c r="Z53" s="119"/>
      <c r="AA53" s="182"/>
      <c r="AB53" s="122"/>
      <c r="AC53" s="184"/>
      <c r="AD53" s="119"/>
      <c r="AE53" s="120"/>
      <c r="AF53" s="122"/>
      <c r="AG53" s="119"/>
      <c r="AH53" s="119"/>
      <c r="AI53" s="120"/>
      <c r="AJ53" s="122"/>
      <c r="AK53" s="119"/>
      <c r="AL53" s="119"/>
      <c r="AM53" s="120"/>
      <c r="AN53" s="122"/>
      <c r="AO53" s="183"/>
      <c r="AP53" s="119"/>
      <c r="AQ53" s="120"/>
      <c r="AR53" s="122"/>
      <c r="AS53" s="119"/>
      <c r="AT53" s="119"/>
      <c r="AU53" s="120"/>
      <c r="AV53" s="122"/>
      <c r="AW53" s="119"/>
      <c r="AX53" s="119"/>
      <c r="AY53" s="120"/>
      <c r="AZ53" s="122"/>
      <c r="BA53" s="119"/>
      <c r="BB53" s="119"/>
      <c r="BC53" s="120"/>
      <c r="BD53" s="122"/>
      <c r="BE53" s="119"/>
      <c r="BF53" s="119"/>
      <c r="BG53" s="120"/>
      <c r="BH53" s="122"/>
      <c r="BI53" s="119"/>
      <c r="BJ53" s="119"/>
      <c r="BK53" s="120">
        <v>100</v>
      </c>
      <c r="BL53" s="122"/>
      <c r="BM53" s="119"/>
      <c r="BN53" s="119"/>
      <c r="BO53" s="120"/>
      <c r="BP53" s="122"/>
      <c r="BQ53" s="119"/>
      <c r="BR53" s="119"/>
      <c r="BS53" s="120"/>
      <c r="BT53" s="122"/>
      <c r="BU53" s="119"/>
      <c r="BV53" s="119"/>
      <c r="BW53" s="120"/>
      <c r="BX53" s="122"/>
      <c r="BY53" s="119"/>
      <c r="BZ53" s="119"/>
      <c r="CA53" s="120"/>
      <c r="CB53" s="122"/>
      <c r="CC53" s="119"/>
      <c r="CD53" s="119"/>
      <c r="CE53" s="225"/>
      <c r="CF53" s="244">
        <f t="shared" si="26"/>
        <v>100</v>
      </c>
    </row>
    <row r="54" spans="1:84" ht="30" customHeight="1">
      <c r="A54" s="169">
        <v>3.3</v>
      </c>
      <c r="B54" s="114" t="s">
        <v>35</v>
      </c>
      <c r="C54" s="134">
        <v>69690</v>
      </c>
      <c r="D54" s="135">
        <f>C54/$C$86</f>
        <v>5.7648545385134188E-4</v>
      </c>
      <c r="E54" s="136" t="s">
        <v>10</v>
      </c>
      <c r="F54" s="137">
        <f>G54*$C$54</f>
        <v>69690</v>
      </c>
      <c r="G54" s="238">
        <f t="shared" si="3"/>
        <v>1</v>
      </c>
      <c r="H54" s="222"/>
      <c r="I54" s="138"/>
      <c r="J54" s="138"/>
      <c r="K54" s="139"/>
      <c r="L54" s="138"/>
      <c r="M54" s="138"/>
      <c r="N54" s="138"/>
      <c r="O54" s="139"/>
      <c r="P54" s="138"/>
      <c r="Q54" s="138"/>
      <c r="R54" s="138"/>
      <c r="S54" s="139"/>
      <c r="T54" s="181"/>
      <c r="U54" s="138"/>
      <c r="V54" s="138"/>
      <c r="W54" s="139"/>
      <c r="X54" s="181"/>
      <c r="Y54" s="138"/>
      <c r="Z54" s="138"/>
      <c r="AA54" s="182"/>
      <c r="AB54" s="181"/>
      <c r="AC54" s="138"/>
      <c r="AD54" s="138"/>
      <c r="AE54" s="139"/>
      <c r="AF54" s="181"/>
      <c r="AG54" s="138"/>
      <c r="AH54" s="138"/>
      <c r="AI54" s="139"/>
      <c r="AJ54" s="181"/>
      <c r="AK54" s="138"/>
      <c r="AL54" s="138"/>
      <c r="AM54" s="139"/>
      <c r="AN54" s="181"/>
      <c r="AO54" s="183"/>
      <c r="AP54" s="138"/>
      <c r="AQ54" s="139"/>
      <c r="AR54" s="181"/>
      <c r="AS54" s="138"/>
      <c r="AT54" s="138"/>
      <c r="AU54" s="139"/>
      <c r="AV54" s="181"/>
      <c r="AW54" s="138"/>
      <c r="AX54" s="138"/>
      <c r="AY54" s="139"/>
      <c r="AZ54" s="181"/>
      <c r="BA54" s="138"/>
      <c r="BB54" s="138"/>
      <c r="BC54" s="139"/>
      <c r="BD54" s="181">
        <f>100/2</f>
        <v>50</v>
      </c>
      <c r="BE54" s="138">
        <f>100/2</f>
        <v>50</v>
      </c>
      <c r="BF54" s="138"/>
      <c r="BG54" s="139"/>
      <c r="BH54" s="181"/>
      <c r="BI54" s="138"/>
      <c r="BJ54" s="138"/>
      <c r="BK54" s="139"/>
      <c r="BL54" s="181"/>
      <c r="BM54" s="138"/>
      <c r="BN54" s="138"/>
      <c r="BO54" s="139"/>
      <c r="BP54" s="181"/>
      <c r="BQ54" s="138"/>
      <c r="BR54" s="138"/>
      <c r="BS54" s="139"/>
      <c r="BT54" s="181"/>
      <c r="BU54" s="138"/>
      <c r="BV54" s="138"/>
      <c r="BW54" s="139"/>
      <c r="BX54" s="181"/>
      <c r="BY54" s="138"/>
      <c r="BZ54" s="138"/>
      <c r="CA54" s="139"/>
      <c r="CB54" s="181"/>
      <c r="CC54" s="138"/>
      <c r="CD54" s="138"/>
      <c r="CE54" s="223"/>
      <c r="CF54" s="243">
        <f t="shared" si="26"/>
        <v>100</v>
      </c>
    </row>
    <row r="55" spans="1:84" ht="30" customHeight="1">
      <c r="A55" s="169"/>
      <c r="B55" s="114"/>
      <c r="C55" s="121"/>
      <c r="D55" s="115">
        <f>D54</f>
        <v>5.7648545385134188E-4</v>
      </c>
      <c r="E55" s="116" t="s">
        <v>11</v>
      </c>
      <c r="F55" s="117">
        <f>G55*$C$54</f>
        <v>69690</v>
      </c>
      <c r="G55" s="239">
        <f t="shared" si="3"/>
        <v>1</v>
      </c>
      <c r="H55" s="224"/>
      <c r="I55" s="119"/>
      <c r="J55" s="119"/>
      <c r="K55" s="120"/>
      <c r="L55" s="122"/>
      <c r="M55" s="119"/>
      <c r="N55" s="119"/>
      <c r="O55" s="120"/>
      <c r="P55" s="123"/>
      <c r="Q55" s="118"/>
      <c r="R55" s="119"/>
      <c r="S55" s="120"/>
      <c r="T55" s="122"/>
      <c r="U55" s="184"/>
      <c r="V55" s="119"/>
      <c r="W55" s="120"/>
      <c r="X55" s="122"/>
      <c r="Y55" s="184"/>
      <c r="Z55" s="119"/>
      <c r="AA55" s="182"/>
      <c r="AB55" s="122"/>
      <c r="AC55" s="184"/>
      <c r="AD55" s="119"/>
      <c r="AE55" s="120"/>
      <c r="AF55" s="122"/>
      <c r="AG55" s="119"/>
      <c r="AH55" s="119"/>
      <c r="AI55" s="120"/>
      <c r="AJ55" s="122"/>
      <c r="AK55" s="119"/>
      <c r="AL55" s="119"/>
      <c r="AM55" s="120"/>
      <c r="AN55" s="122"/>
      <c r="AO55" s="183"/>
      <c r="AP55" s="119"/>
      <c r="AQ55" s="120"/>
      <c r="AR55" s="122"/>
      <c r="AS55" s="119"/>
      <c r="AT55" s="119"/>
      <c r="AU55" s="120"/>
      <c r="AV55" s="122"/>
      <c r="AW55" s="119"/>
      <c r="AX55" s="119"/>
      <c r="AY55" s="120"/>
      <c r="AZ55" s="122"/>
      <c r="BA55" s="119"/>
      <c r="BB55" s="119"/>
      <c r="BC55" s="120"/>
      <c r="BD55" s="122"/>
      <c r="BE55" s="119"/>
      <c r="BF55" s="119"/>
      <c r="BG55" s="120"/>
      <c r="BH55" s="122"/>
      <c r="BI55" s="119"/>
      <c r="BJ55" s="119"/>
      <c r="BK55" s="120"/>
      <c r="BL55" s="122"/>
      <c r="BM55" s="119"/>
      <c r="BN55" s="119"/>
      <c r="BO55" s="120"/>
      <c r="BP55" s="122"/>
      <c r="BQ55" s="119"/>
      <c r="BR55" s="119">
        <v>100</v>
      </c>
      <c r="BS55" s="120"/>
      <c r="BT55" s="122"/>
      <c r="BU55" s="119"/>
      <c r="BV55" s="119"/>
      <c r="BW55" s="120"/>
      <c r="BX55" s="122"/>
      <c r="BY55" s="119"/>
      <c r="BZ55" s="119"/>
      <c r="CA55" s="120"/>
      <c r="CB55" s="122"/>
      <c r="CC55" s="119"/>
      <c r="CD55" s="119"/>
      <c r="CE55" s="225"/>
      <c r="CF55" s="244">
        <f t="shared" si="26"/>
        <v>100</v>
      </c>
    </row>
    <row r="56" spans="1:84" ht="30" customHeight="1">
      <c r="A56" s="169">
        <v>3.4</v>
      </c>
      <c r="B56" s="114" t="s">
        <v>30</v>
      </c>
      <c r="C56" s="134">
        <v>318330</v>
      </c>
      <c r="D56" s="135">
        <f>C56/$C$86</f>
        <v>2.6332704050006841E-3</v>
      </c>
      <c r="E56" s="136" t="s">
        <v>10</v>
      </c>
      <c r="F56" s="137">
        <f>G56*$C$56</f>
        <v>318330.00000000006</v>
      </c>
      <c r="G56" s="238">
        <f t="shared" si="3"/>
        <v>1.0000000000000002</v>
      </c>
      <c r="H56" s="222"/>
      <c r="I56" s="138"/>
      <c r="J56" s="138"/>
      <c r="K56" s="139"/>
      <c r="L56" s="138"/>
      <c r="M56" s="138"/>
      <c r="N56" s="138"/>
      <c r="O56" s="139"/>
      <c r="P56" s="138"/>
      <c r="Q56" s="138"/>
      <c r="R56" s="138"/>
      <c r="S56" s="139"/>
      <c r="T56" s="181"/>
      <c r="U56" s="138"/>
      <c r="V56" s="138"/>
      <c r="W56" s="139"/>
      <c r="X56" s="181"/>
      <c r="Y56" s="138"/>
      <c r="Z56" s="138"/>
      <c r="AA56" s="182"/>
      <c r="AB56" s="181"/>
      <c r="AC56" s="138"/>
      <c r="AD56" s="138"/>
      <c r="AE56" s="139"/>
      <c r="AF56" s="181"/>
      <c r="AG56" s="138"/>
      <c r="AH56" s="138"/>
      <c r="AI56" s="139"/>
      <c r="AJ56" s="181"/>
      <c r="AK56" s="138"/>
      <c r="AL56" s="138"/>
      <c r="AM56" s="139"/>
      <c r="AN56" s="181"/>
      <c r="AO56" s="183"/>
      <c r="AP56" s="138"/>
      <c r="AQ56" s="139"/>
      <c r="AR56" s="181"/>
      <c r="AS56" s="138"/>
      <c r="AT56" s="138"/>
      <c r="AU56" s="139"/>
      <c r="AV56" s="181"/>
      <c r="AW56" s="138"/>
      <c r="AX56" s="138"/>
      <c r="AY56" s="139"/>
      <c r="AZ56" s="181"/>
      <c r="BA56" s="138"/>
      <c r="BB56" s="138"/>
      <c r="BC56" s="139"/>
      <c r="BD56" s="181"/>
      <c r="BE56" s="138">
        <f t="shared" ref="BE56:BJ56" si="36">100/6</f>
        <v>16.666666666666668</v>
      </c>
      <c r="BF56" s="138">
        <f t="shared" si="36"/>
        <v>16.666666666666668</v>
      </c>
      <c r="BG56" s="139">
        <f t="shared" si="36"/>
        <v>16.666666666666668</v>
      </c>
      <c r="BH56" s="181">
        <f t="shared" si="36"/>
        <v>16.666666666666668</v>
      </c>
      <c r="BI56" s="138">
        <f t="shared" si="36"/>
        <v>16.666666666666668</v>
      </c>
      <c r="BJ56" s="138">
        <f t="shared" si="36"/>
        <v>16.666666666666668</v>
      </c>
      <c r="BK56" s="139"/>
      <c r="BL56" s="181"/>
      <c r="BM56" s="138"/>
      <c r="BN56" s="138"/>
      <c r="BO56" s="139"/>
      <c r="BP56" s="181"/>
      <c r="BQ56" s="138"/>
      <c r="BR56" s="138"/>
      <c r="BS56" s="139"/>
      <c r="BT56" s="181"/>
      <c r="BU56" s="138"/>
      <c r="BV56" s="138"/>
      <c r="BW56" s="139"/>
      <c r="BX56" s="181"/>
      <c r="BY56" s="138"/>
      <c r="BZ56" s="138"/>
      <c r="CA56" s="139"/>
      <c r="CB56" s="181"/>
      <c r="CC56" s="138"/>
      <c r="CD56" s="138"/>
      <c r="CE56" s="223"/>
      <c r="CF56" s="243">
        <f t="shared" si="26"/>
        <v>100.00000000000001</v>
      </c>
    </row>
    <row r="57" spans="1:84" ht="30" customHeight="1">
      <c r="A57" s="169"/>
      <c r="B57" s="114"/>
      <c r="C57" s="121"/>
      <c r="D57" s="115">
        <f>D56</f>
        <v>2.6332704050006841E-3</v>
      </c>
      <c r="E57" s="116" t="s">
        <v>11</v>
      </c>
      <c r="F57" s="117">
        <f>G57*$C$56</f>
        <v>318330</v>
      </c>
      <c r="G57" s="239">
        <f t="shared" si="3"/>
        <v>1</v>
      </c>
      <c r="H57" s="224"/>
      <c r="I57" s="119"/>
      <c r="J57" s="119"/>
      <c r="K57" s="120"/>
      <c r="L57" s="122"/>
      <c r="M57" s="119"/>
      <c r="N57" s="119"/>
      <c r="O57" s="120"/>
      <c r="P57" s="123"/>
      <c r="Q57" s="118"/>
      <c r="R57" s="119"/>
      <c r="S57" s="120"/>
      <c r="T57" s="122"/>
      <c r="U57" s="184"/>
      <c r="V57" s="119"/>
      <c r="W57" s="120"/>
      <c r="X57" s="122"/>
      <c r="Y57" s="184"/>
      <c r="Z57" s="119"/>
      <c r="AA57" s="182"/>
      <c r="AB57" s="122"/>
      <c r="AC57" s="184"/>
      <c r="AD57" s="119"/>
      <c r="AE57" s="120"/>
      <c r="AF57" s="122"/>
      <c r="AG57" s="119"/>
      <c r="AH57" s="119"/>
      <c r="AI57" s="120"/>
      <c r="AJ57" s="122"/>
      <c r="AK57" s="119"/>
      <c r="AL57" s="119"/>
      <c r="AM57" s="120"/>
      <c r="AN57" s="122"/>
      <c r="AO57" s="183"/>
      <c r="AP57" s="119"/>
      <c r="AQ57" s="120"/>
      <c r="AR57" s="122"/>
      <c r="AS57" s="119"/>
      <c r="AT57" s="119"/>
      <c r="AU57" s="120"/>
      <c r="AV57" s="122"/>
      <c r="AW57" s="119"/>
      <c r="AX57" s="119"/>
      <c r="AY57" s="120"/>
      <c r="AZ57" s="122"/>
      <c r="BA57" s="119"/>
      <c r="BB57" s="119"/>
      <c r="BC57" s="120"/>
      <c r="BD57" s="122"/>
      <c r="BE57" s="119"/>
      <c r="BF57" s="119"/>
      <c r="BG57" s="120"/>
      <c r="BH57" s="122"/>
      <c r="BI57" s="119"/>
      <c r="BJ57" s="119"/>
      <c r="BK57" s="120"/>
      <c r="BL57" s="122"/>
      <c r="BM57" s="119">
        <v>30</v>
      </c>
      <c r="BN57" s="119">
        <v>20</v>
      </c>
      <c r="BO57" s="120"/>
      <c r="BP57" s="122">
        <v>10</v>
      </c>
      <c r="BQ57" s="119"/>
      <c r="BR57" s="119">
        <v>40</v>
      </c>
      <c r="BS57" s="120"/>
      <c r="BT57" s="122"/>
      <c r="BU57" s="119"/>
      <c r="BV57" s="119"/>
      <c r="BW57" s="120"/>
      <c r="BX57" s="122"/>
      <c r="BY57" s="119"/>
      <c r="BZ57" s="119"/>
      <c r="CA57" s="120"/>
      <c r="CB57" s="122"/>
      <c r="CC57" s="119"/>
      <c r="CD57" s="119"/>
      <c r="CE57" s="225"/>
      <c r="CF57" s="244">
        <f t="shared" si="26"/>
        <v>100</v>
      </c>
    </row>
    <row r="58" spans="1:84" ht="30" customHeight="1">
      <c r="A58" s="169">
        <v>3.5</v>
      </c>
      <c r="B58" s="114" t="s">
        <v>36</v>
      </c>
      <c r="C58" s="134">
        <v>48740</v>
      </c>
      <c r="D58" s="135">
        <f>C58/$C$86</f>
        <v>4.0318411566529495E-4</v>
      </c>
      <c r="E58" s="136" t="s">
        <v>10</v>
      </c>
      <c r="F58" s="137">
        <f>G58*$C$58</f>
        <v>48740</v>
      </c>
      <c r="G58" s="238">
        <f t="shared" si="3"/>
        <v>1</v>
      </c>
      <c r="H58" s="222"/>
      <c r="I58" s="138"/>
      <c r="J58" s="138"/>
      <c r="K58" s="139"/>
      <c r="L58" s="138"/>
      <c r="M58" s="138"/>
      <c r="N58" s="138"/>
      <c r="O58" s="139"/>
      <c r="P58" s="138"/>
      <c r="Q58" s="138"/>
      <c r="R58" s="138"/>
      <c r="S58" s="139"/>
      <c r="T58" s="181"/>
      <c r="U58" s="138"/>
      <c r="V58" s="138"/>
      <c r="W58" s="139"/>
      <c r="X58" s="181"/>
      <c r="Y58" s="138"/>
      <c r="Z58" s="138"/>
      <c r="AA58" s="182"/>
      <c r="AB58" s="181"/>
      <c r="AC58" s="138"/>
      <c r="AD58" s="138"/>
      <c r="AE58" s="139"/>
      <c r="AF58" s="181"/>
      <c r="AG58" s="138"/>
      <c r="AH58" s="138"/>
      <c r="AI58" s="139"/>
      <c r="AJ58" s="181"/>
      <c r="AK58" s="138"/>
      <c r="AL58" s="138"/>
      <c r="AM58" s="139"/>
      <c r="AN58" s="181"/>
      <c r="AO58" s="183"/>
      <c r="AP58" s="138"/>
      <c r="AQ58" s="139"/>
      <c r="AR58" s="181"/>
      <c r="AS58" s="138"/>
      <c r="AT58" s="138"/>
      <c r="AU58" s="139"/>
      <c r="AV58" s="181"/>
      <c r="AW58" s="138"/>
      <c r="AX58" s="138"/>
      <c r="AY58" s="139"/>
      <c r="AZ58" s="181"/>
      <c r="BA58" s="138"/>
      <c r="BB58" s="138"/>
      <c r="BC58" s="139"/>
      <c r="BD58" s="181"/>
      <c r="BE58" s="138"/>
      <c r="BF58" s="138">
        <f>100/4</f>
        <v>25</v>
      </c>
      <c r="BG58" s="139">
        <f t="shared" ref="BG58:BI58" si="37">100/4</f>
        <v>25</v>
      </c>
      <c r="BH58" s="181">
        <f t="shared" si="37"/>
        <v>25</v>
      </c>
      <c r="BI58" s="138">
        <f t="shared" si="37"/>
        <v>25</v>
      </c>
      <c r="BJ58" s="138"/>
      <c r="BK58" s="139"/>
      <c r="BL58" s="181"/>
      <c r="BM58" s="138"/>
      <c r="BN58" s="138"/>
      <c r="BO58" s="139"/>
      <c r="BP58" s="181"/>
      <c r="BQ58" s="138"/>
      <c r="BR58" s="138"/>
      <c r="BS58" s="139"/>
      <c r="BT58" s="181"/>
      <c r="BU58" s="138"/>
      <c r="BV58" s="138"/>
      <c r="BW58" s="139"/>
      <c r="BX58" s="181"/>
      <c r="BY58" s="138"/>
      <c r="BZ58" s="138"/>
      <c r="CA58" s="139"/>
      <c r="CB58" s="181"/>
      <c r="CC58" s="138"/>
      <c r="CD58" s="138"/>
      <c r="CE58" s="223"/>
      <c r="CF58" s="243">
        <f t="shared" si="26"/>
        <v>100</v>
      </c>
    </row>
    <row r="59" spans="1:84" ht="30" customHeight="1">
      <c r="A59" s="169"/>
      <c r="B59" s="114"/>
      <c r="C59" s="121"/>
      <c r="D59" s="115">
        <f>D58</f>
        <v>4.0318411566529495E-4</v>
      </c>
      <c r="E59" s="116" t="s">
        <v>11</v>
      </c>
      <c r="F59" s="117">
        <f>G59*$C$58</f>
        <v>48740</v>
      </c>
      <c r="G59" s="239">
        <f t="shared" si="3"/>
        <v>1</v>
      </c>
      <c r="H59" s="224"/>
      <c r="I59" s="119"/>
      <c r="J59" s="119"/>
      <c r="K59" s="120"/>
      <c r="L59" s="122"/>
      <c r="M59" s="119"/>
      <c r="N59" s="119"/>
      <c r="O59" s="120"/>
      <c r="P59" s="123"/>
      <c r="Q59" s="118"/>
      <c r="R59" s="119"/>
      <c r="S59" s="120"/>
      <c r="T59" s="122"/>
      <c r="U59" s="184"/>
      <c r="V59" s="119"/>
      <c r="W59" s="120"/>
      <c r="X59" s="122"/>
      <c r="Y59" s="184"/>
      <c r="Z59" s="119"/>
      <c r="AA59" s="182"/>
      <c r="AB59" s="122"/>
      <c r="AC59" s="184"/>
      <c r="AD59" s="119"/>
      <c r="AE59" s="120"/>
      <c r="AF59" s="122"/>
      <c r="AG59" s="119"/>
      <c r="AH59" s="119"/>
      <c r="AI59" s="120"/>
      <c r="AJ59" s="122"/>
      <c r="AK59" s="119"/>
      <c r="AL59" s="119"/>
      <c r="AM59" s="120"/>
      <c r="AN59" s="122"/>
      <c r="AO59" s="183"/>
      <c r="AP59" s="119"/>
      <c r="AQ59" s="120"/>
      <c r="AR59" s="122"/>
      <c r="AS59" s="119"/>
      <c r="AT59" s="119"/>
      <c r="AU59" s="120"/>
      <c r="AV59" s="122"/>
      <c r="AW59" s="119"/>
      <c r="AX59" s="119"/>
      <c r="AY59" s="120"/>
      <c r="AZ59" s="122"/>
      <c r="BA59" s="119"/>
      <c r="BB59" s="119"/>
      <c r="BC59" s="120"/>
      <c r="BD59" s="122"/>
      <c r="BE59" s="119"/>
      <c r="BF59" s="119"/>
      <c r="BG59" s="120"/>
      <c r="BH59" s="122"/>
      <c r="BI59" s="119"/>
      <c r="BJ59" s="119"/>
      <c r="BK59" s="120"/>
      <c r="BL59" s="122"/>
      <c r="BM59" s="119"/>
      <c r="BN59" s="119"/>
      <c r="BO59" s="120"/>
      <c r="BP59" s="122"/>
      <c r="BQ59" s="119"/>
      <c r="BR59" s="119">
        <v>100</v>
      </c>
      <c r="BS59" s="120"/>
      <c r="BT59" s="122"/>
      <c r="BU59" s="119"/>
      <c r="BV59" s="119"/>
      <c r="BW59" s="120"/>
      <c r="BX59" s="122"/>
      <c r="BY59" s="119"/>
      <c r="BZ59" s="119"/>
      <c r="CA59" s="120"/>
      <c r="CB59" s="122"/>
      <c r="CC59" s="119"/>
      <c r="CD59" s="119"/>
      <c r="CE59" s="225"/>
      <c r="CF59" s="244">
        <f t="shared" si="26"/>
        <v>100</v>
      </c>
    </row>
    <row r="60" spans="1:84" ht="30" customHeight="1">
      <c r="A60" s="169">
        <v>3.6</v>
      </c>
      <c r="B60" s="114" t="s">
        <v>31</v>
      </c>
      <c r="C60" s="134">
        <v>747048</v>
      </c>
      <c r="D60" s="135">
        <f>C60/$C$86</f>
        <v>6.1796858276472562E-3</v>
      </c>
      <c r="E60" s="136" t="s">
        <v>10</v>
      </c>
      <c r="F60" s="137">
        <f>G60*$C$60</f>
        <v>747048</v>
      </c>
      <c r="G60" s="238">
        <f t="shared" si="3"/>
        <v>1</v>
      </c>
      <c r="H60" s="222"/>
      <c r="I60" s="138"/>
      <c r="J60" s="138"/>
      <c r="K60" s="139"/>
      <c r="L60" s="138"/>
      <c r="M60" s="138"/>
      <c r="N60" s="138"/>
      <c r="O60" s="139"/>
      <c r="P60" s="138"/>
      <c r="Q60" s="138"/>
      <c r="R60" s="138"/>
      <c r="S60" s="139"/>
      <c r="T60" s="181"/>
      <c r="U60" s="138"/>
      <c r="V60" s="138"/>
      <c r="W60" s="139"/>
      <c r="X60" s="181"/>
      <c r="Y60" s="138"/>
      <c r="Z60" s="138"/>
      <c r="AA60" s="182"/>
      <c r="AB60" s="181"/>
      <c r="AC60" s="138"/>
      <c r="AD60" s="138"/>
      <c r="AE60" s="139"/>
      <c r="AF60" s="181"/>
      <c r="AG60" s="138"/>
      <c r="AH60" s="138"/>
      <c r="AI60" s="139"/>
      <c r="AJ60" s="181"/>
      <c r="AK60" s="138"/>
      <c r="AL60" s="138"/>
      <c r="AM60" s="139"/>
      <c r="AN60" s="181"/>
      <c r="AO60" s="183"/>
      <c r="AP60" s="138"/>
      <c r="AQ60" s="139"/>
      <c r="AR60" s="181"/>
      <c r="AS60" s="138"/>
      <c r="AT60" s="138"/>
      <c r="AU60" s="139"/>
      <c r="AV60" s="181"/>
      <c r="AW60" s="138"/>
      <c r="AX60" s="138"/>
      <c r="AY60" s="139"/>
      <c r="AZ60" s="181"/>
      <c r="BA60" s="138"/>
      <c r="BB60" s="138"/>
      <c r="BC60" s="139"/>
      <c r="BD60" s="181"/>
      <c r="BE60" s="138"/>
      <c r="BF60" s="138"/>
      <c r="BG60" s="139">
        <f t="shared" ref="BG60:BK60" si="38">100/5</f>
        <v>20</v>
      </c>
      <c r="BH60" s="181">
        <f t="shared" si="38"/>
        <v>20</v>
      </c>
      <c r="BI60" s="138">
        <f t="shared" si="38"/>
        <v>20</v>
      </c>
      <c r="BJ60" s="138">
        <f t="shared" si="38"/>
        <v>20</v>
      </c>
      <c r="BK60" s="139">
        <f t="shared" si="38"/>
        <v>20</v>
      </c>
      <c r="BL60" s="181"/>
      <c r="BM60" s="138"/>
      <c r="BN60" s="138"/>
      <c r="BO60" s="139"/>
      <c r="BP60" s="181"/>
      <c r="BQ60" s="138"/>
      <c r="BR60" s="138"/>
      <c r="BS60" s="139"/>
      <c r="BT60" s="181"/>
      <c r="BU60" s="138"/>
      <c r="BV60" s="138"/>
      <c r="BW60" s="139"/>
      <c r="BX60" s="181"/>
      <c r="BY60" s="138"/>
      <c r="BZ60" s="138"/>
      <c r="CA60" s="139"/>
      <c r="CB60" s="181"/>
      <c r="CC60" s="138"/>
      <c r="CD60" s="138"/>
      <c r="CE60" s="223"/>
      <c r="CF60" s="243">
        <f t="shared" si="26"/>
        <v>100</v>
      </c>
    </row>
    <row r="61" spans="1:84" ht="30" customHeight="1">
      <c r="A61" s="169"/>
      <c r="B61" s="114"/>
      <c r="C61" s="121"/>
      <c r="D61" s="115">
        <f>D60</f>
        <v>6.1796858276472562E-3</v>
      </c>
      <c r="E61" s="116" t="s">
        <v>11</v>
      </c>
      <c r="F61" s="117">
        <f>G61*$C$60</f>
        <v>747048</v>
      </c>
      <c r="G61" s="239">
        <f t="shared" si="3"/>
        <v>1</v>
      </c>
      <c r="H61" s="224"/>
      <c r="I61" s="119"/>
      <c r="J61" s="119"/>
      <c r="K61" s="120"/>
      <c r="L61" s="122"/>
      <c r="M61" s="119"/>
      <c r="N61" s="119"/>
      <c r="O61" s="120"/>
      <c r="P61" s="123"/>
      <c r="Q61" s="118"/>
      <c r="R61" s="119"/>
      <c r="S61" s="120"/>
      <c r="T61" s="122"/>
      <c r="U61" s="184"/>
      <c r="V61" s="119"/>
      <c r="W61" s="120"/>
      <c r="X61" s="122"/>
      <c r="Y61" s="184"/>
      <c r="Z61" s="119"/>
      <c r="AA61" s="182"/>
      <c r="AB61" s="122"/>
      <c r="AC61" s="184"/>
      <c r="AD61" s="119"/>
      <c r="AE61" s="120"/>
      <c r="AF61" s="122"/>
      <c r="AG61" s="119"/>
      <c r="AH61" s="119"/>
      <c r="AI61" s="120"/>
      <c r="AJ61" s="122"/>
      <c r="AK61" s="119"/>
      <c r="AL61" s="119"/>
      <c r="AM61" s="120"/>
      <c r="AN61" s="122"/>
      <c r="AO61" s="183"/>
      <c r="AP61" s="119"/>
      <c r="AQ61" s="120"/>
      <c r="AR61" s="122"/>
      <c r="AS61" s="119"/>
      <c r="AT61" s="119"/>
      <c r="AU61" s="120"/>
      <c r="AV61" s="122"/>
      <c r="AW61" s="119"/>
      <c r="AX61" s="119"/>
      <c r="AY61" s="120"/>
      <c r="AZ61" s="122"/>
      <c r="BA61" s="119"/>
      <c r="BB61" s="119"/>
      <c r="BC61" s="120"/>
      <c r="BD61" s="122"/>
      <c r="BE61" s="119"/>
      <c r="BF61" s="119"/>
      <c r="BG61" s="120"/>
      <c r="BH61" s="122"/>
      <c r="BI61" s="119"/>
      <c r="BJ61" s="119"/>
      <c r="BK61" s="120"/>
      <c r="BL61" s="122"/>
      <c r="BM61" s="119">
        <v>20</v>
      </c>
      <c r="BN61" s="119">
        <v>30</v>
      </c>
      <c r="BO61" s="120">
        <v>10</v>
      </c>
      <c r="BP61" s="122"/>
      <c r="BQ61" s="119">
        <v>40</v>
      </c>
      <c r="BR61" s="119"/>
      <c r="BS61" s="120"/>
      <c r="BT61" s="122"/>
      <c r="BU61" s="119"/>
      <c r="BV61" s="119"/>
      <c r="BW61" s="120"/>
      <c r="BX61" s="122"/>
      <c r="BY61" s="119"/>
      <c r="BZ61" s="119"/>
      <c r="CA61" s="120"/>
      <c r="CB61" s="122"/>
      <c r="CC61" s="119"/>
      <c r="CD61" s="119"/>
      <c r="CE61" s="225"/>
      <c r="CF61" s="244">
        <f t="shared" si="26"/>
        <v>100</v>
      </c>
    </row>
    <row r="62" spans="1:84" ht="30" customHeight="1">
      <c r="A62" s="169">
        <v>3.7</v>
      </c>
      <c r="B62" s="114" t="s">
        <v>37</v>
      </c>
      <c r="C62" s="134">
        <v>543290</v>
      </c>
      <c r="D62" s="135">
        <f>C62/$C$86</f>
        <v>4.4941710750881839E-3</v>
      </c>
      <c r="E62" s="136" t="s">
        <v>10</v>
      </c>
      <c r="F62" s="137">
        <f>G62*$C$62</f>
        <v>543290</v>
      </c>
      <c r="G62" s="238">
        <f t="shared" si="3"/>
        <v>1</v>
      </c>
      <c r="H62" s="222"/>
      <c r="I62" s="138"/>
      <c r="J62" s="138"/>
      <c r="K62" s="139"/>
      <c r="L62" s="138"/>
      <c r="M62" s="138"/>
      <c r="N62" s="138"/>
      <c r="O62" s="139"/>
      <c r="P62" s="138"/>
      <c r="Q62" s="138"/>
      <c r="R62" s="138"/>
      <c r="S62" s="139"/>
      <c r="T62" s="181"/>
      <c r="U62" s="138"/>
      <c r="V62" s="138"/>
      <c r="W62" s="139"/>
      <c r="X62" s="181"/>
      <c r="Y62" s="138"/>
      <c r="Z62" s="138"/>
      <c r="AA62" s="182"/>
      <c r="AB62" s="181"/>
      <c r="AC62" s="138"/>
      <c r="AD62" s="138"/>
      <c r="AE62" s="139"/>
      <c r="AF62" s="181"/>
      <c r="AG62" s="138"/>
      <c r="AH62" s="138"/>
      <c r="AI62" s="139"/>
      <c r="AJ62" s="181"/>
      <c r="AK62" s="138"/>
      <c r="AL62" s="138"/>
      <c r="AM62" s="139"/>
      <c r="AN62" s="181"/>
      <c r="AO62" s="183"/>
      <c r="AP62" s="138"/>
      <c r="AQ62" s="139"/>
      <c r="AR62" s="181"/>
      <c r="AS62" s="138"/>
      <c r="AT62" s="138"/>
      <c r="AU62" s="139"/>
      <c r="AV62" s="181"/>
      <c r="AW62" s="138"/>
      <c r="AX62" s="138"/>
      <c r="AY62" s="139"/>
      <c r="AZ62" s="181"/>
      <c r="BA62" s="138"/>
      <c r="BB62" s="138"/>
      <c r="BC62" s="139"/>
      <c r="BD62" s="181"/>
      <c r="BE62" s="138"/>
      <c r="BF62" s="138"/>
      <c r="BG62" s="139"/>
      <c r="BH62" s="181">
        <f t="shared" ref="BH62:BI62" si="39">100/4</f>
        <v>25</v>
      </c>
      <c r="BI62" s="138">
        <f t="shared" si="39"/>
        <v>25</v>
      </c>
      <c r="BJ62" s="138">
        <f>100/4</f>
        <v>25</v>
      </c>
      <c r="BK62" s="139">
        <f>100/4</f>
        <v>25</v>
      </c>
      <c r="BL62" s="181"/>
      <c r="BM62" s="138"/>
      <c r="BN62" s="138"/>
      <c r="BO62" s="139"/>
      <c r="BP62" s="181"/>
      <c r="BQ62" s="138"/>
      <c r="BR62" s="138"/>
      <c r="BS62" s="139"/>
      <c r="BT62" s="181"/>
      <c r="BU62" s="138"/>
      <c r="BV62" s="138"/>
      <c r="BW62" s="139"/>
      <c r="BX62" s="181"/>
      <c r="BY62" s="138"/>
      <c r="BZ62" s="138"/>
      <c r="CA62" s="139"/>
      <c r="CB62" s="181"/>
      <c r="CC62" s="138"/>
      <c r="CD62" s="138"/>
      <c r="CE62" s="223"/>
      <c r="CF62" s="243">
        <f>SUM(H62:CE62)</f>
        <v>100</v>
      </c>
    </row>
    <row r="63" spans="1:84" ht="30" customHeight="1">
      <c r="A63" s="169"/>
      <c r="B63" s="114"/>
      <c r="C63" s="121"/>
      <c r="D63" s="115">
        <f>D62</f>
        <v>4.4941710750881839E-3</v>
      </c>
      <c r="E63" s="116" t="s">
        <v>11</v>
      </c>
      <c r="F63" s="117">
        <f>G63*$C$62</f>
        <v>543290</v>
      </c>
      <c r="G63" s="239">
        <f t="shared" si="3"/>
        <v>1</v>
      </c>
      <c r="H63" s="224"/>
      <c r="I63" s="119"/>
      <c r="J63" s="119"/>
      <c r="K63" s="120"/>
      <c r="L63" s="122"/>
      <c r="M63" s="119"/>
      <c r="N63" s="119"/>
      <c r="O63" s="120"/>
      <c r="P63" s="123"/>
      <c r="Q63" s="118"/>
      <c r="R63" s="119"/>
      <c r="S63" s="120"/>
      <c r="T63" s="122"/>
      <c r="U63" s="184"/>
      <c r="V63" s="119"/>
      <c r="W63" s="120"/>
      <c r="X63" s="122"/>
      <c r="Y63" s="184"/>
      <c r="Z63" s="119"/>
      <c r="AA63" s="182"/>
      <c r="AB63" s="122"/>
      <c r="AC63" s="184"/>
      <c r="AD63" s="119"/>
      <c r="AE63" s="120"/>
      <c r="AF63" s="122"/>
      <c r="AG63" s="119"/>
      <c r="AH63" s="119"/>
      <c r="AI63" s="120"/>
      <c r="AJ63" s="122"/>
      <c r="AK63" s="119"/>
      <c r="AL63" s="119"/>
      <c r="AM63" s="120"/>
      <c r="AN63" s="122"/>
      <c r="AO63" s="183"/>
      <c r="AP63" s="119"/>
      <c r="AQ63" s="120"/>
      <c r="AR63" s="122"/>
      <c r="AS63" s="119"/>
      <c r="AT63" s="119"/>
      <c r="AU63" s="120"/>
      <c r="AV63" s="122"/>
      <c r="AW63" s="119"/>
      <c r="AX63" s="119"/>
      <c r="AY63" s="120"/>
      <c r="AZ63" s="122"/>
      <c r="BA63" s="119"/>
      <c r="BB63" s="119"/>
      <c r="BC63" s="120"/>
      <c r="BD63" s="122"/>
      <c r="BE63" s="119"/>
      <c r="BF63" s="119"/>
      <c r="BG63" s="120"/>
      <c r="BH63" s="122"/>
      <c r="BI63" s="119"/>
      <c r="BJ63" s="119"/>
      <c r="BK63" s="120"/>
      <c r="BL63" s="122"/>
      <c r="BM63" s="119"/>
      <c r="BN63" s="119"/>
      <c r="BO63" s="120">
        <v>30</v>
      </c>
      <c r="BP63" s="122">
        <v>20</v>
      </c>
      <c r="BQ63" s="119">
        <v>50</v>
      </c>
      <c r="BR63" s="119"/>
      <c r="BS63" s="120"/>
      <c r="BT63" s="122"/>
      <c r="BU63" s="119"/>
      <c r="BV63" s="119"/>
      <c r="BW63" s="120"/>
      <c r="BX63" s="122"/>
      <c r="BY63" s="119"/>
      <c r="BZ63" s="119"/>
      <c r="CA63" s="120"/>
      <c r="CB63" s="122"/>
      <c r="CC63" s="119"/>
      <c r="CD63" s="119"/>
      <c r="CE63" s="225"/>
      <c r="CF63" s="244">
        <f>SUM(H63:CE63)</f>
        <v>100</v>
      </c>
    </row>
    <row r="64" spans="1:84" ht="30" customHeight="1">
      <c r="A64" s="172">
        <v>3.8</v>
      </c>
      <c r="B64" s="147" t="s">
        <v>32</v>
      </c>
      <c r="C64" s="134">
        <v>124800</v>
      </c>
      <c r="D64" s="135">
        <f>C64/$C$86</f>
        <v>1.0323631028934922E-3</v>
      </c>
      <c r="E64" s="136" t="s">
        <v>10</v>
      </c>
      <c r="F64" s="137">
        <f>G64*$C$64</f>
        <v>124800</v>
      </c>
      <c r="G64" s="238">
        <f t="shared" si="3"/>
        <v>1</v>
      </c>
      <c r="H64" s="222"/>
      <c r="I64" s="138"/>
      <c r="J64" s="138"/>
      <c r="K64" s="139"/>
      <c r="L64" s="138"/>
      <c r="M64" s="138"/>
      <c r="N64" s="138"/>
      <c r="O64" s="139"/>
      <c r="P64" s="138"/>
      <c r="Q64" s="138"/>
      <c r="R64" s="138"/>
      <c r="S64" s="139"/>
      <c r="T64" s="181"/>
      <c r="U64" s="138"/>
      <c r="V64" s="138"/>
      <c r="W64" s="139"/>
      <c r="X64" s="181"/>
      <c r="Y64" s="138"/>
      <c r="Z64" s="138"/>
      <c r="AA64" s="182"/>
      <c r="AB64" s="181"/>
      <c r="AC64" s="138"/>
      <c r="AD64" s="138"/>
      <c r="AE64" s="139"/>
      <c r="AF64" s="181"/>
      <c r="AG64" s="138"/>
      <c r="AH64" s="138"/>
      <c r="AI64" s="139"/>
      <c r="AJ64" s="181"/>
      <c r="AK64" s="138"/>
      <c r="AL64" s="138"/>
      <c r="AM64" s="139"/>
      <c r="AN64" s="181"/>
      <c r="AO64" s="183"/>
      <c r="AP64" s="138"/>
      <c r="AQ64" s="139"/>
      <c r="AR64" s="181"/>
      <c r="AS64" s="138"/>
      <c r="AT64" s="138"/>
      <c r="AU64" s="139"/>
      <c r="AV64" s="181"/>
      <c r="AW64" s="138"/>
      <c r="AX64" s="138"/>
      <c r="AY64" s="139"/>
      <c r="AZ64" s="181"/>
      <c r="BA64" s="138"/>
      <c r="BB64" s="138"/>
      <c r="BC64" s="139"/>
      <c r="BD64" s="181"/>
      <c r="BE64" s="138"/>
      <c r="BF64" s="138"/>
      <c r="BG64" s="139">
        <f>100/5</f>
        <v>20</v>
      </c>
      <c r="BH64" s="181">
        <f t="shared" ref="BH64:BK64" si="40">100/5</f>
        <v>20</v>
      </c>
      <c r="BI64" s="138">
        <f t="shared" si="40"/>
        <v>20</v>
      </c>
      <c r="BJ64" s="138">
        <f t="shared" si="40"/>
        <v>20</v>
      </c>
      <c r="BK64" s="139">
        <f t="shared" si="40"/>
        <v>20</v>
      </c>
      <c r="BL64" s="181"/>
      <c r="BM64" s="138"/>
      <c r="BN64" s="138"/>
      <c r="BO64" s="139"/>
      <c r="BP64" s="181"/>
      <c r="BQ64" s="138"/>
      <c r="BR64" s="138"/>
      <c r="BS64" s="139"/>
      <c r="BT64" s="181"/>
      <c r="BU64" s="138"/>
      <c r="BV64" s="138"/>
      <c r="BW64" s="139"/>
      <c r="BX64" s="181"/>
      <c r="BY64" s="138"/>
      <c r="BZ64" s="138"/>
      <c r="CA64" s="139"/>
      <c r="CB64" s="181"/>
      <c r="CC64" s="138"/>
      <c r="CD64" s="138"/>
      <c r="CE64" s="223"/>
      <c r="CF64" s="243">
        <f>SUM(H64:CE64)</f>
        <v>100</v>
      </c>
    </row>
    <row r="65" spans="1:84" ht="30" customHeight="1">
      <c r="A65" s="173"/>
      <c r="B65" s="149"/>
      <c r="C65" s="121"/>
      <c r="D65" s="115">
        <f>D64</f>
        <v>1.0323631028934922E-3</v>
      </c>
      <c r="E65" s="116" t="s">
        <v>11</v>
      </c>
      <c r="F65" s="117">
        <f>G65*$C$64</f>
        <v>0</v>
      </c>
      <c r="G65" s="239">
        <f t="shared" si="3"/>
        <v>0</v>
      </c>
      <c r="H65" s="224"/>
      <c r="I65" s="119"/>
      <c r="J65" s="119"/>
      <c r="K65" s="120"/>
      <c r="L65" s="122"/>
      <c r="M65" s="119"/>
      <c r="N65" s="119"/>
      <c r="O65" s="120"/>
      <c r="P65" s="123"/>
      <c r="Q65" s="118"/>
      <c r="R65" s="119"/>
      <c r="S65" s="120"/>
      <c r="T65" s="122"/>
      <c r="U65" s="184"/>
      <c r="V65" s="119"/>
      <c r="W65" s="120"/>
      <c r="X65" s="122"/>
      <c r="Y65" s="184"/>
      <c r="Z65" s="119"/>
      <c r="AA65" s="182"/>
      <c r="AB65" s="122"/>
      <c r="AC65" s="184"/>
      <c r="AD65" s="119"/>
      <c r="AE65" s="120"/>
      <c r="AF65" s="122"/>
      <c r="AG65" s="119"/>
      <c r="AH65" s="119"/>
      <c r="AI65" s="120"/>
      <c r="AJ65" s="122"/>
      <c r="AK65" s="119"/>
      <c r="AL65" s="119"/>
      <c r="AM65" s="120"/>
      <c r="AN65" s="122"/>
      <c r="AO65" s="183"/>
      <c r="AP65" s="119"/>
      <c r="AQ65" s="120"/>
      <c r="AR65" s="122"/>
      <c r="AS65" s="119"/>
      <c r="AT65" s="119"/>
      <c r="AU65" s="120"/>
      <c r="AV65" s="122"/>
      <c r="AW65" s="119"/>
      <c r="AX65" s="119"/>
      <c r="AY65" s="120"/>
      <c r="AZ65" s="122"/>
      <c r="BA65" s="119"/>
      <c r="BB65" s="119"/>
      <c r="BC65" s="120"/>
      <c r="BD65" s="122"/>
      <c r="BE65" s="119"/>
      <c r="BF65" s="119"/>
      <c r="BG65" s="120"/>
      <c r="BH65" s="122"/>
      <c r="BI65" s="119"/>
      <c r="BJ65" s="119"/>
      <c r="BK65" s="120"/>
      <c r="BL65" s="122"/>
      <c r="BM65" s="119"/>
      <c r="BN65" s="119"/>
      <c r="BO65" s="120"/>
      <c r="BP65" s="122"/>
      <c r="BQ65" s="119"/>
      <c r="BR65" s="119"/>
      <c r="BS65" s="120"/>
      <c r="BT65" s="122"/>
      <c r="BU65" s="119"/>
      <c r="BV65" s="119"/>
      <c r="BW65" s="120"/>
      <c r="BX65" s="122"/>
      <c r="BY65" s="119"/>
      <c r="BZ65" s="119"/>
      <c r="CA65" s="120"/>
      <c r="CB65" s="122"/>
      <c r="CC65" s="119"/>
      <c r="CD65" s="119"/>
      <c r="CE65" s="225"/>
      <c r="CF65" s="244"/>
    </row>
    <row r="66" spans="1:84" ht="30" customHeight="1">
      <c r="A66" s="169">
        <v>3.9</v>
      </c>
      <c r="B66" s="114" t="s">
        <v>23</v>
      </c>
      <c r="C66" s="134">
        <v>7290</v>
      </c>
      <c r="D66" s="135">
        <f>C66/$C$86</f>
        <v>6.030390240459582E-5</v>
      </c>
      <c r="E66" s="136" t="s">
        <v>10</v>
      </c>
      <c r="F66" s="137">
        <f>G66*$C$66</f>
        <v>7290</v>
      </c>
      <c r="G66" s="238">
        <f t="shared" si="3"/>
        <v>1</v>
      </c>
      <c r="H66" s="222"/>
      <c r="I66" s="138"/>
      <c r="J66" s="138"/>
      <c r="K66" s="139"/>
      <c r="L66" s="138"/>
      <c r="M66" s="138"/>
      <c r="N66" s="138"/>
      <c r="O66" s="139"/>
      <c r="P66" s="138"/>
      <c r="Q66" s="138"/>
      <c r="R66" s="138"/>
      <c r="S66" s="139"/>
      <c r="T66" s="181"/>
      <c r="U66" s="138"/>
      <c r="V66" s="138"/>
      <c r="W66" s="139"/>
      <c r="X66" s="181"/>
      <c r="Y66" s="138"/>
      <c r="Z66" s="138"/>
      <c r="AA66" s="182"/>
      <c r="AB66" s="181"/>
      <c r="AC66" s="138"/>
      <c r="AD66" s="138"/>
      <c r="AE66" s="139"/>
      <c r="AF66" s="181"/>
      <c r="AG66" s="138"/>
      <c r="AH66" s="138"/>
      <c r="AI66" s="139"/>
      <c r="AJ66" s="181"/>
      <c r="AK66" s="138"/>
      <c r="AL66" s="138"/>
      <c r="AM66" s="139"/>
      <c r="AN66" s="181"/>
      <c r="AO66" s="183"/>
      <c r="AP66" s="138"/>
      <c r="AQ66" s="139"/>
      <c r="AR66" s="181"/>
      <c r="AS66" s="138"/>
      <c r="AT66" s="138"/>
      <c r="AU66" s="139"/>
      <c r="AV66" s="181"/>
      <c r="AW66" s="138"/>
      <c r="AX66" s="138"/>
      <c r="AY66" s="139"/>
      <c r="AZ66" s="181"/>
      <c r="BA66" s="138"/>
      <c r="BB66" s="138"/>
      <c r="BC66" s="139"/>
      <c r="BD66" s="181"/>
      <c r="BE66" s="138"/>
      <c r="BF66" s="138"/>
      <c r="BG66" s="139"/>
      <c r="BH66" s="181"/>
      <c r="BI66" s="138"/>
      <c r="BJ66" s="138">
        <v>50</v>
      </c>
      <c r="BK66" s="139">
        <v>50</v>
      </c>
      <c r="BL66" s="181"/>
      <c r="BM66" s="138"/>
      <c r="BN66" s="138"/>
      <c r="BO66" s="139"/>
      <c r="BP66" s="181"/>
      <c r="BQ66" s="138"/>
      <c r="BR66" s="138"/>
      <c r="BS66" s="139"/>
      <c r="BT66" s="181"/>
      <c r="BU66" s="138"/>
      <c r="BV66" s="138"/>
      <c r="BW66" s="139"/>
      <c r="BX66" s="181"/>
      <c r="BY66" s="138"/>
      <c r="BZ66" s="138"/>
      <c r="CA66" s="139"/>
      <c r="CB66" s="181"/>
      <c r="CC66" s="138"/>
      <c r="CD66" s="138"/>
      <c r="CE66" s="223"/>
      <c r="CF66" s="243">
        <f t="shared" ref="CF66:CF80" si="41">SUM(H66:CE66)</f>
        <v>100</v>
      </c>
    </row>
    <row r="67" spans="1:84" ht="30" customHeight="1">
      <c r="A67" s="169"/>
      <c r="B67" s="114"/>
      <c r="C67" s="121"/>
      <c r="D67" s="115">
        <f>D66</f>
        <v>6.030390240459582E-5</v>
      </c>
      <c r="E67" s="116" t="s">
        <v>11</v>
      </c>
      <c r="F67" s="117">
        <f>G67*$C$66</f>
        <v>7290</v>
      </c>
      <c r="G67" s="239">
        <f t="shared" si="3"/>
        <v>1</v>
      </c>
      <c r="H67" s="224"/>
      <c r="I67" s="119"/>
      <c r="J67" s="119"/>
      <c r="K67" s="120"/>
      <c r="L67" s="122"/>
      <c r="M67" s="119"/>
      <c r="N67" s="119"/>
      <c r="O67" s="120"/>
      <c r="P67" s="123"/>
      <c r="Q67" s="118"/>
      <c r="R67" s="119"/>
      <c r="S67" s="120"/>
      <c r="T67" s="122"/>
      <c r="U67" s="184"/>
      <c r="V67" s="119"/>
      <c r="W67" s="120"/>
      <c r="X67" s="122"/>
      <c r="Y67" s="184"/>
      <c r="Z67" s="119"/>
      <c r="AA67" s="182"/>
      <c r="AB67" s="122"/>
      <c r="AC67" s="184"/>
      <c r="AD67" s="119"/>
      <c r="AE67" s="120"/>
      <c r="AF67" s="122"/>
      <c r="AG67" s="119"/>
      <c r="AH67" s="119"/>
      <c r="AI67" s="120"/>
      <c r="AJ67" s="122"/>
      <c r="AK67" s="119"/>
      <c r="AL67" s="119"/>
      <c r="AM67" s="120"/>
      <c r="AN67" s="122"/>
      <c r="AO67" s="183"/>
      <c r="AP67" s="119"/>
      <c r="AQ67" s="120"/>
      <c r="AR67" s="122"/>
      <c r="AS67" s="119"/>
      <c r="AT67" s="119"/>
      <c r="AU67" s="120"/>
      <c r="AV67" s="122"/>
      <c r="AW67" s="119"/>
      <c r="AX67" s="119"/>
      <c r="AY67" s="120"/>
      <c r="AZ67" s="122"/>
      <c r="BA67" s="119"/>
      <c r="BB67" s="119"/>
      <c r="BC67" s="120"/>
      <c r="BD67" s="122"/>
      <c r="BE67" s="119"/>
      <c r="BF67" s="119"/>
      <c r="BG67" s="120"/>
      <c r="BH67" s="122"/>
      <c r="BI67" s="119"/>
      <c r="BJ67" s="119">
        <v>50</v>
      </c>
      <c r="BK67" s="120">
        <v>50</v>
      </c>
      <c r="BL67" s="122"/>
      <c r="BM67" s="119"/>
      <c r="BN67" s="119"/>
      <c r="BO67" s="120"/>
      <c r="BP67" s="122"/>
      <c r="BQ67" s="119"/>
      <c r="BR67" s="119"/>
      <c r="BS67" s="120"/>
      <c r="BT67" s="122"/>
      <c r="BU67" s="119"/>
      <c r="BV67" s="119"/>
      <c r="BW67" s="120"/>
      <c r="BX67" s="122"/>
      <c r="BY67" s="119"/>
      <c r="BZ67" s="119"/>
      <c r="CA67" s="120"/>
      <c r="CB67" s="122"/>
      <c r="CC67" s="119"/>
      <c r="CD67" s="119"/>
      <c r="CE67" s="225"/>
      <c r="CF67" s="244">
        <f t="shared" si="41"/>
        <v>100</v>
      </c>
    </row>
    <row r="68" spans="1:84" ht="30" customHeight="1">
      <c r="A68" s="170">
        <v>4</v>
      </c>
      <c r="B68" s="124" t="s">
        <v>38</v>
      </c>
      <c r="C68" s="134"/>
      <c r="D68" s="135"/>
      <c r="E68" s="136"/>
      <c r="F68" s="137"/>
      <c r="G68" s="238"/>
      <c r="H68" s="222"/>
      <c r="I68" s="138"/>
      <c r="J68" s="138"/>
      <c r="K68" s="139"/>
      <c r="L68" s="138"/>
      <c r="M68" s="138"/>
      <c r="N68" s="138"/>
      <c r="O68" s="139"/>
      <c r="P68" s="138"/>
      <c r="Q68" s="138"/>
      <c r="R68" s="138"/>
      <c r="S68" s="139"/>
      <c r="T68" s="181"/>
      <c r="U68" s="138"/>
      <c r="V68" s="138"/>
      <c r="W68" s="139"/>
      <c r="X68" s="181"/>
      <c r="Y68" s="138"/>
      <c r="Z68" s="138"/>
      <c r="AA68" s="182"/>
      <c r="AB68" s="181"/>
      <c r="AC68" s="138"/>
      <c r="AD68" s="138"/>
      <c r="AE68" s="139"/>
      <c r="AF68" s="181"/>
      <c r="AG68" s="138"/>
      <c r="AH68" s="138"/>
      <c r="AI68" s="139"/>
      <c r="AJ68" s="181"/>
      <c r="AK68" s="138"/>
      <c r="AL68" s="138"/>
      <c r="AM68" s="139"/>
      <c r="AN68" s="181"/>
      <c r="AO68" s="183"/>
      <c r="AP68" s="138"/>
      <c r="AQ68" s="139"/>
      <c r="AR68" s="181"/>
      <c r="AS68" s="138"/>
      <c r="AT68" s="138"/>
      <c r="AU68" s="139"/>
      <c r="AV68" s="181"/>
      <c r="AW68" s="138"/>
      <c r="AX68" s="138"/>
      <c r="AY68" s="139"/>
      <c r="AZ68" s="181"/>
      <c r="BA68" s="138"/>
      <c r="BB68" s="138"/>
      <c r="BC68" s="139"/>
      <c r="BD68" s="181"/>
      <c r="BE68" s="138"/>
      <c r="BF68" s="138"/>
      <c r="BG68" s="139"/>
      <c r="BH68" s="181"/>
      <c r="BI68" s="138"/>
      <c r="BJ68" s="138"/>
      <c r="BK68" s="139"/>
      <c r="BL68" s="181"/>
      <c r="BM68" s="138"/>
      <c r="BN68" s="138"/>
      <c r="BO68" s="139"/>
      <c r="BP68" s="181"/>
      <c r="BQ68" s="138"/>
      <c r="BR68" s="138"/>
      <c r="BS68" s="139"/>
      <c r="BT68" s="181"/>
      <c r="BU68" s="138"/>
      <c r="BV68" s="138"/>
      <c r="BW68" s="139"/>
      <c r="BX68" s="181"/>
      <c r="BY68" s="138"/>
      <c r="BZ68" s="138"/>
      <c r="CA68" s="139"/>
      <c r="CB68" s="181"/>
      <c r="CC68" s="138"/>
      <c r="CD68" s="138"/>
      <c r="CE68" s="223"/>
      <c r="CF68" s="243">
        <f t="shared" si="41"/>
        <v>0</v>
      </c>
    </row>
    <row r="69" spans="1:84" ht="30" customHeight="1">
      <c r="A69" s="170"/>
      <c r="B69" s="124"/>
      <c r="C69" s="121"/>
      <c r="D69" s="115"/>
      <c r="E69" s="116"/>
      <c r="F69" s="117"/>
      <c r="G69" s="239"/>
      <c r="H69" s="224"/>
      <c r="I69" s="119"/>
      <c r="J69" s="119"/>
      <c r="K69" s="120"/>
      <c r="L69" s="122"/>
      <c r="M69" s="119"/>
      <c r="N69" s="119"/>
      <c r="O69" s="120"/>
      <c r="P69" s="123"/>
      <c r="Q69" s="118"/>
      <c r="R69" s="119"/>
      <c r="S69" s="120"/>
      <c r="T69" s="122"/>
      <c r="U69" s="184"/>
      <c r="V69" s="119"/>
      <c r="W69" s="120"/>
      <c r="X69" s="122"/>
      <c r="Y69" s="184"/>
      <c r="Z69" s="119"/>
      <c r="AA69" s="182"/>
      <c r="AB69" s="122"/>
      <c r="AC69" s="184"/>
      <c r="AD69" s="119"/>
      <c r="AE69" s="120"/>
      <c r="AF69" s="122"/>
      <c r="AG69" s="119"/>
      <c r="AH69" s="119"/>
      <c r="AI69" s="120"/>
      <c r="AJ69" s="122"/>
      <c r="AK69" s="119"/>
      <c r="AL69" s="119"/>
      <c r="AM69" s="120"/>
      <c r="AN69" s="122"/>
      <c r="AO69" s="183"/>
      <c r="AP69" s="119"/>
      <c r="AQ69" s="120"/>
      <c r="AR69" s="122"/>
      <c r="AS69" s="119"/>
      <c r="AT69" s="119"/>
      <c r="AU69" s="120"/>
      <c r="AV69" s="122"/>
      <c r="AW69" s="119"/>
      <c r="AX69" s="119"/>
      <c r="AY69" s="120"/>
      <c r="AZ69" s="122"/>
      <c r="BA69" s="119"/>
      <c r="BB69" s="119"/>
      <c r="BC69" s="120"/>
      <c r="BD69" s="122"/>
      <c r="BE69" s="119"/>
      <c r="BF69" s="119"/>
      <c r="BG69" s="120"/>
      <c r="BH69" s="122"/>
      <c r="BI69" s="119"/>
      <c r="BJ69" s="119"/>
      <c r="BK69" s="120"/>
      <c r="BL69" s="122"/>
      <c r="BM69" s="119"/>
      <c r="BN69" s="119"/>
      <c r="BO69" s="120"/>
      <c r="BP69" s="122"/>
      <c r="BQ69" s="119"/>
      <c r="BR69" s="119"/>
      <c r="BS69" s="120"/>
      <c r="BT69" s="122"/>
      <c r="BU69" s="119"/>
      <c r="BV69" s="119"/>
      <c r="BW69" s="120"/>
      <c r="BX69" s="122"/>
      <c r="BY69" s="119"/>
      <c r="BZ69" s="119"/>
      <c r="CA69" s="120"/>
      <c r="CB69" s="122"/>
      <c r="CC69" s="119"/>
      <c r="CD69" s="119"/>
      <c r="CE69" s="225"/>
      <c r="CF69" s="244"/>
    </row>
    <row r="70" spans="1:84" ht="30" customHeight="1">
      <c r="A70" s="169">
        <v>4.0999999999999996</v>
      </c>
      <c r="B70" s="114" t="s">
        <v>39</v>
      </c>
      <c r="C70" s="134">
        <v>4127728.8</v>
      </c>
      <c r="D70" s="135">
        <f>C70/$C$86</f>
        <v>3.4145151537426532E-2</v>
      </c>
      <c r="E70" s="136" t="s">
        <v>10</v>
      </c>
      <c r="F70" s="137">
        <f>G70*$C$70</f>
        <v>4127728.8</v>
      </c>
      <c r="G70" s="238">
        <f t="shared" ref="G70:G83" si="42">SUM(H70:CE70)/100</f>
        <v>1</v>
      </c>
      <c r="H70" s="222"/>
      <c r="I70" s="138"/>
      <c r="J70" s="138"/>
      <c r="K70" s="139"/>
      <c r="L70" s="138"/>
      <c r="M70" s="138"/>
      <c r="N70" s="138"/>
      <c r="O70" s="139"/>
      <c r="P70" s="138"/>
      <c r="Q70" s="138"/>
      <c r="R70" s="138"/>
      <c r="S70" s="139"/>
      <c r="T70" s="181"/>
      <c r="U70" s="138"/>
      <c r="V70" s="138"/>
      <c r="W70" s="139"/>
      <c r="X70" s="181"/>
      <c r="Y70" s="138"/>
      <c r="Z70" s="138"/>
      <c r="AA70" s="182"/>
      <c r="AB70" s="181"/>
      <c r="AC70" s="138"/>
      <c r="AD70" s="138"/>
      <c r="AE70" s="139"/>
      <c r="AF70" s="181"/>
      <c r="AG70" s="138"/>
      <c r="AH70" s="138"/>
      <c r="AI70" s="139"/>
      <c r="AJ70" s="181"/>
      <c r="AK70" s="138"/>
      <c r="AL70" s="138">
        <f t="shared" ref="AL70:AN70" si="43">100/13</f>
        <v>7.6923076923076925</v>
      </c>
      <c r="AM70" s="139">
        <f t="shared" si="43"/>
        <v>7.6923076923076925</v>
      </c>
      <c r="AN70" s="181">
        <f t="shared" si="43"/>
        <v>7.6923076923076925</v>
      </c>
      <c r="AO70" s="183"/>
      <c r="AP70" s="138">
        <f t="shared" ref="AP70:AY70" si="44">100/13</f>
        <v>7.6923076923076925</v>
      </c>
      <c r="AQ70" s="139">
        <f t="shared" si="44"/>
        <v>7.6923076923076925</v>
      </c>
      <c r="AR70" s="181">
        <f t="shared" si="44"/>
        <v>7.6923076923076925</v>
      </c>
      <c r="AS70" s="138">
        <f t="shared" si="44"/>
        <v>7.6923076923076925</v>
      </c>
      <c r="AT70" s="138">
        <f t="shared" si="44"/>
        <v>7.6923076923076925</v>
      </c>
      <c r="AU70" s="139">
        <f t="shared" si="44"/>
        <v>7.6923076923076925</v>
      </c>
      <c r="AV70" s="181">
        <f t="shared" si="44"/>
        <v>7.6923076923076925</v>
      </c>
      <c r="AW70" s="138">
        <f t="shared" si="44"/>
        <v>7.6923076923076925</v>
      </c>
      <c r="AX70" s="138">
        <f t="shared" si="44"/>
        <v>7.6923076923076925</v>
      </c>
      <c r="AY70" s="139">
        <f t="shared" si="44"/>
        <v>7.6923076923076925</v>
      </c>
      <c r="AZ70" s="181"/>
      <c r="BA70" s="138"/>
      <c r="BB70" s="138"/>
      <c r="BC70" s="139"/>
      <c r="BD70" s="181"/>
      <c r="BE70" s="138"/>
      <c r="BF70" s="138"/>
      <c r="BG70" s="139"/>
      <c r="BH70" s="181"/>
      <c r="BI70" s="138"/>
      <c r="BJ70" s="138"/>
      <c r="BK70" s="139"/>
      <c r="BL70" s="181"/>
      <c r="BM70" s="138"/>
      <c r="BN70" s="138"/>
      <c r="BO70" s="139"/>
      <c r="BP70" s="181"/>
      <c r="BQ70" s="138"/>
      <c r="BR70" s="138"/>
      <c r="BS70" s="139"/>
      <c r="BT70" s="181"/>
      <c r="BU70" s="138"/>
      <c r="BV70" s="138"/>
      <c r="BW70" s="139"/>
      <c r="BX70" s="181"/>
      <c r="BY70" s="138"/>
      <c r="BZ70" s="138"/>
      <c r="CA70" s="139"/>
      <c r="CB70" s="181"/>
      <c r="CC70" s="138"/>
      <c r="CD70" s="138"/>
      <c r="CE70" s="223"/>
      <c r="CF70" s="243">
        <f t="shared" si="41"/>
        <v>100</v>
      </c>
    </row>
    <row r="71" spans="1:84" ht="30" customHeight="1">
      <c r="A71" s="169"/>
      <c r="B71" s="114"/>
      <c r="C71" s="121"/>
      <c r="D71" s="115">
        <f>D70</f>
        <v>3.4145151537426532E-2</v>
      </c>
      <c r="E71" s="116" t="s">
        <v>11</v>
      </c>
      <c r="F71" s="117">
        <f>G71*$C$70</f>
        <v>0</v>
      </c>
      <c r="G71" s="239">
        <f t="shared" si="42"/>
        <v>0</v>
      </c>
      <c r="H71" s="224"/>
      <c r="I71" s="119"/>
      <c r="J71" s="119"/>
      <c r="K71" s="120"/>
      <c r="L71" s="122"/>
      <c r="M71" s="119"/>
      <c r="N71" s="119"/>
      <c r="O71" s="120"/>
      <c r="P71" s="123"/>
      <c r="Q71" s="118"/>
      <c r="R71" s="119"/>
      <c r="S71" s="120"/>
      <c r="T71" s="122"/>
      <c r="U71" s="184"/>
      <c r="V71" s="119"/>
      <c r="W71" s="120"/>
      <c r="X71" s="122"/>
      <c r="Y71" s="184"/>
      <c r="Z71" s="119"/>
      <c r="AA71" s="182"/>
      <c r="AB71" s="122"/>
      <c r="AC71" s="184"/>
      <c r="AD71" s="119"/>
      <c r="AE71" s="120"/>
      <c r="AF71" s="122"/>
      <c r="AG71" s="119"/>
      <c r="AH71" s="119"/>
      <c r="AI71" s="120"/>
      <c r="AJ71" s="122"/>
      <c r="AK71" s="119"/>
      <c r="AL71" s="119"/>
      <c r="AM71" s="120"/>
      <c r="AN71" s="122"/>
      <c r="AO71" s="183"/>
      <c r="AP71" s="119"/>
      <c r="AQ71" s="120"/>
      <c r="AR71" s="122"/>
      <c r="AS71" s="119"/>
      <c r="AT71" s="119"/>
      <c r="AU71" s="120"/>
      <c r="AV71" s="122"/>
      <c r="AW71" s="119"/>
      <c r="AX71" s="119"/>
      <c r="AY71" s="120"/>
      <c r="AZ71" s="122"/>
      <c r="BA71" s="119"/>
      <c r="BB71" s="119"/>
      <c r="BC71" s="120"/>
      <c r="BD71" s="122"/>
      <c r="BE71" s="119"/>
      <c r="BF71" s="119"/>
      <c r="BG71" s="120"/>
      <c r="BH71" s="122"/>
      <c r="BI71" s="119"/>
      <c r="BJ71" s="119"/>
      <c r="BK71" s="120"/>
      <c r="BL71" s="122"/>
      <c r="BM71" s="119"/>
      <c r="BN71" s="119"/>
      <c r="BO71" s="120"/>
      <c r="BP71" s="122"/>
      <c r="BQ71" s="119"/>
      <c r="BR71" s="119"/>
      <c r="BS71" s="120"/>
      <c r="BT71" s="122"/>
      <c r="BU71" s="119"/>
      <c r="BV71" s="119"/>
      <c r="BW71" s="120"/>
      <c r="BX71" s="122"/>
      <c r="BY71" s="119"/>
      <c r="BZ71" s="119"/>
      <c r="CA71" s="120"/>
      <c r="CB71" s="122"/>
      <c r="CC71" s="119"/>
      <c r="CD71" s="119"/>
      <c r="CE71" s="225"/>
      <c r="CF71" s="244">
        <f t="shared" si="41"/>
        <v>0</v>
      </c>
    </row>
    <row r="72" spans="1:84" ht="30" customHeight="1">
      <c r="A72" s="169">
        <v>4.2</v>
      </c>
      <c r="B72" s="114" t="s">
        <v>40</v>
      </c>
      <c r="C72" s="134">
        <v>12887464.5</v>
      </c>
      <c r="D72" s="135">
        <f>C72/$C$86</f>
        <v>0.10660691377924461</v>
      </c>
      <c r="E72" s="136" t="s">
        <v>10</v>
      </c>
      <c r="F72" s="137">
        <f>G72*$C$72</f>
        <v>12887464.500000004</v>
      </c>
      <c r="G72" s="238">
        <f t="shared" si="42"/>
        <v>1.0000000000000002</v>
      </c>
      <c r="H72" s="222"/>
      <c r="I72" s="138"/>
      <c r="J72" s="138"/>
      <c r="K72" s="139"/>
      <c r="L72" s="138"/>
      <c r="M72" s="138"/>
      <c r="N72" s="138"/>
      <c r="O72" s="139"/>
      <c r="P72" s="138"/>
      <c r="Q72" s="138"/>
      <c r="R72" s="138"/>
      <c r="S72" s="139"/>
      <c r="T72" s="181"/>
      <c r="U72" s="138"/>
      <c r="V72" s="138"/>
      <c r="W72" s="139"/>
      <c r="X72" s="181"/>
      <c r="Y72" s="138"/>
      <c r="Z72" s="138"/>
      <c r="AA72" s="182"/>
      <c r="AB72" s="181"/>
      <c r="AC72" s="138"/>
      <c r="AD72" s="138"/>
      <c r="AE72" s="139"/>
      <c r="AF72" s="181"/>
      <c r="AG72" s="138"/>
      <c r="AH72" s="138"/>
      <c r="AI72" s="139"/>
      <c r="AJ72" s="181"/>
      <c r="AK72" s="138"/>
      <c r="AL72" s="138"/>
      <c r="AM72" s="139"/>
      <c r="AN72" s="181"/>
      <c r="AO72" s="183"/>
      <c r="AP72" s="138"/>
      <c r="AQ72" s="139"/>
      <c r="AR72" s="181"/>
      <c r="AS72" s="138"/>
      <c r="AT72" s="138">
        <v>5.5555555555555554</v>
      </c>
      <c r="AU72" s="139">
        <v>5.5555555555555554</v>
      </c>
      <c r="AV72" s="181">
        <v>5.5555555555555554</v>
      </c>
      <c r="AW72" s="138">
        <v>5.5555555555555554</v>
      </c>
      <c r="AX72" s="138">
        <v>5.5555555555555554</v>
      </c>
      <c r="AY72" s="139">
        <v>5.5555555555555554</v>
      </c>
      <c r="AZ72" s="181">
        <v>5.5555555555555554</v>
      </c>
      <c r="BA72" s="138">
        <v>5.5555555555555554</v>
      </c>
      <c r="BB72" s="138">
        <v>5.5555555555555554</v>
      </c>
      <c r="BC72" s="139">
        <v>5.5555555555555554</v>
      </c>
      <c r="BD72" s="181">
        <v>5.5555555555555554</v>
      </c>
      <c r="BE72" s="138">
        <v>5.5555555555555554</v>
      </c>
      <c r="BF72" s="138">
        <v>5.5555555555555554</v>
      </c>
      <c r="BG72" s="139">
        <v>5.5555555555555554</v>
      </c>
      <c r="BH72" s="181">
        <v>5.5555555555555554</v>
      </c>
      <c r="BI72" s="138">
        <v>5.5555555555555554</v>
      </c>
      <c r="BJ72" s="138">
        <v>5.5555555555555554</v>
      </c>
      <c r="BK72" s="139">
        <v>5.5555555555555554</v>
      </c>
      <c r="BL72" s="181"/>
      <c r="BM72" s="138"/>
      <c r="BN72" s="138"/>
      <c r="BO72" s="139"/>
      <c r="BP72" s="181"/>
      <c r="BQ72" s="138"/>
      <c r="BR72" s="138"/>
      <c r="BS72" s="139"/>
      <c r="BT72" s="181"/>
      <c r="BU72" s="138"/>
      <c r="BV72" s="138"/>
      <c r="BW72" s="139"/>
      <c r="BX72" s="181"/>
      <c r="BY72" s="138"/>
      <c r="BZ72" s="138"/>
      <c r="CA72" s="139"/>
      <c r="CB72" s="181"/>
      <c r="CC72" s="138"/>
      <c r="CD72" s="138"/>
      <c r="CE72" s="223"/>
      <c r="CF72" s="243">
        <f t="shared" si="41"/>
        <v>100.00000000000001</v>
      </c>
    </row>
    <row r="73" spans="1:84" ht="30" customHeight="1">
      <c r="A73" s="169"/>
      <c r="B73" s="114"/>
      <c r="C73" s="121"/>
      <c r="D73" s="115">
        <f>D72</f>
        <v>0.10660691377924461</v>
      </c>
      <c r="E73" s="116" t="s">
        <v>11</v>
      </c>
      <c r="F73" s="117">
        <f>G73*$C$72</f>
        <v>0</v>
      </c>
      <c r="G73" s="239">
        <f t="shared" si="42"/>
        <v>0</v>
      </c>
      <c r="H73" s="224"/>
      <c r="I73" s="119"/>
      <c r="J73" s="119"/>
      <c r="K73" s="120"/>
      <c r="L73" s="122"/>
      <c r="M73" s="119"/>
      <c r="N73" s="119"/>
      <c r="O73" s="120"/>
      <c r="P73" s="123"/>
      <c r="Q73" s="118"/>
      <c r="R73" s="119"/>
      <c r="S73" s="120"/>
      <c r="T73" s="122"/>
      <c r="U73" s="184"/>
      <c r="V73" s="119"/>
      <c r="W73" s="120"/>
      <c r="X73" s="122"/>
      <c r="Y73" s="184"/>
      <c r="Z73" s="119"/>
      <c r="AA73" s="182"/>
      <c r="AB73" s="122"/>
      <c r="AC73" s="184"/>
      <c r="AD73" s="119"/>
      <c r="AE73" s="120"/>
      <c r="AF73" s="122"/>
      <c r="AG73" s="119"/>
      <c r="AH73" s="119"/>
      <c r="AI73" s="120"/>
      <c r="AJ73" s="122"/>
      <c r="AK73" s="119"/>
      <c r="AL73" s="119"/>
      <c r="AM73" s="120"/>
      <c r="AN73" s="122"/>
      <c r="AO73" s="183"/>
      <c r="AP73" s="119"/>
      <c r="AQ73" s="120"/>
      <c r="AR73" s="122"/>
      <c r="AS73" s="119"/>
      <c r="AT73" s="119"/>
      <c r="AU73" s="120"/>
      <c r="AV73" s="122"/>
      <c r="AW73" s="119"/>
      <c r="AX73" s="119"/>
      <c r="AY73" s="120"/>
      <c r="AZ73" s="122"/>
      <c r="BA73" s="119"/>
      <c r="BB73" s="119"/>
      <c r="BC73" s="120"/>
      <c r="BD73" s="122"/>
      <c r="BE73" s="119"/>
      <c r="BF73" s="119"/>
      <c r="BG73" s="120"/>
      <c r="BH73" s="122"/>
      <c r="BI73" s="119"/>
      <c r="BJ73" s="119"/>
      <c r="BK73" s="120"/>
      <c r="BL73" s="122"/>
      <c r="BM73" s="119"/>
      <c r="BN73" s="119"/>
      <c r="BO73" s="120"/>
      <c r="BP73" s="122"/>
      <c r="BQ73" s="119"/>
      <c r="BR73" s="119"/>
      <c r="BS73" s="120"/>
      <c r="BT73" s="122"/>
      <c r="BU73" s="119"/>
      <c r="BV73" s="119"/>
      <c r="BW73" s="120"/>
      <c r="BX73" s="122"/>
      <c r="BY73" s="119"/>
      <c r="BZ73" s="119"/>
      <c r="CA73" s="120"/>
      <c r="CB73" s="122"/>
      <c r="CC73" s="119"/>
      <c r="CD73" s="119"/>
      <c r="CE73" s="225"/>
      <c r="CF73" s="244">
        <f t="shared" si="41"/>
        <v>0</v>
      </c>
    </row>
    <row r="74" spans="1:84" ht="30" customHeight="1">
      <c r="A74" s="169">
        <v>4.3</v>
      </c>
      <c r="B74" s="114" t="s">
        <v>41</v>
      </c>
      <c r="C74" s="134">
        <v>1950556</v>
      </c>
      <c r="D74" s="135">
        <f>C74/$C$86</f>
        <v>1.6135272792688449E-2</v>
      </c>
      <c r="E74" s="136" t="s">
        <v>10</v>
      </c>
      <c r="F74" s="137">
        <f>G74*$C$74</f>
        <v>1950555.9999999993</v>
      </c>
      <c r="G74" s="238">
        <f t="shared" si="42"/>
        <v>0.99999999999999967</v>
      </c>
      <c r="H74" s="222"/>
      <c r="I74" s="138"/>
      <c r="J74" s="138"/>
      <c r="K74" s="139"/>
      <c r="L74" s="138"/>
      <c r="M74" s="138"/>
      <c r="N74" s="138"/>
      <c r="O74" s="139"/>
      <c r="P74" s="138"/>
      <c r="Q74" s="138"/>
      <c r="R74" s="138"/>
      <c r="S74" s="139"/>
      <c r="T74" s="181"/>
      <c r="U74" s="138"/>
      <c r="V74" s="138"/>
      <c r="W74" s="139"/>
      <c r="X74" s="181"/>
      <c r="Y74" s="138"/>
      <c r="Z74" s="138"/>
      <c r="AA74" s="182"/>
      <c r="AB74" s="181"/>
      <c r="AC74" s="138"/>
      <c r="AD74" s="138"/>
      <c r="AE74" s="139"/>
      <c r="AF74" s="181"/>
      <c r="AG74" s="138"/>
      <c r="AH74" s="138"/>
      <c r="AI74" s="139"/>
      <c r="AJ74" s="181"/>
      <c r="AK74" s="138"/>
      <c r="AL74" s="138"/>
      <c r="AM74" s="139"/>
      <c r="AN74" s="181"/>
      <c r="AO74" s="183"/>
      <c r="AP74" s="138"/>
      <c r="AQ74" s="139"/>
      <c r="AR74" s="181"/>
      <c r="AS74" s="138"/>
      <c r="AT74" s="138"/>
      <c r="AU74" s="139">
        <v>5.882352941176471</v>
      </c>
      <c r="AV74" s="181">
        <v>5.882352941176471</v>
      </c>
      <c r="AW74" s="138">
        <v>5.882352941176471</v>
      </c>
      <c r="AX74" s="138">
        <v>5.882352941176471</v>
      </c>
      <c r="AY74" s="139">
        <v>5.882352941176471</v>
      </c>
      <c r="AZ74" s="181">
        <v>5.882352941176471</v>
      </c>
      <c r="BA74" s="138">
        <v>5.882352941176471</v>
      </c>
      <c r="BB74" s="138">
        <v>5.882352941176471</v>
      </c>
      <c r="BC74" s="139">
        <v>5.882352941176471</v>
      </c>
      <c r="BD74" s="181">
        <v>5.882352941176471</v>
      </c>
      <c r="BE74" s="138">
        <v>5.882352941176471</v>
      </c>
      <c r="BF74" s="138">
        <v>5.882352941176471</v>
      </c>
      <c r="BG74" s="139">
        <v>5.882352941176471</v>
      </c>
      <c r="BH74" s="181">
        <v>5.882352941176471</v>
      </c>
      <c r="BI74" s="138">
        <v>5.882352941176471</v>
      </c>
      <c r="BJ74" s="138">
        <v>5.882352941176471</v>
      </c>
      <c r="BK74" s="139">
        <v>5.882352941176471</v>
      </c>
      <c r="BL74" s="181"/>
      <c r="BM74" s="138"/>
      <c r="BN74" s="138"/>
      <c r="BO74" s="139"/>
      <c r="BP74" s="181"/>
      <c r="BQ74" s="138"/>
      <c r="BR74" s="138"/>
      <c r="BS74" s="139"/>
      <c r="BT74" s="181"/>
      <c r="BU74" s="138"/>
      <c r="BV74" s="138"/>
      <c r="BW74" s="139"/>
      <c r="BX74" s="181"/>
      <c r="BY74" s="138"/>
      <c r="BZ74" s="138"/>
      <c r="CA74" s="139"/>
      <c r="CB74" s="181"/>
      <c r="CC74" s="138"/>
      <c r="CD74" s="138"/>
      <c r="CE74" s="223"/>
      <c r="CF74" s="243">
        <f t="shared" ref="CF74:CF77" si="45">SUM(H74:CE74)</f>
        <v>99.999999999999972</v>
      </c>
    </row>
    <row r="75" spans="1:84" ht="30" customHeight="1">
      <c r="A75" s="169"/>
      <c r="B75" s="114"/>
      <c r="C75" s="121"/>
      <c r="D75" s="115">
        <f>D74</f>
        <v>1.6135272792688449E-2</v>
      </c>
      <c r="E75" s="116" t="s">
        <v>11</v>
      </c>
      <c r="F75" s="117">
        <f>G75*$C$74</f>
        <v>0</v>
      </c>
      <c r="G75" s="239">
        <f t="shared" si="42"/>
        <v>0</v>
      </c>
      <c r="H75" s="224"/>
      <c r="I75" s="119"/>
      <c r="J75" s="119"/>
      <c r="K75" s="120"/>
      <c r="L75" s="122"/>
      <c r="M75" s="119"/>
      <c r="N75" s="119"/>
      <c r="O75" s="120"/>
      <c r="P75" s="123"/>
      <c r="Q75" s="118"/>
      <c r="R75" s="119"/>
      <c r="S75" s="120"/>
      <c r="T75" s="122"/>
      <c r="U75" s="184"/>
      <c r="V75" s="119"/>
      <c r="W75" s="120"/>
      <c r="X75" s="122"/>
      <c r="Y75" s="184"/>
      <c r="Z75" s="119"/>
      <c r="AA75" s="182"/>
      <c r="AB75" s="122"/>
      <c r="AC75" s="184"/>
      <c r="AD75" s="119"/>
      <c r="AE75" s="120"/>
      <c r="AF75" s="122"/>
      <c r="AG75" s="119"/>
      <c r="AH75" s="119"/>
      <c r="AI75" s="120"/>
      <c r="AJ75" s="122"/>
      <c r="AK75" s="119"/>
      <c r="AL75" s="119"/>
      <c r="AM75" s="120"/>
      <c r="AN75" s="122"/>
      <c r="AO75" s="183"/>
      <c r="AP75" s="119"/>
      <c r="AQ75" s="120"/>
      <c r="AR75" s="122"/>
      <c r="AS75" s="119"/>
      <c r="AT75" s="119"/>
      <c r="AU75" s="120"/>
      <c r="AV75" s="122"/>
      <c r="AW75" s="119"/>
      <c r="AX75" s="119"/>
      <c r="AY75" s="120"/>
      <c r="AZ75" s="122"/>
      <c r="BA75" s="119"/>
      <c r="BB75" s="119"/>
      <c r="BC75" s="120"/>
      <c r="BD75" s="122"/>
      <c r="BE75" s="119"/>
      <c r="BF75" s="119"/>
      <c r="BG75" s="120"/>
      <c r="BH75" s="122"/>
      <c r="BI75" s="119"/>
      <c r="BJ75" s="119"/>
      <c r="BK75" s="120"/>
      <c r="BL75" s="122"/>
      <c r="BM75" s="119"/>
      <c r="BN75" s="119"/>
      <c r="BO75" s="120"/>
      <c r="BP75" s="122"/>
      <c r="BQ75" s="119"/>
      <c r="BR75" s="119"/>
      <c r="BS75" s="120"/>
      <c r="BT75" s="122"/>
      <c r="BU75" s="119"/>
      <c r="BV75" s="119"/>
      <c r="BW75" s="120"/>
      <c r="BX75" s="122"/>
      <c r="BY75" s="119"/>
      <c r="BZ75" s="119"/>
      <c r="CA75" s="120"/>
      <c r="CB75" s="122"/>
      <c r="CC75" s="119"/>
      <c r="CD75" s="119"/>
      <c r="CE75" s="225"/>
      <c r="CF75" s="244">
        <f t="shared" si="45"/>
        <v>0</v>
      </c>
    </row>
    <row r="76" spans="1:84" ht="30" customHeight="1">
      <c r="A76" s="169">
        <v>4.4000000000000004</v>
      </c>
      <c r="B76" s="114" t="s">
        <v>42</v>
      </c>
      <c r="C76" s="134">
        <v>1056796</v>
      </c>
      <c r="D76" s="135">
        <f>C76/$C$86</f>
        <v>8.7419647250435179E-3</v>
      </c>
      <c r="E76" s="136" t="s">
        <v>10</v>
      </c>
      <c r="F76" s="137">
        <f>G76*$C$76</f>
        <v>1056796.0000000002</v>
      </c>
      <c r="G76" s="238">
        <f t="shared" si="42"/>
        <v>1.0000000000000002</v>
      </c>
      <c r="H76" s="222"/>
      <c r="I76" s="138"/>
      <c r="J76" s="138"/>
      <c r="K76" s="139"/>
      <c r="L76" s="138"/>
      <c r="M76" s="138"/>
      <c r="N76" s="138"/>
      <c r="O76" s="139"/>
      <c r="P76" s="138"/>
      <c r="Q76" s="138"/>
      <c r="R76" s="138"/>
      <c r="S76" s="139"/>
      <c r="T76" s="181"/>
      <c r="U76" s="138"/>
      <c r="V76" s="138"/>
      <c r="W76" s="139"/>
      <c r="X76" s="181"/>
      <c r="Y76" s="138"/>
      <c r="Z76" s="138"/>
      <c r="AA76" s="182"/>
      <c r="AB76" s="181"/>
      <c r="AC76" s="138"/>
      <c r="AD76" s="138"/>
      <c r="AE76" s="139"/>
      <c r="AF76" s="181"/>
      <c r="AG76" s="138"/>
      <c r="AH76" s="138"/>
      <c r="AI76" s="139"/>
      <c r="AJ76" s="181"/>
      <c r="AK76" s="138"/>
      <c r="AL76" s="138"/>
      <c r="AM76" s="139"/>
      <c r="AN76" s="181"/>
      <c r="AO76" s="183"/>
      <c r="AP76" s="138"/>
      <c r="AQ76" s="139"/>
      <c r="AR76" s="181"/>
      <c r="AS76" s="138"/>
      <c r="AT76" s="138"/>
      <c r="AU76" s="139"/>
      <c r="AV76" s="181"/>
      <c r="AW76" s="138"/>
      <c r="AX76" s="138"/>
      <c r="AY76" s="139"/>
      <c r="AZ76" s="181"/>
      <c r="BA76" s="138"/>
      <c r="BB76" s="138"/>
      <c r="BC76" s="139"/>
      <c r="BD76" s="181">
        <f t="shared" ref="BD76:BI76" si="46">100/6</f>
        <v>16.666666666666668</v>
      </c>
      <c r="BE76" s="138">
        <f t="shared" si="46"/>
        <v>16.666666666666668</v>
      </c>
      <c r="BF76" s="138">
        <f t="shared" si="46"/>
        <v>16.666666666666668</v>
      </c>
      <c r="BG76" s="139">
        <f t="shared" si="46"/>
        <v>16.666666666666668</v>
      </c>
      <c r="BH76" s="181">
        <f t="shared" si="46"/>
        <v>16.666666666666668</v>
      </c>
      <c r="BI76" s="138">
        <f t="shared" si="46"/>
        <v>16.666666666666668</v>
      </c>
      <c r="BJ76" s="138"/>
      <c r="BK76" s="139"/>
      <c r="BL76" s="181"/>
      <c r="BM76" s="138"/>
      <c r="BN76" s="138"/>
      <c r="BO76" s="139"/>
      <c r="BP76" s="181"/>
      <c r="BQ76" s="138"/>
      <c r="BR76" s="138"/>
      <c r="BS76" s="139"/>
      <c r="BT76" s="181"/>
      <c r="BU76" s="138"/>
      <c r="BV76" s="138"/>
      <c r="BW76" s="139"/>
      <c r="BX76" s="181"/>
      <c r="BY76" s="138"/>
      <c r="BZ76" s="138"/>
      <c r="CA76" s="139"/>
      <c r="CB76" s="181"/>
      <c r="CC76" s="138"/>
      <c r="CD76" s="138"/>
      <c r="CE76" s="223"/>
      <c r="CF76" s="243">
        <f t="shared" si="45"/>
        <v>100.00000000000001</v>
      </c>
    </row>
    <row r="77" spans="1:84" ht="30" customHeight="1">
      <c r="A77" s="169"/>
      <c r="B77" s="114"/>
      <c r="C77" s="121"/>
      <c r="D77" s="115">
        <f>D76</f>
        <v>8.7419647250435179E-3</v>
      </c>
      <c r="E77" s="116" t="s">
        <v>11</v>
      </c>
      <c r="F77" s="117">
        <f>G77*$C$76</f>
        <v>1056796</v>
      </c>
      <c r="G77" s="239">
        <f t="shared" si="42"/>
        <v>1</v>
      </c>
      <c r="H77" s="224"/>
      <c r="I77" s="119"/>
      <c r="J77" s="119"/>
      <c r="K77" s="120"/>
      <c r="L77" s="122"/>
      <c r="M77" s="119"/>
      <c r="N77" s="119"/>
      <c r="O77" s="120"/>
      <c r="P77" s="123"/>
      <c r="Q77" s="118"/>
      <c r="R77" s="119"/>
      <c r="S77" s="120"/>
      <c r="T77" s="122"/>
      <c r="U77" s="184"/>
      <c r="V77" s="119"/>
      <c r="W77" s="120"/>
      <c r="X77" s="122"/>
      <c r="Y77" s="184"/>
      <c r="Z77" s="119"/>
      <c r="AA77" s="182"/>
      <c r="AB77" s="122"/>
      <c r="AC77" s="184"/>
      <c r="AD77" s="119"/>
      <c r="AE77" s="120"/>
      <c r="AF77" s="122"/>
      <c r="AG77" s="119"/>
      <c r="AH77" s="119"/>
      <c r="AI77" s="120"/>
      <c r="AJ77" s="122"/>
      <c r="AK77" s="119"/>
      <c r="AL77" s="119"/>
      <c r="AM77" s="120"/>
      <c r="AN77" s="122"/>
      <c r="AO77" s="183"/>
      <c r="AP77" s="119"/>
      <c r="AQ77" s="120">
        <v>11</v>
      </c>
      <c r="AR77" s="122"/>
      <c r="AS77" s="119"/>
      <c r="AT77" s="119">
        <v>9</v>
      </c>
      <c r="AU77" s="120">
        <v>20</v>
      </c>
      <c r="AV77" s="122"/>
      <c r="AW77" s="119"/>
      <c r="AX77" s="119"/>
      <c r="AY77" s="120"/>
      <c r="AZ77" s="122"/>
      <c r="BA77" s="119"/>
      <c r="BB77" s="119">
        <v>35</v>
      </c>
      <c r="BC77" s="120"/>
      <c r="BD77" s="122"/>
      <c r="BE77" s="119"/>
      <c r="BF77" s="119">
        <v>25</v>
      </c>
      <c r="BG77" s="120"/>
      <c r="BH77" s="122"/>
      <c r="BI77" s="119"/>
      <c r="BJ77" s="119"/>
      <c r="BK77" s="120"/>
      <c r="BL77" s="122"/>
      <c r="BM77" s="119"/>
      <c r="BN77" s="119"/>
      <c r="BO77" s="120"/>
      <c r="BP77" s="122"/>
      <c r="BQ77" s="119"/>
      <c r="BR77" s="119"/>
      <c r="BS77" s="120"/>
      <c r="BT77" s="122"/>
      <c r="BU77" s="119"/>
      <c r="BV77" s="119"/>
      <c r="BW77" s="120"/>
      <c r="BX77" s="122"/>
      <c r="BY77" s="119"/>
      <c r="BZ77" s="119"/>
      <c r="CA77" s="120"/>
      <c r="CB77" s="122"/>
      <c r="CC77" s="119"/>
      <c r="CD77" s="119"/>
      <c r="CE77" s="225"/>
      <c r="CF77" s="244">
        <f t="shared" si="45"/>
        <v>100</v>
      </c>
    </row>
    <row r="78" spans="1:84" ht="30" customHeight="1">
      <c r="A78" s="169">
        <v>4.5</v>
      </c>
      <c r="B78" s="114" t="s">
        <v>43</v>
      </c>
      <c r="C78" s="134">
        <v>78731.899999999994</v>
      </c>
      <c r="D78" s="135">
        <f>C78/$C$86</f>
        <v>6.512813187556101E-4</v>
      </c>
      <c r="E78" s="136" t="s">
        <v>10</v>
      </c>
      <c r="F78" s="137">
        <f>G78*$C$78</f>
        <v>78731.899999999994</v>
      </c>
      <c r="G78" s="238">
        <f t="shared" si="42"/>
        <v>1</v>
      </c>
      <c r="H78" s="222"/>
      <c r="I78" s="138"/>
      <c r="J78" s="138"/>
      <c r="K78" s="139"/>
      <c r="L78" s="138"/>
      <c r="M78" s="138"/>
      <c r="N78" s="138"/>
      <c r="O78" s="139"/>
      <c r="P78" s="138"/>
      <c r="Q78" s="138"/>
      <c r="R78" s="138"/>
      <c r="S78" s="139"/>
      <c r="T78" s="181"/>
      <c r="U78" s="138"/>
      <c r="V78" s="138"/>
      <c r="W78" s="139"/>
      <c r="X78" s="181"/>
      <c r="Y78" s="138"/>
      <c r="Z78" s="138"/>
      <c r="AA78" s="182"/>
      <c r="AB78" s="181"/>
      <c r="AC78" s="138"/>
      <c r="AD78" s="138"/>
      <c r="AE78" s="139"/>
      <c r="AF78" s="181"/>
      <c r="AG78" s="138"/>
      <c r="AH78" s="138"/>
      <c r="AI78" s="139"/>
      <c r="AJ78" s="181"/>
      <c r="AK78" s="138"/>
      <c r="AL78" s="138"/>
      <c r="AM78" s="139"/>
      <c r="AN78" s="181"/>
      <c r="AO78" s="183"/>
      <c r="AP78" s="138"/>
      <c r="AQ78" s="139"/>
      <c r="AR78" s="181"/>
      <c r="AS78" s="138"/>
      <c r="AT78" s="138"/>
      <c r="AU78" s="139"/>
      <c r="AV78" s="181"/>
      <c r="AW78" s="138"/>
      <c r="AX78" s="138"/>
      <c r="AY78" s="139"/>
      <c r="AZ78" s="181"/>
      <c r="BA78" s="138"/>
      <c r="BB78" s="138"/>
      <c r="BC78" s="139"/>
      <c r="BD78" s="181"/>
      <c r="BE78" s="138"/>
      <c r="BF78" s="138"/>
      <c r="BG78" s="139">
        <v>25</v>
      </c>
      <c r="BH78" s="181">
        <v>25</v>
      </c>
      <c r="BI78" s="138">
        <v>25</v>
      </c>
      <c r="BJ78" s="138">
        <v>25</v>
      </c>
      <c r="BK78" s="139"/>
      <c r="BL78" s="181"/>
      <c r="BM78" s="138"/>
      <c r="BN78" s="138"/>
      <c r="BO78" s="139"/>
      <c r="BP78" s="181"/>
      <c r="BQ78" s="138"/>
      <c r="BR78" s="138"/>
      <c r="BS78" s="139"/>
      <c r="BT78" s="181"/>
      <c r="BU78" s="138"/>
      <c r="BV78" s="138"/>
      <c r="BW78" s="139"/>
      <c r="BX78" s="181"/>
      <c r="BY78" s="138"/>
      <c r="BZ78" s="138"/>
      <c r="CA78" s="139"/>
      <c r="CB78" s="181"/>
      <c r="CC78" s="138"/>
      <c r="CD78" s="138"/>
      <c r="CE78" s="223"/>
      <c r="CF78" s="243">
        <f t="shared" si="41"/>
        <v>100</v>
      </c>
    </row>
    <row r="79" spans="1:84" ht="30" customHeight="1">
      <c r="A79" s="169"/>
      <c r="B79" s="114"/>
      <c r="C79" s="121"/>
      <c r="D79" s="115">
        <f>D78</f>
        <v>6.512813187556101E-4</v>
      </c>
      <c r="E79" s="116" t="s">
        <v>11</v>
      </c>
      <c r="F79" s="117">
        <f>G79*$C$78</f>
        <v>78731.899999999994</v>
      </c>
      <c r="G79" s="239">
        <f t="shared" si="42"/>
        <v>1</v>
      </c>
      <c r="H79" s="224"/>
      <c r="I79" s="119"/>
      <c r="J79" s="119"/>
      <c r="K79" s="120"/>
      <c r="L79" s="122"/>
      <c r="M79" s="119"/>
      <c r="N79" s="119"/>
      <c r="O79" s="120"/>
      <c r="P79" s="123"/>
      <c r="Q79" s="118"/>
      <c r="R79" s="119"/>
      <c r="S79" s="120"/>
      <c r="T79" s="122"/>
      <c r="U79" s="184"/>
      <c r="V79" s="119"/>
      <c r="W79" s="120"/>
      <c r="X79" s="122"/>
      <c r="Y79" s="184"/>
      <c r="Z79" s="119"/>
      <c r="AA79" s="182"/>
      <c r="AB79" s="122"/>
      <c r="AC79" s="184"/>
      <c r="AD79" s="119"/>
      <c r="AE79" s="120"/>
      <c r="AF79" s="122"/>
      <c r="AG79" s="119"/>
      <c r="AH79" s="119"/>
      <c r="AI79" s="120"/>
      <c r="AJ79" s="122"/>
      <c r="AK79" s="119"/>
      <c r="AL79" s="119"/>
      <c r="AM79" s="120"/>
      <c r="AN79" s="122"/>
      <c r="AO79" s="183"/>
      <c r="AP79" s="119"/>
      <c r="AQ79" s="120"/>
      <c r="AR79" s="122"/>
      <c r="AS79" s="119"/>
      <c r="AT79" s="119"/>
      <c r="AU79" s="120"/>
      <c r="AV79" s="122"/>
      <c r="AW79" s="119"/>
      <c r="AX79" s="119"/>
      <c r="AY79" s="120"/>
      <c r="AZ79" s="122"/>
      <c r="BA79" s="119"/>
      <c r="BB79" s="119"/>
      <c r="BC79" s="120"/>
      <c r="BD79" s="122"/>
      <c r="BE79" s="119"/>
      <c r="BF79" s="119"/>
      <c r="BG79" s="120"/>
      <c r="BH79" s="122"/>
      <c r="BI79" s="119"/>
      <c r="BJ79" s="119"/>
      <c r="BK79" s="120">
        <v>20</v>
      </c>
      <c r="BL79" s="122">
        <v>30</v>
      </c>
      <c r="BM79" s="119"/>
      <c r="BN79" s="119">
        <v>10</v>
      </c>
      <c r="BO79" s="120"/>
      <c r="BP79" s="122"/>
      <c r="BQ79" s="119">
        <v>40</v>
      </c>
      <c r="BR79" s="119"/>
      <c r="BS79" s="120"/>
      <c r="BT79" s="122"/>
      <c r="BU79" s="119"/>
      <c r="BV79" s="119"/>
      <c r="BW79" s="120"/>
      <c r="BX79" s="122"/>
      <c r="BY79" s="119"/>
      <c r="BZ79" s="119"/>
      <c r="CA79" s="120"/>
      <c r="CB79" s="122"/>
      <c r="CC79" s="119"/>
      <c r="CD79" s="119"/>
      <c r="CE79" s="225"/>
      <c r="CF79" s="244">
        <f t="shared" si="41"/>
        <v>100</v>
      </c>
    </row>
    <row r="80" spans="1:84" ht="30" customHeight="1">
      <c r="A80" s="170">
        <v>5</v>
      </c>
      <c r="B80" s="124" t="s">
        <v>44</v>
      </c>
      <c r="C80" s="134"/>
      <c r="D80" s="135"/>
      <c r="E80" s="136"/>
      <c r="F80" s="137"/>
      <c r="G80" s="238"/>
      <c r="H80" s="222"/>
      <c r="I80" s="138"/>
      <c r="J80" s="138"/>
      <c r="K80" s="139"/>
      <c r="L80" s="138"/>
      <c r="M80" s="138"/>
      <c r="N80" s="138"/>
      <c r="O80" s="139"/>
      <c r="P80" s="138"/>
      <c r="Q80" s="138"/>
      <c r="R80" s="138"/>
      <c r="S80" s="139"/>
      <c r="T80" s="181"/>
      <c r="U80" s="138"/>
      <c r="V80" s="138"/>
      <c r="W80" s="139"/>
      <c r="X80" s="181"/>
      <c r="Y80" s="138"/>
      <c r="Z80" s="138"/>
      <c r="AA80" s="182"/>
      <c r="AB80" s="181"/>
      <c r="AC80" s="138"/>
      <c r="AD80" s="138"/>
      <c r="AE80" s="139"/>
      <c r="AF80" s="181"/>
      <c r="AG80" s="138"/>
      <c r="AH80" s="138"/>
      <c r="AI80" s="139"/>
      <c r="AJ80" s="181"/>
      <c r="AK80" s="138"/>
      <c r="AL80" s="138"/>
      <c r="AM80" s="139"/>
      <c r="AN80" s="181"/>
      <c r="AO80" s="183"/>
      <c r="AP80" s="138"/>
      <c r="AQ80" s="139"/>
      <c r="AR80" s="181"/>
      <c r="AS80" s="138"/>
      <c r="AT80" s="138"/>
      <c r="AU80" s="139"/>
      <c r="AV80" s="181"/>
      <c r="AW80" s="138"/>
      <c r="AX80" s="138"/>
      <c r="AY80" s="139"/>
      <c r="AZ80" s="181"/>
      <c r="BA80" s="138"/>
      <c r="BB80" s="138"/>
      <c r="BC80" s="139"/>
      <c r="BD80" s="181"/>
      <c r="BE80" s="138"/>
      <c r="BF80" s="138"/>
      <c r="BG80" s="139"/>
      <c r="BH80" s="181"/>
      <c r="BI80" s="138"/>
      <c r="BJ80" s="138"/>
      <c r="BK80" s="139"/>
      <c r="BL80" s="181"/>
      <c r="BM80" s="138"/>
      <c r="BN80" s="138"/>
      <c r="BO80" s="139"/>
      <c r="BP80" s="181"/>
      <c r="BQ80" s="138"/>
      <c r="BR80" s="138"/>
      <c r="BS80" s="139"/>
      <c r="BT80" s="181"/>
      <c r="BU80" s="138"/>
      <c r="BV80" s="138"/>
      <c r="BW80" s="139"/>
      <c r="BX80" s="181"/>
      <c r="BY80" s="138"/>
      <c r="BZ80" s="138"/>
      <c r="CA80" s="139"/>
      <c r="CB80" s="181"/>
      <c r="CC80" s="138"/>
      <c r="CD80" s="138"/>
      <c r="CE80" s="223"/>
      <c r="CF80" s="243">
        <f t="shared" si="41"/>
        <v>0</v>
      </c>
    </row>
    <row r="81" spans="1:84" ht="30" customHeight="1">
      <c r="A81" s="170"/>
      <c r="B81" s="124"/>
      <c r="C81" s="121"/>
      <c r="D81" s="115"/>
      <c r="E81" s="116"/>
      <c r="F81" s="117"/>
      <c r="G81" s="239"/>
      <c r="H81" s="224"/>
      <c r="I81" s="119"/>
      <c r="J81" s="119"/>
      <c r="K81" s="120"/>
      <c r="L81" s="122"/>
      <c r="M81" s="119"/>
      <c r="N81" s="119"/>
      <c r="O81" s="120"/>
      <c r="P81" s="123"/>
      <c r="Q81" s="118"/>
      <c r="R81" s="119"/>
      <c r="S81" s="120"/>
      <c r="T81" s="122"/>
      <c r="U81" s="184"/>
      <c r="V81" s="119"/>
      <c r="W81" s="120"/>
      <c r="X81" s="122"/>
      <c r="Y81" s="184"/>
      <c r="Z81" s="119"/>
      <c r="AA81" s="182"/>
      <c r="AB81" s="122"/>
      <c r="AC81" s="184"/>
      <c r="AD81" s="119"/>
      <c r="AE81" s="120"/>
      <c r="AF81" s="122"/>
      <c r="AG81" s="119"/>
      <c r="AH81" s="119"/>
      <c r="AI81" s="120"/>
      <c r="AJ81" s="122"/>
      <c r="AK81" s="119"/>
      <c r="AL81" s="119"/>
      <c r="AM81" s="120"/>
      <c r="AN81" s="122"/>
      <c r="AO81" s="183"/>
      <c r="AP81" s="119"/>
      <c r="AQ81" s="120"/>
      <c r="AR81" s="122"/>
      <c r="AS81" s="119"/>
      <c r="AT81" s="119"/>
      <c r="AU81" s="120"/>
      <c r="AV81" s="122"/>
      <c r="AW81" s="119"/>
      <c r="AX81" s="119"/>
      <c r="AY81" s="120"/>
      <c r="AZ81" s="122"/>
      <c r="BA81" s="119"/>
      <c r="BB81" s="119"/>
      <c r="BC81" s="120"/>
      <c r="BD81" s="122"/>
      <c r="BE81" s="119"/>
      <c r="BF81" s="119"/>
      <c r="BG81" s="120"/>
      <c r="BH81" s="122"/>
      <c r="BI81" s="119"/>
      <c r="BJ81" s="119"/>
      <c r="BK81" s="120"/>
      <c r="BL81" s="122"/>
      <c r="BM81" s="119"/>
      <c r="BN81" s="119"/>
      <c r="BO81" s="120"/>
      <c r="BP81" s="122"/>
      <c r="BQ81" s="119"/>
      <c r="BR81" s="119"/>
      <c r="BS81" s="120"/>
      <c r="BT81" s="122"/>
      <c r="BU81" s="119"/>
      <c r="BV81" s="119"/>
      <c r="BW81" s="120"/>
      <c r="BX81" s="122"/>
      <c r="BY81" s="119"/>
      <c r="BZ81" s="119"/>
      <c r="CA81" s="120"/>
      <c r="CB81" s="122"/>
      <c r="CC81" s="119"/>
      <c r="CD81" s="119"/>
      <c r="CE81" s="225"/>
      <c r="CF81" s="244"/>
    </row>
    <row r="82" spans="1:84" ht="30" customHeight="1">
      <c r="A82" s="169">
        <v>5.0999999999999996</v>
      </c>
      <c r="B82" s="114" t="s">
        <v>45</v>
      </c>
      <c r="C82" s="134">
        <v>13649085</v>
      </c>
      <c r="D82" s="135">
        <f>C82/$C$86</f>
        <v>0.11290714537064921</v>
      </c>
      <c r="E82" s="136" t="s">
        <v>10</v>
      </c>
      <c r="F82" s="137">
        <f>G82*$C$82</f>
        <v>13649084.999999996</v>
      </c>
      <c r="G82" s="238">
        <f t="shared" si="42"/>
        <v>0.99999999999999967</v>
      </c>
      <c r="H82" s="222"/>
      <c r="I82" s="138"/>
      <c r="J82" s="138"/>
      <c r="K82" s="139"/>
      <c r="L82" s="138"/>
      <c r="M82" s="138"/>
      <c r="N82" s="138"/>
      <c r="O82" s="139"/>
      <c r="P82" s="138"/>
      <c r="Q82" s="138"/>
      <c r="R82" s="138"/>
      <c r="S82" s="139"/>
      <c r="T82" s="181"/>
      <c r="U82" s="138"/>
      <c r="V82" s="138"/>
      <c r="W82" s="139"/>
      <c r="X82" s="181"/>
      <c r="Y82" s="138"/>
      <c r="Z82" s="138"/>
      <c r="AA82" s="182"/>
      <c r="AB82" s="181"/>
      <c r="AC82" s="138"/>
      <c r="AD82" s="138"/>
      <c r="AE82" s="139"/>
      <c r="AF82" s="181"/>
      <c r="AG82" s="138"/>
      <c r="AH82" s="138"/>
      <c r="AI82" s="139"/>
      <c r="AJ82" s="181"/>
      <c r="AK82" s="138"/>
      <c r="AL82" s="138"/>
      <c r="AM82" s="139"/>
      <c r="AN82" s="181"/>
      <c r="AO82" s="183"/>
      <c r="AP82" s="138"/>
      <c r="AQ82" s="139"/>
      <c r="AR82" s="181"/>
      <c r="AS82" s="138"/>
      <c r="AT82" s="138"/>
      <c r="AU82" s="139"/>
      <c r="AV82" s="181"/>
      <c r="AW82" s="138"/>
      <c r="AX82" s="138"/>
      <c r="AY82" s="139"/>
      <c r="AZ82" s="181"/>
      <c r="BA82" s="138">
        <f>100/17</f>
        <v>5.882352941176471</v>
      </c>
      <c r="BB82" s="138">
        <f t="shared" ref="BB82:BQ82" si="47">100/17</f>
        <v>5.882352941176471</v>
      </c>
      <c r="BC82" s="139">
        <f t="shared" si="47"/>
        <v>5.882352941176471</v>
      </c>
      <c r="BD82" s="181">
        <f t="shared" si="47"/>
        <v>5.882352941176471</v>
      </c>
      <c r="BE82" s="138">
        <f t="shared" si="47"/>
        <v>5.882352941176471</v>
      </c>
      <c r="BF82" s="138">
        <f t="shared" si="47"/>
        <v>5.882352941176471</v>
      </c>
      <c r="BG82" s="139">
        <f t="shared" si="47"/>
        <v>5.882352941176471</v>
      </c>
      <c r="BH82" s="181">
        <f t="shared" si="47"/>
        <v>5.882352941176471</v>
      </c>
      <c r="BI82" s="138">
        <f t="shared" si="47"/>
        <v>5.882352941176471</v>
      </c>
      <c r="BJ82" s="138">
        <f t="shared" si="47"/>
        <v>5.882352941176471</v>
      </c>
      <c r="BK82" s="139">
        <f t="shared" si="47"/>
        <v>5.882352941176471</v>
      </c>
      <c r="BL82" s="181">
        <f t="shared" si="47"/>
        <v>5.882352941176471</v>
      </c>
      <c r="BM82" s="138">
        <f t="shared" si="47"/>
        <v>5.882352941176471</v>
      </c>
      <c r="BN82" s="138">
        <f t="shared" si="47"/>
        <v>5.882352941176471</v>
      </c>
      <c r="BO82" s="139">
        <f t="shared" si="47"/>
        <v>5.882352941176471</v>
      </c>
      <c r="BP82" s="181">
        <f t="shared" si="47"/>
        <v>5.882352941176471</v>
      </c>
      <c r="BQ82" s="138">
        <f t="shared" si="47"/>
        <v>5.882352941176471</v>
      </c>
      <c r="BR82" s="138"/>
      <c r="BS82" s="139"/>
      <c r="BT82" s="181"/>
      <c r="BU82" s="138"/>
      <c r="BV82" s="138"/>
      <c r="BW82" s="139"/>
      <c r="BX82" s="181"/>
      <c r="BY82" s="138"/>
      <c r="BZ82" s="138"/>
      <c r="CA82" s="139"/>
      <c r="CB82" s="181"/>
      <c r="CC82" s="138"/>
      <c r="CD82" s="138"/>
      <c r="CE82" s="223"/>
      <c r="CF82" s="243">
        <f>SUM(H82:CE82)</f>
        <v>99.999999999999972</v>
      </c>
    </row>
    <row r="83" spans="1:84" ht="30" customHeight="1">
      <c r="A83" s="169"/>
      <c r="B83" s="114"/>
      <c r="C83" s="121"/>
      <c r="D83" s="115">
        <f>D82</f>
        <v>0.11290714537064921</v>
      </c>
      <c r="E83" s="116" t="s">
        <v>11</v>
      </c>
      <c r="F83" s="117">
        <f>G83*$C$82</f>
        <v>13225963.364999998</v>
      </c>
      <c r="G83" s="239">
        <f t="shared" si="42"/>
        <v>0.96899999999999986</v>
      </c>
      <c r="H83" s="224"/>
      <c r="I83" s="119"/>
      <c r="J83" s="119"/>
      <c r="K83" s="120"/>
      <c r="L83" s="122"/>
      <c r="M83" s="119"/>
      <c r="N83" s="119"/>
      <c r="O83" s="120"/>
      <c r="P83" s="123"/>
      <c r="Q83" s="118"/>
      <c r="R83" s="119"/>
      <c r="S83" s="120"/>
      <c r="T83" s="122"/>
      <c r="U83" s="184"/>
      <c r="V83" s="119"/>
      <c r="W83" s="120"/>
      <c r="X83" s="122"/>
      <c r="Y83" s="184"/>
      <c r="Z83" s="119"/>
      <c r="AA83" s="182"/>
      <c r="AB83" s="122"/>
      <c r="AC83" s="184"/>
      <c r="AD83" s="119"/>
      <c r="AE83" s="120"/>
      <c r="AF83" s="122"/>
      <c r="AG83" s="119"/>
      <c r="AH83" s="119"/>
      <c r="AI83" s="120"/>
      <c r="AJ83" s="122"/>
      <c r="AK83" s="119"/>
      <c r="AL83" s="119"/>
      <c r="AM83" s="120"/>
      <c r="AN83" s="122"/>
      <c r="AO83" s="183"/>
      <c r="AP83" s="119"/>
      <c r="AQ83" s="120"/>
      <c r="AR83" s="122"/>
      <c r="AS83" s="119"/>
      <c r="AT83" s="119"/>
      <c r="AU83" s="120"/>
      <c r="AV83" s="122"/>
      <c r="AW83" s="119"/>
      <c r="AX83" s="119"/>
      <c r="AY83" s="120"/>
      <c r="AZ83" s="122"/>
      <c r="BA83" s="119">
        <v>4</v>
      </c>
      <c r="BB83" s="119">
        <v>5</v>
      </c>
      <c r="BC83" s="120">
        <v>6.5</v>
      </c>
      <c r="BD83" s="122">
        <v>7.9</v>
      </c>
      <c r="BE83" s="119">
        <v>3.3</v>
      </c>
      <c r="BF83" s="119"/>
      <c r="BG83" s="120">
        <v>13.6</v>
      </c>
      <c r="BH83" s="122">
        <v>11.4</v>
      </c>
      <c r="BI83" s="119">
        <v>11.7</v>
      </c>
      <c r="BJ83" s="119">
        <v>14</v>
      </c>
      <c r="BK83" s="120">
        <v>1.6</v>
      </c>
      <c r="BL83" s="122">
        <v>7</v>
      </c>
      <c r="BM83" s="119">
        <v>1.3</v>
      </c>
      <c r="BN83" s="119">
        <v>4.4000000000000004</v>
      </c>
      <c r="BO83" s="120">
        <v>2</v>
      </c>
      <c r="BP83" s="122">
        <v>2.2000000000000002</v>
      </c>
      <c r="BQ83" s="119">
        <v>0.1</v>
      </c>
      <c r="BR83" s="119">
        <v>0.9</v>
      </c>
      <c r="BS83" s="120"/>
      <c r="BT83" s="122"/>
      <c r="BU83" s="119"/>
      <c r="BV83" s="119"/>
      <c r="BW83" s="120"/>
      <c r="BX83" s="122"/>
      <c r="BY83" s="119"/>
      <c r="BZ83" s="119"/>
      <c r="CA83" s="120"/>
      <c r="CB83" s="122"/>
      <c r="CC83" s="119"/>
      <c r="CD83" s="119"/>
      <c r="CE83" s="225"/>
      <c r="CF83" s="244">
        <f>SUM(H83:CE83)</f>
        <v>96.899999999999991</v>
      </c>
    </row>
    <row r="84" spans="1:84" ht="30" customHeight="1">
      <c r="A84" s="179"/>
      <c r="B84" s="151"/>
      <c r="C84" s="152"/>
      <c r="D84" s="153"/>
      <c r="E84" s="154"/>
      <c r="F84" s="155"/>
      <c r="G84" s="240"/>
      <c r="H84" s="226"/>
      <c r="I84" s="157"/>
      <c r="J84" s="157"/>
      <c r="K84" s="158"/>
      <c r="L84" s="157"/>
      <c r="M84" s="157"/>
      <c r="N84" s="157"/>
      <c r="O84" s="158"/>
      <c r="P84" s="157"/>
      <c r="Q84" s="157"/>
      <c r="R84" s="157"/>
      <c r="S84" s="158"/>
      <c r="T84" s="159"/>
      <c r="U84" s="160"/>
      <c r="V84" s="160"/>
      <c r="W84" s="161"/>
      <c r="X84" s="159"/>
      <c r="Y84" s="160"/>
      <c r="Z84" s="160"/>
      <c r="AA84" s="140"/>
      <c r="AB84" s="159"/>
      <c r="AC84" s="160"/>
      <c r="AD84" s="160"/>
      <c r="AE84" s="161"/>
      <c r="AF84" s="159"/>
      <c r="AG84" s="160"/>
      <c r="AH84" s="160"/>
      <c r="AI84" s="161"/>
      <c r="AJ84" s="159"/>
      <c r="AK84" s="160"/>
      <c r="AL84" s="160"/>
      <c r="AM84" s="161"/>
      <c r="AN84" s="159"/>
      <c r="AO84" s="141"/>
      <c r="AP84" s="160"/>
      <c r="AQ84" s="161"/>
      <c r="AR84" s="159"/>
      <c r="AS84" s="160"/>
      <c r="AT84" s="160"/>
      <c r="AU84" s="161"/>
      <c r="AV84" s="159"/>
      <c r="AW84" s="160"/>
      <c r="AX84" s="160"/>
      <c r="AY84" s="161"/>
      <c r="AZ84" s="159"/>
      <c r="BA84" s="160"/>
      <c r="BB84" s="160"/>
      <c r="BC84" s="161"/>
      <c r="BD84" s="159"/>
      <c r="BE84" s="160"/>
      <c r="BF84" s="160"/>
      <c r="BG84" s="161"/>
      <c r="BH84" s="159"/>
      <c r="BI84" s="160"/>
      <c r="BJ84" s="160"/>
      <c r="BK84" s="161"/>
      <c r="BL84" s="159"/>
      <c r="BM84" s="160"/>
      <c r="BN84" s="160"/>
      <c r="BO84" s="161"/>
      <c r="BP84" s="159"/>
      <c r="BQ84" s="160"/>
      <c r="BR84" s="160"/>
      <c r="BS84" s="161"/>
      <c r="BT84" s="159"/>
      <c r="BU84" s="160"/>
      <c r="BV84" s="160"/>
      <c r="BW84" s="161"/>
      <c r="BX84" s="159"/>
      <c r="BY84" s="160"/>
      <c r="BZ84" s="160"/>
      <c r="CA84" s="161"/>
      <c r="CB84" s="159"/>
      <c r="CC84" s="160"/>
      <c r="CD84" s="160"/>
      <c r="CE84" s="227"/>
      <c r="CF84" s="245"/>
    </row>
    <row r="85" spans="1:84" ht="30" customHeight="1">
      <c r="A85" s="179"/>
      <c r="B85" s="151"/>
      <c r="C85" s="152"/>
      <c r="D85" s="153"/>
      <c r="E85" s="154"/>
      <c r="F85" s="155"/>
      <c r="G85" s="240"/>
      <c r="H85" s="228"/>
      <c r="I85" s="157"/>
      <c r="J85" s="157"/>
      <c r="K85" s="158"/>
      <c r="L85" s="162"/>
      <c r="M85" s="157"/>
      <c r="N85" s="157"/>
      <c r="O85" s="161"/>
      <c r="P85" s="163"/>
      <c r="Q85" s="156"/>
      <c r="R85" s="160"/>
      <c r="S85" s="161"/>
      <c r="T85" s="164"/>
      <c r="U85" s="165"/>
      <c r="V85" s="160"/>
      <c r="W85" s="161"/>
      <c r="X85" s="164"/>
      <c r="Y85" s="165"/>
      <c r="Z85" s="160"/>
      <c r="AA85" s="140"/>
      <c r="AB85" s="164"/>
      <c r="AC85" s="165"/>
      <c r="AD85" s="160"/>
      <c r="AE85" s="161"/>
      <c r="AF85" s="164"/>
      <c r="AG85" s="160"/>
      <c r="AH85" s="160"/>
      <c r="AI85" s="161"/>
      <c r="AJ85" s="164"/>
      <c r="AK85" s="160"/>
      <c r="AL85" s="160"/>
      <c r="AM85" s="161"/>
      <c r="AN85" s="164"/>
      <c r="AO85" s="141"/>
      <c r="AP85" s="160"/>
      <c r="AQ85" s="161"/>
      <c r="AR85" s="164"/>
      <c r="AS85" s="160"/>
      <c r="AT85" s="160"/>
      <c r="AU85" s="161"/>
      <c r="AV85" s="164"/>
      <c r="AW85" s="160"/>
      <c r="AX85" s="160"/>
      <c r="AY85" s="161"/>
      <c r="AZ85" s="164"/>
      <c r="BA85" s="160"/>
      <c r="BB85" s="160"/>
      <c r="BC85" s="161"/>
      <c r="BD85" s="164"/>
      <c r="BE85" s="160"/>
      <c r="BF85" s="160"/>
      <c r="BG85" s="161"/>
      <c r="BH85" s="164"/>
      <c r="BI85" s="160"/>
      <c r="BJ85" s="160"/>
      <c r="BK85" s="161"/>
      <c r="BL85" s="164"/>
      <c r="BM85" s="160"/>
      <c r="BN85" s="160"/>
      <c r="BO85" s="161"/>
      <c r="BP85" s="164"/>
      <c r="BQ85" s="160"/>
      <c r="BR85" s="160"/>
      <c r="BS85" s="161"/>
      <c r="BT85" s="164"/>
      <c r="BU85" s="160"/>
      <c r="BV85" s="160"/>
      <c r="BW85" s="161"/>
      <c r="BX85" s="164"/>
      <c r="BY85" s="160"/>
      <c r="BZ85" s="160"/>
      <c r="CA85" s="161"/>
      <c r="CB85" s="164"/>
      <c r="CC85" s="160"/>
      <c r="CD85" s="160"/>
      <c r="CE85" s="227"/>
      <c r="CF85" s="245"/>
    </row>
    <row r="86" spans="1:84">
      <c r="A86" s="180"/>
      <c r="B86" s="146"/>
      <c r="C86" s="134">
        <f>SUM(C2:C85)</f>
        <v>120887698.96000001</v>
      </c>
      <c r="D86" s="150">
        <f>SUM(D2:D85)/2</f>
        <v>1</v>
      </c>
      <c r="E86" s="136" t="s">
        <v>10</v>
      </c>
      <c r="F86" s="137"/>
      <c r="G86" s="238"/>
      <c r="H86" s="222"/>
      <c r="I86" s="138"/>
      <c r="J86" s="138"/>
      <c r="K86" s="139"/>
      <c r="L86" s="138"/>
      <c r="M86" s="138"/>
      <c r="N86" s="138"/>
      <c r="O86" s="139"/>
      <c r="P86" s="138"/>
      <c r="Q86" s="138"/>
      <c r="R86" s="138"/>
      <c r="S86" s="139"/>
      <c r="T86" s="181"/>
      <c r="U86" s="138"/>
      <c r="V86" s="138"/>
      <c r="W86" s="139"/>
      <c r="X86" s="181"/>
      <c r="Y86" s="138"/>
      <c r="Z86" s="138"/>
      <c r="AA86" s="182"/>
      <c r="AB86" s="181"/>
      <c r="AC86" s="138"/>
      <c r="AD86" s="138"/>
      <c r="AE86" s="139"/>
      <c r="AF86" s="181"/>
      <c r="AG86" s="138"/>
      <c r="AH86" s="138"/>
      <c r="AI86" s="139"/>
      <c r="AJ86" s="181"/>
      <c r="AK86" s="138"/>
      <c r="AL86" s="138"/>
      <c r="AM86" s="139"/>
      <c r="AN86" s="181"/>
      <c r="AO86" s="183"/>
      <c r="AP86" s="138"/>
      <c r="AQ86" s="139"/>
      <c r="AR86" s="181"/>
      <c r="AS86" s="138"/>
      <c r="AT86" s="138"/>
      <c r="AU86" s="139"/>
      <c r="AV86" s="181"/>
      <c r="AW86" s="138"/>
      <c r="AX86" s="138"/>
      <c r="AY86" s="139"/>
      <c r="AZ86" s="181"/>
      <c r="BA86" s="138"/>
      <c r="BB86" s="138"/>
      <c r="BC86" s="139"/>
      <c r="BD86" s="181"/>
      <c r="BE86" s="138"/>
      <c r="BF86" s="138"/>
      <c r="BG86" s="139"/>
      <c r="BH86" s="181"/>
      <c r="BI86" s="138"/>
      <c r="BJ86" s="138"/>
      <c r="BK86" s="139"/>
      <c r="BL86" s="181"/>
      <c r="BM86" s="138"/>
      <c r="BN86" s="138"/>
      <c r="BO86" s="139"/>
      <c r="BP86" s="181"/>
      <c r="BQ86" s="138"/>
      <c r="BR86" s="138"/>
      <c r="BS86" s="139"/>
      <c r="BT86" s="181"/>
      <c r="BU86" s="138"/>
      <c r="BV86" s="138"/>
      <c r="BW86" s="139"/>
      <c r="BX86" s="181"/>
      <c r="BY86" s="138"/>
      <c r="BZ86" s="138"/>
      <c r="CA86" s="139"/>
      <c r="CB86" s="181"/>
      <c r="CC86" s="138"/>
      <c r="CD86" s="138"/>
      <c r="CE86" s="223"/>
      <c r="CF86" s="243"/>
    </row>
    <row r="87" spans="1:84">
      <c r="A87" s="180"/>
      <c r="B87" s="148"/>
      <c r="C87" s="121"/>
      <c r="D87" s="115"/>
      <c r="E87" s="116" t="s">
        <v>11</v>
      </c>
      <c r="F87" s="117">
        <f>SUMIF(E2:E85,"Actual",F2:F85)</f>
        <v>58765543.724999994</v>
      </c>
      <c r="G87" s="239">
        <f>SUMIF(E2:E85,"Actual",G2:G85)/100</f>
        <v>0.23969000000000001</v>
      </c>
      <c r="H87" s="224"/>
      <c r="I87" s="119"/>
      <c r="J87" s="119"/>
      <c r="K87" s="120"/>
      <c r="L87" s="122"/>
      <c r="M87" s="119"/>
      <c r="N87" s="119"/>
      <c r="O87" s="120"/>
      <c r="P87" s="123"/>
      <c r="Q87" s="118"/>
      <c r="R87" s="119"/>
      <c r="S87" s="120"/>
      <c r="T87" s="122"/>
      <c r="U87" s="184"/>
      <c r="V87" s="119"/>
      <c r="W87" s="120"/>
      <c r="X87" s="122"/>
      <c r="Y87" s="184"/>
      <c r="Z87" s="119"/>
      <c r="AA87" s="182"/>
      <c r="AB87" s="122"/>
      <c r="AC87" s="184"/>
      <c r="AD87" s="119"/>
      <c r="AE87" s="120"/>
      <c r="AF87" s="122"/>
      <c r="AG87" s="119"/>
      <c r="AH87" s="119"/>
      <c r="AI87" s="120"/>
      <c r="AJ87" s="122"/>
      <c r="AK87" s="119"/>
      <c r="AL87" s="119"/>
      <c r="AM87" s="120"/>
      <c r="AN87" s="122"/>
      <c r="AO87" s="183"/>
      <c r="AP87" s="119"/>
      <c r="AQ87" s="120"/>
      <c r="AR87" s="122"/>
      <c r="AS87" s="119"/>
      <c r="AT87" s="119"/>
      <c r="AU87" s="120"/>
      <c r="AV87" s="122"/>
      <c r="AW87" s="119"/>
      <c r="AX87" s="119"/>
      <c r="AY87" s="120"/>
      <c r="AZ87" s="122"/>
      <c r="BA87" s="119"/>
      <c r="BB87" s="119"/>
      <c r="BC87" s="120"/>
      <c r="BD87" s="122"/>
      <c r="BE87" s="119"/>
      <c r="BF87" s="119"/>
      <c r="BG87" s="120"/>
      <c r="BH87" s="122"/>
      <c r="BI87" s="119"/>
      <c r="BJ87" s="119"/>
      <c r="BK87" s="120"/>
      <c r="BL87" s="122"/>
      <c r="BM87" s="119"/>
      <c r="BN87" s="119"/>
      <c r="BO87" s="120"/>
      <c r="BP87" s="122"/>
      <c r="BQ87" s="119"/>
      <c r="BR87" s="119"/>
      <c r="BS87" s="120"/>
      <c r="BT87" s="122"/>
      <c r="BU87" s="119"/>
      <c r="BV87" s="119"/>
      <c r="BW87" s="120"/>
      <c r="BX87" s="122"/>
      <c r="BY87" s="119"/>
      <c r="BZ87" s="119"/>
      <c r="CA87" s="120"/>
      <c r="CB87" s="122"/>
      <c r="CC87" s="119"/>
      <c r="CD87" s="119"/>
      <c r="CE87" s="225"/>
      <c r="CF87" s="244"/>
    </row>
    <row r="88" spans="1:84" hidden="1">
      <c r="A88" s="180"/>
      <c r="B88" s="146"/>
      <c r="C88" s="134"/>
      <c r="D88" s="135"/>
      <c r="E88" s="136"/>
      <c r="F88" s="137"/>
      <c r="G88" s="238"/>
      <c r="H88" s="222"/>
      <c r="I88" s="138"/>
      <c r="J88" s="138"/>
      <c r="K88" s="139"/>
      <c r="L88" s="138"/>
      <c r="M88" s="138"/>
      <c r="N88" s="138"/>
      <c r="O88" s="139"/>
      <c r="P88" s="138"/>
      <c r="Q88" s="138"/>
      <c r="R88" s="138"/>
      <c r="S88" s="139"/>
      <c r="T88" s="181"/>
      <c r="U88" s="138"/>
      <c r="V88" s="138"/>
      <c r="W88" s="139"/>
      <c r="X88" s="181"/>
      <c r="Y88" s="138"/>
      <c r="Z88" s="138"/>
      <c r="AA88" s="182"/>
      <c r="AB88" s="181"/>
      <c r="AC88" s="138"/>
      <c r="AD88" s="138"/>
      <c r="AE88" s="139"/>
      <c r="AF88" s="181"/>
      <c r="AG88" s="138"/>
      <c r="AH88" s="138"/>
      <c r="AI88" s="139"/>
      <c r="AJ88" s="181"/>
      <c r="AK88" s="138"/>
      <c r="AL88" s="138"/>
      <c r="AM88" s="139"/>
      <c r="AN88" s="181"/>
      <c r="AO88" s="183"/>
      <c r="AP88" s="138"/>
      <c r="AQ88" s="139"/>
      <c r="AR88" s="181"/>
      <c r="AS88" s="138"/>
      <c r="AT88" s="138"/>
      <c r="AU88" s="139"/>
      <c r="AV88" s="181"/>
      <c r="AW88" s="138"/>
      <c r="AX88" s="138"/>
      <c r="AY88" s="139"/>
      <c r="AZ88" s="181"/>
      <c r="BA88" s="138"/>
      <c r="BB88" s="138"/>
      <c r="BC88" s="139"/>
      <c r="BD88" s="181"/>
      <c r="BE88" s="138"/>
      <c r="BF88" s="138"/>
      <c r="BG88" s="139"/>
      <c r="BH88" s="181"/>
      <c r="BI88" s="138"/>
      <c r="BJ88" s="138"/>
      <c r="BK88" s="139"/>
      <c r="BL88" s="181"/>
      <c r="BM88" s="138"/>
      <c r="BN88" s="138"/>
      <c r="BO88" s="139"/>
      <c r="BP88" s="181"/>
      <c r="BQ88" s="138"/>
      <c r="BR88" s="138"/>
      <c r="BS88" s="139"/>
      <c r="BT88" s="181"/>
      <c r="BU88" s="138"/>
      <c r="BV88" s="138"/>
      <c r="BW88" s="139"/>
      <c r="BX88" s="181"/>
      <c r="BY88" s="138"/>
      <c r="BZ88" s="138"/>
      <c r="CA88" s="139"/>
      <c r="CB88" s="181"/>
      <c r="CC88" s="138"/>
      <c r="CD88" s="138"/>
      <c r="CE88" s="223"/>
      <c r="CF88" s="243"/>
    </row>
    <row r="89" spans="1:84" hidden="1">
      <c r="A89" s="180"/>
      <c r="B89" s="145"/>
      <c r="C89" s="121"/>
      <c r="D89" s="115"/>
      <c r="E89" s="116"/>
      <c r="F89" s="117"/>
      <c r="G89" s="239"/>
      <c r="H89" s="224"/>
      <c r="I89" s="119"/>
      <c r="J89" s="119"/>
      <c r="K89" s="120"/>
      <c r="L89" s="122"/>
      <c r="M89" s="119"/>
      <c r="N89" s="119"/>
      <c r="O89" s="120"/>
      <c r="P89" s="123"/>
      <c r="Q89" s="118"/>
      <c r="R89" s="119"/>
      <c r="S89" s="120"/>
      <c r="T89" s="122"/>
      <c r="U89" s="184"/>
      <c r="V89" s="119"/>
      <c r="W89" s="120"/>
      <c r="X89" s="122"/>
      <c r="Y89" s="184"/>
      <c r="Z89" s="119"/>
      <c r="AA89" s="182"/>
      <c r="AB89" s="122"/>
      <c r="AC89" s="184"/>
      <c r="AD89" s="119"/>
      <c r="AE89" s="120"/>
      <c r="AF89" s="122"/>
      <c r="AG89" s="119"/>
      <c r="AH89" s="119"/>
      <c r="AI89" s="120"/>
      <c r="AJ89" s="122"/>
      <c r="AK89" s="119"/>
      <c r="AL89" s="119"/>
      <c r="AM89" s="120"/>
      <c r="AN89" s="122"/>
      <c r="AO89" s="183"/>
      <c r="AP89" s="119"/>
      <c r="AQ89" s="120"/>
      <c r="AR89" s="122"/>
      <c r="AS89" s="119"/>
      <c r="AT89" s="119"/>
      <c r="AU89" s="120"/>
      <c r="AV89" s="122"/>
      <c r="AW89" s="119"/>
      <c r="AX89" s="119"/>
      <c r="AY89" s="120"/>
      <c r="AZ89" s="122"/>
      <c r="BA89" s="119"/>
      <c r="BB89" s="119"/>
      <c r="BC89" s="120"/>
      <c r="BD89" s="122"/>
      <c r="BE89" s="119"/>
      <c r="BF89" s="119"/>
      <c r="BG89" s="120"/>
      <c r="BH89" s="122"/>
      <c r="BI89" s="119"/>
      <c r="BJ89" s="119"/>
      <c r="BK89" s="120"/>
      <c r="BL89" s="122"/>
      <c r="BM89" s="119"/>
      <c r="BN89" s="119"/>
      <c r="BO89" s="120"/>
      <c r="BP89" s="122"/>
      <c r="BQ89" s="119"/>
      <c r="BR89" s="119"/>
      <c r="BS89" s="120"/>
      <c r="BT89" s="122"/>
      <c r="BU89" s="119"/>
      <c r="BV89" s="119"/>
      <c r="BW89" s="120"/>
      <c r="BX89" s="122"/>
      <c r="BY89" s="119"/>
      <c r="BZ89" s="119"/>
      <c r="CA89" s="120"/>
      <c r="CB89" s="122"/>
      <c r="CC89" s="119"/>
      <c r="CD89" s="119"/>
      <c r="CE89" s="225"/>
      <c r="CF89" s="244"/>
    </row>
    <row r="90" spans="1:84" hidden="1">
      <c r="A90" s="180"/>
      <c r="B90" s="146"/>
      <c r="C90" s="134"/>
      <c r="D90" s="135"/>
      <c r="E90" s="136"/>
      <c r="F90" s="137"/>
      <c r="G90" s="238"/>
      <c r="H90" s="222"/>
      <c r="I90" s="138"/>
      <c r="J90" s="138"/>
      <c r="K90" s="139"/>
      <c r="L90" s="138"/>
      <c r="M90" s="138"/>
      <c r="N90" s="138"/>
      <c r="O90" s="139"/>
      <c r="P90" s="138"/>
      <c r="Q90" s="138"/>
      <c r="R90" s="138"/>
      <c r="S90" s="139"/>
      <c r="T90" s="181"/>
      <c r="U90" s="138"/>
      <c r="V90" s="138"/>
      <c r="W90" s="139"/>
      <c r="X90" s="181"/>
      <c r="Y90" s="138"/>
      <c r="Z90" s="138"/>
      <c r="AA90" s="182"/>
      <c r="AB90" s="181"/>
      <c r="AC90" s="138"/>
      <c r="AD90" s="138"/>
      <c r="AE90" s="139"/>
      <c r="AF90" s="181"/>
      <c r="AG90" s="138"/>
      <c r="AH90" s="138"/>
      <c r="AI90" s="139"/>
      <c r="AJ90" s="181"/>
      <c r="AK90" s="138"/>
      <c r="AL90" s="138"/>
      <c r="AM90" s="139"/>
      <c r="AN90" s="181"/>
      <c r="AO90" s="183"/>
      <c r="AP90" s="138"/>
      <c r="AQ90" s="139"/>
      <c r="AR90" s="181"/>
      <c r="AS90" s="138"/>
      <c r="AT90" s="138"/>
      <c r="AU90" s="139"/>
      <c r="AV90" s="181"/>
      <c r="AW90" s="138"/>
      <c r="AX90" s="138"/>
      <c r="AY90" s="139"/>
      <c r="AZ90" s="181"/>
      <c r="BA90" s="138"/>
      <c r="BB90" s="138"/>
      <c r="BC90" s="139"/>
      <c r="BD90" s="181"/>
      <c r="BE90" s="138"/>
      <c r="BF90" s="138"/>
      <c r="BG90" s="139"/>
      <c r="BH90" s="181"/>
      <c r="BI90" s="138"/>
      <c r="BJ90" s="138"/>
      <c r="BK90" s="139"/>
      <c r="BL90" s="181"/>
      <c r="BM90" s="138"/>
      <c r="BN90" s="138"/>
      <c r="BO90" s="139"/>
      <c r="BP90" s="181"/>
      <c r="BQ90" s="138"/>
      <c r="BR90" s="138"/>
      <c r="BS90" s="139"/>
      <c r="BT90" s="181"/>
      <c r="BU90" s="138"/>
      <c r="BV90" s="138"/>
      <c r="BW90" s="139"/>
      <c r="BX90" s="181"/>
      <c r="BY90" s="138"/>
      <c r="BZ90" s="138"/>
      <c r="CA90" s="139"/>
      <c r="CB90" s="181"/>
      <c r="CC90" s="138"/>
      <c r="CD90" s="138"/>
      <c r="CE90" s="223"/>
      <c r="CF90" s="243"/>
    </row>
    <row r="91" spans="1:84" hidden="1">
      <c r="A91" s="180"/>
      <c r="B91" s="145"/>
      <c r="C91" s="121"/>
      <c r="D91" s="115"/>
      <c r="E91" s="116"/>
      <c r="F91" s="117"/>
      <c r="G91" s="239"/>
      <c r="H91" s="224"/>
      <c r="I91" s="119"/>
      <c r="J91" s="119"/>
      <c r="K91" s="120"/>
      <c r="L91" s="122"/>
      <c r="M91" s="119"/>
      <c r="N91" s="119"/>
      <c r="O91" s="120"/>
      <c r="P91" s="123"/>
      <c r="Q91" s="118"/>
      <c r="R91" s="119"/>
      <c r="S91" s="120"/>
      <c r="T91" s="122"/>
      <c r="U91" s="184"/>
      <c r="V91" s="119"/>
      <c r="W91" s="120"/>
      <c r="X91" s="122"/>
      <c r="Y91" s="184"/>
      <c r="Z91" s="119"/>
      <c r="AA91" s="182"/>
      <c r="AB91" s="122"/>
      <c r="AC91" s="184"/>
      <c r="AD91" s="119"/>
      <c r="AE91" s="120"/>
      <c r="AF91" s="122"/>
      <c r="AG91" s="119"/>
      <c r="AH91" s="119"/>
      <c r="AI91" s="120"/>
      <c r="AJ91" s="122"/>
      <c r="AK91" s="119"/>
      <c r="AL91" s="119"/>
      <c r="AM91" s="120"/>
      <c r="AN91" s="122"/>
      <c r="AO91" s="183"/>
      <c r="AP91" s="119"/>
      <c r="AQ91" s="120"/>
      <c r="AR91" s="122"/>
      <c r="AS91" s="119"/>
      <c r="AT91" s="119"/>
      <c r="AU91" s="120"/>
      <c r="AV91" s="122"/>
      <c r="AW91" s="119"/>
      <c r="AX91" s="119"/>
      <c r="AY91" s="120"/>
      <c r="AZ91" s="122"/>
      <c r="BA91" s="119"/>
      <c r="BB91" s="119"/>
      <c r="BC91" s="120"/>
      <c r="BD91" s="122"/>
      <c r="BE91" s="119"/>
      <c r="BF91" s="119"/>
      <c r="BG91" s="120"/>
      <c r="BH91" s="122"/>
      <c r="BI91" s="119"/>
      <c r="BJ91" s="119"/>
      <c r="BK91" s="120"/>
      <c r="BL91" s="122"/>
      <c r="BM91" s="119"/>
      <c r="BN91" s="119"/>
      <c r="BO91" s="120"/>
      <c r="BP91" s="122"/>
      <c r="BQ91" s="119"/>
      <c r="BR91" s="119"/>
      <c r="BS91" s="120"/>
      <c r="BT91" s="122"/>
      <c r="BU91" s="119"/>
      <c r="BV91" s="119"/>
      <c r="BW91" s="120"/>
      <c r="BX91" s="122"/>
      <c r="BY91" s="119"/>
      <c r="BZ91" s="119"/>
      <c r="CA91" s="120"/>
      <c r="CB91" s="122"/>
      <c r="CC91" s="119"/>
      <c r="CD91" s="119"/>
      <c r="CE91" s="225"/>
      <c r="CF91" s="244"/>
    </row>
    <row r="92" spans="1:84" hidden="1">
      <c r="A92" s="180"/>
      <c r="B92" s="143"/>
      <c r="C92" s="134"/>
      <c r="D92" s="135"/>
      <c r="E92" s="136"/>
      <c r="F92" s="137"/>
      <c r="G92" s="238"/>
      <c r="H92" s="222"/>
      <c r="I92" s="138"/>
      <c r="J92" s="138"/>
      <c r="K92" s="139"/>
      <c r="L92" s="138"/>
      <c r="M92" s="138"/>
      <c r="N92" s="138"/>
      <c r="O92" s="139"/>
      <c r="P92" s="138"/>
      <c r="Q92" s="138"/>
      <c r="R92" s="138"/>
      <c r="S92" s="139"/>
      <c r="T92" s="181"/>
      <c r="U92" s="138"/>
      <c r="V92" s="138"/>
      <c r="W92" s="139"/>
      <c r="X92" s="181"/>
      <c r="Y92" s="138"/>
      <c r="Z92" s="138"/>
      <c r="AA92" s="182"/>
      <c r="AB92" s="181"/>
      <c r="AC92" s="138"/>
      <c r="AD92" s="138"/>
      <c r="AE92" s="139"/>
      <c r="AF92" s="181"/>
      <c r="AG92" s="138"/>
      <c r="AH92" s="138"/>
      <c r="AI92" s="139"/>
      <c r="AJ92" s="181"/>
      <c r="AK92" s="138"/>
      <c r="AL92" s="138"/>
      <c r="AM92" s="139"/>
      <c r="AN92" s="181"/>
      <c r="AO92" s="183"/>
      <c r="AP92" s="138"/>
      <c r="AQ92" s="139"/>
      <c r="AR92" s="181"/>
      <c r="AS92" s="138"/>
      <c r="AT92" s="138"/>
      <c r="AU92" s="139"/>
      <c r="AV92" s="181"/>
      <c r="AW92" s="138"/>
      <c r="AX92" s="138"/>
      <c r="AY92" s="139"/>
      <c r="AZ92" s="181"/>
      <c r="BA92" s="138"/>
      <c r="BB92" s="138"/>
      <c r="BC92" s="139"/>
      <c r="BD92" s="181"/>
      <c r="BE92" s="138"/>
      <c r="BF92" s="138"/>
      <c r="BG92" s="139"/>
      <c r="BH92" s="181"/>
      <c r="BI92" s="138"/>
      <c r="BJ92" s="138"/>
      <c r="BK92" s="139"/>
      <c r="BL92" s="181"/>
      <c r="BM92" s="138"/>
      <c r="BN92" s="138"/>
      <c r="BO92" s="139"/>
      <c r="BP92" s="181"/>
      <c r="BQ92" s="138"/>
      <c r="BR92" s="138"/>
      <c r="BS92" s="139"/>
      <c r="BT92" s="181"/>
      <c r="BU92" s="138"/>
      <c r="BV92" s="138"/>
      <c r="BW92" s="139"/>
      <c r="BX92" s="181"/>
      <c r="BY92" s="138"/>
      <c r="BZ92" s="138"/>
      <c r="CA92" s="139"/>
      <c r="CB92" s="181"/>
      <c r="CC92" s="138"/>
      <c r="CD92" s="138"/>
      <c r="CE92" s="223"/>
      <c r="CF92" s="243"/>
    </row>
    <row r="93" spans="1:84" hidden="1">
      <c r="A93" s="180"/>
      <c r="B93" s="144"/>
      <c r="C93" s="121"/>
      <c r="D93" s="115"/>
      <c r="E93" s="116"/>
      <c r="F93" s="117"/>
      <c r="G93" s="239"/>
      <c r="H93" s="224"/>
      <c r="I93" s="119"/>
      <c r="J93" s="119"/>
      <c r="K93" s="120"/>
      <c r="L93" s="122"/>
      <c r="M93" s="119"/>
      <c r="N93" s="119"/>
      <c r="O93" s="120"/>
      <c r="P93" s="123"/>
      <c r="Q93" s="118"/>
      <c r="R93" s="119"/>
      <c r="S93" s="120"/>
      <c r="T93" s="122"/>
      <c r="U93" s="184"/>
      <c r="V93" s="119"/>
      <c r="W93" s="120"/>
      <c r="X93" s="122"/>
      <c r="Y93" s="184"/>
      <c r="Z93" s="119"/>
      <c r="AA93" s="182"/>
      <c r="AB93" s="122"/>
      <c r="AC93" s="184"/>
      <c r="AD93" s="119"/>
      <c r="AE93" s="120"/>
      <c r="AF93" s="122"/>
      <c r="AG93" s="119"/>
      <c r="AH93" s="119"/>
      <c r="AI93" s="120"/>
      <c r="AJ93" s="122"/>
      <c r="AK93" s="119"/>
      <c r="AL93" s="119"/>
      <c r="AM93" s="120"/>
      <c r="AN93" s="122"/>
      <c r="AO93" s="183"/>
      <c r="AP93" s="119"/>
      <c r="AQ93" s="120"/>
      <c r="AR93" s="122"/>
      <c r="AS93" s="119"/>
      <c r="AT93" s="119"/>
      <c r="AU93" s="120"/>
      <c r="AV93" s="122"/>
      <c r="AW93" s="119"/>
      <c r="AX93" s="119"/>
      <c r="AY93" s="120"/>
      <c r="AZ93" s="122"/>
      <c r="BA93" s="119"/>
      <c r="BB93" s="119"/>
      <c r="BC93" s="120"/>
      <c r="BD93" s="122"/>
      <c r="BE93" s="119"/>
      <c r="BF93" s="119"/>
      <c r="BG93" s="120"/>
      <c r="BH93" s="122"/>
      <c r="BI93" s="119"/>
      <c r="BJ93" s="119"/>
      <c r="BK93" s="120"/>
      <c r="BL93" s="122"/>
      <c r="BM93" s="119"/>
      <c r="BN93" s="119"/>
      <c r="BO93" s="120"/>
      <c r="BP93" s="122"/>
      <c r="BQ93" s="119"/>
      <c r="BR93" s="119"/>
      <c r="BS93" s="120"/>
      <c r="BT93" s="122"/>
      <c r="BU93" s="119"/>
      <c r="BV93" s="119"/>
      <c r="BW93" s="120"/>
      <c r="BX93" s="122"/>
      <c r="BY93" s="119"/>
      <c r="BZ93" s="119"/>
      <c r="CA93" s="120"/>
      <c r="CB93" s="122"/>
      <c r="CC93" s="119"/>
      <c r="CD93" s="119"/>
      <c r="CE93" s="225"/>
      <c r="CF93" s="244"/>
    </row>
    <row r="94" spans="1:84" hidden="1">
      <c r="A94" s="180"/>
      <c r="B94" s="144"/>
      <c r="C94" s="134"/>
      <c r="D94" s="135"/>
      <c r="E94" s="136"/>
      <c r="F94" s="137"/>
      <c r="G94" s="238"/>
      <c r="H94" s="222"/>
      <c r="I94" s="138"/>
      <c r="J94" s="138"/>
      <c r="K94" s="139"/>
      <c r="L94" s="138"/>
      <c r="M94" s="138"/>
      <c r="N94" s="138"/>
      <c r="O94" s="139"/>
      <c r="P94" s="138"/>
      <c r="Q94" s="138"/>
      <c r="R94" s="138"/>
      <c r="S94" s="139"/>
      <c r="T94" s="181"/>
      <c r="U94" s="138"/>
      <c r="V94" s="138"/>
      <c r="W94" s="139"/>
      <c r="X94" s="181"/>
      <c r="Y94" s="138"/>
      <c r="Z94" s="138"/>
      <c r="AA94" s="182"/>
      <c r="AB94" s="181"/>
      <c r="AC94" s="138"/>
      <c r="AD94" s="138"/>
      <c r="AE94" s="139"/>
      <c r="AF94" s="181"/>
      <c r="AG94" s="138"/>
      <c r="AH94" s="138"/>
      <c r="AI94" s="139"/>
      <c r="AJ94" s="181"/>
      <c r="AK94" s="138"/>
      <c r="AL94" s="138"/>
      <c r="AM94" s="139"/>
      <c r="AN94" s="181"/>
      <c r="AO94" s="183"/>
      <c r="AP94" s="138"/>
      <c r="AQ94" s="139"/>
      <c r="AR94" s="181"/>
      <c r="AS94" s="138"/>
      <c r="AT94" s="138"/>
      <c r="AU94" s="139"/>
      <c r="AV94" s="181"/>
      <c r="AW94" s="138"/>
      <c r="AX94" s="138"/>
      <c r="AY94" s="139"/>
      <c r="AZ94" s="181"/>
      <c r="BA94" s="138"/>
      <c r="BB94" s="138"/>
      <c r="BC94" s="139"/>
      <c r="BD94" s="181"/>
      <c r="BE94" s="138"/>
      <c r="BF94" s="138"/>
      <c r="BG94" s="139"/>
      <c r="BH94" s="181"/>
      <c r="BI94" s="138"/>
      <c r="BJ94" s="138"/>
      <c r="BK94" s="139"/>
      <c r="BL94" s="181"/>
      <c r="BM94" s="138"/>
      <c r="BN94" s="138"/>
      <c r="BO94" s="139"/>
      <c r="BP94" s="181"/>
      <c r="BQ94" s="138"/>
      <c r="BR94" s="138"/>
      <c r="BS94" s="139"/>
      <c r="BT94" s="181"/>
      <c r="BU94" s="138"/>
      <c r="BV94" s="138"/>
      <c r="BW94" s="139"/>
      <c r="BX94" s="181"/>
      <c r="BY94" s="138"/>
      <c r="BZ94" s="138"/>
      <c r="CA94" s="139"/>
      <c r="CB94" s="181"/>
      <c r="CC94" s="138"/>
      <c r="CD94" s="138"/>
      <c r="CE94" s="223"/>
      <c r="CF94" s="243"/>
    </row>
    <row r="95" spans="1:84" hidden="1">
      <c r="A95" s="180"/>
      <c r="B95" s="145"/>
      <c r="C95" s="121"/>
      <c r="D95" s="115"/>
      <c r="E95" s="116"/>
      <c r="F95" s="117"/>
      <c r="G95" s="239"/>
      <c r="H95" s="224"/>
      <c r="I95" s="119"/>
      <c r="J95" s="119"/>
      <c r="K95" s="120"/>
      <c r="L95" s="122"/>
      <c r="M95" s="119"/>
      <c r="N95" s="119"/>
      <c r="O95" s="120"/>
      <c r="P95" s="123"/>
      <c r="Q95" s="118"/>
      <c r="R95" s="119"/>
      <c r="S95" s="120"/>
      <c r="T95" s="122"/>
      <c r="U95" s="184"/>
      <c r="V95" s="119"/>
      <c r="W95" s="120"/>
      <c r="X95" s="122"/>
      <c r="Y95" s="184"/>
      <c r="Z95" s="119"/>
      <c r="AA95" s="182"/>
      <c r="AB95" s="122"/>
      <c r="AC95" s="184"/>
      <c r="AD95" s="119"/>
      <c r="AE95" s="120"/>
      <c r="AF95" s="122"/>
      <c r="AG95" s="119"/>
      <c r="AH95" s="119"/>
      <c r="AI95" s="120"/>
      <c r="AJ95" s="122"/>
      <c r="AK95" s="119"/>
      <c r="AL95" s="119"/>
      <c r="AM95" s="120"/>
      <c r="AN95" s="122"/>
      <c r="AO95" s="183"/>
      <c r="AP95" s="119"/>
      <c r="AQ95" s="120"/>
      <c r="AR95" s="122"/>
      <c r="AS95" s="119"/>
      <c r="AT95" s="119"/>
      <c r="AU95" s="120"/>
      <c r="AV95" s="122"/>
      <c r="AW95" s="119"/>
      <c r="AX95" s="119"/>
      <c r="AY95" s="120"/>
      <c r="AZ95" s="122"/>
      <c r="BA95" s="119"/>
      <c r="BB95" s="119"/>
      <c r="BC95" s="120"/>
      <c r="BD95" s="122"/>
      <c r="BE95" s="119"/>
      <c r="BF95" s="119"/>
      <c r="BG95" s="120"/>
      <c r="BH95" s="122"/>
      <c r="BI95" s="119"/>
      <c r="BJ95" s="119"/>
      <c r="BK95" s="120"/>
      <c r="BL95" s="122"/>
      <c r="BM95" s="119"/>
      <c r="BN95" s="119"/>
      <c r="BO95" s="120"/>
      <c r="BP95" s="122"/>
      <c r="BQ95" s="119"/>
      <c r="BR95" s="119"/>
      <c r="BS95" s="120"/>
      <c r="BT95" s="122"/>
      <c r="BU95" s="119"/>
      <c r="BV95" s="119"/>
      <c r="BW95" s="120"/>
      <c r="BX95" s="122"/>
      <c r="BY95" s="119"/>
      <c r="BZ95" s="119"/>
      <c r="CA95" s="120"/>
      <c r="CB95" s="122"/>
      <c r="CC95" s="119"/>
      <c r="CD95" s="119"/>
      <c r="CE95" s="225"/>
      <c r="CF95" s="244"/>
    </row>
    <row r="96" spans="1:84">
      <c r="A96" s="180"/>
      <c r="B96" s="143"/>
      <c r="C96" s="134"/>
      <c r="D96" s="135"/>
      <c r="E96" s="136" t="s">
        <v>10</v>
      </c>
      <c r="F96" s="137"/>
      <c r="G96" s="238"/>
      <c r="H96" s="222" cm="1">
        <f t="array" ref="H96">_xlfn.LET(_xlpm.v,H2:H85,_xlpm.pa,$E$2:$E$85,_xlpm.w,$D$2:$D$85,SUMPRODUCT((_xlpm.v&gt;0)*(_xlpm.pa="Plan")*_xlpm.v*_xlpm.w))</f>
        <v>0.26537408087000613</v>
      </c>
      <c r="I96" s="138" cm="1">
        <f t="array" ref="I96">_xlfn.LET(_xlpm.v,I2:I85,_xlpm.pa,$E$2:$E$85,_xlpm.w,$D$2:$D$85,SUMPRODUCT((_xlpm.v&gt;0)*(_xlpm.pa="Plan")*_xlpm.v*_xlpm.w))</f>
        <v>0.26537408087000613</v>
      </c>
      <c r="J96" s="138" cm="1">
        <f t="array" ref="J96">_xlfn.LET(_xlpm.v,J2:J85,_xlpm.pa,$E$2:$E$85,_xlpm.w,$D$2:$D$85,SUMPRODUCT((_xlpm.v&gt;0)*(_xlpm.pa="Plan")*_xlpm.v*_xlpm.w))</f>
        <v>0.26537408087000613</v>
      </c>
      <c r="K96" s="139" cm="1">
        <f t="array" ref="K96">_xlfn.LET(_xlpm.v,K2:K85,_xlpm.pa,$E$2:$E$85,_xlpm.w,$D$2:$D$85,SUMPRODUCT((_xlpm.v&gt;0)*(_xlpm.pa="Plan")*_xlpm.v*_xlpm.w))</f>
        <v>0.26537408087000613</v>
      </c>
      <c r="L96" s="138" cm="1">
        <f t="array" ref="L96">_xlfn.LET(_xlpm.v,L2:L85,_xlpm.pa,$E$2:$E$85,_xlpm.w,$D$2:$D$85,SUMPRODUCT((_xlpm.v&gt;0)*(_xlpm.pa="Plan")*_xlpm.v*_xlpm.w))</f>
        <v>0.26537408087000613</v>
      </c>
      <c r="M96" s="138" cm="1">
        <f t="array" ref="M96">_xlfn.LET(_xlpm.v,M2:M85,_xlpm.pa,$E$2:$E$85,_xlpm.w,$D$2:$D$85,SUMPRODUCT((_xlpm.v&gt;0)*(_xlpm.pa="Plan")*_xlpm.v*_xlpm.w))</f>
        <v>0.26537408087000613</v>
      </c>
      <c r="N96" s="138" cm="1">
        <f t="array" ref="N96">_xlfn.LET(_xlpm.v,N2:N85,_xlpm.pa,$E$2:$E$85,_xlpm.w,$D$2:$D$85,SUMPRODUCT((_xlpm.v&gt;0)*(_xlpm.pa="Plan")*_xlpm.v*_xlpm.w))</f>
        <v>0.26537408087000613</v>
      </c>
      <c r="O96" s="139" cm="1">
        <f t="array" ref="O96">_xlfn.LET(_xlpm.v,O2:O85,_xlpm.pa,$E$2:$E$85,_xlpm.w,$D$2:$D$85,SUMPRODUCT((_xlpm.v&gt;0)*(_xlpm.pa="Plan")*_xlpm.v*_xlpm.w))</f>
        <v>0.26537408087000613</v>
      </c>
      <c r="P96" s="138" cm="1">
        <f t="array" ref="P96">_xlfn.LET(_xlpm.v,P2:P85,_xlpm.pa,$E$2:$E$85,_xlpm.w,$D$2:$D$85,SUMPRODUCT((_xlpm.v&gt;0)*(_xlpm.pa="Plan")*_xlpm.v*_xlpm.w))</f>
        <v>0.20947990321695231</v>
      </c>
      <c r="Q96" s="138" cm="1">
        <f t="array" ref="Q96">_xlfn.LET(_xlpm.v,Q2:Q85,_xlpm.pa,$E$2:$E$85,_xlpm.w,$D$2:$D$85,SUMPRODUCT((_xlpm.v&gt;0)*(_xlpm.pa="Plan")*_xlpm.v*_xlpm.w))</f>
        <v>1.3954813190635726</v>
      </c>
      <c r="R96" s="138" cm="1">
        <f t="array" ref="R96">_xlfn.LET(_xlpm.v,R2:R85,_xlpm.pa,$E$2:$E$85,_xlpm.w,$D$2:$D$85,SUMPRODUCT((_xlpm.v&gt;0)*(_xlpm.pa="Plan")*_xlpm.v*_xlpm.w))</f>
        <v>1.3954813190635726</v>
      </c>
      <c r="S96" s="139" cm="1">
        <f t="array" ref="S96">_xlfn.LET(_xlpm.v,S2:S85,_xlpm.pa,$E$2:$E$85,_xlpm.w,$D$2:$D$85,SUMPRODUCT((_xlpm.v&gt;0)*(_xlpm.pa="Plan")*_xlpm.v*_xlpm.w))</f>
        <v>1.3954813190635726</v>
      </c>
      <c r="T96" s="181" cm="1">
        <f t="array" ref="T96">_xlfn.LET(_xlpm.v,T2:T85,_xlpm.pa,$E$2:$E$85,_xlpm.w,$D$2:$D$85,SUMPRODUCT((_xlpm.v&gt;0)*(_xlpm.pa="Plan")*_xlpm.v*_xlpm.w))</f>
        <v>1.3954813190635726</v>
      </c>
      <c r="U96" s="138" cm="1">
        <f t="array" ref="U96">_xlfn.LET(_xlpm.v,U2:U85,_xlpm.pa,$E$2:$E$85,_xlpm.w,$D$2:$D$85,SUMPRODUCT((_xlpm.v&gt;0)*(_xlpm.pa="Plan")*_xlpm.v*_xlpm.w))</f>
        <v>1.3954813190635726</v>
      </c>
      <c r="V96" s="138" cm="1">
        <f t="array" ref="V96">_xlfn.LET(_xlpm.v,V2:V85,_xlpm.pa,$E$2:$E$85,_xlpm.w,$D$2:$D$85,SUMPRODUCT((_xlpm.v&gt;0)*(_xlpm.pa="Plan")*_xlpm.v*_xlpm.w))</f>
        <v>2.7812160302142033</v>
      </c>
      <c r="W96" s="139" cm="1">
        <f t="array" ref="W96">_xlfn.LET(_xlpm.v,W2:W85,_xlpm.pa,$E$2:$E$85,_xlpm.w,$D$2:$D$85,SUMPRODUCT((_xlpm.v&gt;0)*(_xlpm.pa="Plan")*_xlpm.v*_xlpm.w))</f>
        <v>2.7812160302142033</v>
      </c>
      <c r="X96" s="181" cm="1">
        <f t="array" ref="X96">_xlfn.LET(_xlpm.v,X2:X85,_xlpm.pa,$E$2:$E$85,_xlpm.w,$D$2:$D$85,SUMPRODUCT((_xlpm.v&gt;0)*(_xlpm.pa="Plan")*_xlpm.v*_xlpm.w))</f>
        <v>2.7812160302142033</v>
      </c>
      <c r="Y96" s="138" cm="1">
        <f t="array" ref="Y96">_xlfn.LET(_xlpm.v,Y2:Y85,_xlpm.pa,$E$2:$E$85,_xlpm.w,$D$2:$D$85,SUMPRODUCT((_xlpm.v&gt;0)*(_xlpm.pa="Plan")*_xlpm.v*_xlpm.w))</f>
        <v>1.5952146143675829</v>
      </c>
      <c r="Z96" s="138" cm="1">
        <f t="array" ref="Z96">_xlfn.LET(_xlpm.v,Z2:Z85,_xlpm.pa,$E$2:$E$85,_xlpm.w,$D$2:$D$85,SUMPRODUCT((_xlpm.v&gt;0)*(_xlpm.pa="Plan")*_xlpm.v*_xlpm.w))</f>
        <v>1.5952146143675829</v>
      </c>
      <c r="AA96" s="182" cm="1">
        <f t="array" ref="AA96">_xlfn.LET(_xlpm.v,AA2:AA85,_xlpm.pa,$E$2:$E$85,_xlpm.w,$D$2:$D$85,SUMPRODUCT((_xlpm.v&gt;0)*(_xlpm.pa="Plan")*_xlpm.v*_xlpm.w))</f>
        <v>0</v>
      </c>
      <c r="AB96" s="181" cm="1">
        <f t="array" ref="AB96">_xlfn.LET(_xlpm.v,AB2:AB85,_xlpm.pa,$E$2:$E$85,_xlpm.w,$D$2:$D$85,SUMPRODUCT((_xlpm.v&gt;0)*(_xlpm.pa="Plan")*_xlpm.v*_xlpm.w))</f>
        <v>0.62938420643969928</v>
      </c>
      <c r="AC96" s="138" cm="1">
        <f t="array" ref="AC96">_xlfn.LET(_xlpm.v,AC2:AC85,_xlpm.pa,$E$2:$E$85,_xlpm.w,$D$2:$D$85,SUMPRODUCT((_xlpm.v&gt;0)*(_xlpm.pa="Plan")*_xlpm.v*_xlpm.w))</f>
        <v>1.1134032984490114</v>
      </c>
      <c r="AD96" s="138" cm="1">
        <f t="array" ref="AD96">_xlfn.LET(_xlpm.v,AD2:AD85,_xlpm.pa,$E$2:$E$85,_xlpm.w,$D$2:$D$85,SUMPRODUCT((_xlpm.v&gt;0)*(_xlpm.pa="Plan")*_xlpm.v*_xlpm.w))</f>
        <v>1.1134032984490114</v>
      </c>
      <c r="AE96" s="139" cm="1">
        <f t="array" ref="AE96">_xlfn.LET(_xlpm.v,AE2:AE85,_xlpm.pa,$E$2:$E$85,_xlpm.w,$D$2:$D$85,SUMPRODUCT((_xlpm.v&gt;0)*(_xlpm.pa="Plan")*_xlpm.v*_xlpm.w))</f>
        <v>1.1134032984490114</v>
      </c>
      <c r="AF96" s="181" cm="1">
        <f t="array" ref="AF96">_xlfn.LET(_xlpm.v,AF2:AF85,_xlpm.pa,$E$2:$E$85,_xlpm.w,$D$2:$D$85,SUMPRODUCT((_xlpm.v&gt;0)*(_xlpm.pa="Plan")*_xlpm.v*_xlpm.w))</f>
        <v>1.1134032984490114</v>
      </c>
      <c r="AG96" s="138" cm="1">
        <f t="array" ref="AG96">_xlfn.LET(_xlpm.v,AG2:AG85,_xlpm.pa,$E$2:$E$85,_xlpm.w,$D$2:$D$85,SUMPRODUCT((_xlpm.v&gt;0)*(_xlpm.pa="Plan")*_xlpm.v*_xlpm.w))</f>
        <v>1.1134032984490114</v>
      </c>
      <c r="AH96" s="138" cm="1">
        <f t="array" ref="AH96">_xlfn.LET(_xlpm.v,AH2:AH85,_xlpm.pa,$E$2:$E$85,_xlpm.w,$D$2:$D$85,SUMPRODUCT((_xlpm.v&gt;0)*(_xlpm.pa="Plan")*_xlpm.v*_xlpm.w))</f>
        <v>0.69349899522626446</v>
      </c>
      <c r="AI96" s="139" cm="1">
        <f t="array" ref="AI96">_xlfn.LET(_xlpm.v,AI2:AI85,_xlpm.pa,$E$2:$E$85,_xlpm.w,$D$2:$D$85,SUMPRODUCT((_xlpm.v&gt;0)*(_xlpm.pa="Plan")*_xlpm.v*_xlpm.w))</f>
        <v>0.69349899522626446</v>
      </c>
      <c r="AJ96" s="181" cm="1">
        <f t="array" ref="AJ96">_xlfn.LET(_xlpm.v,AJ2:AJ85,_xlpm.pa,$E$2:$E$85,_xlpm.w,$D$2:$D$85,SUMPRODUCT((_xlpm.v&gt;0)*(_xlpm.pa="Plan")*_xlpm.v*_xlpm.w))</f>
        <v>0.20947990321695231</v>
      </c>
      <c r="AK96" s="138" cm="1">
        <f t="array" ref="AK96">_xlfn.LET(_xlpm.v,AK2:AK85,_xlpm.pa,$E$2:$E$85,_xlpm.w,$D$2:$D$85,SUMPRODUCT((_xlpm.v&gt;0)*(_xlpm.pa="Plan")*_xlpm.v*_xlpm.w))</f>
        <v>0.20947990321695231</v>
      </c>
      <c r="AL96" s="138" cm="1">
        <f t="array" ref="AL96">_xlfn.LET(_xlpm.v,AL2:AL85,_xlpm.pa,$E$2:$E$85,_xlpm.w,$D$2:$D$85,SUMPRODUCT((_xlpm.v&gt;0)*(_xlpm.pa="Plan")*_xlpm.v*_xlpm.w))</f>
        <v>0.47213491504331029</v>
      </c>
      <c r="AM96" s="139" cm="1">
        <f t="array" ref="AM96">_xlfn.LET(_xlpm.v,AM2:AM85,_xlpm.pa,$E$2:$E$85,_xlpm.w,$D$2:$D$85,SUMPRODUCT((_xlpm.v&gt;0)*(_xlpm.pa="Plan")*_xlpm.v*_xlpm.w))</f>
        <v>0.47213491504331029</v>
      </c>
      <c r="AN96" s="181" cm="1">
        <f t="array" ref="AN96">_xlfn.LET(_xlpm.v,AN2:AN85,_xlpm.pa,$E$2:$E$85,_xlpm.w,$D$2:$D$85,SUMPRODUCT((_xlpm.v&gt;0)*(_xlpm.pa="Plan")*_xlpm.v*_xlpm.w))</f>
        <v>1.7836322912359028</v>
      </c>
      <c r="AO96" s="183" cm="1">
        <f t="array" ref="AO96">_xlfn.LET(_xlpm.v,AO2:AO85,_xlpm.pa,$E$2:$E$85,_xlpm.w,$D$2:$D$85,SUMPRODUCT((_xlpm.v&gt;0)*(_xlpm.pa="Plan")*_xlpm.v*_xlpm.w))</f>
        <v>0</v>
      </c>
      <c r="AP96" s="138" cm="1">
        <f t="array" ref="AP96">_xlfn.LET(_xlpm.v,AP2:AP85,_xlpm.pa,$E$2:$E$85,_xlpm.w,$D$2:$D$85,SUMPRODUCT((_xlpm.v&gt;0)*(_xlpm.pa="Plan")*_xlpm.v*_xlpm.w))</f>
        <v>3.5457237247115589</v>
      </c>
      <c r="AQ96" s="139" cm="1">
        <f t="array" ref="AQ96">_xlfn.LET(_xlpm.v,AQ2:AQ85,_xlpm.pa,$E$2:$E$85,_xlpm.w,$D$2:$D$85,SUMPRODUCT((_xlpm.v&gt;0)*(_xlpm.pa="Plan")*_xlpm.v*_xlpm.w))</f>
        <v>3.5457237247115589</v>
      </c>
      <c r="AR96" s="181" cm="1">
        <f t="array" ref="AR96">_xlfn.LET(_xlpm.v,AR2:AR85,_xlpm.pa,$E$2:$E$85,_xlpm.w,$D$2:$D$85,SUMPRODUCT((_xlpm.v&gt;0)*(_xlpm.pa="Plan")*_xlpm.v*_xlpm.w))</f>
        <v>3.5575276552377924</v>
      </c>
      <c r="AS96" s="138" cm="1">
        <f t="array" ref="AS96">_xlfn.LET(_xlpm.v,AS2:AS85,_xlpm.pa,$E$2:$E$85,_xlpm.w,$D$2:$D$85,SUMPRODUCT((_xlpm.v&gt;0)*(_xlpm.pa="Plan")*_xlpm.v*_xlpm.w))</f>
        <v>3.5575276552377924</v>
      </c>
      <c r="AT96" s="138" cm="1">
        <f t="array" ref="AT96">_xlfn.LET(_xlpm.v,AT2:AT85,_xlpm.pa,$E$2:$E$85,_xlpm.w,$D$2:$D$85,SUMPRODUCT((_xlpm.v&gt;0)*(_xlpm.pa="Plan")*_xlpm.v*_xlpm.w))</f>
        <v>4.1584244017631429</v>
      </c>
      <c r="AU96" s="139" cm="1">
        <f t="array" ref="AU96">_xlfn.LET(_xlpm.v,AU2:AU85,_xlpm.pa,$E$2:$E$85,_xlpm.w,$D$2:$D$85,SUMPRODUCT((_xlpm.v&gt;0)*(_xlpm.pa="Plan")*_xlpm.v*_xlpm.w))</f>
        <v>2.9418403949393053</v>
      </c>
      <c r="AV96" s="181" cm="1">
        <f t="array" ref="AV96">_xlfn.LET(_xlpm.v,AV2:AV85,_xlpm.pa,$E$2:$E$85,_xlpm.w,$D$2:$D$85,SUMPRODUCT((_xlpm.v&gt;0)*(_xlpm.pa="Plan")*_xlpm.v*_xlpm.w))</f>
        <v>3.66289666717649</v>
      </c>
      <c r="AW96" s="138" cm="1">
        <f t="array" ref="AW96">_xlfn.LET(_xlpm.v,AW2:AW85,_xlpm.pa,$E$2:$E$85,_xlpm.w,$D$2:$D$85,SUMPRODUCT((_xlpm.v&gt;0)*(_xlpm.pa="Plan")*_xlpm.v*_xlpm.w))</f>
        <v>3.6542605527580534</v>
      </c>
      <c r="AX96" s="138" cm="1">
        <f t="array" ref="AX96">_xlfn.LET(_xlpm.v,AX2:AX85,_xlpm.pa,$E$2:$E$85,_xlpm.w,$D$2:$D$85,SUMPRODUCT((_xlpm.v&gt;0)*(_xlpm.pa="Plan")*_xlpm.v*_xlpm.w))</f>
        <v>1.8950519601586668</v>
      </c>
      <c r="AY96" s="139" cm="1">
        <f t="array" ref="AY96">_xlfn.LET(_xlpm.v,AY2:AY85,_xlpm.pa,$E$2:$E$85,_xlpm.w,$D$2:$D$85,SUMPRODUCT((_xlpm.v&gt;0)*(_xlpm.pa="Plan")*_xlpm.v*_xlpm.w))</f>
        <v>1.8950519601586668</v>
      </c>
      <c r="AZ96" s="181" cm="1">
        <f t="array" ref="AZ96">_xlfn.LET(_xlpm.v,AZ2:AZ85,_xlpm.pa,$E$2:$E$85,_xlpm.w,$D$2:$D$85,SUMPRODUCT((_xlpm.v&gt;0)*(_xlpm.pa="Plan")*_xlpm.v*_xlpm.w))</f>
        <v>1.5685413611517287</v>
      </c>
      <c r="BA96" s="138" cm="1">
        <f t="array" ref="BA96">_xlfn.LET(_xlpm.v,BA2:BA85,_xlpm.pa,$E$2:$E$85,_xlpm.w,$D$2:$D$85,SUMPRODUCT((_xlpm.v&gt;0)*(_xlpm.pa="Plan")*_xlpm.v*_xlpm.w))</f>
        <v>2.2662249221733095</v>
      </c>
      <c r="BB96" s="138" cm="1">
        <f t="array" ref="BB96">_xlfn.LET(_xlpm.v,BB2:BB85,_xlpm.pa,$E$2:$E$85,_xlpm.w,$D$2:$D$85,SUMPRODUCT((_xlpm.v&gt;0)*(_xlpm.pa="Plan")*_xlpm.v*_xlpm.w))</f>
        <v>2.2915490455236349</v>
      </c>
      <c r="BC96" s="139" cm="1">
        <f t="array" ref="BC96">_xlfn.LET(_xlpm.v,BC2:BC85,_xlpm.pa,$E$2:$E$85,_xlpm.w,$D$2:$D$85,SUMPRODUCT((_xlpm.v&gt;0)*(_xlpm.pa="Plan")*_xlpm.v*_xlpm.w))</f>
        <v>2.8010103102332762</v>
      </c>
      <c r="BD96" s="181" cm="1">
        <f t="array" ref="BD96">_xlfn.LET(_xlpm.v,BD2:BD85,_xlpm.pa,$E$2:$E$85,_xlpm.w,$D$2:$D$85,SUMPRODUCT((_xlpm.v&gt;0)*(_xlpm.pa="Plan")*_xlpm.v*_xlpm.w))</f>
        <v>3.2552762706171965</v>
      </c>
      <c r="BE96" s="138" cm="1">
        <f t="array" ref="BE96">_xlfn.LET(_xlpm.v,BE2:BE85,_xlpm.pa,$E$2:$E$85,_xlpm.w,$D$2:$D$85,SUMPRODUCT((_xlpm.v&gt;0)*(_xlpm.pa="Plan")*_xlpm.v*_xlpm.w))</f>
        <v>3.2991641107005414</v>
      </c>
      <c r="BF96" s="138" cm="1">
        <f t="array" ref="BF96">_xlfn.LET(_xlpm.v,BF2:BF85,_xlpm.pa,$E$2:$E$85,_xlpm.w,$D$2:$D$85,SUMPRODUCT((_xlpm.v&gt;0)*(_xlpm.pa="Plan")*_xlpm.v*_xlpm.w))</f>
        <v>3.3629574775995592</v>
      </c>
      <c r="BG96" s="139" cm="1">
        <f t="array" ref="BG96">_xlfn.LET(_xlpm.v,BG2:BG85,_xlpm.pa,$E$2:$E$85,_xlpm.w,$D$2:$D$85,SUMPRODUCT((_xlpm.v&gt;0)*(_xlpm.pa="Plan")*_xlpm.v*_xlpm.w))</f>
        <v>3.5234804891792644</v>
      </c>
      <c r="BH96" s="181" cm="1">
        <f t="array" ref="BH96">_xlfn.LET(_xlpm.v,BH2:BH85,_xlpm.pa,$E$2:$E$85,_xlpm.w,$D$2:$D$85,SUMPRODUCT((_xlpm.v&gt;0)*(_xlpm.pa="Plan")*_xlpm.v*_xlpm.w))</f>
        <v>2.8466312257395328</v>
      </c>
      <c r="BI96" s="138" cm="1">
        <f t="array" ref="BI96">_xlfn.LET(_xlpm.v,BI2:BI85,_xlpm.pa,$E$2:$E$85,_xlpm.w,$D$2:$D$85,SUMPRODUCT((_xlpm.v&gt;0)*(_xlpm.pa="Plan")*_xlpm.v*_xlpm.w))</f>
        <v>2.8131073433688298</v>
      </c>
      <c r="BJ96" s="138" cm="1">
        <f t="array" ref="BJ96">_xlfn.LET(_xlpm.v,BJ2:BJ85,_xlpm.pa,$E$2:$E$85,_xlpm.w,$D$2:$D$85,SUMPRODUCT((_xlpm.v&gt;0)*(_xlpm.pa="Plan")*_xlpm.v*_xlpm.w))</f>
        <v>1.9219739099022819</v>
      </c>
      <c r="BK96" s="139" cm="1">
        <f t="array" ref="BK96">_xlfn.LET(_xlpm.v,BK2:BK85,_xlpm.pa,$E$2:$E$85,_xlpm.w,$D$2:$D$85,SUMPRODUCT((_xlpm.v&gt;0)*(_xlpm.pa="Plan")*_xlpm.v*_xlpm.w))</f>
        <v>1.8618040368500473</v>
      </c>
      <c r="BL96" s="181" cm="1">
        <f t="array" ref="BL96">_xlfn.LET(_xlpm.v,BL2:BL85,_xlpm.pa,$E$2:$E$85,_xlpm.w,$D$2:$D$85,SUMPRODUCT((_xlpm.v&gt;0)*(_xlpm.pa="Plan")*_xlpm.v*_xlpm.w))</f>
        <v>0.70000561972356845</v>
      </c>
      <c r="BM96" s="138" cm="1">
        <f t="array" ref="BM96">_xlfn.LET(_xlpm.v,BM2:BM85,_xlpm.pa,$E$2:$E$85,_xlpm.w,$D$2:$D$85,SUMPRODUCT((_xlpm.v&gt;0)*(_xlpm.pa="Plan")*_xlpm.v*_xlpm.w))</f>
        <v>0.70000561972356845</v>
      </c>
      <c r="BN96" s="138" cm="1">
        <f t="array" ref="BN96">_xlfn.LET(_xlpm.v,BN2:BN85,_xlpm.pa,$E$2:$E$85,_xlpm.w,$D$2:$D$85,SUMPRODUCT((_xlpm.v&gt;0)*(_xlpm.pa="Plan")*_xlpm.v*_xlpm.w))</f>
        <v>0.70000561972356845</v>
      </c>
      <c r="BO96" s="139" cm="1">
        <f t="array" ref="BO96">_xlfn.LET(_xlpm.v,BO2:BO85,_xlpm.pa,$E$2:$E$85,_xlpm.w,$D$2:$D$85,SUMPRODUCT((_xlpm.v&gt;0)*(_xlpm.pa="Plan")*_xlpm.v*_xlpm.w))</f>
        <v>0.70000561972356845</v>
      </c>
      <c r="BP96" s="181" cm="1">
        <f t="array" ref="BP96">_xlfn.LET(_xlpm.v,BP2:BP85,_xlpm.pa,$E$2:$E$85,_xlpm.w,$D$2:$D$85,SUMPRODUCT((_xlpm.v&gt;0)*(_xlpm.pa="Plan")*_xlpm.v*_xlpm.w))</f>
        <v>0.70000561972356845</v>
      </c>
      <c r="BQ96" s="138" cm="1">
        <f t="array" ref="BQ96">_xlfn.LET(_xlpm.v,BQ2:BQ85,_xlpm.pa,$E$2:$E$85,_xlpm.w,$D$2:$D$85,SUMPRODUCT((_xlpm.v&gt;0)*(_xlpm.pa="Plan")*_xlpm.v*_xlpm.w))</f>
        <v>0.70000561972356845</v>
      </c>
      <c r="BR96" s="138" cm="1">
        <f t="array" ref="BR96">_xlfn.LET(_xlpm.v,BR2:BR85,_xlpm.pa,$E$2:$E$85,_xlpm.w,$D$2:$D$85,SUMPRODUCT((_xlpm.v&gt;0)*(_xlpm.pa="Plan")*_xlpm.v*_xlpm.w))</f>
        <v>0</v>
      </c>
      <c r="BS96" s="139" cm="1">
        <f t="array" ref="BS96">_xlfn.LET(_xlpm.v,BS2:BS85,_xlpm.pa,$E$2:$E$85,_xlpm.w,$D$2:$D$85,SUMPRODUCT((_xlpm.v&gt;0)*(_xlpm.pa="Plan")*_xlpm.v*_xlpm.w))</f>
        <v>0</v>
      </c>
      <c r="BT96" s="181" cm="1">
        <f t="array" ref="BT96">_xlfn.LET(_xlpm.v,BT2:BT85,_xlpm.pa,$E$2:$E$85,_xlpm.w,$D$2:$D$85,SUMPRODUCT((_xlpm.v&gt;0)*(_xlpm.pa="Plan")*_xlpm.v*_xlpm.w))</f>
        <v>0</v>
      </c>
      <c r="BU96" s="138" cm="1">
        <f t="array" ref="BU96">_xlfn.LET(_xlpm.v,BU2:BU85,_xlpm.pa,$E$2:$E$85,_xlpm.w,$D$2:$D$85,SUMPRODUCT((_xlpm.v&gt;0)*(_xlpm.pa="Plan")*_xlpm.v*_xlpm.w))</f>
        <v>0</v>
      </c>
      <c r="BV96" s="138" cm="1">
        <f t="array" ref="BV96">_xlfn.LET(_xlpm.v,BV2:BV85,_xlpm.pa,$E$2:$E$85,_xlpm.w,$D$2:$D$85,SUMPRODUCT((_xlpm.v&gt;0)*(_xlpm.pa="Plan")*_xlpm.v*_xlpm.w))</f>
        <v>0</v>
      </c>
      <c r="BW96" s="139" cm="1">
        <f t="array" ref="BW96">_xlfn.LET(_xlpm.v,BW2:BW85,_xlpm.pa,$E$2:$E$85,_xlpm.w,$D$2:$D$85,SUMPRODUCT((_xlpm.v&gt;0)*(_xlpm.pa="Plan")*_xlpm.v*_xlpm.w))</f>
        <v>0</v>
      </c>
      <c r="BX96" s="181" cm="1">
        <f t="array" ref="BX96">_xlfn.LET(_xlpm.v,BX2:BX85,_xlpm.pa,$E$2:$E$85,_xlpm.w,$D$2:$D$85,SUMPRODUCT((_xlpm.v&gt;0)*(_xlpm.pa="Plan")*_xlpm.v*_xlpm.w))</f>
        <v>0</v>
      </c>
      <c r="BY96" s="138" cm="1">
        <f t="array" ref="BY96">_xlfn.LET(_xlpm.v,BY2:BY85,_xlpm.pa,$E$2:$E$85,_xlpm.w,$D$2:$D$85,SUMPRODUCT((_xlpm.v&gt;0)*(_xlpm.pa="Plan")*_xlpm.v*_xlpm.w))</f>
        <v>0</v>
      </c>
      <c r="BZ96" s="138" cm="1">
        <f t="array" ref="BZ96">_xlfn.LET(_xlpm.v,BZ2:BZ85,_xlpm.pa,$E$2:$E$85,_xlpm.w,$D$2:$D$85,SUMPRODUCT((_xlpm.v&gt;0)*(_xlpm.pa="Plan")*_xlpm.v*_xlpm.w))</f>
        <v>0</v>
      </c>
      <c r="CA96" s="139" cm="1">
        <f t="array" ref="CA96">_xlfn.LET(_xlpm.v,CA2:CA85,_xlpm.pa,$E$2:$E$85,_xlpm.w,$D$2:$D$85,SUMPRODUCT((_xlpm.v&gt;0)*(_xlpm.pa="Plan")*_xlpm.v*_xlpm.w))</f>
        <v>0</v>
      </c>
      <c r="CB96" s="181" cm="1">
        <f t="array" ref="CB96">_xlfn.LET(_xlpm.v,CB2:CB85,_xlpm.pa,$E$2:$E$85,_xlpm.w,$D$2:$D$85,SUMPRODUCT((_xlpm.v&gt;0)*(_xlpm.pa="Plan")*_xlpm.v*_xlpm.w))</f>
        <v>0</v>
      </c>
      <c r="CC96" s="138" cm="1">
        <f t="array" ref="CC96">_xlfn.LET(_xlpm.v,CC2:CC85,_xlpm.pa,$E$2:$E$85,_xlpm.w,$D$2:$D$85,SUMPRODUCT((_xlpm.v&gt;0)*(_xlpm.pa="Plan")*_xlpm.v*_xlpm.w))</f>
        <v>0</v>
      </c>
      <c r="CD96" s="138" cm="1">
        <f t="array" ref="CD96">_xlfn.LET(_xlpm.v,CD2:CD85,_xlpm.pa,$E$2:$E$85,_xlpm.w,$D$2:$D$85,SUMPRODUCT((_xlpm.v&gt;0)*(_xlpm.pa="Plan")*_xlpm.v*_xlpm.w))</f>
        <v>0</v>
      </c>
      <c r="CE96" s="223" cm="1">
        <f t="array" ref="CE96">_xlfn.LET(_xlpm.v,CE2:CE85,_xlpm.pa,$E$2:$E$85,_xlpm.w,$D$2:$D$85,SUMPRODUCT((_xlpm.v&gt;0)*(_xlpm.pa="Plan")*_xlpm.v*_xlpm.w))</f>
        <v>0</v>
      </c>
      <c r="CF96" s="243"/>
    </row>
    <row r="97" spans="1:84">
      <c r="A97" s="180"/>
      <c r="B97" s="144"/>
      <c r="C97" s="121"/>
      <c r="D97" s="115"/>
      <c r="E97" s="116" t="s">
        <v>11</v>
      </c>
      <c r="F97" s="117"/>
      <c r="G97" s="239"/>
      <c r="H97" s="222" cm="1">
        <f t="array" ref="H97">_xlfn.LET(_xlpm.v,H2:H85,_xlpm.ac,$E$2:$E$85,_xlpm.w,$D$2:$D$85,SUMPRODUCT((_xlpm.v&gt;0)*(_xlpm.ac="Actual")*_xlpm.v*_xlpm.w))</f>
        <v>0.31844889704400736</v>
      </c>
      <c r="I97" s="119" cm="1">
        <f t="array" ref="I97">_xlfn.LET(_xlpm.v,I2:I85,_xlpm.ac,$E$2:$E$85,_xlpm.w,$D$2:$D$85,SUMPRODUCT((_xlpm.v&gt;0)*(_xlpm.ac="Actual")*_xlpm.v*_xlpm.w))</f>
        <v>0.31844889704400736</v>
      </c>
      <c r="J97" s="119" cm="1">
        <f t="array" ref="J97">_xlfn.LET(_xlpm.v,J2:J85,_xlpm.ac,$E$2:$E$85,_xlpm.w,$D$2:$D$85,SUMPRODUCT((_xlpm.v&gt;0)*(_xlpm.ac="Actual")*_xlpm.v*_xlpm.w))</f>
        <v>0.31844889704400736</v>
      </c>
      <c r="K97" s="120" cm="1">
        <f t="array" ref="K97">_xlfn.LET(_xlpm.v,K2:K85,_xlpm.ac,$E$2:$E$85,_xlpm.w,$D$2:$D$85,SUMPRODUCT((_xlpm.v&gt;0)*(_xlpm.ac="Actual")*_xlpm.v*_xlpm.w))</f>
        <v>0.31844889704400736</v>
      </c>
      <c r="L97" s="122" cm="1">
        <f t="array" ref="L97">_xlfn.LET(_xlpm.v,L2:L85,_xlpm.ac,$E$2:$E$85,_xlpm.w,$D$2:$D$85,SUMPRODUCT((_xlpm.v&gt;0)*(_xlpm.ac="Actual")*_xlpm.v*_xlpm.w))</f>
        <v>0.31844889704400736</v>
      </c>
      <c r="M97" s="119" cm="1">
        <f t="array" ref="M97">_xlfn.LET(_xlpm.v,M2:M85,_xlpm.ac,$E$2:$E$85,_xlpm.w,$D$2:$D$85,SUMPRODUCT((_xlpm.v&gt;0)*(_xlpm.ac="Actual")*_xlpm.v*_xlpm.w))</f>
        <v>0.31844889704400736</v>
      </c>
      <c r="N97" s="119" cm="1">
        <f t="array" ref="N97">_xlfn.LET(_xlpm.v,N2:N85,_xlpm.ac,$E$2:$E$85,_xlpm.w,$D$2:$D$85,SUMPRODUCT((_xlpm.v&gt;0)*(_xlpm.ac="Actual")*_xlpm.v*_xlpm.w))</f>
        <v>0.10614963234800245</v>
      </c>
      <c r="O97" s="120" cm="1">
        <f t="array" ref="O97">_xlfn.LET(_xlpm.v,O2:O85,_xlpm.ac,$E$2:$E$85,_xlpm.w,$D$2:$D$85,SUMPRODUCT((_xlpm.v&gt;0)*(_xlpm.ac="Actual")*_xlpm.v*_xlpm.w))</f>
        <v>0.10614963234800245</v>
      </c>
      <c r="P97" s="123" cm="1">
        <f t="array" ref="P97">_xlfn.LET(_xlpm.v,P2:P85,_xlpm.ac,$E$2:$E$85,_xlpm.w,$D$2:$D$85,SUMPRODUCT((_xlpm.v&gt;0)*(_xlpm.ac="Actual")*_xlpm.v*_xlpm.w))</f>
        <v>0.20947990321695231</v>
      </c>
      <c r="Q97" s="118" cm="1">
        <f t="array" ref="Q97">_xlfn.LET(_xlpm.v,Q2:Q85,_xlpm.ac,$E$2:$E$85,_xlpm.w,$D$2:$D$85,SUMPRODUCT((_xlpm.v&gt;0)*(_xlpm.ac="Actual")*_xlpm.v*_xlpm.w))</f>
        <v>0.65257003217724963</v>
      </c>
      <c r="R97" s="119" cm="1">
        <f t="array" ref="R97">_xlfn.LET(_xlpm.v,R2:R85,_xlpm.ac,$E$2:$E$85,_xlpm.w,$D$2:$D$85,SUMPRODUCT((_xlpm.v&gt;0)*(_xlpm.ac="Actual")*_xlpm.v*_xlpm.w))</f>
        <v>1.1838986664765354</v>
      </c>
      <c r="S97" s="120" cm="1">
        <f t="array" ref="S97">_xlfn.LET(_xlpm.v,S2:S85,_xlpm.ac,$E$2:$E$85,_xlpm.w,$D$2:$D$85,SUMPRODUCT((_xlpm.v&gt;0)*(_xlpm.ac="Actual")*_xlpm.v*_xlpm.w))</f>
        <v>1.2588539559580418</v>
      </c>
      <c r="T97" s="122" cm="1">
        <f t="array" ref="T97">_xlfn.LET(_xlpm.v,T2:T85,_xlpm.ac,$E$2:$E$85,_xlpm.w,$D$2:$D$85,SUMPRODUCT((_xlpm.v&gt;0)*(_xlpm.ac="Actual")*_xlpm.v*_xlpm.w))</f>
        <v>0.96852080935878926</v>
      </c>
      <c r="U97" s="184" cm="1">
        <f t="array" ref="U97">_xlfn.LET(_xlpm.v,U2:U85,_xlpm.ac,$E$2:$E$85,_xlpm.w,$D$2:$D$85,SUMPRODUCT((_xlpm.v&gt;0)*(_xlpm.ac="Actual")*_xlpm.v*_xlpm.w))</f>
        <v>2.5771025223281399</v>
      </c>
      <c r="V97" s="119" cm="1">
        <f t="array" ref="V97">_xlfn.LET(_xlpm.v,V2:V85,_xlpm.ac,$E$2:$E$85,_xlpm.w,$D$2:$D$85,SUMPRODUCT((_xlpm.v&gt;0)*(_xlpm.ac="Actual")*_xlpm.v*_xlpm.w))</f>
        <v>2.6282892777485363</v>
      </c>
      <c r="W97" s="120" cm="1">
        <f t="array" ref="W97">_xlfn.LET(_xlpm.v,W2:W85,_xlpm.ac,$E$2:$E$85,_xlpm.w,$D$2:$D$85,SUMPRODUCT((_xlpm.v&gt;0)*(_xlpm.ac="Actual")*_xlpm.v*_xlpm.w))</f>
        <v>1.9354219221732207</v>
      </c>
      <c r="X97" s="122" cm="1">
        <f t="array" ref="X97">_xlfn.LET(_xlpm.v,X2:X85,_xlpm.ac,$E$2:$E$85,_xlpm.w,$D$2:$D$85,SUMPRODUCT((_xlpm.v&gt;0)*(_xlpm.ac="Actual")*_xlpm.v*_xlpm.w))</f>
        <v>2.5771025223281399</v>
      </c>
      <c r="Y97" s="184" cm="1">
        <f t="array" ref="Y97">_xlfn.LET(_xlpm.v,Y2:Y85,_xlpm.ac,$E$2:$E$85,_xlpm.w,$D$2:$D$85,SUMPRODUCT((_xlpm.v&gt;0)*(_xlpm.ac="Actual")*_xlpm.v*_xlpm.w))</f>
        <v>1.8873483517438348</v>
      </c>
      <c r="Z97" s="119" cm="1">
        <f t="array" ref="Z97">_xlfn.LET(_xlpm.v,Z2:Z85,_xlpm.ac,$E$2:$E$85,_xlpm.w,$D$2:$D$85,SUMPRODUCT((_xlpm.v&gt;0)*(_xlpm.ac="Actual")*_xlpm.v*_xlpm.w))</f>
        <v>2.8423758544031505</v>
      </c>
      <c r="AA97" s="182" cm="1">
        <f t="array" ref="AA97">_xlfn.LET(_xlpm.v,AA2:AA85,_xlpm.ac,$E$2:$E$85,_xlpm.w,$D$2:$D$85,SUMPRODUCT((_xlpm.v&gt;0)*(_xlpm.ac="Actual")*_xlpm.v*_xlpm.w))</f>
        <v>0</v>
      </c>
      <c r="AB97" s="122" cm="1">
        <f t="array" ref="AB97">_xlfn.LET(_xlpm.v,AB2:AB85,_xlpm.ac,$E$2:$E$85,_xlpm.w,$D$2:$D$85,SUMPRODUCT((_xlpm.v&gt;0)*(_xlpm.ac="Actual")*_xlpm.v*_xlpm.w))</f>
        <v>0.26591504157008949</v>
      </c>
      <c r="AC97" s="184" cm="1">
        <f t="array" ref="AC97">_xlfn.LET(_xlpm.v,AC2:AC85,_xlpm.ac,$E$2:$E$85,_xlpm.w,$D$2:$D$85,SUMPRODUCT((_xlpm.v&gt;0)*(_xlpm.ac="Actual")*_xlpm.v*_xlpm.w))</f>
        <v>0.3792892034402312</v>
      </c>
      <c r="AD97" s="119" cm="1">
        <f t="array" ref="AD97">_xlfn.LET(_xlpm.v,AD2:AD85,_xlpm.ac,$E$2:$E$85,_xlpm.w,$D$2:$D$85,SUMPRODUCT((_xlpm.v&gt;0)*(_xlpm.ac="Actual")*_xlpm.v*_xlpm.w))</f>
        <v>1.0917828251485884</v>
      </c>
      <c r="AE97" s="120" cm="1">
        <f t="array" ref="AE97">_xlfn.LET(_xlpm.v,AE2:AE85,_xlpm.ac,$E$2:$E$85,_xlpm.w,$D$2:$D$85,SUMPRODUCT((_xlpm.v&gt;0)*(_xlpm.ac="Actual")*_xlpm.v*_xlpm.w))</f>
        <v>0.86453061624443761</v>
      </c>
      <c r="AF97" s="122" cm="1">
        <f t="array" ref="AF97">_xlfn.LET(_xlpm.v,AF2:AF85,_xlpm.ac,$E$2:$E$85,_xlpm.w,$D$2:$D$85,SUMPRODUCT((_xlpm.v&gt;0)*(_xlpm.ac="Actual")*_xlpm.v*_xlpm.w))</f>
        <v>0.69945881678365973</v>
      </c>
      <c r="AG97" s="119" cm="1">
        <f t="array" ref="AG97">_xlfn.LET(_xlpm.v,AG2:AG85,_xlpm.ac,$E$2:$E$85,_xlpm.w,$D$2:$D$85,SUMPRODUCT((_xlpm.v&gt;0)*(_xlpm.ac="Actual")*_xlpm.v*_xlpm.w))</f>
        <v>0.64907030039693014</v>
      </c>
      <c r="AH97" s="119" cm="1">
        <f t="array" ref="AH97">_xlfn.LET(_xlpm.v,AH2:AH85,_xlpm.ac,$E$2:$E$85,_xlpm.w,$D$2:$D$85,SUMPRODUCT((_xlpm.v&gt;0)*(_xlpm.ac="Actual")*_xlpm.v*_xlpm.w))</f>
        <v>0.64907030039693014</v>
      </c>
      <c r="AI97" s="120" cm="1">
        <f t="array" ref="AI97">_xlfn.LET(_xlpm.v,AI2:AI85,_xlpm.ac,$E$2:$E$85,_xlpm.w,$D$2:$D$85,SUMPRODUCT((_xlpm.v&gt;0)*(_xlpm.ac="Actual")*_xlpm.v*_xlpm.w))</f>
        <v>0.9374951484167191</v>
      </c>
      <c r="AJ97" s="122" cm="1">
        <f t="array" ref="AJ97">_xlfn.LET(_xlpm.v,AJ2:AJ85,_xlpm.ac,$E$2:$E$85,_xlpm.w,$D$2:$D$85,SUMPRODUCT((_xlpm.v&gt;0)*(_xlpm.ac="Actual")*_xlpm.v*_xlpm.w))</f>
        <v>1.088660697576908</v>
      </c>
      <c r="AK97" s="119" cm="1">
        <f t="array" ref="AK97">_xlfn.LET(_xlpm.v,AK2:AK85,_xlpm.ac,$E$2:$E$85,_xlpm.w,$D$2:$D$85,SUMPRODUCT((_xlpm.v&gt;0)*(_xlpm.ac="Actual")*_xlpm.v*_xlpm.w))</f>
        <v>0.69945881678365973</v>
      </c>
      <c r="AL97" s="119" cm="1">
        <f t="array" ref="AL97">_xlfn.LET(_xlpm.v,AL2:AL85,_xlpm.ac,$E$2:$E$85,_xlpm.w,$D$2:$D$85,SUMPRODUCT((_xlpm.v&gt;0)*(_xlpm.ac="Actual")*_xlpm.v*_xlpm.w))</f>
        <v>0.54829326762347086</v>
      </c>
      <c r="AM97" s="120" cm="1">
        <f t="array" ref="AM97">_xlfn.LET(_xlpm.v,AM2:AM85,_xlpm.ac,$E$2:$E$85,_xlpm.w,$D$2:$D$85,SUMPRODUCT((_xlpm.v&gt;0)*(_xlpm.ac="Actual")*_xlpm.v*_xlpm.w))</f>
        <v>0.54829326762347086</v>
      </c>
      <c r="AN97" s="122" cm="1">
        <f t="array" ref="AN97">_xlfn.LET(_xlpm.v,AN2:AN85,_xlpm.ac,$E$2:$E$85,_xlpm.w,$D$2:$D$85,SUMPRODUCT((_xlpm.v&gt;0)*(_xlpm.ac="Actual")*_xlpm.v*_xlpm.w))</f>
        <v>0.20947990321695231</v>
      </c>
      <c r="AO97" s="183" cm="1">
        <f t="array" ref="AO97">_xlfn.LET(_xlpm.v,AO2:AO85,_xlpm.ac,$E$2:$E$85,_xlpm.w,$D$2:$D$85,SUMPRODUCT((_xlpm.v&gt;0)*(_xlpm.ac="Actual")*_xlpm.v*_xlpm.w))</f>
        <v>0</v>
      </c>
      <c r="AP97" s="119" cm="1">
        <f t="array" ref="AP97">_xlfn.LET(_xlpm.v,AP2:AP85,_xlpm.ac,$E$2:$E$85,_xlpm.w,$D$2:$D$85,SUMPRODUCT((_xlpm.v&gt;0)*(_xlpm.ac="Actual")*_xlpm.v*_xlpm.w))</f>
        <v>0.20947990321695231</v>
      </c>
      <c r="AQ97" s="120" cm="1">
        <f t="array" ref="AQ97">_xlfn.LET(_xlpm.v,AQ2:AQ85,_xlpm.ac,$E$2:$E$85,_xlpm.w,$D$2:$D$85,SUMPRODUCT((_xlpm.v&gt;0)*(_xlpm.ac="Actual")*_xlpm.v*_xlpm.w))</f>
        <v>0.30564151519243099</v>
      </c>
      <c r="AR97" s="122" cm="1">
        <f t="array" ref="AR97">_xlfn.LET(_xlpm.v,AR2:AR85,_xlpm.ac,$E$2:$E$85,_xlpm.w,$D$2:$D$85,SUMPRODUCT((_xlpm.v&gt;0)*(_xlpm.ac="Actual")*_xlpm.v*_xlpm.w))</f>
        <v>0.22128383374318522</v>
      </c>
      <c r="AS97" s="119" cm="1">
        <f t="array" ref="AS97">_xlfn.LET(_xlpm.v,AS2:AS85,_xlpm.ac,$E$2:$E$85,_xlpm.w,$D$2:$D$85,SUMPRODUCT((_xlpm.v&gt;0)*(_xlpm.ac="Actual")*_xlpm.v*_xlpm.w))</f>
        <v>0.22128383374318522</v>
      </c>
      <c r="AT97" s="119" cm="1">
        <f t="array" ref="AT97">_xlfn.LET(_xlpm.v,AT2:AT85,_xlpm.ac,$E$2:$E$85,_xlpm.w,$D$2:$D$85,SUMPRODUCT((_xlpm.v&gt;0)*(_xlpm.ac="Actual")*_xlpm.v*_xlpm.w))</f>
        <v>0.29996151626857687</v>
      </c>
      <c r="AU97" s="120" cm="1">
        <f t="array" ref="AU97">_xlfn.LET(_xlpm.v,AU2:AU85,_xlpm.ac,$E$2:$E$85,_xlpm.w,$D$2:$D$85,SUMPRODUCT((_xlpm.v&gt;0)*(_xlpm.ac="Actual")*_xlpm.v*_xlpm.w))</f>
        <v>0.3961231282440556</v>
      </c>
      <c r="AV97" s="122" cm="1">
        <f t="array" ref="AV97">_xlfn.LET(_xlpm.v,AV2:AV85,_xlpm.ac,$E$2:$E$85,_xlpm.w,$D$2:$D$85,SUMPRODUCT((_xlpm.v&gt;0)*(_xlpm.ac="Actual")*_xlpm.v*_xlpm.w))</f>
        <v>0.20947990321695231</v>
      </c>
      <c r="AW97" s="119" cm="1">
        <f t="array" ref="AW97">_xlfn.LET(_xlpm.v,AW2:AW85,_xlpm.ac,$E$2:$E$85,_xlpm.w,$D$2:$D$85,SUMPRODUCT((_xlpm.v&gt;0)*(_xlpm.ac="Actual")*_xlpm.v*_xlpm.w))</f>
        <v>0.20947990321695231</v>
      </c>
      <c r="AX97" s="119" cm="1">
        <f t="array" ref="AX97">_xlfn.LET(_xlpm.v,AX2:AX85,_xlpm.ac,$E$2:$E$85,_xlpm.w,$D$2:$D$85,SUMPRODUCT((_xlpm.v&gt;0)*(_xlpm.ac="Actual")*_xlpm.v*_xlpm.w))</f>
        <v>0.20947990321695231</v>
      </c>
      <c r="AY97" s="120" cm="1">
        <f t="array" ref="AY97">_xlfn.LET(_xlpm.v,AY2:AY85,_xlpm.ac,$E$2:$E$85,_xlpm.w,$D$2:$D$85,SUMPRODUCT((_xlpm.v&gt;0)*(_xlpm.ac="Actual")*_xlpm.v*_xlpm.w))</f>
        <v>0.20947990321695231</v>
      </c>
      <c r="AZ97" s="122" cm="1">
        <f t="array" ref="AZ97">_xlfn.LET(_xlpm.v,AZ2:AZ85,_xlpm.ac,$E$2:$E$85,_xlpm.w,$D$2:$D$85,SUMPRODUCT((_xlpm.v&gt;0)*(_xlpm.ac="Actual")*_xlpm.v*_xlpm.w))</f>
        <v>0.20947990321695231</v>
      </c>
      <c r="BA97" s="119" cm="1">
        <f t="array" ref="BA97">_xlfn.LET(_xlpm.v,BA2:BA85,_xlpm.ac,$E$2:$E$85,_xlpm.w,$D$2:$D$85,SUMPRODUCT((_xlpm.v&gt;0)*(_xlpm.ac="Actual")*_xlpm.v*_xlpm.w))</f>
        <v>0.66110848469954919</v>
      </c>
      <c r="BB97" s="119" cm="1">
        <f t="array" ref="BB97">_xlfn.LET(_xlpm.v,BB2:BB85,_xlpm.ac,$E$2:$E$85,_xlpm.w,$D$2:$D$85,SUMPRODUCT((_xlpm.v&gt;0)*(_xlpm.ac="Actual")*_xlpm.v*_xlpm.w))</f>
        <v>1.0799843954467214</v>
      </c>
      <c r="BC97" s="120" cm="1">
        <f t="array" ref="BC97">_xlfn.LET(_xlpm.v,BC2:BC85,_xlpm.ac,$E$2:$E$85,_xlpm.w,$D$2:$D$85,SUMPRODUCT((_xlpm.v&gt;0)*(_xlpm.ac="Actual")*_xlpm.v*_xlpm.w))</f>
        <v>0.9433763481261721</v>
      </c>
      <c r="BD97" s="122" cm="1">
        <f t="array" ref="BD97">_xlfn.LET(_xlpm.v,BD2:BD85,_xlpm.ac,$E$2:$E$85,_xlpm.w,$D$2:$D$85,SUMPRODUCT((_xlpm.v&gt;0)*(_xlpm.ac="Actual")*_xlpm.v*_xlpm.w))</f>
        <v>1.1014463516450812</v>
      </c>
      <c r="BE97" s="119" cm="1">
        <f t="array" ref="BE97">_xlfn.LET(_xlpm.v,BE2:BE85,_xlpm.ac,$E$2:$E$85,_xlpm.w,$D$2:$D$85,SUMPRODUCT((_xlpm.v&gt;0)*(_xlpm.ac="Actual")*_xlpm.v*_xlpm.w))</f>
        <v>0.58207348294009464</v>
      </c>
      <c r="BF97" s="119" cm="1">
        <f t="array" ref="BF97">_xlfn.LET(_xlpm.v,BF2:BF85,_xlpm.ac,$E$2:$E$85,_xlpm.w,$D$2:$D$85,SUMPRODUCT((_xlpm.v&gt;0)*(_xlpm.ac="Actual")*_xlpm.v*_xlpm.w))</f>
        <v>0.44564537121421</v>
      </c>
      <c r="BG97" s="120" cm="1">
        <f t="array" ref="BG97">_xlfn.LET(_xlpm.v,BG2:BG85,_xlpm.ac,$E$2:$E$85,_xlpm.w,$D$2:$D$85,SUMPRODUCT((_xlpm.v&gt;0)*(_xlpm.ac="Actual")*_xlpm.v*_xlpm.w))</f>
        <v>1.7626334301289512</v>
      </c>
      <c r="BH97" s="122" cm="1">
        <f t="array" ref="BH97">_xlfn.LET(_xlpm.v,BH2:BH85,_xlpm.ac,$E$2:$E$85,_xlpm.w,$D$2:$D$85,SUMPRODUCT((_xlpm.v&gt;0)*(_xlpm.ac="Actual")*_xlpm.v*_xlpm.w))</f>
        <v>1.648558696978782</v>
      </c>
      <c r="BI97" s="119" cm="1">
        <f t="array" ref="BI97">_xlfn.LET(_xlpm.v,BI2:BI85,_xlpm.ac,$E$2:$E$85,_xlpm.w,$D$2:$D$85,SUMPRODUCT((_xlpm.v&gt;0)*(_xlpm.ac="Actual")*_xlpm.v*_xlpm.w))</f>
        <v>1.647198140847637</v>
      </c>
      <c r="BJ97" s="119" cm="1">
        <f t="array" ref="BJ97">_xlfn.LET(_xlpm.v,BJ2:BJ85,_xlpm.ac,$E$2:$E$85,_xlpm.w,$D$2:$D$85,SUMPRODUCT((_xlpm.v&gt;0)*(_xlpm.ac="Actual")*_xlpm.v*_xlpm.w))</f>
        <v>1.793195133526271</v>
      </c>
      <c r="BK97" s="120" cm="1">
        <f t="array" ref="BK97">_xlfn.LET(_xlpm.v,BK2:BK85,_xlpm.ac,$E$2:$E$85,_xlpm.w,$D$2:$D$85,SUMPRODUCT((_xlpm.v&gt;0)*(_xlpm.ac="Actual")*_xlpm.v*_xlpm.w))</f>
        <v>0.85264504465724555</v>
      </c>
      <c r="BL97" s="122" cm="1">
        <f t="array" ref="BL97">_xlfn.LET(_xlpm.v,BL2:BL85,_xlpm.ac,$E$2:$E$85,_xlpm.w,$D$2:$D$85,SUMPRODUCT((_xlpm.v&gt;0)*(_xlpm.ac="Actual")*_xlpm.v*_xlpm.w))</f>
        <v>0.89558779151844758</v>
      </c>
      <c r="BM97" s="119" cm="1">
        <f t="array" ref="BM97">_xlfn.LET(_xlpm.v,BM2:BM85,_xlpm.ac,$E$2:$E$85,_xlpm.w,$D$2:$D$85,SUMPRODUCT((_xlpm.v&gt;0)*(_xlpm.ac="Actual")*_xlpm.v*_xlpm.w))</f>
        <v>0.39039872740856185</v>
      </c>
      <c r="BN97" s="119" cm="1">
        <f t="array" ref="BN97">_xlfn.LET(_xlpm.v,BN2:BN85,_xlpm.ac,$E$2:$E$85,_xlpm.w,$D$2:$D$85,SUMPRODUCT((_xlpm.v&gt;0)*(_xlpm.ac="Actual")*_xlpm.v*_xlpm.w))</f>
        <v>0.78238784547159623</v>
      </c>
      <c r="BO97" s="120" cm="1">
        <f t="array" ref="BO97">_xlfn.LET(_xlpm.v,BO2:BO85,_xlpm.ac,$E$2:$E$85,_xlpm.w,$D$2:$D$85,SUMPRODUCT((_xlpm.v&gt;0)*(_xlpm.ac="Actual")*_xlpm.v*_xlpm.w))</f>
        <v>0.46346389099416874</v>
      </c>
      <c r="BP97" s="122" cm="1">
        <f t="array" ref="BP97">_xlfn.LET(_xlpm.v,BP2:BP85,_xlpm.ac,$E$2:$E$85,_xlpm.w,$D$2:$D$85,SUMPRODUCT((_xlpm.v&gt;0)*(_xlpm.ac="Actual")*_xlpm.v*_xlpm.w))</f>
        <v>0.43308091959510758</v>
      </c>
      <c r="BQ97" s="119" cm="1">
        <f t="array" ref="BQ97">_xlfn.LET(_xlpm.v,BQ2:BQ85,_xlpm.ac,$E$2:$E$85,_xlpm.w,$D$2:$D$85,SUMPRODUCT((_xlpm.v&gt;0)*(_xlpm.ac="Actual")*_xlpm.v*_xlpm.w))</f>
        <v>0.6224022045305817</v>
      </c>
      <c r="BR97" s="119" cm="1">
        <f t="array" ref="BR97">_xlfn.LET(_xlpm.v,BR2:BR85,_xlpm.ac,$E$2:$E$85,_xlpm.w,$D$2:$D$85,SUMPRODUCT((_xlpm.v&gt;0)*(_xlpm.ac="Actual")*_xlpm.v*_xlpm.w))</f>
        <v>0.33056776532095883</v>
      </c>
      <c r="BS97" s="120" cm="1">
        <f t="array" ref="BS97">_xlfn.LET(_xlpm.v,BS2:BS85,_xlpm.ac,$E$2:$E$85,_xlpm.w,$D$2:$D$85,SUMPRODUCT((_xlpm.v&gt;0)*(_xlpm.ac="Actual")*_xlpm.v*_xlpm.w))</f>
        <v>0</v>
      </c>
      <c r="BT97" s="122"/>
      <c r="BU97" s="119"/>
      <c r="BV97" s="119"/>
      <c r="BW97" s="120"/>
      <c r="BX97" s="122"/>
      <c r="BY97" s="119"/>
      <c r="BZ97" s="119"/>
      <c r="CA97" s="120"/>
      <c r="CB97" s="122"/>
      <c r="CC97" s="119"/>
      <c r="CD97" s="119"/>
      <c r="CE97" s="225"/>
      <c r="CF97" s="244"/>
    </row>
    <row r="98" spans="1:84">
      <c r="A98" s="180"/>
      <c r="B98" s="144" t="s">
        <v>46</v>
      </c>
      <c r="C98" s="134"/>
      <c r="D98" s="135"/>
      <c r="E98" s="136" t="s">
        <v>10</v>
      </c>
      <c r="F98" s="137"/>
      <c r="G98" s="238"/>
      <c r="H98" s="222">
        <f>H96</f>
        <v>0.26537408087000613</v>
      </c>
      <c r="I98" s="138">
        <f>I96+H98</f>
        <v>0.53074816174001227</v>
      </c>
      <c r="J98" s="138">
        <f t="shared" ref="J98:BU98" si="48">J96+I98</f>
        <v>0.7961222426100184</v>
      </c>
      <c r="K98" s="139">
        <f t="shared" si="48"/>
        <v>1.0614963234800245</v>
      </c>
      <c r="L98" s="138">
        <f t="shared" si="48"/>
        <v>1.3268704043500308</v>
      </c>
      <c r="M98" s="138">
        <f t="shared" si="48"/>
        <v>1.592244485220037</v>
      </c>
      <c r="N98" s="138">
        <f t="shared" si="48"/>
        <v>1.8576185660900433</v>
      </c>
      <c r="O98" s="139">
        <f t="shared" si="48"/>
        <v>2.1229926469600495</v>
      </c>
      <c r="P98" s="138">
        <f t="shared" si="48"/>
        <v>2.3324725501770018</v>
      </c>
      <c r="Q98" s="138">
        <f t="shared" si="48"/>
        <v>3.7279538692405745</v>
      </c>
      <c r="R98" s="138">
        <f t="shared" si="48"/>
        <v>5.1234351883041471</v>
      </c>
      <c r="S98" s="139">
        <f t="shared" si="48"/>
        <v>6.5189165073677202</v>
      </c>
      <c r="T98" s="181">
        <f t="shared" si="48"/>
        <v>7.9143978264312924</v>
      </c>
      <c r="U98" s="138">
        <f t="shared" si="48"/>
        <v>9.3098791454948646</v>
      </c>
      <c r="V98" s="138">
        <f t="shared" si="48"/>
        <v>12.091095175709068</v>
      </c>
      <c r="W98" s="139">
        <f t="shared" si="48"/>
        <v>14.872311205923271</v>
      </c>
      <c r="X98" s="181">
        <f t="shared" si="48"/>
        <v>17.653527236137474</v>
      </c>
      <c r="Y98" s="138">
        <f t="shared" si="48"/>
        <v>19.248741850505056</v>
      </c>
      <c r="Z98" s="138">
        <f t="shared" si="48"/>
        <v>20.84395646487264</v>
      </c>
      <c r="AA98" s="182">
        <f t="shared" si="48"/>
        <v>20.84395646487264</v>
      </c>
      <c r="AB98" s="181">
        <f t="shared" si="48"/>
        <v>21.473340671312339</v>
      </c>
      <c r="AC98" s="138">
        <f t="shared" si="48"/>
        <v>22.586743969761351</v>
      </c>
      <c r="AD98" s="138">
        <f t="shared" si="48"/>
        <v>23.700147268210362</v>
      </c>
      <c r="AE98" s="139">
        <f t="shared" si="48"/>
        <v>24.813550566659373</v>
      </c>
      <c r="AF98" s="181">
        <f t="shared" si="48"/>
        <v>25.926953865108384</v>
      </c>
      <c r="AG98" s="138">
        <f t="shared" si="48"/>
        <v>27.040357163557395</v>
      </c>
      <c r="AH98" s="138">
        <f t="shared" si="48"/>
        <v>27.733856158783659</v>
      </c>
      <c r="AI98" s="139">
        <f t="shared" si="48"/>
        <v>28.427355154009923</v>
      </c>
      <c r="AJ98" s="181">
        <f t="shared" si="48"/>
        <v>28.636835057226875</v>
      </c>
      <c r="AK98" s="138">
        <f t="shared" si="48"/>
        <v>28.846314960443827</v>
      </c>
      <c r="AL98" s="138">
        <f t="shared" si="48"/>
        <v>29.318449875487136</v>
      </c>
      <c r="AM98" s="139">
        <f t="shared" si="48"/>
        <v>29.790584790530446</v>
      </c>
      <c r="AN98" s="181">
        <f t="shared" si="48"/>
        <v>31.574217081766349</v>
      </c>
      <c r="AO98" s="183">
        <f t="shared" si="48"/>
        <v>31.574217081766349</v>
      </c>
      <c r="AP98" s="138">
        <f t="shared" si="48"/>
        <v>35.119940806477906</v>
      </c>
      <c r="AQ98" s="139">
        <f t="shared" si="48"/>
        <v>38.665664531189464</v>
      </c>
      <c r="AR98" s="181">
        <f t="shared" si="48"/>
        <v>42.223192186427255</v>
      </c>
      <c r="AS98" s="138">
        <f t="shared" si="48"/>
        <v>45.780719841665046</v>
      </c>
      <c r="AT98" s="138">
        <f t="shared" si="48"/>
        <v>49.939144243428188</v>
      </c>
      <c r="AU98" s="139">
        <f t="shared" si="48"/>
        <v>52.880984638367494</v>
      </c>
      <c r="AV98" s="181">
        <f t="shared" si="48"/>
        <v>56.543881305543984</v>
      </c>
      <c r="AW98" s="138">
        <f t="shared" si="48"/>
        <v>60.198141858302037</v>
      </c>
      <c r="AX98" s="138">
        <f t="shared" si="48"/>
        <v>62.093193818460705</v>
      </c>
      <c r="AY98" s="139">
        <f t="shared" si="48"/>
        <v>63.988245778619373</v>
      </c>
      <c r="AZ98" s="181">
        <f t="shared" si="48"/>
        <v>65.556787139771103</v>
      </c>
      <c r="BA98" s="138">
        <f t="shared" si="48"/>
        <v>67.823012061944411</v>
      </c>
      <c r="BB98" s="138">
        <f t="shared" si="48"/>
        <v>70.114561107468049</v>
      </c>
      <c r="BC98" s="139">
        <f t="shared" si="48"/>
        <v>72.915571417701329</v>
      </c>
      <c r="BD98" s="181">
        <f t="shared" si="48"/>
        <v>76.170847688318531</v>
      </c>
      <c r="BE98" s="138">
        <f t="shared" si="48"/>
        <v>79.470011799019076</v>
      </c>
      <c r="BF98" s="138">
        <f t="shared" si="48"/>
        <v>82.832969276618641</v>
      </c>
      <c r="BG98" s="139">
        <f t="shared" si="48"/>
        <v>86.356449765797905</v>
      </c>
      <c r="BH98" s="181">
        <f t="shared" si="48"/>
        <v>89.203080991537433</v>
      </c>
      <c r="BI98" s="138">
        <f t="shared" si="48"/>
        <v>92.016188334906261</v>
      </c>
      <c r="BJ98" s="138">
        <f t="shared" si="48"/>
        <v>93.938162244808538</v>
      </c>
      <c r="BK98" s="139">
        <f t="shared" si="48"/>
        <v>95.799966281658584</v>
      </c>
      <c r="BL98" s="181">
        <f t="shared" si="48"/>
        <v>96.499971901382153</v>
      </c>
      <c r="BM98" s="138">
        <f t="shared" si="48"/>
        <v>97.199977521105723</v>
      </c>
      <c r="BN98" s="138">
        <f t="shared" si="48"/>
        <v>97.899983140829292</v>
      </c>
      <c r="BO98" s="139">
        <f t="shared" si="48"/>
        <v>98.599988760552861</v>
      </c>
      <c r="BP98" s="181">
        <f t="shared" si="48"/>
        <v>99.299994380276431</v>
      </c>
      <c r="BQ98" s="138">
        <f t="shared" si="48"/>
        <v>100</v>
      </c>
      <c r="BR98" s="138">
        <f t="shared" si="48"/>
        <v>100</v>
      </c>
      <c r="BS98" s="139">
        <f t="shared" si="48"/>
        <v>100</v>
      </c>
      <c r="BT98" s="181">
        <f t="shared" si="48"/>
        <v>100</v>
      </c>
      <c r="BU98" s="138">
        <f t="shared" si="48"/>
        <v>100</v>
      </c>
      <c r="BV98" s="138">
        <f t="shared" ref="BV98:CE98" si="49">BV96+BU98</f>
        <v>100</v>
      </c>
      <c r="BW98" s="139">
        <f t="shared" si="49"/>
        <v>100</v>
      </c>
      <c r="BX98" s="181">
        <f t="shared" si="49"/>
        <v>100</v>
      </c>
      <c r="BY98" s="138">
        <f t="shared" si="49"/>
        <v>100</v>
      </c>
      <c r="BZ98" s="138">
        <f t="shared" si="49"/>
        <v>100</v>
      </c>
      <c r="CA98" s="139">
        <f t="shared" si="49"/>
        <v>100</v>
      </c>
      <c r="CB98" s="181">
        <f t="shared" si="49"/>
        <v>100</v>
      </c>
      <c r="CC98" s="138">
        <f t="shared" si="49"/>
        <v>100</v>
      </c>
      <c r="CD98" s="138">
        <f t="shared" si="49"/>
        <v>100</v>
      </c>
      <c r="CE98" s="223">
        <f t="shared" si="49"/>
        <v>100</v>
      </c>
      <c r="CF98" s="243"/>
    </row>
    <row r="99" spans="1:84">
      <c r="A99" s="180"/>
      <c r="B99" s="145" t="s">
        <v>47</v>
      </c>
      <c r="C99" s="121"/>
      <c r="D99" s="115"/>
      <c r="E99" s="116" t="s">
        <v>11</v>
      </c>
      <c r="F99" s="117"/>
      <c r="G99" s="239"/>
      <c r="H99" s="224">
        <f>H97</f>
        <v>0.31844889704400736</v>
      </c>
      <c r="I99" s="119">
        <f>I97+H99</f>
        <v>0.63689779408801472</v>
      </c>
      <c r="J99" s="119">
        <f t="shared" ref="J99:BS99" si="50">J97+I99</f>
        <v>0.95534669113202209</v>
      </c>
      <c r="K99" s="120">
        <f t="shared" si="50"/>
        <v>1.2737955881760294</v>
      </c>
      <c r="L99" s="122">
        <f t="shared" si="50"/>
        <v>1.5922444852200368</v>
      </c>
      <c r="M99" s="119">
        <f t="shared" si="50"/>
        <v>1.9106933822640442</v>
      </c>
      <c r="N99" s="119">
        <f t="shared" si="50"/>
        <v>2.0168430146120464</v>
      </c>
      <c r="O99" s="120">
        <f t="shared" si="50"/>
        <v>2.1229926469600491</v>
      </c>
      <c r="P99" s="123">
        <f t="shared" si="50"/>
        <v>2.3324725501770014</v>
      </c>
      <c r="Q99" s="118">
        <f t="shared" si="50"/>
        <v>2.985042582354251</v>
      </c>
      <c r="R99" s="119">
        <f t="shared" si="50"/>
        <v>4.1689412488307864</v>
      </c>
      <c r="S99" s="120">
        <f t="shared" si="50"/>
        <v>5.4277952047888283</v>
      </c>
      <c r="T99" s="122">
        <f t="shared" si="50"/>
        <v>6.3963160141476179</v>
      </c>
      <c r="U99" s="184">
        <f t="shared" si="50"/>
        <v>8.9734185364757586</v>
      </c>
      <c r="V99" s="119">
        <f t="shared" si="50"/>
        <v>11.601707814224294</v>
      </c>
      <c r="W99" s="120">
        <f t="shared" si="50"/>
        <v>13.537129736397516</v>
      </c>
      <c r="X99" s="122">
        <f t="shared" si="50"/>
        <v>16.114232258725657</v>
      </c>
      <c r="Y99" s="184">
        <f t="shared" si="50"/>
        <v>18.001580610469492</v>
      </c>
      <c r="Z99" s="119">
        <f t="shared" si="50"/>
        <v>20.843956464872644</v>
      </c>
      <c r="AA99" s="182">
        <f t="shared" si="50"/>
        <v>20.843956464872644</v>
      </c>
      <c r="AB99" s="122">
        <f t="shared" si="50"/>
        <v>21.109871506442733</v>
      </c>
      <c r="AC99" s="184">
        <f t="shared" si="50"/>
        <v>21.489160709882963</v>
      </c>
      <c r="AD99" s="119">
        <f t="shared" si="50"/>
        <v>22.580943535031551</v>
      </c>
      <c r="AE99" s="120">
        <f t="shared" si="50"/>
        <v>23.445474151275988</v>
      </c>
      <c r="AF99" s="122">
        <f t="shared" si="50"/>
        <v>24.144932968059649</v>
      </c>
      <c r="AG99" s="119">
        <f t="shared" si="50"/>
        <v>24.794003268456578</v>
      </c>
      <c r="AH99" s="119">
        <f t="shared" si="50"/>
        <v>25.443073568853507</v>
      </c>
      <c r="AI99" s="120">
        <f t="shared" si="50"/>
        <v>26.380568717270226</v>
      </c>
      <c r="AJ99" s="122">
        <f t="shared" si="50"/>
        <v>27.469229414847135</v>
      </c>
      <c r="AK99" s="119">
        <f t="shared" si="50"/>
        <v>28.168688231630796</v>
      </c>
      <c r="AL99" s="119">
        <f t="shared" si="50"/>
        <v>28.716981499254267</v>
      </c>
      <c r="AM99" s="120">
        <f t="shared" si="50"/>
        <v>29.265274766877738</v>
      </c>
      <c r="AN99" s="122">
        <f t="shared" si="50"/>
        <v>29.47475467009469</v>
      </c>
      <c r="AO99" s="183">
        <f t="shared" si="50"/>
        <v>29.47475467009469</v>
      </c>
      <c r="AP99" s="119">
        <f t="shared" si="50"/>
        <v>29.684234573311642</v>
      </c>
      <c r="AQ99" s="120">
        <f t="shared" si="50"/>
        <v>29.989876088504072</v>
      </c>
      <c r="AR99" s="122">
        <f t="shared" si="50"/>
        <v>30.211159922247258</v>
      </c>
      <c r="AS99" s="119">
        <f t="shared" si="50"/>
        <v>30.432443755990445</v>
      </c>
      <c r="AT99" s="119">
        <f t="shared" si="50"/>
        <v>30.732405272259022</v>
      </c>
      <c r="AU99" s="120">
        <f t="shared" si="50"/>
        <v>31.128528400503079</v>
      </c>
      <c r="AV99" s="122">
        <f t="shared" si="50"/>
        <v>31.338008303720031</v>
      </c>
      <c r="AW99" s="119">
        <f t="shared" si="50"/>
        <v>31.547488206936983</v>
      </c>
      <c r="AX99" s="119">
        <f t="shared" si="50"/>
        <v>31.756968110153935</v>
      </c>
      <c r="AY99" s="120">
        <f t="shared" si="50"/>
        <v>31.966448013370886</v>
      </c>
      <c r="AZ99" s="122">
        <f t="shared" si="50"/>
        <v>32.175927916587838</v>
      </c>
      <c r="BA99" s="119">
        <f t="shared" si="50"/>
        <v>32.837036401287385</v>
      </c>
      <c r="BB99" s="119">
        <f t="shared" si="50"/>
        <v>33.917020796734107</v>
      </c>
      <c r="BC99" s="120">
        <f t="shared" si="50"/>
        <v>34.860397144860279</v>
      </c>
      <c r="BD99" s="122">
        <f t="shared" si="50"/>
        <v>35.961843496505359</v>
      </c>
      <c r="BE99" s="119">
        <f t="shared" si="50"/>
        <v>36.543916979445456</v>
      </c>
      <c r="BF99" s="119">
        <f t="shared" si="50"/>
        <v>36.989562350659668</v>
      </c>
      <c r="BG99" s="120">
        <f t="shared" si="50"/>
        <v>38.752195780788618</v>
      </c>
      <c r="BH99" s="122">
        <f t="shared" si="50"/>
        <v>40.4007544777674</v>
      </c>
      <c r="BI99" s="119">
        <f t="shared" si="50"/>
        <v>42.047952618615035</v>
      </c>
      <c r="BJ99" s="119">
        <f t="shared" si="50"/>
        <v>43.841147752141303</v>
      </c>
      <c r="BK99" s="120">
        <f t="shared" si="50"/>
        <v>44.693792796798547</v>
      </c>
      <c r="BL99" s="122">
        <f t="shared" si="50"/>
        <v>45.589380588316992</v>
      </c>
      <c r="BM99" s="119">
        <f t="shared" si="50"/>
        <v>45.979779315725551</v>
      </c>
      <c r="BN99" s="119">
        <f t="shared" si="50"/>
        <v>46.762167161197148</v>
      </c>
      <c r="BO99" s="120">
        <f t="shared" si="50"/>
        <v>47.225631052191318</v>
      </c>
      <c r="BP99" s="122">
        <f t="shared" si="50"/>
        <v>47.658711971786424</v>
      </c>
      <c r="BQ99" s="119">
        <f t="shared" si="50"/>
        <v>48.281114176317004</v>
      </c>
      <c r="BR99" s="119">
        <f t="shared" si="50"/>
        <v>48.611681941637961</v>
      </c>
      <c r="BS99" s="120">
        <f t="shared" si="50"/>
        <v>48.611681941637961</v>
      </c>
      <c r="BT99" s="122"/>
      <c r="BU99" s="119"/>
      <c r="BV99" s="119"/>
      <c r="BW99" s="120"/>
      <c r="BX99" s="122"/>
      <c r="BY99" s="119"/>
      <c r="BZ99" s="119"/>
      <c r="CA99" s="120"/>
      <c r="CB99" s="122"/>
      <c r="CC99" s="119"/>
      <c r="CD99" s="119"/>
      <c r="CE99" s="225"/>
      <c r="CF99" s="244"/>
    </row>
    <row r="100" spans="1:84" s="106" customFormat="1">
      <c r="A100" s="104"/>
      <c r="B100" s="105"/>
      <c r="F100" s="107"/>
      <c r="G100" s="107"/>
      <c r="H100" s="229"/>
      <c r="I100" s="230"/>
      <c r="J100" s="230"/>
      <c r="K100" s="230"/>
      <c r="L100" s="230"/>
      <c r="M100" s="230"/>
      <c r="N100" s="230"/>
      <c r="O100" s="230"/>
      <c r="P100" s="230"/>
      <c r="Q100" s="230"/>
      <c r="R100" s="230"/>
      <c r="S100" s="230"/>
      <c r="T100" s="230"/>
      <c r="U100" s="230"/>
      <c r="V100" s="230"/>
      <c r="W100" s="230"/>
      <c r="X100" s="230"/>
      <c r="Y100" s="230"/>
      <c r="Z100" s="230"/>
      <c r="AA100" s="230"/>
      <c r="AB100" s="230"/>
      <c r="AC100" s="230"/>
      <c r="AD100" s="230"/>
      <c r="AE100" s="231"/>
      <c r="AF100" s="231"/>
      <c r="AG100" s="231"/>
      <c r="AH100" s="231"/>
      <c r="AI100" s="231"/>
      <c r="AJ100" s="231"/>
      <c r="AK100" s="231"/>
      <c r="AL100" s="231"/>
      <c r="AM100" s="231"/>
      <c r="AN100" s="231"/>
      <c r="AO100" s="231"/>
      <c r="AP100" s="231"/>
      <c r="AQ100" s="231"/>
      <c r="AR100" s="231"/>
      <c r="AS100" s="231"/>
      <c r="AT100" s="231"/>
      <c r="AU100" s="231"/>
      <c r="AV100" s="231"/>
      <c r="AW100" s="231"/>
      <c r="AX100" s="231"/>
      <c r="AY100" s="231"/>
      <c r="AZ100" s="231"/>
      <c r="BA100" s="231"/>
      <c r="BB100" s="231"/>
      <c r="BC100" s="231"/>
      <c r="BD100" s="231"/>
      <c r="BE100" s="231"/>
      <c r="BF100" s="231"/>
      <c r="BG100" s="231"/>
      <c r="BH100" s="231"/>
      <c r="BI100" s="231"/>
      <c r="BJ100" s="231"/>
      <c r="BK100" s="231"/>
      <c r="BL100" s="231"/>
      <c r="BM100" s="231"/>
      <c r="BN100" s="231"/>
      <c r="BO100" s="231"/>
      <c r="BP100" s="231"/>
      <c r="BQ100" s="231"/>
      <c r="BR100" s="231"/>
      <c r="BS100" s="231"/>
      <c r="BT100" s="231"/>
      <c r="BU100" s="231"/>
      <c r="BV100" s="231"/>
      <c r="BW100" s="231"/>
      <c r="BX100" s="231"/>
      <c r="BY100" s="231"/>
      <c r="BZ100" s="231"/>
      <c r="CA100" s="231"/>
      <c r="CB100" s="231"/>
      <c r="CC100" s="231"/>
      <c r="CD100" s="231"/>
      <c r="CE100" s="232"/>
      <c r="CF100" s="104"/>
    </row>
    <row r="101" spans="1:84" s="106" customFormat="1">
      <c r="A101" s="104"/>
      <c r="B101" s="105"/>
      <c r="F101" s="107"/>
      <c r="G101" s="107"/>
      <c r="H101" s="233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  <c r="Y101" s="231"/>
      <c r="Z101" s="231"/>
      <c r="AA101" s="231"/>
      <c r="AB101" s="231"/>
      <c r="AC101" s="231"/>
      <c r="AD101" s="231"/>
      <c r="AE101" s="231"/>
      <c r="AF101" s="231"/>
      <c r="AG101" s="231"/>
      <c r="AH101" s="231"/>
      <c r="AI101" s="231"/>
      <c r="AJ101" s="231"/>
      <c r="AK101" s="231"/>
      <c r="AL101" s="231"/>
      <c r="AM101" s="231"/>
      <c r="AN101" s="231"/>
      <c r="AO101" s="231"/>
      <c r="AP101" s="231"/>
      <c r="AQ101" s="231"/>
      <c r="AR101" s="231"/>
      <c r="AS101" s="231"/>
      <c r="AT101" s="231"/>
      <c r="AU101" s="231"/>
      <c r="AV101" s="231"/>
      <c r="AW101" s="231"/>
      <c r="AX101" s="231"/>
      <c r="AY101" s="231"/>
      <c r="AZ101" s="231"/>
      <c r="BA101" s="231"/>
      <c r="BB101" s="231"/>
      <c r="BC101" s="231"/>
      <c r="BD101" s="231"/>
      <c r="BE101" s="231"/>
      <c r="BF101" s="231"/>
      <c r="BG101" s="231"/>
      <c r="BH101" s="231"/>
      <c r="BI101" s="231"/>
      <c r="BJ101" s="231"/>
      <c r="BK101" s="231"/>
      <c r="BL101" s="231"/>
      <c r="BM101" s="231"/>
      <c r="BN101" s="231"/>
      <c r="BO101" s="231"/>
      <c r="BP101" s="231"/>
      <c r="BQ101" s="231"/>
      <c r="BR101" s="231"/>
      <c r="BS101" s="231"/>
      <c r="BT101" s="231"/>
      <c r="BU101" s="231"/>
      <c r="BV101" s="231"/>
      <c r="BW101" s="231"/>
      <c r="BX101" s="231"/>
      <c r="BY101" s="231"/>
      <c r="BZ101" s="231"/>
      <c r="CA101" s="231"/>
      <c r="CB101" s="231"/>
      <c r="CC101" s="231"/>
      <c r="CD101" s="231"/>
      <c r="CE101" s="232"/>
      <c r="CF101" s="104"/>
    </row>
    <row r="102" spans="1:84" s="106" customFormat="1" ht="15" customHeight="1">
      <c r="A102" s="104"/>
      <c r="B102" s="105"/>
      <c r="F102" s="107"/>
      <c r="G102" s="107"/>
      <c r="H102" s="234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  <c r="Y102" s="231"/>
      <c r="Z102" s="231"/>
      <c r="AA102" s="231"/>
      <c r="AB102" s="231"/>
      <c r="AC102" s="231"/>
      <c r="AD102" s="231"/>
      <c r="AE102" s="231"/>
      <c r="AF102" s="231"/>
      <c r="AG102" s="231"/>
      <c r="AH102" s="231"/>
      <c r="AI102" s="231"/>
      <c r="AJ102" s="231"/>
      <c r="AK102" s="231"/>
      <c r="AL102" s="231"/>
      <c r="AM102" s="231"/>
      <c r="AN102" s="231"/>
      <c r="AO102" s="231"/>
      <c r="AP102" s="231"/>
      <c r="AQ102" s="231"/>
      <c r="AR102" s="231"/>
      <c r="AS102" s="231"/>
      <c r="AT102" s="231"/>
      <c r="AU102" s="231"/>
      <c r="AV102" s="231"/>
      <c r="AW102" s="231"/>
      <c r="AX102" s="231"/>
      <c r="AY102" s="231"/>
      <c r="AZ102" s="231"/>
      <c r="BA102" s="231"/>
      <c r="BB102" s="231"/>
      <c r="BC102" s="231"/>
      <c r="BD102" s="231"/>
      <c r="BE102" s="231"/>
      <c r="BF102" s="231"/>
      <c r="BG102" s="231"/>
      <c r="BH102" s="231"/>
      <c r="BI102" s="231"/>
      <c r="BJ102" s="231"/>
      <c r="BK102" s="231"/>
      <c r="BL102" s="231"/>
      <c r="BM102" s="231"/>
      <c r="BN102" s="231"/>
      <c r="BO102" s="231"/>
      <c r="BP102" s="231"/>
      <c r="BQ102" s="231"/>
      <c r="BR102" s="231"/>
      <c r="BS102" s="231"/>
      <c r="BT102" s="231"/>
      <c r="BU102" s="231"/>
      <c r="BV102" s="231"/>
      <c r="BW102" s="231"/>
      <c r="BX102" s="231"/>
      <c r="BY102" s="231"/>
      <c r="BZ102" s="231"/>
      <c r="CA102" s="231"/>
      <c r="CB102" s="231"/>
      <c r="CC102" s="231"/>
      <c r="CD102" s="231"/>
      <c r="CE102" s="232"/>
      <c r="CF102" s="104"/>
    </row>
  </sheetData>
  <phoneticPr fontId="22" type="noConversion"/>
  <conditionalFormatting sqref="G2:G85">
    <cfRule type="cellIs" dxfId="98" priority="5" operator="greaterThan">
      <formula>100</formula>
    </cfRule>
  </conditionalFormatting>
  <conditionalFormatting sqref="CF2:CF85">
    <cfRule type="cellIs" dxfId="97" priority="3" operator="greaterThan">
      <formula>100</formula>
    </cfRule>
  </conditionalFormatting>
  <conditionalFormatting sqref="H2:CE99">
    <cfRule type="expression" dxfId="96" priority="2">
      <formula>AND(H2&gt;0,$E2="Plan")</formula>
    </cfRule>
  </conditionalFormatting>
  <conditionalFormatting sqref="H2:CE99">
    <cfRule type="expression" dxfId="95" priority="1">
      <formula>AND(H2&gt;0, $E2="Actual")</formula>
    </cfRule>
  </conditionalFormatting>
  <printOptions horizontalCentered="1"/>
  <pageMargins left="0.19685039370078741" right="0.19685039370078741" top="0.27559055118110237" bottom="0.19685039370078741" header="0" footer="0.19685039370078741"/>
  <pageSetup paperSize="66" scale="18" fitToHeight="0" orientation="landscape" r:id="rId1"/>
  <rowBreaks count="1" manualBreakCount="1">
    <brk id="59" max="73" man="1"/>
  </rowBreak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E1837-991A-44B5-90D7-33FA710A0FE5}">
  <dimension ref="A1:BX3"/>
  <sheetViews>
    <sheetView tabSelected="1" workbookViewId="0">
      <selection sqref="A1:A1048576"/>
    </sheetView>
  </sheetViews>
  <sheetFormatPr defaultRowHeight="23.25"/>
  <cols>
    <col min="1" max="76" width="10.42578125" bestFit="1" customWidth="1"/>
  </cols>
  <sheetData>
    <row r="1" spans="1:76">
      <c r="A1" s="209">
        <f>SCH!H1</f>
        <v>46060</v>
      </c>
      <c r="B1" s="209">
        <f>SCH!I1</f>
        <v>46067</v>
      </c>
      <c r="C1" s="209">
        <f>SCH!J1</f>
        <v>46074</v>
      </c>
      <c r="D1" s="209">
        <f>SCH!K1</f>
        <v>46081</v>
      </c>
      <c r="E1" s="209">
        <f>SCH!L1</f>
        <v>46088</v>
      </c>
      <c r="F1" s="209">
        <f>SCH!M1</f>
        <v>46095</v>
      </c>
      <c r="G1" s="209">
        <f>SCH!N1</f>
        <v>46102</v>
      </c>
      <c r="H1" s="209">
        <f>SCH!O1</f>
        <v>46109</v>
      </c>
      <c r="I1" s="209">
        <f>SCH!P1</f>
        <v>46116</v>
      </c>
      <c r="J1" s="209">
        <f>SCH!Q1</f>
        <v>46123</v>
      </c>
      <c r="K1" s="209">
        <f>SCH!R1</f>
        <v>46130</v>
      </c>
      <c r="L1" s="209">
        <f>SCH!S1</f>
        <v>46137</v>
      </c>
      <c r="M1" s="209">
        <f>SCH!T1</f>
        <v>46144</v>
      </c>
      <c r="N1" s="209">
        <f>SCH!U1</f>
        <v>46151</v>
      </c>
      <c r="O1" s="209">
        <f>SCH!V1</f>
        <v>46158</v>
      </c>
      <c r="P1" s="209">
        <f>SCH!W1</f>
        <v>46165</v>
      </c>
      <c r="Q1" s="209">
        <f>SCH!X1</f>
        <v>46172</v>
      </c>
      <c r="R1" s="209">
        <f>SCH!Y1</f>
        <v>46179</v>
      </c>
      <c r="S1" s="209">
        <f>SCH!Z1</f>
        <v>46186</v>
      </c>
      <c r="T1" s="209">
        <f>SCH!AA1</f>
        <v>46193</v>
      </c>
      <c r="U1" s="209">
        <f>SCH!AB1</f>
        <v>46200</v>
      </c>
      <c r="V1" s="209">
        <f>SCH!AC1</f>
        <v>46207</v>
      </c>
      <c r="W1" s="209">
        <f>SCH!AD1</f>
        <v>46214</v>
      </c>
      <c r="X1" s="209">
        <f>SCH!AE1</f>
        <v>46221</v>
      </c>
      <c r="Y1" s="209">
        <f>SCH!AF1</f>
        <v>46228</v>
      </c>
      <c r="Z1" s="209">
        <f>SCH!AG1</f>
        <v>46235</v>
      </c>
      <c r="AA1" s="209">
        <f>SCH!AH1</f>
        <v>46242</v>
      </c>
      <c r="AB1" s="209">
        <f>SCH!AI1</f>
        <v>46249</v>
      </c>
      <c r="AC1" s="209">
        <f>SCH!AJ1</f>
        <v>46256</v>
      </c>
      <c r="AD1" s="209">
        <f>SCH!AK1</f>
        <v>46263</v>
      </c>
      <c r="AE1" s="209">
        <f>SCH!AL1</f>
        <v>46270</v>
      </c>
      <c r="AF1" s="209">
        <f>SCH!AM1</f>
        <v>46277</v>
      </c>
      <c r="AG1" s="209">
        <f>SCH!AN1</f>
        <v>46284</v>
      </c>
      <c r="AH1" s="209">
        <f>SCH!AO1</f>
        <v>46291</v>
      </c>
      <c r="AI1" s="209">
        <f>SCH!AP1</f>
        <v>46298</v>
      </c>
      <c r="AJ1" s="209">
        <f>SCH!AQ1</f>
        <v>46305</v>
      </c>
      <c r="AK1" s="209">
        <f>SCH!AR1</f>
        <v>46312</v>
      </c>
      <c r="AL1" s="209">
        <f>SCH!AS1</f>
        <v>46319</v>
      </c>
      <c r="AM1" s="209">
        <f>SCH!AT1</f>
        <v>46326</v>
      </c>
      <c r="AN1" s="209">
        <f>SCH!AU1</f>
        <v>46333</v>
      </c>
      <c r="AO1" s="209">
        <f>SCH!AV1</f>
        <v>46340</v>
      </c>
      <c r="AP1" s="209">
        <f>SCH!AW1</f>
        <v>46347</v>
      </c>
      <c r="AQ1" s="209">
        <f>SCH!AX1</f>
        <v>46354</v>
      </c>
      <c r="AR1" s="209">
        <f>SCH!AY1</f>
        <v>46361</v>
      </c>
      <c r="AS1" s="209">
        <f>SCH!AZ1</f>
        <v>46368</v>
      </c>
      <c r="AT1" s="209">
        <f>SCH!BA1</f>
        <v>46375</v>
      </c>
      <c r="AU1" s="209">
        <f>SCH!BB1</f>
        <v>46382</v>
      </c>
      <c r="AV1" s="209">
        <f>SCH!BC1</f>
        <v>46389</v>
      </c>
      <c r="AW1" s="209">
        <f>SCH!BD1</f>
        <v>46396</v>
      </c>
      <c r="AX1" s="209">
        <f>SCH!BE1</f>
        <v>46403</v>
      </c>
      <c r="AY1" s="209">
        <f>SCH!BF1</f>
        <v>46410</v>
      </c>
      <c r="AZ1" s="209">
        <f>SCH!BG1</f>
        <v>46417</v>
      </c>
      <c r="BA1" s="209">
        <f>SCH!BH1</f>
        <v>46424</v>
      </c>
      <c r="BB1" s="209">
        <f>SCH!BI1</f>
        <v>46431</v>
      </c>
      <c r="BC1" s="209">
        <f>SCH!BJ1</f>
        <v>46438</v>
      </c>
      <c r="BD1" s="209">
        <f>SCH!BK1</f>
        <v>46445</v>
      </c>
      <c r="BE1" s="209">
        <f>SCH!BL1</f>
        <v>46452</v>
      </c>
      <c r="BF1" s="209">
        <f>SCH!BM1</f>
        <v>46459</v>
      </c>
      <c r="BG1" s="209">
        <f>SCH!BN1</f>
        <v>46466</v>
      </c>
      <c r="BH1" s="209">
        <f>SCH!BO1</f>
        <v>46473</v>
      </c>
      <c r="BI1" s="209">
        <f>SCH!BP1</f>
        <v>46480</v>
      </c>
      <c r="BJ1" s="209">
        <f>SCH!BQ1</f>
        <v>46487</v>
      </c>
      <c r="BK1" s="209">
        <f>SCH!BR1</f>
        <v>46494</v>
      </c>
      <c r="BL1" s="209">
        <f>SCH!BS1</f>
        <v>46501</v>
      </c>
      <c r="BM1" s="209">
        <f>SCH!BT1</f>
        <v>46508</v>
      </c>
      <c r="BN1" s="209">
        <f>SCH!BU1</f>
        <v>46515</v>
      </c>
      <c r="BO1" s="209">
        <f>SCH!BV1</f>
        <v>46522</v>
      </c>
      <c r="BP1" s="209">
        <f>SCH!BW1</f>
        <v>46529</v>
      </c>
      <c r="BQ1" s="209">
        <f>SCH!BX1</f>
        <v>46536</v>
      </c>
      <c r="BR1" s="209">
        <f>SCH!BY1</f>
        <v>46543</v>
      </c>
      <c r="BS1" s="209">
        <f>SCH!BZ1</f>
        <v>46550</v>
      </c>
      <c r="BT1" s="209">
        <f>SCH!CA1</f>
        <v>46557</v>
      </c>
      <c r="BU1" s="209">
        <f>SCH!CB1</f>
        <v>46564</v>
      </c>
      <c r="BV1" s="209">
        <f>SCH!CC1</f>
        <v>46571</v>
      </c>
      <c r="BW1" s="209">
        <f>SCH!CD1</f>
        <v>46578</v>
      </c>
      <c r="BX1" s="209">
        <f>SCH!CE1</f>
        <v>46585</v>
      </c>
    </row>
    <row r="2" spans="1:76">
      <c r="A2" s="185">
        <f>SCH!H98</f>
        <v>0.26537408087000613</v>
      </c>
      <c r="B2" s="185">
        <f>SCH!I98</f>
        <v>0.53074816174001227</v>
      </c>
      <c r="C2" s="185">
        <f>SCH!J98</f>
        <v>0.7961222426100184</v>
      </c>
      <c r="D2" s="185">
        <f>SCH!K98</f>
        <v>1.0614963234800245</v>
      </c>
      <c r="E2" s="185">
        <f>SCH!L98</f>
        <v>1.3268704043500308</v>
      </c>
      <c r="F2" s="185">
        <f>SCH!M98</f>
        <v>1.592244485220037</v>
      </c>
      <c r="G2" s="185">
        <f>SCH!N98</f>
        <v>1.8576185660900433</v>
      </c>
      <c r="H2" s="185">
        <f>SCH!O98</f>
        <v>2.1229926469600495</v>
      </c>
      <c r="I2" s="185">
        <f>SCH!P98</f>
        <v>2.3324725501770018</v>
      </c>
      <c r="J2" s="185">
        <f>SCH!Q98</f>
        <v>3.7279538692405745</v>
      </c>
      <c r="K2" s="185">
        <f>SCH!R98</f>
        <v>5.1234351883041471</v>
      </c>
      <c r="L2" s="185">
        <f>SCH!S98</f>
        <v>6.5189165073677202</v>
      </c>
      <c r="M2" s="185">
        <f>SCH!T98</f>
        <v>7.9143978264312924</v>
      </c>
      <c r="N2" s="185">
        <f>SCH!U98</f>
        <v>9.3098791454948646</v>
      </c>
      <c r="O2" s="185">
        <f>SCH!V98</f>
        <v>12.091095175709068</v>
      </c>
      <c r="P2" s="185">
        <f>SCH!W98</f>
        <v>14.872311205923271</v>
      </c>
      <c r="Q2" s="185">
        <f>SCH!X98</f>
        <v>17.653527236137474</v>
      </c>
      <c r="R2" s="185">
        <f>SCH!Y98</f>
        <v>19.248741850505056</v>
      </c>
      <c r="S2" s="185">
        <f>SCH!Z98</f>
        <v>20.84395646487264</v>
      </c>
      <c r="T2" s="185">
        <f>SCH!AA98</f>
        <v>20.84395646487264</v>
      </c>
      <c r="U2" s="185">
        <f>SCH!AB98</f>
        <v>21.473340671312339</v>
      </c>
      <c r="V2" s="185">
        <f>SCH!AC98</f>
        <v>22.586743969761351</v>
      </c>
      <c r="W2" s="185">
        <f>SCH!AD98</f>
        <v>23.700147268210362</v>
      </c>
      <c r="X2" s="185">
        <f>SCH!AE98</f>
        <v>24.813550566659373</v>
      </c>
      <c r="Y2" s="185">
        <f>SCH!AF98</f>
        <v>25.926953865108384</v>
      </c>
      <c r="Z2" s="185">
        <f>SCH!AG98</f>
        <v>27.040357163557395</v>
      </c>
      <c r="AA2" s="185">
        <f>SCH!AH98</f>
        <v>27.733856158783659</v>
      </c>
      <c r="AB2" s="185">
        <f>SCH!AI98</f>
        <v>28.427355154009923</v>
      </c>
      <c r="AC2" s="185">
        <f>SCH!AJ98</f>
        <v>28.636835057226875</v>
      </c>
      <c r="AD2" s="185">
        <f>SCH!AK98</f>
        <v>28.846314960443827</v>
      </c>
      <c r="AE2" s="185">
        <f>SCH!AL98</f>
        <v>29.318449875487136</v>
      </c>
      <c r="AF2" s="185">
        <f>SCH!AM98</f>
        <v>29.790584790530446</v>
      </c>
      <c r="AG2" s="185">
        <f>SCH!AN98</f>
        <v>31.574217081766349</v>
      </c>
      <c r="AH2" s="185">
        <f>SCH!AO98</f>
        <v>31.574217081766349</v>
      </c>
      <c r="AI2" s="185">
        <f>SCH!AP98</f>
        <v>35.119940806477906</v>
      </c>
      <c r="AJ2" s="185">
        <f>SCH!AQ98</f>
        <v>38.665664531189464</v>
      </c>
      <c r="AK2" s="185">
        <f>SCH!AR98</f>
        <v>42.223192186427255</v>
      </c>
      <c r="AL2" s="185">
        <f>SCH!AS98</f>
        <v>45.780719841665046</v>
      </c>
      <c r="AM2" s="185">
        <f>SCH!AT98</f>
        <v>49.939144243428188</v>
      </c>
      <c r="AN2" s="185">
        <f>SCH!AU98</f>
        <v>52.880984638367494</v>
      </c>
      <c r="AO2" s="185">
        <f>SCH!AV98</f>
        <v>56.543881305543984</v>
      </c>
      <c r="AP2" s="185">
        <f>SCH!AW98</f>
        <v>60.198141858302037</v>
      </c>
      <c r="AQ2" s="185">
        <f>SCH!AX98</f>
        <v>62.093193818460705</v>
      </c>
      <c r="AR2" s="185">
        <f>SCH!AY98</f>
        <v>63.988245778619373</v>
      </c>
      <c r="AS2" s="185">
        <f>SCH!AZ98</f>
        <v>65.556787139771103</v>
      </c>
      <c r="AT2" s="185">
        <f>SCH!BA98</f>
        <v>67.823012061944411</v>
      </c>
      <c r="AU2" s="185">
        <f>SCH!BB98</f>
        <v>70.114561107468049</v>
      </c>
      <c r="AV2" s="185">
        <f>SCH!BC98</f>
        <v>72.915571417701329</v>
      </c>
      <c r="AW2" s="185">
        <f>SCH!BD98</f>
        <v>76.170847688318531</v>
      </c>
      <c r="AX2" s="185">
        <f>SCH!BE98</f>
        <v>79.470011799019076</v>
      </c>
      <c r="AY2" s="185">
        <f>SCH!BF98</f>
        <v>82.832969276618641</v>
      </c>
      <c r="AZ2" s="185">
        <f>SCH!BG98</f>
        <v>86.356449765797905</v>
      </c>
      <c r="BA2" s="185">
        <f>SCH!BH98</f>
        <v>89.203080991537433</v>
      </c>
      <c r="BB2" s="185">
        <f>SCH!BI98</f>
        <v>92.016188334906261</v>
      </c>
      <c r="BC2" s="185">
        <f>SCH!BJ98</f>
        <v>93.938162244808538</v>
      </c>
      <c r="BD2" s="185">
        <f>SCH!BK98</f>
        <v>95.799966281658584</v>
      </c>
      <c r="BE2" s="185">
        <f>SCH!BL98</f>
        <v>96.499971901382153</v>
      </c>
      <c r="BF2" s="185">
        <f>SCH!BM98</f>
        <v>97.199977521105723</v>
      </c>
      <c r="BG2" s="185">
        <f>SCH!BN98</f>
        <v>97.899983140829292</v>
      </c>
      <c r="BH2" s="185">
        <f>SCH!BO98</f>
        <v>98.599988760552861</v>
      </c>
      <c r="BI2" s="185">
        <f>SCH!BP98</f>
        <v>99.299994380276431</v>
      </c>
      <c r="BJ2" s="185">
        <f>SCH!BQ98</f>
        <v>100</v>
      </c>
      <c r="BK2" s="185">
        <f>SCH!BR98</f>
        <v>100</v>
      </c>
      <c r="BL2" s="185">
        <f>SCH!BS98</f>
        <v>100</v>
      </c>
      <c r="BM2" s="185">
        <f>SCH!BT98</f>
        <v>100</v>
      </c>
      <c r="BN2" s="185">
        <f>SCH!BU98</f>
        <v>100</v>
      </c>
      <c r="BO2" s="185">
        <f>SCH!BV98</f>
        <v>100</v>
      </c>
      <c r="BP2" s="185">
        <f>SCH!BW98</f>
        <v>100</v>
      </c>
      <c r="BQ2" s="185">
        <f>SCH!BX98</f>
        <v>100</v>
      </c>
      <c r="BR2" s="185">
        <f>SCH!BY98</f>
        <v>100</v>
      </c>
      <c r="BS2" s="185">
        <f>SCH!BZ98</f>
        <v>100</v>
      </c>
      <c r="BT2" s="185">
        <f>SCH!CA98</f>
        <v>100</v>
      </c>
      <c r="BU2" s="185">
        <f>SCH!CB98</f>
        <v>100</v>
      </c>
      <c r="BV2" s="185">
        <f>SCH!CC98</f>
        <v>100</v>
      </c>
      <c r="BW2" s="185">
        <f>SCH!CD98</f>
        <v>100</v>
      </c>
      <c r="BX2" s="185">
        <f>SCH!CE98</f>
        <v>100</v>
      </c>
    </row>
    <row r="3" spans="1:76">
      <c r="A3" s="185">
        <f>SCH!H99</f>
        <v>0.31844889704400736</v>
      </c>
      <c r="B3" s="185">
        <f>SCH!I99</f>
        <v>0.63689779408801472</v>
      </c>
      <c r="C3" s="185">
        <f>SCH!J99</f>
        <v>0.95534669113202209</v>
      </c>
      <c r="D3" s="185">
        <f>SCH!K99</f>
        <v>1.2737955881760294</v>
      </c>
      <c r="E3" s="185">
        <f>SCH!L99</f>
        <v>1.5922444852200368</v>
      </c>
      <c r="F3" s="185">
        <f>SCH!M99</f>
        <v>1.9106933822640442</v>
      </c>
      <c r="G3" s="185">
        <f>SCH!N99</f>
        <v>2.0168430146120464</v>
      </c>
      <c r="H3" s="185">
        <f>SCH!O99</f>
        <v>2.1229926469600491</v>
      </c>
      <c r="I3" s="185">
        <f>SCH!P99</f>
        <v>2.3324725501770014</v>
      </c>
      <c r="J3" s="185">
        <f>SCH!Q99</f>
        <v>2.985042582354251</v>
      </c>
      <c r="K3" s="185">
        <f>SCH!R99</f>
        <v>4.1689412488307864</v>
      </c>
      <c r="L3" s="185">
        <f>SCH!S99</f>
        <v>5.4277952047888283</v>
      </c>
      <c r="M3" s="185">
        <f>SCH!T99</f>
        <v>6.3963160141476179</v>
      </c>
      <c r="N3" s="185">
        <f>SCH!U99</f>
        <v>8.9734185364757586</v>
      </c>
      <c r="O3" s="185">
        <f>SCH!V99</f>
        <v>11.601707814224294</v>
      </c>
      <c r="P3" s="185">
        <f>SCH!W99</f>
        <v>13.537129736397516</v>
      </c>
      <c r="Q3" s="185">
        <f>SCH!X99</f>
        <v>16.114232258725657</v>
      </c>
      <c r="R3" s="185">
        <f>SCH!Y99</f>
        <v>18.001580610469492</v>
      </c>
      <c r="S3" s="185">
        <f>SCH!Z99</f>
        <v>20.843956464872644</v>
      </c>
      <c r="T3" s="185">
        <f>SCH!AA99</f>
        <v>20.843956464872644</v>
      </c>
      <c r="U3" s="185">
        <f>SCH!AB99</f>
        <v>21.109871506442733</v>
      </c>
      <c r="V3" s="185">
        <f>SCH!AC99</f>
        <v>21.489160709882963</v>
      </c>
      <c r="W3" s="185">
        <f>SCH!AD99</f>
        <v>22.580943535031551</v>
      </c>
      <c r="X3" s="185">
        <f>SCH!AE99</f>
        <v>23.445474151275988</v>
      </c>
      <c r="Y3" s="185">
        <f>SCH!AF99</f>
        <v>24.144932968059649</v>
      </c>
      <c r="Z3" s="185">
        <f>SCH!AG99</f>
        <v>24.794003268456578</v>
      </c>
      <c r="AA3" s="185">
        <f>SCH!AH99</f>
        <v>25.443073568853507</v>
      </c>
      <c r="AB3" s="185">
        <f>SCH!AI99</f>
        <v>26.380568717270226</v>
      </c>
      <c r="AC3" s="185">
        <f>SCH!AJ99</f>
        <v>27.469229414847135</v>
      </c>
      <c r="AD3" s="185">
        <f>SCH!AK99</f>
        <v>28.168688231630796</v>
      </c>
      <c r="AE3" s="185">
        <f>SCH!AL99</f>
        <v>28.716981499254267</v>
      </c>
      <c r="AF3" s="185">
        <f>SCH!AM99</f>
        <v>29.265274766877738</v>
      </c>
      <c r="AG3" s="185">
        <f>SCH!AN99</f>
        <v>29.47475467009469</v>
      </c>
      <c r="AH3" s="185">
        <f>SCH!AO99</f>
        <v>29.47475467009469</v>
      </c>
      <c r="AI3" s="185">
        <f>SCH!AP99</f>
        <v>29.684234573311642</v>
      </c>
      <c r="AJ3" s="185">
        <f>SCH!AQ99</f>
        <v>29.989876088504072</v>
      </c>
      <c r="AK3" s="185">
        <f>SCH!AR99</f>
        <v>30.211159922247258</v>
      </c>
      <c r="AL3" s="185">
        <f>SCH!AS99</f>
        <v>30.432443755990445</v>
      </c>
      <c r="AM3" s="185">
        <f>SCH!AT99</f>
        <v>30.732405272259022</v>
      </c>
      <c r="AN3" s="185">
        <f>SCH!AU99</f>
        <v>31.128528400503079</v>
      </c>
      <c r="AO3" s="185">
        <f>SCH!AV99</f>
        <v>31.338008303720031</v>
      </c>
      <c r="AP3" s="185">
        <f>SCH!AW99</f>
        <v>31.547488206936983</v>
      </c>
      <c r="AQ3" s="185">
        <f>SCH!AX99</f>
        <v>31.756968110153935</v>
      </c>
      <c r="AR3" s="185">
        <f>SCH!AY99</f>
        <v>31.966448013370886</v>
      </c>
      <c r="AS3" s="185">
        <f>SCH!AZ99</f>
        <v>32.175927916587838</v>
      </c>
      <c r="AT3" s="185">
        <f>SCH!BA99</f>
        <v>32.837036401287385</v>
      </c>
      <c r="AU3" s="185">
        <f>SCH!BB99</f>
        <v>33.917020796734107</v>
      </c>
      <c r="AV3" s="185">
        <f>SCH!BC99</f>
        <v>34.860397144860279</v>
      </c>
      <c r="AW3" s="185">
        <f>SCH!BD99</f>
        <v>35.961843496505359</v>
      </c>
      <c r="AX3" s="185">
        <f>SCH!BE99</f>
        <v>36.543916979445456</v>
      </c>
      <c r="AY3" s="185">
        <f>SCH!BF99</f>
        <v>36.989562350659668</v>
      </c>
      <c r="AZ3" s="185">
        <f>SCH!BG99</f>
        <v>38.752195780788618</v>
      </c>
      <c r="BA3" s="185">
        <f>SCH!BH99</f>
        <v>40.4007544777674</v>
      </c>
      <c r="BB3" s="185">
        <f>SCH!BI99</f>
        <v>42.047952618615035</v>
      </c>
      <c r="BC3" s="185">
        <f>SCH!BJ99</f>
        <v>43.841147752141303</v>
      </c>
      <c r="BD3" s="185">
        <f>SCH!BK99</f>
        <v>44.693792796798547</v>
      </c>
      <c r="BE3" s="185">
        <f>SCH!BL99</f>
        <v>45.589380588316992</v>
      </c>
      <c r="BF3" s="185">
        <f>SCH!BM99</f>
        <v>45.979779315725551</v>
      </c>
      <c r="BG3" s="185">
        <f>SCH!BN99</f>
        <v>46.762167161197148</v>
      </c>
      <c r="BH3" s="185">
        <f>SCH!BO99</f>
        <v>47.225631052191318</v>
      </c>
      <c r="BI3" s="185">
        <f>SCH!BP99</f>
        <v>47.658711971786424</v>
      </c>
      <c r="BJ3" s="185">
        <f>SCH!BQ99</f>
        <v>48.281114176317004</v>
      </c>
      <c r="BK3" s="185">
        <f>SCH!BR99</f>
        <v>48.611681941637961</v>
      </c>
      <c r="BL3" s="185">
        <f>SCH!BS99</f>
        <v>48.611681941637961</v>
      </c>
      <c r="BM3" s="185">
        <f>SCH!BT99</f>
        <v>0</v>
      </c>
      <c r="BN3" s="185">
        <f>SCH!BU99</f>
        <v>0</v>
      </c>
      <c r="BO3" s="185">
        <f>SCH!BV99</f>
        <v>0</v>
      </c>
      <c r="BP3" s="185">
        <f>SCH!BW99</f>
        <v>0</v>
      </c>
      <c r="BQ3" s="185">
        <f>SCH!BX99</f>
        <v>0</v>
      </c>
      <c r="BR3" s="185">
        <f>SCH!BY99</f>
        <v>0</v>
      </c>
      <c r="BS3" s="185">
        <f>SCH!BZ99</f>
        <v>0</v>
      </c>
      <c r="BT3" s="185">
        <f>SCH!CA99</f>
        <v>0</v>
      </c>
      <c r="BU3" s="185">
        <f>SCH!CB99</f>
        <v>0</v>
      </c>
      <c r="BV3" s="185">
        <f>SCH!CC99</f>
        <v>0</v>
      </c>
      <c r="BW3" s="185">
        <f>SCH!CD99</f>
        <v>0</v>
      </c>
      <c r="BX3" s="185">
        <f>SCH!CE99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724F-C49F-49C4-9BCE-4DB6CB3DCA4F}">
  <sheetPr>
    <tabColor rgb="FFFF99FF"/>
    <pageSetUpPr fitToPage="1"/>
  </sheetPr>
  <dimension ref="A1:BS108"/>
  <sheetViews>
    <sheetView zoomScale="70" zoomScaleNormal="70" zoomScaleSheetLayoutView="70" workbookViewId="0">
      <pane xSplit="4" ySplit="13" topLeftCell="F14" activePane="bottomRight" state="frozen"/>
      <selection pane="bottomRight" activeCell="P50" sqref="P50"/>
      <selection pane="bottomLeft" activeCell="B49" sqref="B49:B50"/>
      <selection pane="topRight" activeCell="B49" sqref="B49:B50"/>
    </sheetView>
  </sheetViews>
  <sheetFormatPr defaultColWidth="8.85546875" defaultRowHeight="17.25"/>
  <cols>
    <col min="1" max="1" width="4.140625" style="1" bestFit="1" customWidth="1"/>
    <col min="2" max="2" width="22.140625" style="2" customWidth="1"/>
    <col min="3" max="3" width="12.5703125" style="3" hidden="1" customWidth="1"/>
    <col min="4" max="4" width="8.28515625" style="3" hidden="1" customWidth="1"/>
    <col min="5" max="5" width="1.28515625" style="3" hidden="1" customWidth="1"/>
    <col min="6" max="6" width="5.85546875" style="3" bestFit="1" customWidth="1"/>
    <col min="7" max="13" width="4.5703125" style="3" customWidth="1"/>
    <col min="14" max="14" width="5.42578125" style="3" bestFit="1" customWidth="1"/>
    <col min="15" max="69" width="4.5703125" style="3" customWidth="1"/>
    <col min="70" max="71" width="13.28515625" style="1" customWidth="1"/>
    <col min="72" max="16384" width="8.85546875" style="1"/>
  </cols>
  <sheetData>
    <row r="1" spans="1:71" ht="18" thickBot="1"/>
    <row r="2" spans="1:71" ht="18" hidden="1" thickBot="1"/>
    <row r="3" spans="1:71" ht="18" hidden="1" thickBot="1"/>
    <row r="4" spans="1:71" ht="18" hidden="1" thickBot="1"/>
    <row r="5" spans="1:71" ht="18" hidden="1" thickBot="1"/>
    <row r="6" spans="1:71" ht="18" hidden="1" thickBot="1">
      <c r="F6" s="4"/>
    </row>
    <row r="7" spans="1:71" ht="18" hidden="1" thickBot="1">
      <c r="B7" s="2">
        <v>2.4230453587733092E-3</v>
      </c>
      <c r="F7" s="4"/>
    </row>
    <row r="8" spans="1:71" ht="18" hidden="1" thickBot="1">
      <c r="D8" s="3" t="s">
        <v>48</v>
      </c>
      <c r="F8" s="4" t="s">
        <v>49</v>
      </c>
      <c r="G8" s="3" t="s">
        <v>50</v>
      </c>
      <c r="H8" s="3" t="s">
        <v>51</v>
      </c>
      <c r="I8" s="3" t="s">
        <v>52</v>
      </c>
      <c r="J8" s="4" t="s">
        <v>49</v>
      </c>
      <c r="K8" s="3" t="s">
        <v>50</v>
      </c>
      <c r="L8" s="3" t="s">
        <v>51</v>
      </c>
      <c r="M8" s="3" t="s">
        <v>52</v>
      </c>
      <c r="N8" s="4" t="s">
        <v>49</v>
      </c>
      <c r="O8" s="3" t="s">
        <v>50</v>
      </c>
      <c r="P8" s="3" t="s">
        <v>51</v>
      </c>
      <c r="Q8" s="3" t="s">
        <v>52</v>
      </c>
      <c r="R8" s="4" t="s">
        <v>49</v>
      </c>
      <c r="S8" s="3" t="s">
        <v>50</v>
      </c>
      <c r="T8" s="3" t="s">
        <v>51</v>
      </c>
      <c r="U8" s="3" t="s">
        <v>52</v>
      </c>
      <c r="V8" s="4" t="s">
        <v>49</v>
      </c>
      <c r="W8" s="3" t="s">
        <v>50</v>
      </c>
      <c r="X8" s="3" t="s">
        <v>51</v>
      </c>
      <c r="Y8" s="3" t="s">
        <v>52</v>
      </c>
      <c r="Z8" s="4" t="s">
        <v>49</v>
      </c>
      <c r="AA8" s="3" t="s">
        <v>50</v>
      </c>
      <c r="AB8" s="3" t="s">
        <v>51</v>
      </c>
      <c r="AC8" s="3" t="s">
        <v>52</v>
      </c>
      <c r="AD8" s="4" t="s">
        <v>49</v>
      </c>
      <c r="AE8" s="3" t="s">
        <v>50</v>
      </c>
      <c r="AF8" s="3" t="s">
        <v>51</v>
      </c>
      <c r="AG8" s="3" t="s">
        <v>52</v>
      </c>
      <c r="AH8" s="4" t="s">
        <v>49</v>
      </c>
      <c r="AI8" s="3" t="s">
        <v>50</v>
      </c>
      <c r="AJ8" s="3" t="s">
        <v>51</v>
      </c>
      <c r="AK8" s="3" t="s">
        <v>52</v>
      </c>
      <c r="AL8" s="4" t="s">
        <v>49</v>
      </c>
      <c r="AM8" s="3" t="s">
        <v>50</v>
      </c>
      <c r="AN8" s="3" t="s">
        <v>51</v>
      </c>
      <c r="AO8" s="3" t="s">
        <v>52</v>
      </c>
      <c r="AP8" s="4" t="s">
        <v>49</v>
      </c>
      <c r="AQ8" s="3" t="s">
        <v>50</v>
      </c>
      <c r="AR8" s="3" t="s">
        <v>51</v>
      </c>
      <c r="AS8" s="3" t="s">
        <v>52</v>
      </c>
      <c r="AT8" s="4" t="s">
        <v>49</v>
      </c>
      <c r="AU8" s="3" t="s">
        <v>50</v>
      </c>
      <c r="AV8" s="3" t="s">
        <v>51</v>
      </c>
      <c r="AW8" s="3" t="s">
        <v>52</v>
      </c>
      <c r="AX8" s="4" t="s">
        <v>49</v>
      </c>
      <c r="AY8" s="3" t="s">
        <v>50</v>
      </c>
      <c r="AZ8" s="3" t="s">
        <v>51</v>
      </c>
      <c r="BA8" s="3" t="s">
        <v>52</v>
      </c>
      <c r="BB8" s="4" t="s">
        <v>49</v>
      </c>
      <c r="BC8" s="3" t="s">
        <v>50</v>
      </c>
      <c r="BD8" s="3" t="s">
        <v>51</v>
      </c>
      <c r="BE8" s="3" t="s">
        <v>52</v>
      </c>
      <c r="BF8" s="4" t="s">
        <v>49</v>
      </c>
      <c r="BG8" s="3" t="s">
        <v>50</v>
      </c>
      <c r="BH8" s="3" t="s">
        <v>51</v>
      </c>
      <c r="BI8" s="3" t="s">
        <v>52</v>
      </c>
      <c r="BJ8" s="4" t="s">
        <v>49</v>
      </c>
      <c r="BK8" s="3" t="s">
        <v>50</v>
      </c>
      <c r="BL8" s="3" t="s">
        <v>51</v>
      </c>
      <c r="BM8" s="3" t="s">
        <v>52</v>
      </c>
      <c r="BN8" s="4" t="s">
        <v>49</v>
      </c>
      <c r="BO8" s="3" t="s">
        <v>50</v>
      </c>
      <c r="BP8" s="3" t="s">
        <v>51</v>
      </c>
      <c r="BQ8" s="3" t="s">
        <v>52</v>
      </c>
    </row>
    <row r="9" spans="1:71" s="5" customFormat="1" ht="18" hidden="1" thickBot="1">
      <c r="B9" s="3"/>
      <c r="C9" s="3"/>
      <c r="D9" s="3" t="s">
        <v>53</v>
      </c>
      <c r="E9" s="3"/>
      <c r="F9" s="3">
        <v>7</v>
      </c>
      <c r="G9" s="3">
        <v>7</v>
      </c>
      <c r="H9" s="3">
        <v>8</v>
      </c>
      <c r="I9" s="3">
        <v>8</v>
      </c>
      <c r="J9" s="3">
        <v>7</v>
      </c>
      <c r="K9" s="3">
        <v>7</v>
      </c>
      <c r="L9" s="3">
        <v>8</v>
      </c>
      <c r="M9" s="3">
        <v>8</v>
      </c>
      <c r="N9" s="3">
        <v>7</v>
      </c>
      <c r="O9" s="3">
        <v>7</v>
      </c>
      <c r="P9" s="3">
        <v>8</v>
      </c>
      <c r="Q9" s="3">
        <v>8</v>
      </c>
      <c r="R9" s="3">
        <v>7</v>
      </c>
      <c r="S9" s="3">
        <v>7</v>
      </c>
      <c r="T9" s="3">
        <v>8</v>
      </c>
      <c r="U9" s="3">
        <v>8</v>
      </c>
      <c r="V9" s="3">
        <v>7</v>
      </c>
      <c r="W9" s="3">
        <v>7</v>
      </c>
      <c r="X9" s="3">
        <v>8</v>
      </c>
      <c r="Y9" s="3">
        <v>8</v>
      </c>
      <c r="Z9" s="3">
        <v>7</v>
      </c>
      <c r="AA9" s="3">
        <v>7</v>
      </c>
      <c r="AB9" s="3">
        <v>8</v>
      </c>
      <c r="AC9" s="3">
        <v>8</v>
      </c>
      <c r="AD9" s="3">
        <v>7</v>
      </c>
      <c r="AE9" s="3">
        <v>7</v>
      </c>
      <c r="AF9" s="3">
        <v>8</v>
      </c>
      <c r="AG9" s="3">
        <v>8</v>
      </c>
      <c r="AH9" s="3">
        <v>7</v>
      </c>
      <c r="AI9" s="3">
        <v>7</v>
      </c>
      <c r="AJ9" s="3">
        <v>8</v>
      </c>
      <c r="AK9" s="3">
        <v>8</v>
      </c>
      <c r="AL9" s="3">
        <v>7</v>
      </c>
      <c r="AM9" s="3">
        <v>7</v>
      </c>
      <c r="AN9" s="3">
        <v>8</v>
      </c>
      <c r="AO9" s="3">
        <v>8</v>
      </c>
      <c r="AP9" s="3">
        <v>7</v>
      </c>
      <c r="AQ9" s="3">
        <v>7</v>
      </c>
      <c r="AR9" s="3">
        <v>8</v>
      </c>
      <c r="AS9" s="3">
        <v>8</v>
      </c>
      <c r="AT9" s="3">
        <v>7</v>
      </c>
      <c r="AU9" s="3">
        <v>7</v>
      </c>
      <c r="AV9" s="3">
        <v>8</v>
      </c>
      <c r="AW9" s="3">
        <v>8</v>
      </c>
      <c r="AX9" s="3">
        <v>7</v>
      </c>
      <c r="AY9" s="3">
        <v>7</v>
      </c>
      <c r="AZ9" s="3">
        <v>8</v>
      </c>
      <c r="BA9" s="3">
        <v>8</v>
      </c>
      <c r="BB9" s="3">
        <v>7</v>
      </c>
      <c r="BC9" s="3">
        <v>7</v>
      </c>
      <c r="BD9" s="3">
        <v>8</v>
      </c>
      <c r="BE9" s="3">
        <v>8</v>
      </c>
      <c r="BF9" s="3">
        <v>7</v>
      </c>
      <c r="BG9" s="3">
        <v>7</v>
      </c>
      <c r="BH9" s="3">
        <v>8</v>
      </c>
      <c r="BI9" s="3">
        <v>8</v>
      </c>
      <c r="BJ9" s="3">
        <v>7</v>
      </c>
      <c r="BK9" s="3">
        <v>7</v>
      </c>
      <c r="BL9" s="3">
        <v>8</v>
      </c>
      <c r="BM9" s="3">
        <v>8</v>
      </c>
      <c r="BN9" s="3">
        <v>7</v>
      </c>
      <c r="BO9" s="3">
        <v>7</v>
      </c>
      <c r="BP9" s="3">
        <v>8</v>
      </c>
      <c r="BQ9" s="3">
        <v>8</v>
      </c>
    </row>
    <row r="10" spans="1:71" ht="23.25" customHeight="1">
      <c r="A10" s="204" t="s">
        <v>54</v>
      </c>
      <c r="B10" s="204" t="s">
        <v>55</v>
      </c>
      <c r="C10" s="207" t="s">
        <v>56</v>
      </c>
      <c r="D10" s="204" t="s">
        <v>3</v>
      </c>
      <c r="E10" s="27"/>
      <c r="F10" s="208">
        <v>1</v>
      </c>
      <c r="G10" s="196"/>
      <c r="H10" s="196"/>
      <c r="I10" s="197"/>
      <c r="J10" s="195">
        <v>2</v>
      </c>
      <c r="K10" s="196"/>
      <c r="L10" s="196"/>
      <c r="M10" s="197"/>
      <c r="N10" s="195">
        <v>3</v>
      </c>
      <c r="O10" s="196"/>
      <c r="P10" s="196"/>
      <c r="Q10" s="197"/>
      <c r="R10" s="195">
        <v>4</v>
      </c>
      <c r="S10" s="196"/>
      <c r="T10" s="196"/>
      <c r="U10" s="197"/>
      <c r="V10" s="195">
        <v>5</v>
      </c>
      <c r="W10" s="196"/>
      <c r="X10" s="196"/>
      <c r="Y10" s="197"/>
      <c r="Z10" s="195">
        <v>6</v>
      </c>
      <c r="AA10" s="196"/>
      <c r="AB10" s="196"/>
      <c r="AC10" s="197"/>
      <c r="AD10" s="195">
        <v>7</v>
      </c>
      <c r="AE10" s="196"/>
      <c r="AF10" s="196"/>
      <c r="AG10" s="197"/>
      <c r="AH10" s="195">
        <v>8</v>
      </c>
      <c r="AI10" s="196"/>
      <c r="AJ10" s="196"/>
      <c r="AK10" s="197"/>
      <c r="AL10" s="195">
        <v>9</v>
      </c>
      <c r="AM10" s="196"/>
      <c r="AN10" s="196"/>
      <c r="AO10" s="197"/>
      <c r="AP10" s="195">
        <v>10</v>
      </c>
      <c r="AQ10" s="196"/>
      <c r="AR10" s="196"/>
      <c r="AS10" s="197"/>
      <c r="AT10" s="195">
        <v>11</v>
      </c>
      <c r="AU10" s="196"/>
      <c r="AV10" s="196"/>
      <c r="AW10" s="197"/>
      <c r="AX10" s="195">
        <v>12</v>
      </c>
      <c r="AY10" s="196"/>
      <c r="AZ10" s="196"/>
      <c r="BA10" s="197"/>
      <c r="BB10" s="195">
        <v>13</v>
      </c>
      <c r="BC10" s="196"/>
      <c r="BD10" s="196"/>
      <c r="BE10" s="197"/>
      <c r="BF10" s="195">
        <v>14</v>
      </c>
      <c r="BG10" s="196"/>
      <c r="BH10" s="196"/>
      <c r="BI10" s="197"/>
      <c r="BJ10" s="195">
        <v>15</v>
      </c>
      <c r="BK10" s="196"/>
      <c r="BL10" s="196"/>
      <c r="BM10" s="197"/>
      <c r="BN10" s="195">
        <v>16</v>
      </c>
      <c r="BO10" s="196"/>
      <c r="BP10" s="196"/>
      <c r="BQ10" s="197"/>
      <c r="BR10" s="189" t="s">
        <v>57</v>
      </c>
      <c r="BS10" s="189" t="s">
        <v>58</v>
      </c>
    </row>
    <row r="11" spans="1:71" ht="18" thickBot="1">
      <c r="A11" s="205"/>
      <c r="B11" s="205"/>
      <c r="C11" s="205"/>
      <c r="D11" s="205"/>
      <c r="E11" s="28"/>
      <c r="F11" s="192">
        <v>45139</v>
      </c>
      <c r="G11" s="193"/>
      <c r="H11" s="193"/>
      <c r="I11" s="194"/>
      <c r="J11" s="192">
        <v>45170</v>
      </c>
      <c r="K11" s="193"/>
      <c r="L11" s="193"/>
      <c r="M11" s="194"/>
      <c r="N11" s="192">
        <v>45200</v>
      </c>
      <c r="O11" s="193"/>
      <c r="P11" s="193"/>
      <c r="Q11" s="194"/>
      <c r="R11" s="192">
        <v>45231</v>
      </c>
      <c r="S11" s="193"/>
      <c r="T11" s="193"/>
      <c r="U11" s="194"/>
      <c r="V11" s="192">
        <v>45261</v>
      </c>
      <c r="W11" s="193"/>
      <c r="X11" s="193"/>
      <c r="Y11" s="194"/>
      <c r="Z11" s="192">
        <v>45292</v>
      </c>
      <c r="AA11" s="193"/>
      <c r="AB11" s="193"/>
      <c r="AC11" s="194"/>
      <c r="AD11" s="192">
        <v>45323</v>
      </c>
      <c r="AE11" s="193"/>
      <c r="AF11" s="193"/>
      <c r="AG11" s="194"/>
      <c r="AH11" s="192">
        <v>45352</v>
      </c>
      <c r="AI11" s="193"/>
      <c r="AJ11" s="193"/>
      <c r="AK11" s="194"/>
      <c r="AL11" s="192">
        <v>45383</v>
      </c>
      <c r="AM11" s="193"/>
      <c r="AN11" s="193"/>
      <c r="AO11" s="194"/>
      <c r="AP11" s="192">
        <v>45413</v>
      </c>
      <c r="AQ11" s="193"/>
      <c r="AR11" s="193"/>
      <c r="AS11" s="194"/>
      <c r="AT11" s="192">
        <v>45444</v>
      </c>
      <c r="AU11" s="193"/>
      <c r="AV11" s="193"/>
      <c r="AW11" s="194"/>
      <c r="AX11" s="192">
        <v>45474</v>
      </c>
      <c r="AY11" s="193"/>
      <c r="AZ11" s="193"/>
      <c r="BA11" s="194"/>
      <c r="BB11" s="192">
        <v>45505</v>
      </c>
      <c r="BC11" s="193"/>
      <c r="BD11" s="193"/>
      <c r="BE11" s="194"/>
      <c r="BF11" s="192">
        <v>45536</v>
      </c>
      <c r="BG11" s="193"/>
      <c r="BH11" s="193"/>
      <c r="BI11" s="194"/>
      <c r="BJ11" s="192">
        <v>45566</v>
      </c>
      <c r="BK11" s="193"/>
      <c r="BL11" s="193"/>
      <c r="BM11" s="194"/>
      <c r="BN11" s="192">
        <v>45597</v>
      </c>
      <c r="BO11" s="193"/>
      <c r="BP11" s="193"/>
      <c r="BQ11" s="194"/>
      <c r="BR11" s="190"/>
      <c r="BS11" s="190"/>
    </row>
    <row r="12" spans="1:71" ht="18" thickBot="1">
      <c r="A12" s="206"/>
      <c r="B12" s="206"/>
      <c r="C12" s="206"/>
      <c r="D12" s="206"/>
      <c r="E12" s="29"/>
      <c r="F12" s="9">
        <v>1</v>
      </c>
      <c r="G12" s="10">
        <v>2</v>
      </c>
      <c r="H12" s="10">
        <v>3</v>
      </c>
      <c r="I12" s="11">
        <v>4</v>
      </c>
      <c r="J12" s="9">
        <v>5</v>
      </c>
      <c r="K12" s="10">
        <v>6</v>
      </c>
      <c r="L12" s="10">
        <v>7</v>
      </c>
      <c r="M12" s="11">
        <v>8</v>
      </c>
      <c r="N12" s="9">
        <v>9</v>
      </c>
      <c r="O12" s="10">
        <v>10</v>
      </c>
      <c r="P12" s="10">
        <v>11</v>
      </c>
      <c r="Q12" s="11">
        <v>12</v>
      </c>
      <c r="R12" s="9">
        <v>13</v>
      </c>
      <c r="S12" s="10">
        <v>14</v>
      </c>
      <c r="T12" s="10">
        <v>15</v>
      </c>
      <c r="U12" s="11">
        <v>16</v>
      </c>
      <c r="V12" s="9">
        <v>17</v>
      </c>
      <c r="W12" s="10">
        <v>18</v>
      </c>
      <c r="X12" s="10">
        <v>19</v>
      </c>
      <c r="Y12" s="11">
        <v>20</v>
      </c>
      <c r="Z12" s="9">
        <v>21</v>
      </c>
      <c r="AA12" s="10">
        <v>22</v>
      </c>
      <c r="AB12" s="10">
        <v>23</v>
      </c>
      <c r="AC12" s="11">
        <v>24</v>
      </c>
      <c r="AD12" s="9">
        <v>25</v>
      </c>
      <c r="AE12" s="10">
        <v>26</v>
      </c>
      <c r="AF12" s="10">
        <v>27</v>
      </c>
      <c r="AG12" s="11">
        <v>28</v>
      </c>
      <c r="AH12" s="9">
        <v>29</v>
      </c>
      <c r="AI12" s="10">
        <v>30</v>
      </c>
      <c r="AJ12" s="10">
        <v>31</v>
      </c>
      <c r="AK12" s="11">
        <v>32</v>
      </c>
      <c r="AL12" s="9">
        <v>33</v>
      </c>
      <c r="AM12" s="10">
        <v>34</v>
      </c>
      <c r="AN12" s="10">
        <v>35</v>
      </c>
      <c r="AO12" s="11">
        <v>36</v>
      </c>
      <c r="AP12" s="9">
        <v>37</v>
      </c>
      <c r="AQ12" s="10">
        <v>38</v>
      </c>
      <c r="AR12" s="10">
        <v>39</v>
      </c>
      <c r="AS12" s="11">
        <v>40</v>
      </c>
      <c r="AT12" s="9">
        <v>41</v>
      </c>
      <c r="AU12" s="10">
        <v>42</v>
      </c>
      <c r="AV12" s="10">
        <v>43</v>
      </c>
      <c r="AW12" s="11">
        <v>44</v>
      </c>
      <c r="AX12" s="9">
        <v>45</v>
      </c>
      <c r="AY12" s="10">
        <v>46</v>
      </c>
      <c r="AZ12" s="10">
        <v>47</v>
      </c>
      <c r="BA12" s="11">
        <v>48</v>
      </c>
      <c r="BB12" s="9">
        <v>49</v>
      </c>
      <c r="BC12" s="10">
        <v>50</v>
      </c>
      <c r="BD12" s="10">
        <v>51</v>
      </c>
      <c r="BE12" s="11">
        <v>52</v>
      </c>
      <c r="BF12" s="9">
        <v>53</v>
      </c>
      <c r="BG12" s="10">
        <v>54</v>
      </c>
      <c r="BH12" s="10">
        <v>55</v>
      </c>
      <c r="BI12" s="11">
        <v>56</v>
      </c>
      <c r="BJ12" s="9">
        <v>57</v>
      </c>
      <c r="BK12" s="10">
        <v>58</v>
      </c>
      <c r="BL12" s="10">
        <v>59</v>
      </c>
      <c r="BM12" s="11">
        <v>60</v>
      </c>
      <c r="BN12" s="9">
        <v>61</v>
      </c>
      <c r="BO12" s="10">
        <v>62</v>
      </c>
      <c r="BP12" s="10">
        <v>63</v>
      </c>
      <c r="BQ12" s="11">
        <v>64</v>
      </c>
      <c r="BR12" s="191"/>
      <c r="BS12" s="191"/>
    </row>
    <row r="13" spans="1:71" ht="22.5" customHeight="1">
      <c r="A13" s="89">
        <v>1</v>
      </c>
      <c r="B13" s="90" t="s">
        <v>59</v>
      </c>
      <c r="C13" s="13">
        <f>SUM(C15:C20)</f>
        <v>6269532.932222221</v>
      </c>
      <c r="D13" s="14"/>
      <c r="E13" s="28"/>
      <c r="F13" s="15"/>
      <c r="G13" s="31"/>
      <c r="H13" s="31"/>
      <c r="I13" s="32"/>
      <c r="J13" s="33"/>
      <c r="K13" s="31"/>
      <c r="L13" s="31"/>
      <c r="M13" s="32"/>
      <c r="N13" s="33"/>
      <c r="O13" s="31"/>
      <c r="P13" s="31"/>
      <c r="Q13" s="32"/>
      <c r="R13" s="34"/>
      <c r="S13" s="35"/>
      <c r="T13" s="35"/>
      <c r="U13" s="36"/>
      <c r="V13" s="34"/>
      <c r="W13" s="35"/>
      <c r="X13" s="35"/>
      <c r="Y13" s="37"/>
      <c r="Z13" s="34"/>
      <c r="AA13" s="35"/>
      <c r="AB13" s="35"/>
      <c r="AC13" s="36"/>
      <c r="AD13" s="34"/>
      <c r="AE13" s="35"/>
      <c r="AF13" s="35"/>
      <c r="AG13" s="36"/>
      <c r="AH13" s="34"/>
      <c r="AI13" s="35"/>
      <c r="AJ13" s="35"/>
      <c r="AK13" s="36"/>
      <c r="AL13" s="34"/>
      <c r="AM13" s="38"/>
      <c r="AN13" s="35"/>
      <c r="AO13" s="36"/>
      <c r="AP13" s="34"/>
      <c r="AQ13" s="35"/>
      <c r="AR13" s="35"/>
      <c r="AS13" s="36"/>
      <c r="AT13" s="34"/>
      <c r="AU13" s="35"/>
      <c r="AV13" s="35"/>
      <c r="AW13" s="36"/>
      <c r="AX13" s="34"/>
      <c r="AY13" s="35"/>
      <c r="AZ13" s="35"/>
      <c r="BA13" s="36"/>
      <c r="BB13" s="34"/>
      <c r="BC13" s="35"/>
      <c r="BD13" s="35"/>
      <c r="BE13" s="36"/>
      <c r="BF13" s="34"/>
      <c r="BG13" s="35"/>
      <c r="BH13" s="35"/>
      <c r="BI13" s="36"/>
      <c r="BJ13" s="34"/>
      <c r="BK13" s="35"/>
      <c r="BL13" s="35"/>
      <c r="BM13" s="36"/>
      <c r="BN13" s="34"/>
      <c r="BO13" s="35"/>
      <c r="BP13" s="35"/>
      <c r="BQ13" s="36"/>
      <c r="BR13" s="88"/>
      <c r="BS13" s="88"/>
    </row>
    <row r="14" spans="1:71" ht="5.0999999999999996" hidden="1" customHeight="1">
      <c r="A14" s="30"/>
      <c r="B14" s="12"/>
      <c r="C14" s="13"/>
      <c r="D14" s="14"/>
      <c r="E14" s="28"/>
      <c r="F14" s="15"/>
      <c r="G14" s="31"/>
      <c r="H14" s="31"/>
      <c r="I14" s="32"/>
      <c r="J14" s="39"/>
      <c r="K14" s="31"/>
      <c r="L14" s="31"/>
      <c r="M14" s="32"/>
      <c r="N14" s="39"/>
      <c r="O14" s="31"/>
      <c r="P14" s="31"/>
      <c r="Q14" s="32"/>
      <c r="R14" s="33"/>
      <c r="S14" s="31"/>
      <c r="T14" s="31"/>
      <c r="U14" s="32"/>
      <c r="V14" s="33"/>
      <c r="W14" s="31"/>
      <c r="X14" s="31"/>
      <c r="Y14" s="40"/>
      <c r="Z14" s="33"/>
      <c r="AA14" s="31"/>
      <c r="AB14" s="31"/>
      <c r="AC14" s="32"/>
      <c r="AD14" s="33"/>
      <c r="AE14" s="31"/>
      <c r="AF14" s="31"/>
      <c r="AG14" s="32"/>
      <c r="AH14" s="33"/>
      <c r="AI14" s="31"/>
      <c r="AJ14" s="31"/>
      <c r="AK14" s="32"/>
      <c r="AL14" s="33"/>
      <c r="AM14" s="41"/>
      <c r="AN14" s="31"/>
      <c r="AO14" s="32"/>
      <c r="AP14" s="33"/>
      <c r="AQ14" s="31"/>
      <c r="AR14" s="31"/>
      <c r="AS14" s="32"/>
      <c r="AT14" s="33"/>
      <c r="AU14" s="31"/>
      <c r="AV14" s="31"/>
      <c r="AW14" s="32"/>
      <c r="AX14" s="33"/>
      <c r="AY14" s="31"/>
      <c r="AZ14" s="31"/>
      <c r="BA14" s="32"/>
      <c r="BB14" s="33"/>
      <c r="BC14" s="31"/>
      <c r="BD14" s="31"/>
      <c r="BE14" s="32"/>
      <c r="BF14" s="33"/>
      <c r="BG14" s="31"/>
      <c r="BH14" s="31"/>
      <c r="BI14" s="32"/>
      <c r="BJ14" s="33"/>
      <c r="BK14" s="31"/>
      <c r="BL14" s="31"/>
      <c r="BM14" s="32"/>
      <c r="BN14" s="33"/>
      <c r="BO14" s="31"/>
      <c r="BP14" s="31"/>
      <c r="BQ14" s="32"/>
      <c r="BR14" s="88"/>
      <c r="BS14" s="88"/>
    </row>
    <row r="15" spans="1:71" ht="12" customHeight="1">
      <c r="A15" s="198">
        <v>1.1000000000000001</v>
      </c>
      <c r="B15" s="199" t="s">
        <v>9</v>
      </c>
      <c r="C15" s="42">
        <v>2220160.5555555555</v>
      </c>
      <c r="D15" s="17"/>
      <c r="E15" s="43"/>
      <c r="F15" s="79">
        <v>20</v>
      </c>
      <c r="G15" s="79">
        <f>F15</f>
        <v>20</v>
      </c>
      <c r="H15" s="79">
        <f t="shared" ref="H15:K15" si="0">G15</f>
        <v>20</v>
      </c>
      <c r="I15" s="79">
        <f t="shared" si="0"/>
        <v>20</v>
      </c>
      <c r="J15" s="79">
        <f t="shared" si="0"/>
        <v>20</v>
      </c>
      <c r="K15" s="79">
        <f t="shared" si="0"/>
        <v>20</v>
      </c>
      <c r="L15" s="45"/>
      <c r="M15" s="46"/>
      <c r="N15" s="45"/>
      <c r="O15" s="45"/>
      <c r="P15" s="45"/>
      <c r="Q15" s="46"/>
      <c r="R15" s="22"/>
      <c r="S15" s="20"/>
      <c r="T15" s="20"/>
      <c r="U15" s="21"/>
      <c r="V15" s="22"/>
      <c r="W15" s="20"/>
      <c r="X15" s="20"/>
      <c r="Y15" s="47"/>
      <c r="Z15" s="22"/>
      <c r="AA15" s="20"/>
      <c r="AB15" s="20"/>
      <c r="AC15" s="21"/>
      <c r="AD15" s="22"/>
      <c r="AE15" s="20"/>
      <c r="AF15" s="20"/>
      <c r="AG15" s="21"/>
      <c r="AH15" s="22"/>
      <c r="AI15" s="20"/>
      <c r="AJ15" s="20"/>
      <c r="AK15" s="21"/>
      <c r="AL15" s="22"/>
      <c r="AM15" s="48"/>
      <c r="AN15" s="20"/>
      <c r="AO15" s="21"/>
      <c r="AP15" s="22"/>
      <c r="AQ15" s="20"/>
      <c r="AR15" s="20"/>
      <c r="AS15" s="21"/>
      <c r="AT15" s="22"/>
      <c r="AU15" s="20"/>
      <c r="AV15" s="20"/>
      <c r="AW15" s="21"/>
      <c r="AX15" s="22"/>
      <c r="AY15" s="20"/>
      <c r="AZ15" s="20"/>
      <c r="BA15" s="21"/>
      <c r="BB15" s="22"/>
      <c r="BC15" s="20"/>
      <c r="BD15" s="20"/>
      <c r="BE15" s="21"/>
      <c r="BF15" s="22"/>
      <c r="BG15" s="20"/>
      <c r="BH15" s="20"/>
      <c r="BI15" s="21"/>
      <c r="BJ15" s="22"/>
      <c r="BK15" s="20"/>
      <c r="BL15" s="20"/>
      <c r="BM15" s="21"/>
      <c r="BN15" s="22"/>
      <c r="BO15" s="20"/>
      <c r="BP15" s="20"/>
      <c r="BQ15" s="21"/>
      <c r="BR15" s="101">
        <f>SUM(F15:BQ15)*8</f>
        <v>960</v>
      </c>
      <c r="BS15" s="101"/>
    </row>
    <row r="16" spans="1:71" ht="12" customHeight="1">
      <c r="A16" s="198"/>
      <c r="B16" s="199"/>
      <c r="C16" s="16"/>
      <c r="D16" s="17"/>
      <c r="E16" s="43"/>
      <c r="F16" s="49"/>
      <c r="G16" s="45"/>
      <c r="H16" s="45"/>
      <c r="I16" s="46"/>
      <c r="J16" s="50"/>
      <c r="K16" s="45"/>
      <c r="L16" s="45"/>
      <c r="M16" s="21"/>
      <c r="N16" s="51"/>
      <c r="O16" s="44"/>
      <c r="P16" s="20"/>
      <c r="Q16" s="21"/>
      <c r="R16" s="52"/>
      <c r="S16" s="53"/>
      <c r="T16" s="20"/>
      <c r="U16" s="21"/>
      <c r="V16" s="52"/>
      <c r="W16" s="53"/>
      <c r="X16" s="20"/>
      <c r="Y16" s="47"/>
      <c r="Z16" s="52"/>
      <c r="AA16" s="53"/>
      <c r="AB16" s="20"/>
      <c r="AC16" s="21"/>
      <c r="AD16" s="52"/>
      <c r="AE16" s="20"/>
      <c r="AF16" s="20"/>
      <c r="AG16" s="21"/>
      <c r="AH16" s="52"/>
      <c r="AI16" s="20"/>
      <c r="AJ16" s="20"/>
      <c r="AK16" s="21"/>
      <c r="AL16" s="52"/>
      <c r="AM16" s="48"/>
      <c r="AN16" s="20"/>
      <c r="AO16" s="21"/>
      <c r="AP16" s="52"/>
      <c r="AQ16" s="20"/>
      <c r="AR16" s="20"/>
      <c r="AS16" s="21"/>
      <c r="AT16" s="52"/>
      <c r="AU16" s="20"/>
      <c r="AV16" s="20"/>
      <c r="AW16" s="21"/>
      <c r="AX16" s="52"/>
      <c r="AY16" s="20"/>
      <c r="AZ16" s="20"/>
      <c r="BA16" s="21"/>
      <c r="BB16" s="52"/>
      <c r="BC16" s="20"/>
      <c r="BD16" s="20"/>
      <c r="BE16" s="21"/>
      <c r="BF16" s="52"/>
      <c r="BG16" s="20"/>
      <c r="BH16" s="20"/>
      <c r="BI16" s="21"/>
      <c r="BJ16" s="52"/>
      <c r="BK16" s="20"/>
      <c r="BL16" s="20"/>
      <c r="BM16" s="21"/>
      <c r="BN16" s="52"/>
      <c r="BO16" s="20"/>
      <c r="BP16" s="20"/>
      <c r="BQ16" s="21"/>
      <c r="BR16" s="101">
        <f t="shared" ref="BR16:BR79" si="1">SUM(F16:BQ16)*8</f>
        <v>0</v>
      </c>
      <c r="BS16" s="101">
        <f>1-BR16</f>
        <v>1</v>
      </c>
    </row>
    <row r="17" spans="1:71" ht="12" customHeight="1">
      <c r="A17" s="198">
        <v>1.2</v>
      </c>
      <c r="B17" s="199" t="s">
        <v>12</v>
      </c>
      <c r="C17" s="42">
        <v>3725346.6166666658</v>
      </c>
      <c r="D17" s="17"/>
      <c r="E17" s="43"/>
      <c r="F17" s="44"/>
      <c r="G17" s="44"/>
      <c r="H17" s="44"/>
      <c r="I17" s="44"/>
      <c r="J17" s="50"/>
      <c r="K17" s="44"/>
      <c r="L17" s="81">
        <v>5</v>
      </c>
      <c r="M17" s="80">
        <f>L17</f>
        <v>5</v>
      </c>
      <c r="N17" s="81">
        <f t="shared" ref="N17:BI17" si="2">M17</f>
        <v>5</v>
      </c>
      <c r="O17" s="81">
        <f t="shared" si="2"/>
        <v>5</v>
      </c>
      <c r="P17" s="81">
        <f t="shared" si="2"/>
        <v>5</v>
      </c>
      <c r="Q17" s="80">
        <f t="shared" si="2"/>
        <v>5</v>
      </c>
      <c r="R17" s="82">
        <f t="shared" si="2"/>
        <v>5</v>
      </c>
      <c r="S17" s="81">
        <f t="shared" si="2"/>
        <v>5</v>
      </c>
      <c r="T17" s="81">
        <f t="shared" si="2"/>
        <v>5</v>
      </c>
      <c r="U17" s="80">
        <f t="shared" si="2"/>
        <v>5</v>
      </c>
      <c r="V17" s="82">
        <f t="shared" si="2"/>
        <v>5</v>
      </c>
      <c r="W17" s="81">
        <f t="shared" si="2"/>
        <v>5</v>
      </c>
      <c r="X17" s="81">
        <f t="shared" si="2"/>
        <v>5</v>
      </c>
      <c r="Y17" s="83"/>
      <c r="Z17" s="82">
        <f>X17</f>
        <v>5</v>
      </c>
      <c r="AA17" s="81">
        <f t="shared" si="2"/>
        <v>5</v>
      </c>
      <c r="AB17" s="81">
        <f t="shared" si="2"/>
        <v>5</v>
      </c>
      <c r="AC17" s="80">
        <f t="shared" si="2"/>
        <v>5</v>
      </c>
      <c r="AD17" s="82">
        <f t="shared" si="2"/>
        <v>5</v>
      </c>
      <c r="AE17" s="81">
        <f t="shared" si="2"/>
        <v>5</v>
      </c>
      <c r="AF17" s="81">
        <f t="shared" si="2"/>
        <v>5</v>
      </c>
      <c r="AG17" s="80">
        <f t="shared" si="2"/>
        <v>5</v>
      </c>
      <c r="AH17" s="82">
        <f t="shared" si="2"/>
        <v>5</v>
      </c>
      <c r="AI17" s="81">
        <f t="shared" si="2"/>
        <v>5</v>
      </c>
      <c r="AJ17" s="81">
        <f t="shared" si="2"/>
        <v>5</v>
      </c>
      <c r="AK17" s="80">
        <f t="shared" si="2"/>
        <v>5</v>
      </c>
      <c r="AL17" s="82">
        <f t="shared" si="2"/>
        <v>5</v>
      </c>
      <c r="AM17" s="84"/>
      <c r="AN17" s="81">
        <f>AL17</f>
        <v>5</v>
      </c>
      <c r="AO17" s="80">
        <f t="shared" si="2"/>
        <v>5</v>
      </c>
      <c r="AP17" s="82">
        <f t="shared" si="2"/>
        <v>5</v>
      </c>
      <c r="AQ17" s="81">
        <f t="shared" si="2"/>
        <v>5</v>
      </c>
      <c r="AR17" s="81">
        <f t="shared" si="2"/>
        <v>5</v>
      </c>
      <c r="AS17" s="80">
        <f t="shared" si="2"/>
        <v>5</v>
      </c>
      <c r="AT17" s="82">
        <f t="shared" si="2"/>
        <v>5</v>
      </c>
      <c r="AU17" s="81">
        <f t="shared" si="2"/>
        <v>5</v>
      </c>
      <c r="AV17" s="81">
        <f t="shared" si="2"/>
        <v>5</v>
      </c>
      <c r="AW17" s="80">
        <f t="shared" si="2"/>
        <v>5</v>
      </c>
      <c r="AX17" s="79">
        <f t="shared" si="2"/>
        <v>5</v>
      </c>
      <c r="AY17" s="81">
        <f t="shared" si="2"/>
        <v>5</v>
      </c>
      <c r="AZ17" s="81">
        <f t="shared" si="2"/>
        <v>5</v>
      </c>
      <c r="BA17" s="80">
        <f t="shared" si="2"/>
        <v>5</v>
      </c>
      <c r="BB17" s="79">
        <f t="shared" si="2"/>
        <v>5</v>
      </c>
      <c r="BC17" s="81">
        <f t="shared" si="2"/>
        <v>5</v>
      </c>
      <c r="BD17" s="81">
        <f t="shared" si="2"/>
        <v>5</v>
      </c>
      <c r="BE17" s="80">
        <f t="shared" si="2"/>
        <v>5</v>
      </c>
      <c r="BF17" s="79">
        <f t="shared" si="2"/>
        <v>5</v>
      </c>
      <c r="BG17" s="81">
        <f t="shared" si="2"/>
        <v>5</v>
      </c>
      <c r="BH17" s="81">
        <f t="shared" si="2"/>
        <v>5</v>
      </c>
      <c r="BI17" s="80">
        <f t="shared" si="2"/>
        <v>5</v>
      </c>
      <c r="BJ17" s="44"/>
      <c r="BK17" s="45"/>
      <c r="BL17" s="20"/>
      <c r="BM17" s="21"/>
      <c r="BN17" s="44"/>
      <c r="BO17" s="45"/>
      <c r="BP17" s="20"/>
      <c r="BQ17" s="21"/>
      <c r="BR17" s="101">
        <f t="shared" si="1"/>
        <v>1920</v>
      </c>
      <c r="BS17" s="101"/>
    </row>
    <row r="18" spans="1:71" ht="12" customHeight="1">
      <c r="A18" s="198"/>
      <c r="B18" s="199"/>
      <c r="C18" s="16"/>
      <c r="D18" s="17"/>
      <c r="E18" s="43"/>
      <c r="F18" s="49"/>
      <c r="G18" s="45"/>
      <c r="H18" s="45"/>
      <c r="I18" s="46"/>
      <c r="J18" s="50"/>
      <c r="K18" s="45"/>
      <c r="L18" s="45"/>
      <c r="M18" s="21"/>
      <c r="N18" s="51"/>
      <c r="O18" s="44"/>
      <c r="P18" s="20"/>
      <c r="Q18" s="21"/>
      <c r="R18" s="52"/>
      <c r="S18" s="53"/>
      <c r="T18" s="20"/>
      <c r="U18" s="21"/>
      <c r="V18" s="52"/>
      <c r="W18" s="53"/>
      <c r="X18" s="20"/>
      <c r="Y18" s="47"/>
      <c r="Z18" s="52"/>
      <c r="AA18" s="53"/>
      <c r="AB18" s="20"/>
      <c r="AC18" s="21"/>
      <c r="AD18" s="52"/>
      <c r="AE18" s="20"/>
      <c r="AF18" s="20"/>
      <c r="AG18" s="21"/>
      <c r="AH18" s="52"/>
      <c r="AI18" s="20"/>
      <c r="AJ18" s="20"/>
      <c r="AK18" s="21"/>
      <c r="AL18" s="52"/>
      <c r="AM18" s="48"/>
      <c r="AN18" s="20"/>
      <c r="AO18" s="21"/>
      <c r="AP18" s="52"/>
      <c r="AQ18" s="20"/>
      <c r="AR18" s="20"/>
      <c r="AS18" s="21"/>
      <c r="AT18" s="52"/>
      <c r="AU18" s="20"/>
      <c r="AV18" s="20"/>
      <c r="AW18" s="21"/>
      <c r="AX18" s="52"/>
      <c r="AY18" s="20"/>
      <c r="AZ18" s="20"/>
      <c r="BA18" s="21"/>
      <c r="BB18" s="52"/>
      <c r="BC18" s="20"/>
      <c r="BD18" s="20"/>
      <c r="BE18" s="21"/>
      <c r="BF18" s="52"/>
      <c r="BG18" s="20"/>
      <c r="BH18" s="20"/>
      <c r="BI18" s="21"/>
      <c r="BJ18" s="52"/>
      <c r="BK18" s="20"/>
      <c r="BL18" s="20"/>
      <c r="BM18" s="21"/>
      <c r="BN18" s="52"/>
      <c r="BO18" s="20"/>
      <c r="BP18" s="20"/>
      <c r="BQ18" s="21"/>
      <c r="BR18" s="101">
        <f t="shared" si="1"/>
        <v>0</v>
      </c>
      <c r="BS18" s="101"/>
    </row>
    <row r="19" spans="1:71" ht="12" customHeight="1">
      <c r="A19" s="198">
        <v>1.3</v>
      </c>
      <c r="B19" s="199" t="s">
        <v>13</v>
      </c>
      <c r="C19" s="42">
        <v>324025.76</v>
      </c>
      <c r="D19" s="17"/>
      <c r="E19" s="43"/>
      <c r="F19" s="44"/>
      <c r="G19" s="45"/>
      <c r="H19" s="45"/>
      <c r="I19" s="46"/>
      <c r="J19" s="45"/>
      <c r="K19" s="45"/>
      <c r="L19" s="45"/>
      <c r="M19" s="46"/>
      <c r="N19" s="45"/>
      <c r="O19" s="45"/>
      <c r="P19" s="45"/>
      <c r="Q19" s="46"/>
      <c r="R19" s="22"/>
      <c r="S19" s="20"/>
      <c r="T19" s="20"/>
      <c r="U19" s="21"/>
      <c r="V19" s="22"/>
      <c r="W19" s="20"/>
      <c r="X19" s="20"/>
      <c r="Y19" s="47"/>
      <c r="Z19" s="22"/>
      <c r="AA19" s="20"/>
      <c r="AB19" s="20"/>
      <c r="AC19" s="21"/>
      <c r="AD19" s="22"/>
      <c r="AE19" s="20"/>
      <c r="AF19" s="20"/>
      <c r="AG19" s="21"/>
      <c r="AH19" s="22"/>
      <c r="AI19" s="20"/>
      <c r="AJ19" s="20"/>
      <c r="AK19" s="21"/>
      <c r="AL19" s="22"/>
      <c r="AM19" s="48"/>
      <c r="AN19" s="20"/>
      <c r="AO19" s="21"/>
      <c r="AP19" s="22"/>
      <c r="AQ19" s="20"/>
      <c r="AR19" s="20"/>
      <c r="AS19" s="21"/>
      <c r="AT19" s="22"/>
      <c r="AU19" s="20"/>
      <c r="AV19" s="20"/>
      <c r="AW19" s="21"/>
      <c r="AX19" s="22"/>
      <c r="AY19" s="20"/>
      <c r="AZ19" s="20"/>
      <c r="BA19" s="21"/>
      <c r="BB19" s="22"/>
      <c r="BC19" s="20"/>
      <c r="BD19" s="20"/>
      <c r="BE19" s="21"/>
      <c r="BF19" s="22"/>
      <c r="BG19" s="20"/>
      <c r="BH19" s="20"/>
      <c r="BI19" s="21"/>
      <c r="BJ19" s="22">
        <v>5</v>
      </c>
      <c r="BK19" s="20">
        <f>BJ19</f>
        <v>5</v>
      </c>
      <c r="BL19" s="20">
        <f t="shared" ref="BL19:BQ19" si="3">BK19</f>
        <v>5</v>
      </c>
      <c r="BM19" s="21">
        <f t="shared" si="3"/>
        <v>5</v>
      </c>
      <c r="BN19" s="22">
        <f t="shared" si="3"/>
        <v>5</v>
      </c>
      <c r="BO19" s="20">
        <f t="shared" si="3"/>
        <v>5</v>
      </c>
      <c r="BP19" s="20">
        <f t="shared" si="3"/>
        <v>5</v>
      </c>
      <c r="BQ19" s="21">
        <f t="shared" si="3"/>
        <v>5</v>
      </c>
      <c r="BR19" s="101">
        <f t="shared" si="1"/>
        <v>320</v>
      </c>
      <c r="BS19" s="101"/>
    </row>
    <row r="20" spans="1:71" ht="12" customHeight="1">
      <c r="A20" s="198"/>
      <c r="B20" s="199"/>
      <c r="C20" s="16"/>
      <c r="D20" s="17"/>
      <c r="E20" s="43"/>
      <c r="F20" s="49"/>
      <c r="G20" s="45"/>
      <c r="H20" s="45"/>
      <c r="I20" s="46"/>
      <c r="J20" s="50"/>
      <c r="K20" s="45"/>
      <c r="L20" s="45"/>
      <c r="M20" s="21"/>
      <c r="N20" s="51"/>
      <c r="O20" s="44"/>
      <c r="P20" s="20"/>
      <c r="Q20" s="21"/>
      <c r="R20" s="52"/>
      <c r="S20" s="53"/>
      <c r="T20" s="20"/>
      <c r="U20" s="21"/>
      <c r="V20" s="52"/>
      <c r="W20" s="53"/>
      <c r="X20" s="20"/>
      <c r="Y20" s="47"/>
      <c r="Z20" s="52"/>
      <c r="AA20" s="53"/>
      <c r="AB20" s="20"/>
      <c r="AC20" s="21"/>
      <c r="AD20" s="52"/>
      <c r="AE20" s="20"/>
      <c r="AF20" s="20"/>
      <c r="AG20" s="21"/>
      <c r="AH20" s="52"/>
      <c r="AI20" s="20"/>
      <c r="AJ20" s="20"/>
      <c r="AK20" s="21"/>
      <c r="AL20" s="52"/>
      <c r="AM20" s="48"/>
      <c r="AN20" s="20"/>
      <c r="AO20" s="21"/>
      <c r="AP20" s="52"/>
      <c r="AQ20" s="20"/>
      <c r="AR20" s="20"/>
      <c r="AS20" s="21"/>
      <c r="AT20" s="52"/>
      <c r="AU20" s="20"/>
      <c r="AV20" s="20"/>
      <c r="AW20" s="21"/>
      <c r="AX20" s="52"/>
      <c r="AY20" s="20"/>
      <c r="AZ20" s="20"/>
      <c r="BA20" s="21"/>
      <c r="BB20" s="52"/>
      <c r="BC20" s="20"/>
      <c r="BD20" s="20"/>
      <c r="BE20" s="21"/>
      <c r="BF20" s="52"/>
      <c r="BG20" s="20"/>
      <c r="BH20" s="20"/>
      <c r="BI20" s="21"/>
      <c r="BJ20" s="52"/>
      <c r="BK20" s="20"/>
      <c r="BL20" s="20"/>
      <c r="BM20" s="21"/>
      <c r="BN20" s="52"/>
      <c r="BO20" s="20"/>
      <c r="BP20" s="20"/>
      <c r="BQ20" s="21"/>
      <c r="BR20" s="101">
        <f t="shared" si="1"/>
        <v>0</v>
      </c>
      <c r="BS20" s="101"/>
    </row>
    <row r="21" spans="1:71" ht="22.5" customHeight="1">
      <c r="A21" s="91">
        <v>2</v>
      </c>
      <c r="B21" s="92" t="s">
        <v>60</v>
      </c>
      <c r="C21" s="58">
        <f>SUM(C23:C40)</f>
        <v>54647766.063333333</v>
      </c>
      <c r="D21" s="17"/>
      <c r="E21" s="43"/>
      <c r="F21" s="59"/>
      <c r="G21" s="20"/>
      <c r="H21" s="20"/>
      <c r="I21" s="21"/>
      <c r="J21" s="22"/>
      <c r="K21" s="20"/>
      <c r="L21" s="20"/>
      <c r="M21" s="21"/>
      <c r="N21" s="22"/>
      <c r="O21" s="20"/>
      <c r="P21" s="20"/>
      <c r="Q21" s="21"/>
      <c r="R21" s="22"/>
      <c r="S21" s="20"/>
      <c r="T21" s="20"/>
      <c r="U21" s="60"/>
      <c r="V21" s="22"/>
      <c r="W21" s="20"/>
      <c r="X21" s="20"/>
      <c r="Y21" s="61"/>
      <c r="Z21" s="22"/>
      <c r="AA21" s="20"/>
      <c r="AB21" s="20"/>
      <c r="AC21" s="60"/>
      <c r="AD21" s="22"/>
      <c r="AE21" s="20"/>
      <c r="AF21" s="20"/>
      <c r="AG21" s="21"/>
      <c r="AH21" s="22"/>
      <c r="AI21" s="20"/>
      <c r="AJ21" s="20"/>
      <c r="AK21" s="21"/>
      <c r="AL21" s="22"/>
      <c r="AM21" s="48"/>
      <c r="AN21" s="20"/>
      <c r="AO21" s="21"/>
      <c r="AP21" s="22"/>
      <c r="AQ21" s="20"/>
      <c r="AR21" s="20"/>
      <c r="AS21" s="21"/>
      <c r="AT21" s="22"/>
      <c r="AU21" s="20"/>
      <c r="AV21" s="20"/>
      <c r="AW21" s="21"/>
      <c r="AX21" s="22"/>
      <c r="AY21" s="20"/>
      <c r="AZ21" s="20"/>
      <c r="BA21" s="21"/>
      <c r="BB21" s="22"/>
      <c r="BC21" s="20"/>
      <c r="BD21" s="20"/>
      <c r="BE21" s="21"/>
      <c r="BF21" s="22"/>
      <c r="BG21" s="20"/>
      <c r="BH21" s="20"/>
      <c r="BI21" s="21"/>
      <c r="BJ21" s="22"/>
      <c r="BK21" s="20"/>
      <c r="BL21" s="20"/>
      <c r="BM21" s="21"/>
      <c r="BN21" s="22"/>
      <c r="BO21" s="20"/>
      <c r="BP21" s="20"/>
      <c r="BQ21" s="21"/>
      <c r="BR21" s="101">
        <f t="shared" si="1"/>
        <v>0</v>
      </c>
      <c r="BS21" s="101"/>
    </row>
    <row r="22" spans="1:71" ht="5.0999999999999996" hidden="1" customHeight="1">
      <c r="A22" s="56"/>
      <c r="B22" s="18"/>
      <c r="C22" s="58"/>
      <c r="D22" s="17"/>
      <c r="E22" s="43"/>
      <c r="F22" s="59"/>
      <c r="G22" s="20"/>
      <c r="H22" s="20"/>
      <c r="I22" s="21"/>
      <c r="J22" s="22"/>
      <c r="K22" s="20"/>
      <c r="L22" s="20"/>
      <c r="M22" s="21"/>
      <c r="N22" s="22"/>
      <c r="O22" s="20"/>
      <c r="P22" s="20"/>
      <c r="Q22" s="21"/>
      <c r="R22" s="22"/>
      <c r="S22" s="20"/>
      <c r="T22" s="20"/>
      <c r="U22" s="60"/>
      <c r="V22" s="22"/>
      <c r="W22" s="20"/>
      <c r="X22" s="20"/>
      <c r="Y22" s="61"/>
      <c r="Z22" s="22"/>
      <c r="AA22" s="20"/>
      <c r="AB22" s="20"/>
      <c r="AC22" s="60"/>
      <c r="AD22" s="22"/>
      <c r="AE22" s="20"/>
      <c r="AF22" s="20"/>
      <c r="AG22" s="21"/>
      <c r="AH22" s="22"/>
      <c r="AI22" s="20"/>
      <c r="AJ22" s="20"/>
      <c r="AK22" s="21"/>
      <c r="AL22" s="22"/>
      <c r="AM22" s="48"/>
      <c r="AN22" s="20"/>
      <c r="AO22" s="21"/>
      <c r="AP22" s="22"/>
      <c r="AQ22" s="20"/>
      <c r="AR22" s="20"/>
      <c r="AS22" s="21"/>
      <c r="AT22" s="22"/>
      <c r="AU22" s="20"/>
      <c r="AV22" s="20"/>
      <c r="AW22" s="21"/>
      <c r="AX22" s="22"/>
      <c r="AY22" s="20"/>
      <c r="AZ22" s="20"/>
      <c r="BA22" s="21"/>
      <c r="BB22" s="22"/>
      <c r="BC22" s="20"/>
      <c r="BD22" s="20"/>
      <c r="BE22" s="21"/>
      <c r="BF22" s="22"/>
      <c r="BG22" s="20"/>
      <c r="BH22" s="20"/>
      <c r="BI22" s="21"/>
      <c r="BJ22" s="22"/>
      <c r="BK22" s="20"/>
      <c r="BL22" s="20"/>
      <c r="BM22" s="21"/>
      <c r="BN22" s="22"/>
      <c r="BO22" s="20"/>
      <c r="BP22" s="20"/>
      <c r="BQ22" s="21"/>
      <c r="BR22" s="101">
        <f t="shared" si="1"/>
        <v>0</v>
      </c>
      <c r="BS22" s="101"/>
    </row>
    <row r="23" spans="1:71" ht="12" hidden="1" customHeight="1">
      <c r="A23" s="198">
        <v>2.1</v>
      </c>
      <c r="B23" s="202" t="s">
        <v>61</v>
      </c>
      <c r="C23" s="42">
        <v>0</v>
      </c>
      <c r="D23" s="17"/>
      <c r="E23" s="43"/>
      <c r="F23" s="59"/>
      <c r="G23" s="45"/>
      <c r="H23" s="62">
        <f>1/4</f>
        <v>0.25</v>
      </c>
      <c r="I23" s="46">
        <f>H23</f>
        <v>0.25</v>
      </c>
      <c r="J23" s="63">
        <f>I23</f>
        <v>0.25</v>
      </c>
      <c r="K23" s="45">
        <f>J23</f>
        <v>0.25</v>
      </c>
      <c r="L23" s="62"/>
      <c r="M23" s="46"/>
      <c r="N23" s="63"/>
      <c r="O23" s="45"/>
      <c r="P23" s="62"/>
      <c r="Q23" s="46"/>
      <c r="R23" s="51"/>
      <c r="S23" s="45"/>
      <c r="T23" s="45"/>
      <c r="U23" s="46"/>
      <c r="V23" s="51"/>
      <c r="W23" s="45"/>
      <c r="X23" s="45"/>
      <c r="Y23" s="54"/>
      <c r="Z23" s="51"/>
      <c r="AA23" s="45"/>
      <c r="AB23" s="45"/>
      <c r="AC23" s="46"/>
      <c r="AD23" s="51"/>
      <c r="AE23" s="45"/>
      <c r="AF23" s="45"/>
      <c r="AG23" s="46"/>
      <c r="AH23" s="51"/>
      <c r="AI23" s="45"/>
      <c r="AJ23" s="45"/>
      <c r="AK23" s="46"/>
      <c r="AL23" s="51"/>
      <c r="AM23" s="55"/>
      <c r="AN23" s="45"/>
      <c r="AO23" s="46"/>
      <c r="AP23" s="51"/>
      <c r="AQ23" s="45"/>
      <c r="AR23" s="45"/>
      <c r="AS23" s="46"/>
      <c r="AT23" s="51"/>
      <c r="AU23" s="45"/>
      <c r="AV23" s="45"/>
      <c r="AW23" s="46"/>
      <c r="AX23" s="51"/>
      <c r="AY23" s="45"/>
      <c r="AZ23" s="45"/>
      <c r="BA23" s="46"/>
      <c r="BB23" s="51"/>
      <c r="BC23" s="45"/>
      <c r="BD23" s="45"/>
      <c r="BE23" s="46"/>
      <c r="BF23" s="51"/>
      <c r="BG23" s="45"/>
      <c r="BH23" s="45"/>
      <c r="BI23" s="46"/>
      <c r="BJ23" s="51"/>
      <c r="BK23" s="45"/>
      <c r="BL23" s="45"/>
      <c r="BM23" s="46"/>
      <c r="BN23" s="51"/>
      <c r="BO23" s="45"/>
      <c r="BP23" s="45"/>
      <c r="BQ23" s="46"/>
      <c r="BR23" s="101">
        <f t="shared" si="1"/>
        <v>8</v>
      </c>
      <c r="BS23" s="101"/>
    </row>
    <row r="24" spans="1:71" ht="12" hidden="1" customHeight="1">
      <c r="A24" s="198"/>
      <c r="B24" s="203"/>
      <c r="C24" s="16"/>
      <c r="D24" s="17"/>
      <c r="E24" s="43"/>
      <c r="F24" s="64"/>
      <c r="G24" s="20"/>
      <c r="H24" s="20"/>
      <c r="I24" s="21"/>
      <c r="J24" s="52"/>
      <c r="K24" s="20"/>
      <c r="L24" s="20"/>
      <c r="M24" s="46"/>
      <c r="N24" s="50"/>
      <c r="O24" s="20"/>
      <c r="P24" s="20"/>
      <c r="Q24" s="21"/>
      <c r="R24" s="50"/>
      <c r="S24" s="45"/>
      <c r="T24" s="45"/>
      <c r="U24" s="46"/>
      <c r="V24" s="50"/>
      <c r="W24" s="45"/>
      <c r="X24" s="45"/>
      <c r="Y24" s="54"/>
      <c r="Z24" s="50"/>
      <c r="AA24" s="45"/>
      <c r="AB24" s="45"/>
      <c r="AC24" s="46"/>
      <c r="AD24" s="50"/>
      <c r="AE24" s="45"/>
      <c r="AF24" s="45"/>
      <c r="AG24" s="46"/>
      <c r="AH24" s="50"/>
      <c r="AI24" s="45"/>
      <c r="AJ24" s="45"/>
      <c r="AK24" s="46"/>
      <c r="AL24" s="50"/>
      <c r="AM24" s="55"/>
      <c r="AN24" s="45"/>
      <c r="AO24" s="46"/>
      <c r="AP24" s="50"/>
      <c r="AQ24" s="45"/>
      <c r="AR24" s="45"/>
      <c r="AS24" s="46"/>
      <c r="AT24" s="50"/>
      <c r="AU24" s="45"/>
      <c r="AV24" s="45"/>
      <c r="AW24" s="46"/>
      <c r="AX24" s="50"/>
      <c r="AY24" s="45"/>
      <c r="AZ24" s="45"/>
      <c r="BA24" s="46"/>
      <c r="BB24" s="50"/>
      <c r="BC24" s="45"/>
      <c r="BD24" s="45"/>
      <c r="BE24" s="46"/>
      <c r="BF24" s="50"/>
      <c r="BG24" s="45"/>
      <c r="BH24" s="45"/>
      <c r="BI24" s="46"/>
      <c r="BJ24" s="50"/>
      <c r="BK24" s="45"/>
      <c r="BL24" s="45"/>
      <c r="BM24" s="46"/>
      <c r="BN24" s="50"/>
      <c r="BO24" s="45"/>
      <c r="BP24" s="45"/>
      <c r="BQ24" s="46"/>
      <c r="BR24" s="101">
        <f t="shared" si="1"/>
        <v>0</v>
      </c>
      <c r="BS24" s="101"/>
    </row>
    <row r="25" spans="1:71" ht="12" customHeight="1">
      <c r="A25" s="198">
        <v>2.2000000000000002</v>
      </c>
      <c r="B25" s="199" t="s">
        <v>62</v>
      </c>
      <c r="C25" s="42">
        <v>15715922.220000001</v>
      </c>
      <c r="D25" s="17"/>
      <c r="E25" s="43"/>
      <c r="F25" s="59"/>
      <c r="G25" s="20"/>
      <c r="H25" s="20"/>
      <c r="I25" s="21"/>
      <c r="J25" s="63"/>
      <c r="K25" s="45"/>
      <c r="L25" s="45"/>
      <c r="M25" s="46"/>
      <c r="N25" s="51"/>
      <c r="O25" s="45"/>
      <c r="P25" s="45"/>
      <c r="Q25" s="46"/>
      <c r="R25" s="51"/>
      <c r="S25" s="45"/>
      <c r="T25" s="45"/>
      <c r="U25" s="46"/>
      <c r="V25" s="51"/>
      <c r="W25" s="45"/>
      <c r="X25" s="45"/>
      <c r="Y25" s="54"/>
      <c r="Z25" s="51"/>
      <c r="AA25" s="45"/>
      <c r="AB25" s="45"/>
      <c r="AC25" s="46"/>
      <c r="AD25" s="51"/>
      <c r="AE25" s="45"/>
      <c r="AF25" s="45"/>
      <c r="AG25" s="46"/>
      <c r="AH25" s="51"/>
      <c r="AI25" s="45"/>
      <c r="AJ25" s="45"/>
      <c r="AK25" s="46"/>
      <c r="AL25" s="51"/>
      <c r="AM25" s="55"/>
      <c r="AN25" s="45"/>
      <c r="AO25" s="46"/>
      <c r="AP25" s="51"/>
      <c r="AQ25" s="45"/>
      <c r="AR25" s="45"/>
      <c r="AS25" s="46"/>
      <c r="AT25" s="51"/>
      <c r="AU25" s="45"/>
      <c r="AV25" s="45"/>
      <c r="AW25" s="46"/>
      <c r="AX25" s="51"/>
      <c r="AY25" s="45"/>
      <c r="AZ25" s="45"/>
      <c r="BA25" s="46"/>
      <c r="BB25" s="51"/>
      <c r="BC25" s="45"/>
      <c r="BD25" s="45"/>
      <c r="BE25" s="46"/>
      <c r="BF25" s="51"/>
      <c r="BG25" s="45"/>
      <c r="BH25" s="45"/>
      <c r="BI25" s="46"/>
      <c r="BJ25" s="51"/>
      <c r="BK25" s="45"/>
      <c r="BL25" s="45"/>
      <c r="BM25" s="46"/>
      <c r="BN25" s="51"/>
      <c r="BO25" s="45"/>
      <c r="BP25" s="45"/>
      <c r="BQ25" s="46"/>
      <c r="BR25" s="101">
        <f t="shared" si="1"/>
        <v>0</v>
      </c>
      <c r="BS25" s="101"/>
    </row>
    <row r="26" spans="1:71" ht="12" customHeight="1">
      <c r="A26" s="198"/>
      <c r="B26" s="199"/>
      <c r="C26" s="16"/>
      <c r="D26" s="17"/>
      <c r="E26" s="43"/>
      <c r="F26" s="64"/>
      <c r="G26" s="20"/>
      <c r="H26" s="20"/>
      <c r="I26" s="21"/>
      <c r="J26" s="52"/>
      <c r="K26" s="20"/>
      <c r="L26" s="20"/>
      <c r="M26" s="21"/>
      <c r="N26" s="50"/>
      <c r="O26" s="20"/>
      <c r="P26" s="20"/>
      <c r="Q26" s="21"/>
      <c r="R26" s="50"/>
      <c r="S26" s="45"/>
      <c r="T26" s="45"/>
      <c r="U26" s="46"/>
      <c r="V26" s="50"/>
      <c r="W26" s="45"/>
      <c r="X26" s="45"/>
      <c r="Y26" s="54"/>
      <c r="Z26" s="50"/>
      <c r="AA26" s="45"/>
      <c r="AB26" s="45"/>
      <c r="AC26" s="46"/>
      <c r="AD26" s="50"/>
      <c r="AE26" s="45"/>
      <c r="AF26" s="45"/>
      <c r="AG26" s="46"/>
      <c r="AH26" s="50"/>
      <c r="AI26" s="45"/>
      <c r="AJ26" s="45"/>
      <c r="AK26" s="46"/>
      <c r="AL26" s="50"/>
      <c r="AM26" s="55"/>
      <c r="AN26" s="45"/>
      <c r="AO26" s="46"/>
      <c r="AP26" s="50"/>
      <c r="AQ26" s="45"/>
      <c r="AR26" s="45"/>
      <c r="AS26" s="46"/>
      <c r="AT26" s="50"/>
      <c r="AU26" s="45"/>
      <c r="AV26" s="45"/>
      <c r="AW26" s="46"/>
      <c r="AX26" s="50"/>
      <c r="AY26" s="45"/>
      <c r="AZ26" s="45"/>
      <c r="BA26" s="46"/>
      <c r="BB26" s="50"/>
      <c r="BC26" s="45"/>
      <c r="BD26" s="45"/>
      <c r="BE26" s="46"/>
      <c r="BF26" s="50"/>
      <c r="BG26" s="45"/>
      <c r="BH26" s="45"/>
      <c r="BI26" s="46"/>
      <c r="BJ26" s="50"/>
      <c r="BK26" s="45"/>
      <c r="BL26" s="45"/>
      <c r="BM26" s="46"/>
      <c r="BN26" s="50"/>
      <c r="BO26" s="45"/>
      <c r="BP26" s="45"/>
      <c r="BQ26" s="46"/>
      <c r="BR26" s="101">
        <f t="shared" si="1"/>
        <v>0</v>
      </c>
      <c r="BS26" s="101"/>
    </row>
    <row r="27" spans="1:71" ht="12" customHeight="1">
      <c r="A27" s="200">
        <v>2.2999999999999998</v>
      </c>
      <c r="B27" s="199" t="s">
        <v>63</v>
      </c>
      <c r="C27" s="42">
        <v>1336651.67</v>
      </c>
      <c r="D27" s="17"/>
      <c r="E27" s="43"/>
      <c r="F27" s="59"/>
      <c r="G27" s="20"/>
      <c r="H27" s="20"/>
      <c r="I27" s="21"/>
      <c r="J27" s="63"/>
      <c r="K27" s="45"/>
      <c r="L27" s="45"/>
      <c r="M27" s="46"/>
      <c r="N27" s="63"/>
      <c r="O27" s="45"/>
      <c r="P27" s="45"/>
      <c r="Q27" s="46"/>
      <c r="R27" s="82">
        <v>25</v>
      </c>
      <c r="S27" s="81">
        <f t="shared" ref="S27:U27" si="4">R27</f>
        <v>25</v>
      </c>
      <c r="T27" s="81">
        <f t="shared" si="4"/>
        <v>25</v>
      </c>
      <c r="U27" s="80">
        <f t="shared" si="4"/>
        <v>25</v>
      </c>
      <c r="V27" s="82">
        <f>U27</f>
        <v>25</v>
      </c>
      <c r="W27" s="81">
        <f>V27</f>
        <v>25</v>
      </c>
      <c r="X27" s="81">
        <f>W27</f>
        <v>25</v>
      </c>
      <c r="Y27" s="54"/>
      <c r="Z27" s="51"/>
      <c r="AA27" s="45"/>
      <c r="AB27" s="45"/>
      <c r="AC27" s="46"/>
      <c r="AD27" s="51"/>
      <c r="AE27" s="45"/>
      <c r="AF27" s="45"/>
      <c r="AG27" s="46"/>
      <c r="AH27" s="51"/>
      <c r="AI27" s="45"/>
      <c r="AJ27" s="45"/>
      <c r="AK27" s="46"/>
      <c r="AL27" s="51"/>
      <c r="AM27" s="55"/>
      <c r="AN27" s="45"/>
      <c r="AO27" s="46"/>
      <c r="AP27" s="51"/>
      <c r="AQ27" s="45"/>
      <c r="AR27" s="45"/>
      <c r="AS27" s="46"/>
      <c r="AT27" s="51"/>
      <c r="AU27" s="45"/>
      <c r="AV27" s="45"/>
      <c r="AW27" s="46"/>
      <c r="AX27" s="51"/>
      <c r="AY27" s="45"/>
      <c r="AZ27" s="45"/>
      <c r="BA27" s="46"/>
      <c r="BB27" s="51"/>
      <c r="BC27" s="45"/>
      <c r="BD27" s="45"/>
      <c r="BE27" s="46"/>
      <c r="BF27" s="51"/>
      <c r="BG27" s="45"/>
      <c r="BH27" s="45"/>
      <c r="BI27" s="46"/>
      <c r="BJ27" s="51"/>
      <c r="BK27" s="45"/>
      <c r="BL27" s="45"/>
      <c r="BM27" s="46"/>
      <c r="BN27" s="51"/>
      <c r="BO27" s="45"/>
      <c r="BP27" s="45"/>
      <c r="BQ27" s="46"/>
      <c r="BR27" s="101">
        <f t="shared" si="1"/>
        <v>1400</v>
      </c>
      <c r="BS27" s="101"/>
    </row>
    <row r="28" spans="1:71" ht="12" customHeight="1">
      <c r="A28" s="201"/>
      <c r="B28" s="199"/>
      <c r="C28" s="16"/>
      <c r="D28" s="17"/>
      <c r="E28" s="43"/>
      <c r="F28" s="64"/>
      <c r="G28" s="20"/>
      <c r="H28" s="20"/>
      <c r="I28" s="21"/>
      <c r="J28" s="52"/>
      <c r="K28" s="20"/>
      <c r="L28" s="20"/>
      <c r="M28" s="21"/>
      <c r="N28" s="50"/>
      <c r="O28" s="20"/>
      <c r="P28" s="20"/>
      <c r="Q28" s="21"/>
      <c r="R28" s="50"/>
      <c r="S28" s="45"/>
      <c r="T28" s="45"/>
      <c r="U28" s="46"/>
      <c r="V28" s="50"/>
      <c r="W28" s="45"/>
      <c r="X28" s="45"/>
      <c r="Y28" s="54"/>
      <c r="Z28" s="50"/>
      <c r="AA28" s="45"/>
      <c r="AB28" s="45"/>
      <c r="AC28" s="46"/>
      <c r="AD28" s="50"/>
      <c r="AE28" s="45"/>
      <c r="AF28" s="45"/>
      <c r="AG28" s="46"/>
      <c r="AH28" s="50"/>
      <c r="AI28" s="45"/>
      <c r="AJ28" s="45"/>
      <c r="AK28" s="46"/>
      <c r="AL28" s="50"/>
      <c r="AM28" s="55"/>
      <c r="AN28" s="45"/>
      <c r="AO28" s="46"/>
      <c r="AP28" s="50"/>
      <c r="AQ28" s="45"/>
      <c r="AR28" s="45"/>
      <c r="AS28" s="46"/>
      <c r="AT28" s="50"/>
      <c r="AU28" s="45"/>
      <c r="AV28" s="45"/>
      <c r="AW28" s="46"/>
      <c r="AX28" s="50"/>
      <c r="AY28" s="45"/>
      <c r="AZ28" s="45"/>
      <c r="BA28" s="46"/>
      <c r="BB28" s="50"/>
      <c r="BC28" s="45"/>
      <c r="BD28" s="45"/>
      <c r="BE28" s="46"/>
      <c r="BF28" s="50"/>
      <c r="BG28" s="45"/>
      <c r="BH28" s="45"/>
      <c r="BI28" s="46"/>
      <c r="BJ28" s="50"/>
      <c r="BK28" s="45"/>
      <c r="BL28" s="45"/>
      <c r="BM28" s="46"/>
      <c r="BN28" s="50"/>
      <c r="BO28" s="45"/>
      <c r="BP28" s="45"/>
      <c r="BQ28" s="46"/>
      <c r="BR28" s="101">
        <f t="shared" si="1"/>
        <v>0</v>
      </c>
      <c r="BS28" s="101"/>
    </row>
    <row r="29" spans="1:71" ht="12" customHeight="1">
      <c r="A29" s="200">
        <v>2.4</v>
      </c>
      <c r="B29" s="199" t="s">
        <v>64</v>
      </c>
      <c r="C29" s="42">
        <v>4751536.33</v>
      </c>
      <c r="D29" s="17"/>
      <c r="E29" s="43"/>
      <c r="F29" s="59"/>
      <c r="G29" s="20"/>
      <c r="H29" s="20"/>
      <c r="I29" s="21"/>
      <c r="J29" s="22"/>
      <c r="K29" s="20"/>
      <c r="L29" s="20"/>
      <c r="M29" s="46"/>
      <c r="N29" s="63"/>
      <c r="O29" s="62"/>
      <c r="P29" s="62"/>
      <c r="Q29" s="46"/>
      <c r="R29" s="51"/>
      <c r="S29" s="45"/>
      <c r="T29" s="45"/>
      <c r="U29" s="46"/>
      <c r="V29" s="82">
        <v>7</v>
      </c>
      <c r="W29" s="81">
        <f>V29</f>
        <v>7</v>
      </c>
      <c r="X29" s="81">
        <f>W29</f>
        <v>7</v>
      </c>
      <c r="Y29" s="83"/>
      <c r="Z29" s="82">
        <f>X29</f>
        <v>7</v>
      </c>
      <c r="AA29" s="81">
        <f>Z29</f>
        <v>7</v>
      </c>
      <c r="AB29" s="81">
        <f>AA29</f>
        <v>7</v>
      </c>
      <c r="AC29" s="80">
        <f>AB29</f>
        <v>7</v>
      </c>
      <c r="AD29" s="82">
        <f>AC29</f>
        <v>7</v>
      </c>
      <c r="AE29" s="45"/>
      <c r="AF29" s="45"/>
      <c r="AG29" s="46"/>
      <c r="AH29" s="51"/>
      <c r="AI29" s="45"/>
      <c r="AJ29" s="45"/>
      <c r="AK29" s="46"/>
      <c r="AL29" s="51"/>
      <c r="AM29" s="55"/>
      <c r="AN29" s="45"/>
      <c r="AO29" s="46"/>
      <c r="AP29" s="51"/>
      <c r="AQ29" s="45"/>
      <c r="AR29" s="45"/>
      <c r="AS29" s="46"/>
      <c r="AT29" s="51"/>
      <c r="AU29" s="45"/>
      <c r="AV29" s="45"/>
      <c r="AW29" s="46"/>
      <c r="AX29" s="51"/>
      <c r="AY29" s="45"/>
      <c r="AZ29" s="45"/>
      <c r="BA29" s="46"/>
      <c r="BB29" s="51"/>
      <c r="BC29" s="45"/>
      <c r="BD29" s="45"/>
      <c r="BE29" s="46"/>
      <c r="BF29" s="51"/>
      <c r="BG29" s="45"/>
      <c r="BH29" s="45"/>
      <c r="BI29" s="46"/>
      <c r="BJ29" s="51"/>
      <c r="BK29" s="45"/>
      <c r="BL29" s="45"/>
      <c r="BM29" s="46"/>
      <c r="BN29" s="51"/>
      <c r="BO29" s="45"/>
      <c r="BP29" s="45"/>
      <c r="BQ29" s="46"/>
      <c r="BR29" s="101">
        <f t="shared" si="1"/>
        <v>448</v>
      </c>
      <c r="BS29" s="101"/>
    </row>
    <row r="30" spans="1:71" ht="12" customHeight="1">
      <c r="A30" s="201"/>
      <c r="B30" s="199"/>
      <c r="C30" s="16"/>
      <c r="D30" s="17"/>
      <c r="E30" s="43"/>
      <c r="F30" s="64"/>
      <c r="G30" s="20"/>
      <c r="H30" s="20"/>
      <c r="I30" s="21"/>
      <c r="J30" s="52"/>
      <c r="K30" s="20"/>
      <c r="L30" s="20"/>
      <c r="M30" s="21"/>
      <c r="N30" s="52"/>
      <c r="O30" s="20"/>
      <c r="P30" s="20"/>
      <c r="Q30" s="21"/>
      <c r="R30" s="50"/>
      <c r="S30" s="45"/>
      <c r="T30" s="45"/>
      <c r="U30" s="46"/>
      <c r="V30" s="50"/>
      <c r="W30" s="45"/>
      <c r="X30" s="45"/>
      <c r="Y30" s="54"/>
      <c r="Z30" s="50"/>
      <c r="AA30" s="45"/>
      <c r="AB30" s="45"/>
      <c r="AC30" s="46"/>
      <c r="AD30" s="50"/>
      <c r="AE30" s="45"/>
      <c r="AF30" s="45"/>
      <c r="AG30" s="46"/>
      <c r="AH30" s="50"/>
      <c r="AI30" s="45"/>
      <c r="AJ30" s="45"/>
      <c r="AK30" s="46"/>
      <c r="AL30" s="50"/>
      <c r="AM30" s="55"/>
      <c r="AN30" s="45"/>
      <c r="AO30" s="46"/>
      <c r="AP30" s="50"/>
      <c r="AQ30" s="45"/>
      <c r="AR30" s="45"/>
      <c r="AS30" s="46"/>
      <c r="AT30" s="50"/>
      <c r="AU30" s="45"/>
      <c r="AV30" s="45"/>
      <c r="AW30" s="46"/>
      <c r="AX30" s="50"/>
      <c r="AY30" s="45"/>
      <c r="AZ30" s="45"/>
      <c r="BA30" s="46"/>
      <c r="BB30" s="50"/>
      <c r="BC30" s="45"/>
      <c r="BD30" s="45"/>
      <c r="BE30" s="46"/>
      <c r="BF30" s="50"/>
      <c r="BG30" s="45"/>
      <c r="BH30" s="45"/>
      <c r="BI30" s="46"/>
      <c r="BJ30" s="50"/>
      <c r="BK30" s="45"/>
      <c r="BL30" s="45"/>
      <c r="BM30" s="46"/>
      <c r="BN30" s="50"/>
      <c r="BO30" s="45"/>
      <c r="BP30" s="45"/>
      <c r="BQ30" s="46"/>
      <c r="BR30" s="101">
        <f t="shared" si="1"/>
        <v>0</v>
      </c>
      <c r="BS30" s="101"/>
    </row>
    <row r="31" spans="1:71" ht="12" customHeight="1">
      <c r="A31" s="200">
        <v>2.5</v>
      </c>
      <c r="B31" s="199" t="s">
        <v>65</v>
      </c>
      <c r="C31" s="42">
        <v>3464852.22</v>
      </c>
      <c r="D31" s="17"/>
      <c r="E31" s="43"/>
      <c r="F31" s="59"/>
      <c r="G31" s="20"/>
      <c r="H31" s="20"/>
      <c r="I31" s="21"/>
      <c r="J31" s="22"/>
      <c r="K31" s="20"/>
      <c r="L31" s="20"/>
      <c r="M31" s="60"/>
      <c r="N31" s="22"/>
      <c r="O31" s="20"/>
      <c r="P31" s="62"/>
      <c r="Q31" s="60"/>
      <c r="R31" s="51"/>
      <c r="S31" s="45"/>
      <c r="T31" s="45"/>
      <c r="U31" s="46"/>
      <c r="V31" s="51"/>
      <c r="W31" s="45"/>
      <c r="X31" s="45"/>
      <c r="Y31" s="54"/>
      <c r="Z31" s="51"/>
      <c r="AA31" s="81">
        <v>7</v>
      </c>
      <c r="AB31" s="81">
        <f t="shared" ref="AB31:AG31" si="5">AA31</f>
        <v>7</v>
      </c>
      <c r="AC31" s="80">
        <f t="shared" si="5"/>
        <v>7</v>
      </c>
      <c r="AD31" s="82">
        <f t="shared" si="5"/>
        <v>7</v>
      </c>
      <c r="AE31" s="81">
        <f t="shared" si="5"/>
        <v>7</v>
      </c>
      <c r="AF31" s="81">
        <f t="shared" si="5"/>
        <v>7</v>
      </c>
      <c r="AG31" s="80">
        <f t="shared" si="5"/>
        <v>7</v>
      </c>
      <c r="AH31" s="82">
        <f>AG31</f>
        <v>7</v>
      </c>
      <c r="AI31" s="81">
        <f t="shared" ref="AI31:AJ31" si="6">AH31</f>
        <v>7</v>
      </c>
      <c r="AJ31" s="81">
        <f t="shared" si="6"/>
        <v>7</v>
      </c>
      <c r="AK31" s="46"/>
      <c r="AL31" s="51"/>
      <c r="AM31" s="55"/>
      <c r="AN31" s="45"/>
      <c r="AO31" s="46"/>
      <c r="AP31" s="51"/>
      <c r="AQ31" s="45"/>
      <c r="AR31" s="45"/>
      <c r="AS31" s="46"/>
      <c r="AT31" s="51"/>
      <c r="AU31" s="45"/>
      <c r="AV31" s="45"/>
      <c r="AW31" s="46"/>
      <c r="AX31" s="51"/>
      <c r="AY31" s="45"/>
      <c r="AZ31" s="45"/>
      <c r="BA31" s="46"/>
      <c r="BB31" s="51"/>
      <c r="BC31" s="45"/>
      <c r="BD31" s="45"/>
      <c r="BE31" s="46"/>
      <c r="BF31" s="51"/>
      <c r="BG31" s="45"/>
      <c r="BH31" s="45"/>
      <c r="BI31" s="46"/>
      <c r="BJ31" s="51"/>
      <c r="BK31" s="45"/>
      <c r="BL31" s="45"/>
      <c r="BM31" s="46"/>
      <c r="BN31" s="51"/>
      <c r="BO31" s="45"/>
      <c r="BP31" s="45"/>
      <c r="BQ31" s="46"/>
      <c r="BR31" s="101">
        <f t="shared" si="1"/>
        <v>560</v>
      </c>
      <c r="BS31" s="101"/>
    </row>
    <row r="32" spans="1:71" ht="12" customHeight="1">
      <c r="A32" s="201"/>
      <c r="B32" s="199"/>
      <c r="C32" s="16"/>
      <c r="D32" s="17"/>
      <c r="E32" s="43"/>
      <c r="F32" s="64"/>
      <c r="G32" s="20"/>
      <c r="H32" s="20"/>
      <c r="I32" s="21"/>
      <c r="J32" s="52"/>
      <c r="K32" s="20"/>
      <c r="L32" s="20"/>
      <c r="M32" s="21"/>
      <c r="N32" s="52"/>
      <c r="O32" s="20"/>
      <c r="P32" s="20"/>
      <c r="Q32" s="21"/>
      <c r="R32" s="50"/>
      <c r="S32" s="45"/>
      <c r="T32" s="45"/>
      <c r="U32" s="46"/>
      <c r="V32" s="50"/>
      <c r="W32" s="45"/>
      <c r="X32" s="45"/>
      <c r="Y32" s="54"/>
      <c r="Z32" s="50"/>
      <c r="AA32" s="45"/>
      <c r="AB32" s="45"/>
      <c r="AC32" s="46"/>
      <c r="AD32" s="50"/>
      <c r="AE32" s="45"/>
      <c r="AF32" s="45"/>
      <c r="AG32" s="46"/>
      <c r="AH32" s="50"/>
      <c r="AI32" s="45"/>
      <c r="AJ32" s="45"/>
      <c r="AK32" s="46"/>
      <c r="AL32" s="50"/>
      <c r="AM32" s="55"/>
      <c r="AN32" s="45"/>
      <c r="AO32" s="46"/>
      <c r="AP32" s="50"/>
      <c r="AQ32" s="45"/>
      <c r="AR32" s="45"/>
      <c r="AS32" s="46"/>
      <c r="AT32" s="50"/>
      <c r="AU32" s="45"/>
      <c r="AV32" s="45"/>
      <c r="AW32" s="46"/>
      <c r="AX32" s="50"/>
      <c r="AY32" s="45"/>
      <c r="AZ32" s="45"/>
      <c r="BA32" s="46"/>
      <c r="BB32" s="50"/>
      <c r="BC32" s="45"/>
      <c r="BD32" s="45"/>
      <c r="BE32" s="46"/>
      <c r="BF32" s="50"/>
      <c r="BG32" s="45"/>
      <c r="BH32" s="45"/>
      <c r="BI32" s="46"/>
      <c r="BJ32" s="50"/>
      <c r="BK32" s="45"/>
      <c r="BL32" s="45"/>
      <c r="BM32" s="46"/>
      <c r="BN32" s="50"/>
      <c r="BO32" s="45"/>
      <c r="BP32" s="45"/>
      <c r="BQ32" s="46"/>
      <c r="BR32" s="101">
        <f t="shared" si="1"/>
        <v>0</v>
      </c>
      <c r="BS32" s="101">
        <f>1-BR32</f>
        <v>1</v>
      </c>
    </row>
    <row r="33" spans="1:71" ht="12" customHeight="1">
      <c r="A33" s="200">
        <v>2.6</v>
      </c>
      <c r="B33" s="199" t="s">
        <v>66</v>
      </c>
      <c r="C33" s="42">
        <v>4819226.111111111</v>
      </c>
      <c r="D33" s="17"/>
      <c r="E33" s="43"/>
      <c r="F33" s="59"/>
      <c r="G33" s="20"/>
      <c r="H33" s="20"/>
      <c r="I33" s="21"/>
      <c r="J33" s="22"/>
      <c r="K33" s="20"/>
      <c r="L33" s="20"/>
      <c r="M33" s="21"/>
      <c r="N33" s="22"/>
      <c r="O33" s="20"/>
      <c r="P33" s="20"/>
      <c r="Q33" s="21"/>
      <c r="R33" s="51"/>
      <c r="S33" s="45"/>
      <c r="T33" s="45"/>
      <c r="U33" s="46"/>
      <c r="V33" s="51"/>
      <c r="W33" s="45"/>
      <c r="X33" s="45"/>
      <c r="Y33" s="54"/>
      <c r="Z33" s="51"/>
      <c r="AA33" s="45"/>
      <c r="AB33" s="45"/>
      <c r="AC33" s="46"/>
      <c r="AD33" s="82">
        <v>15</v>
      </c>
      <c r="AE33" s="81">
        <f t="shared" ref="AE33:AG33" si="7">AD33</f>
        <v>15</v>
      </c>
      <c r="AF33" s="81">
        <f t="shared" si="7"/>
        <v>15</v>
      </c>
      <c r="AG33" s="80">
        <f t="shared" si="7"/>
        <v>15</v>
      </c>
      <c r="AH33" s="82">
        <f>AG33</f>
        <v>15</v>
      </c>
      <c r="AI33" s="81">
        <f>AH33</f>
        <v>15</v>
      </c>
      <c r="AJ33" s="81">
        <f>AI33</f>
        <v>15</v>
      </c>
      <c r="AK33" s="80">
        <f>AJ33</f>
        <v>15</v>
      </c>
      <c r="AL33" s="51"/>
      <c r="AM33" s="55"/>
      <c r="AN33" s="45"/>
      <c r="AO33" s="46"/>
      <c r="AP33" s="51"/>
      <c r="AQ33" s="45"/>
      <c r="AR33" s="45"/>
      <c r="AS33" s="46"/>
      <c r="AT33" s="51"/>
      <c r="AU33" s="45"/>
      <c r="AV33" s="45"/>
      <c r="AW33" s="46"/>
      <c r="AX33" s="51"/>
      <c r="AY33" s="45"/>
      <c r="AZ33" s="45"/>
      <c r="BA33" s="46"/>
      <c r="BB33" s="51"/>
      <c r="BC33" s="45"/>
      <c r="BD33" s="45"/>
      <c r="BE33" s="46"/>
      <c r="BF33" s="51"/>
      <c r="BG33" s="45"/>
      <c r="BH33" s="45"/>
      <c r="BI33" s="46"/>
      <c r="BJ33" s="51"/>
      <c r="BK33" s="45"/>
      <c r="BL33" s="45"/>
      <c r="BM33" s="46"/>
      <c r="BN33" s="51"/>
      <c r="BO33" s="45"/>
      <c r="BP33" s="45"/>
      <c r="BQ33" s="46"/>
      <c r="BR33" s="101">
        <f t="shared" si="1"/>
        <v>960</v>
      </c>
      <c r="BS33" s="101"/>
    </row>
    <row r="34" spans="1:71" ht="12" customHeight="1">
      <c r="A34" s="201"/>
      <c r="B34" s="199"/>
      <c r="C34" s="16"/>
      <c r="D34" s="17"/>
      <c r="E34" s="43"/>
      <c r="F34" s="64"/>
      <c r="G34" s="20"/>
      <c r="H34" s="20"/>
      <c r="I34" s="21"/>
      <c r="J34" s="52"/>
      <c r="K34" s="20"/>
      <c r="L34" s="20"/>
      <c r="M34" s="21"/>
      <c r="N34" s="52"/>
      <c r="O34" s="20"/>
      <c r="P34" s="20"/>
      <c r="Q34" s="21"/>
      <c r="R34" s="50"/>
      <c r="S34" s="45"/>
      <c r="T34" s="45"/>
      <c r="U34" s="46"/>
      <c r="V34" s="50"/>
      <c r="W34" s="45"/>
      <c r="X34" s="45"/>
      <c r="Y34" s="54"/>
      <c r="Z34" s="50"/>
      <c r="AA34" s="45"/>
      <c r="AB34" s="45"/>
      <c r="AC34" s="46"/>
      <c r="AD34" s="50"/>
      <c r="AE34" s="45"/>
      <c r="AF34" s="45"/>
      <c r="AG34" s="46"/>
      <c r="AH34" s="50"/>
      <c r="AI34" s="45"/>
      <c r="AJ34" s="45"/>
      <c r="AK34" s="46"/>
      <c r="AL34" s="50"/>
      <c r="AM34" s="55"/>
      <c r="AN34" s="45"/>
      <c r="AO34" s="46"/>
      <c r="AP34" s="50"/>
      <c r="AQ34" s="45"/>
      <c r="AR34" s="45"/>
      <c r="AS34" s="46"/>
      <c r="AT34" s="50"/>
      <c r="AU34" s="45"/>
      <c r="AV34" s="45"/>
      <c r="AW34" s="46"/>
      <c r="AX34" s="50"/>
      <c r="AY34" s="45"/>
      <c r="AZ34" s="45"/>
      <c r="BA34" s="46"/>
      <c r="BB34" s="50"/>
      <c r="BC34" s="45"/>
      <c r="BD34" s="45"/>
      <c r="BE34" s="46"/>
      <c r="BF34" s="50"/>
      <c r="BG34" s="45"/>
      <c r="BH34" s="45"/>
      <c r="BI34" s="46"/>
      <c r="BJ34" s="50"/>
      <c r="BK34" s="45"/>
      <c r="BL34" s="45"/>
      <c r="BM34" s="46"/>
      <c r="BN34" s="50"/>
      <c r="BO34" s="45"/>
      <c r="BP34" s="45"/>
      <c r="BQ34" s="46"/>
      <c r="BR34" s="101">
        <f t="shared" si="1"/>
        <v>0</v>
      </c>
      <c r="BS34" s="101"/>
    </row>
    <row r="35" spans="1:71" ht="12" customHeight="1">
      <c r="A35" s="200">
        <v>2.7</v>
      </c>
      <c r="B35" s="199" t="s">
        <v>67</v>
      </c>
      <c r="C35" s="42">
        <v>21495534.722222224</v>
      </c>
      <c r="D35" s="17"/>
      <c r="E35" s="43"/>
      <c r="F35" s="59"/>
      <c r="G35" s="20"/>
      <c r="H35" s="20"/>
      <c r="I35" s="21"/>
      <c r="J35" s="22"/>
      <c r="K35" s="20"/>
      <c r="L35" s="20"/>
      <c r="M35" s="21"/>
      <c r="N35" s="22"/>
      <c r="O35" s="20"/>
      <c r="P35" s="62"/>
      <c r="Q35" s="60"/>
      <c r="R35" s="51"/>
      <c r="S35" s="45"/>
      <c r="T35" s="45"/>
      <c r="U35" s="46"/>
      <c r="V35" s="51"/>
      <c r="W35" s="45"/>
      <c r="X35" s="45"/>
      <c r="Y35" s="54"/>
      <c r="Z35" s="51"/>
      <c r="AA35" s="45"/>
      <c r="AB35" s="45"/>
      <c r="AC35" s="46"/>
      <c r="AD35" s="51"/>
      <c r="AE35" s="45"/>
      <c r="AF35" s="45"/>
      <c r="AG35" s="46"/>
      <c r="AH35" s="51"/>
      <c r="AI35" s="45"/>
      <c r="AJ35" s="45"/>
      <c r="AK35" s="46"/>
      <c r="AL35" s="51"/>
      <c r="AM35" s="55"/>
      <c r="AN35" s="81">
        <v>40</v>
      </c>
      <c r="AO35" s="80">
        <f t="shared" ref="AO35:AU35" si="8">AN35</f>
        <v>40</v>
      </c>
      <c r="AP35" s="82">
        <f t="shared" si="8"/>
        <v>40</v>
      </c>
      <c r="AQ35" s="81">
        <f t="shared" si="8"/>
        <v>40</v>
      </c>
      <c r="AR35" s="81">
        <f t="shared" si="8"/>
        <v>40</v>
      </c>
      <c r="AS35" s="80">
        <f t="shared" si="8"/>
        <v>40</v>
      </c>
      <c r="AT35" s="82">
        <f t="shared" si="8"/>
        <v>40</v>
      </c>
      <c r="AU35" s="81">
        <f t="shared" si="8"/>
        <v>40</v>
      </c>
      <c r="AV35" s="45"/>
      <c r="AW35" s="46"/>
      <c r="AX35" s="51"/>
      <c r="AY35" s="45"/>
      <c r="AZ35" s="45"/>
      <c r="BA35" s="46"/>
      <c r="BB35" s="51"/>
      <c r="BC35" s="45"/>
      <c r="BD35" s="45"/>
      <c r="BE35" s="46"/>
      <c r="BF35" s="51"/>
      <c r="BG35" s="45"/>
      <c r="BH35" s="45"/>
      <c r="BI35" s="46"/>
      <c r="BJ35" s="51"/>
      <c r="BK35" s="45"/>
      <c r="BL35" s="45"/>
      <c r="BM35" s="46"/>
      <c r="BN35" s="51"/>
      <c r="BO35" s="45"/>
      <c r="BP35" s="45"/>
      <c r="BQ35" s="46"/>
      <c r="BR35" s="101">
        <f t="shared" si="1"/>
        <v>2560</v>
      </c>
      <c r="BS35" s="101"/>
    </row>
    <row r="36" spans="1:71" ht="12" customHeight="1">
      <c r="A36" s="201"/>
      <c r="B36" s="199"/>
      <c r="C36" s="16"/>
      <c r="D36" s="17"/>
      <c r="E36" s="43"/>
      <c r="F36" s="64"/>
      <c r="G36" s="20"/>
      <c r="H36" s="20"/>
      <c r="I36" s="21"/>
      <c r="J36" s="52"/>
      <c r="K36" s="20"/>
      <c r="L36" s="20"/>
      <c r="M36" s="21"/>
      <c r="N36" s="52"/>
      <c r="O36" s="20"/>
      <c r="P36" s="20"/>
      <c r="Q36" s="21"/>
      <c r="R36" s="50"/>
      <c r="S36" s="45"/>
      <c r="T36" s="45"/>
      <c r="U36" s="46"/>
      <c r="V36" s="50"/>
      <c r="W36" s="45"/>
      <c r="X36" s="45"/>
      <c r="Y36" s="54"/>
      <c r="Z36" s="50"/>
      <c r="AA36" s="45"/>
      <c r="AB36" s="45"/>
      <c r="AC36" s="46"/>
      <c r="AD36" s="50"/>
      <c r="AE36" s="45"/>
      <c r="AF36" s="45"/>
      <c r="AG36" s="46"/>
      <c r="AH36" s="50"/>
      <c r="AI36" s="45"/>
      <c r="AJ36" s="45"/>
      <c r="AK36" s="46"/>
      <c r="AL36" s="50"/>
      <c r="AM36" s="55"/>
      <c r="AN36" s="45"/>
      <c r="AO36" s="46"/>
      <c r="AP36" s="50"/>
      <c r="AQ36" s="45"/>
      <c r="AR36" s="45"/>
      <c r="AS36" s="46"/>
      <c r="AT36" s="50"/>
      <c r="AU36" s="45"/>
      <c r="AV36" s="45"/>
      <c r="AW36" s="46"/>
      <c r="AX36" s="50"/>
      <c r="AY36" s="45"/>
      <c r="AZ36" s="45"/>
      <c r="BA36" s="46"/>
      <c r="BB36" s="50"/>
      <c r="BC36" s="45"/>
      <c r="BD36" s="45"/>
      <c r="BE36" s="46"/>
      <c r="BF36" s="50"/>
      <c r="BG36" s="45"/>
      <c r="BH36" s="45"/>
      <c r="BI36" s="46"/>
      <c r="BJ36" s="50"/>
      <c r="BK36" s="45"/>
      <c r="BL36" s="45"/>
      <c r="BM36" s="46"/>
      <c r="BN36" s="50"/>
      <c r="BO36" s="45"/>
      <c r="BP36" s="45"/>
      <c r="BQ36" s="46"/>
      <c r="BR36" s="101">
        <f t="shared" si="1"/>
        <v>0</v>
      </c>
      <c r="BS36" s="101"/>
    </row>
    <row r="37" spans="1:71" ht="12" customHeight="1">
      <c r="A37" s="200">
        <v>2.8</v>
      </c>
      <c r="B37" s="199" t="s">
        <v>68</v>
      </c>
      <c r="C37" s="42">
        <v>93301.39</v>
      </c>
      <c r="D37" s="17"/>
      <c r="E37" s="43"/>
      <c r="F37" s="59"/>
      <c r="G37" s="20"/>
      <c r="H37" s="20"/>
      <c r="I37" s="21"/>
      <c r="J37" s="22"/>
      <c r="K37" s="20"/>
      <c r="L37" s="20"/>
      <c r="M37" s="21"/>
      <c r="N37" s="22"/>
      <c r="O37" s="20"/>
      <c r="P37" s="62"/>
      <c r="Q37" s="21"/>
      <c r="R37" s="51"/>
      <c r="S37" s="45"/>
      <c r="T37" s="45"/>
      <c r="U37" s="46"/>
      <c r="V37" s="51"/>
      <c r="W37" s="45"/>
      <c r="X37" s="45"/>
      <c r="Y37" s="54"/>
      <c r="Z37" s="51"/>
      <c r="AA37" s="45"/>
      <c r="AB37" s="45"/>
      <c r="AC37" s="46"/>
      <c r="AD37" s="51"/>
      <c r="AE37" s="45"/>
      <c r="AF37" s="45"/>
      <c r="AG37" s="46"/>
      <c r="AH37" s="51"/>
      <c r="AI37" s="45"/>
      <c r="AJ37" s="45"/>
      <c r="AK37" s="45"/>
      <c r="AL37" s="51"/>
      <c r="AM37" s="55"/>
      <c r="AN37" s="45"/>
      <c r="AO37" s="46"/>
      <c r="AP37" s="51"/>
      <c r="AQ37" s="81">
        <v>7</v>
      </c>
      <c r="AR37" s="81">
        <f>AQ37</f>
        <v>7</v>
      </c>
      <c r="AS37" s="80">
        <f>AR37</f>
        <v>7</v>
      </c>
      <c r="AT37" s="82">
        <f>AS37</f>
        <v>7</v>
      </c>
      <c r="AU37" s="81">
        <f>AT37</f>
        <v>7</v>
      </c>
      <c r="AV37" s="81">
        <f t="shared" ref="AV37:AW37" si="9">AU37</f>
        <v>7</v>
      </c>
      <c r="AW37" s="80">
        <f t="shared" si="9"/>
        <v>7</v>
      </c>
      <c r="AX37" s="51"/>
      <c r="AY37" s="45"/>
      <c r="AZ37" s="45"/>
      <c r="BA37" s="46"/>
      <c r="BB37" s="51"/>
      <c r="BC37" s="45"/>
      <c r="BD37" s="45"/>
      <c r="BE37" s="46"/>
      <c r="BF37" s="51"/>
      <c r="BG37" s="45"/>
      <c r="BH37" s="45"/>
      <c r="BI37" s="46"/>
      <c r="BJ37" s="51"/>
      <c r="BK37" s="45"/>
      <c r="BL37" s="45"/>
      <c r="BM37" s="46"/>
      <c r="BN37" s="51"/>
      <c r="BO37" s="45"/>
      <c r="BP37" s="45"/>
      <c r="BQ37" s="46"/>
      <c r="BR37" s="101">
        <f t="shared" si="1"/>
        <v>392</v>
      </c>
      <c r="BS37" s="101"/>
    </row>
    <row r="38" spans="1:71" ht="12" customHeight="1">
      <c r="A38" s="201"/>
      <c r="B38" s="199"/>
      <c r="C38" s="16"/>
      <c r="D38" s="17"/>
      <c r="E38" s="43"/>
      <c r="F38" s="64"/>
      <c r="G38" s="20"/>
      <c r="H38" s="20"/>
      <c r="I38" s="21"/>
      <c r="J38" s="52"/>
      <c r="K38" s="20"/>
      <c r="L38" s="20"/>
      <c r="M38" s="21"/>
      <c r="N38" s="52"/>
      <c r="O38" s="20"/>
      <c r="P38" s="20"/>
      <c r="Q38" s="21"/>
      <c r="R38" s="50"/>
      <c r="S38" s="45"/>
      <c r="T38" s="45"/>
      <c r="U38" s="46"/>
      <c r="V38" s="50"/>
      <c r="W38" s="45"/>
      <c r="X38" s="45"/>
      <c r="Y38" s="54"/>
      <c r="Z38" s="50"/>
      <c r="AA38" s="45"/>
      <c r="AB38" s="45"/>
      <c r="AC38" s="46"/>
      <c r="AD38" s="50"/>
      <c r="AE38" s="45"/>
      <c r="AF38" s="45"/>
      <c r="AG38" s="46"/>
      <c r="AH38" s="50"/>
      <c r="AI38" s="45"/>
      <c r="AJ38" s="45"/>
      <c r="AK38" s="46"/>
      <c r="AL38" s="50"/>
      <c r="AM38" s="55"/>
      <c r="AN38" s="45"/>
      <c r="AO38" s="46"/>
      <c r="AP38" s="50"/>
      <c r="AQ38" s="45"/>
      <c r="AR38" s="45"/>
      <c r="AS38" s="46"/>
      <c r="AT38" s="50"/>
      <c r="AU38" s="45"/>
      <c r="AV38" s="45"/>
      <c r="AW38" s="46"/>
      <c r="AX38" s="50"/>
      <c r="AY38" s="45"/>
      <c r="AZ38" s="45"/>
      <c r="BA38" s="46"/>
      <c r="BB38" s="50"/>
      <c r="BC38" s="45"/>
      <c r="BD38" s="45"/>
      <c r="BE38" s="46"/>
      <c r="BF38" s="50"/>
      <c r="BG38" s="45"/>
      <c r="BH38" s="45"/>
      <c r="BI38" s="46"/>
      <c r="BJ38" s="50"/>
      <c r="BK38" s="45"/>
      <c r="BL38" s="45"/>
      <c r="BM38" s="46"/>
      <c r="BN38" s="50"/>
      <c r="BO38" s="45"/>
      <c r="BP38" s="45"/>
      <c r="BQ38" s="46"/>
      <c r="BR38" s="101">
        <f t="shared" si="1"/>
        <v>0</v>
      </c>
      <c r="BS38" s="101"/>
    </row>
    <row r="39" spans="1:71" ht="12" customHeight="1">
      <c r="A39" s="200">
        <v>2.9</v>
      </c>
      <c r="B39" s="199" t="s">
        <v>69</v>
      </c>
      <c r="C39" s="42">
        <v>2970741.4</v>
      </c>
      <c r="D39" s="17"/>
      <c r="E39" s="43"/>
      <c r="F39" s="59"/>
      <c r="G39" s="20"/>
      <c r="H39" s="20"/>
      <c r="I39" s="21"/>
      <c r="J39" s="22"/>
      <c r="K39" s="20"/>
      <c r="L39" s="20"/>
      <c r="M39" s="21"/>
      <c r="N39" s="22"/>
      <c r="O39" s="20"/>
      <c r="P39" s="20"/>
      <c r="Q39" s="21"/>
      <c r="R39" s="51"/>
      <c r="S39" s="45"/>
      <c r="T39" s="45"/>
      <c r="U39" s="46"/>
      <c r="V39" s="51"/>
      <c r="W39" s="45"/>
      <c r="X39" s="45"/>
      <c r="Y39" s="54"/>
      <c r="Z39" s="51"/>
      <c r="AA39" s="45"/>
      <c r="AB39" s="45"/>
      <c r="AC39" s="46"/>
      <c r="AD39" s="51"/>
      <c r="AE39" s="45"/>
      <c r="AF39" s="45"/>
      <c r="AG39" s="46"/>
      <c r="AH39" s="51"/>
      <c r="AI39" s="45"/>
      <c r="AJ39" s="45"/>
      <c r="AK39" s="46"/>
      <c r="AL39" s="51"/>
      <c r="AM39" s="55"/>
      <c r="AN39" s="81">
        <v>25</v>
      </c>
      <c r="AO39" s="80">
        <f t="shared" ref="AO39:AW39" si="10">AN39</f>
        <v>25</v>
      </c>
      <c r="AP39" s="82">
        <f t="shared" si="10"/>
        <v>25</v>
      </c>
      <c r="AQ39" s="81">
        <f t="shared" si="10"/>
        <v>25</v>
      </c>
      <c r="AR39" s="81">
        <f t="shared" si="10"/>
        <v>25</v>
      </c>
      <c r="AS39" s="80">
        <f t="shared" si="10"/>
        <v>25</v>
      </c>
      <c r="AT39" s="82">
        <f t="shared" si="10"/>
        <v>25</v>
      </c>
      <c r="AU39" s="81">
        <f t="shared" si="10"/>
        <v>25</v>
      </c>
      <c r="AV39" s="81">
        <f t="shared" si="10"/>
        <v>25</v>
      </c>
      <c r="AW39" s="80">
        <f t="shared" si="10"/>
        <v>25</v>
      </c>
      <c r="AX39" s="51"/>
      <c r="AY39" s="45"/>
      <c r="AZ39" s="45"/>
      <c r="BA39" s="46"/>
      <c r="BB39" s="51"/>
      <c r="BC39" s="45"/>
      <c r="BD39" s="45"/>
      <c r="BE39" s="46"/>
      <c r="BF39" s="51"/>
      <c r="BG39" s="45"/>
      <c r="BH39" s="45"/>
      <c r="BI39" s="46"/>
      <c r="BJ39" s="51"/>
      <c r="BK39" s="45"/>
      <c r="BL39" s="45"/>
      <c r="BM39" s="46"/>
      <c r="BN39" s="51"/>
      <c r="BO39" s="45"/>
      <c r="BP39" s="45"/>
      <c r="BQ39" s="46"/>
      <c r="BR39" s="101">
        <f t="shared" si="1"/>
        <v>2000</v>
      </c>
      <c r="BS39" s="101"/>
    </row>
    <row r="40" spans="1:71" ht="12" customHeight="1">
      <c r="A40" s="201"/>
      <c r="B40" s="199"/>
      <c r="C40" s="16"/>
      <c r="D40" s="17"/>
      <c r="E40" s="43"/>
      <c r="F40" s="64"/>
      <c r="G40" s="20"/>
      <c r="H40" s="20"/>
      <c r="I40" s="21"/>
      <c r="J40" s="52"/>
      <c r="K40" s="20"/>
      <c r="L40" s="20"/>
      <c r="M40" s="21"/>
      <c r="N40" s="52"/>
      <c r="O40" s="20"/>
      <c r="P40" s="20"/>
      <c r="Q40" s="21"/>
      <c r="R40" s="50"/>
      <c r="S40" s="45"/>
      <c r="T40" s="45"/>
      <c r="U40" s="46"/>
      <c r="V40" s="50"/>
      <c r="W40" s="45"/>
      <c r="X40" s="45"/>
      <c r="Y40" s="54"/>
      <c r="Z40" s="50"/>
      <c r="AA40" s="45"/>
      <c r="AB40" s="45"/>
      <c r="AC40" s="46"/>
      <c r="AD40" s="50"/>
      <c r="AE40" s="45"/>
      <c r="AF40" s="45"/>
      <c r="AG40" s="46"/>
      <c r="AH40" s="50"/>
      <c r="AI40" s="45"/>
      <c r="AJ40" s="45"/>
      <c r="AK40" s="46"/>
      <c r="AL40" s="50"/>
      <c r="AM40" s="55"/>
      <c r="AN40" s="45"/>
      <c r="AO40" s="46"/>
      <c r="AP40" s="50"/>
      <c r="AQ40" s="45"/>
      <c r="AR40" s="45"/>
      <c r="AS40" s="46"/>
      <c r="AT40" s="50"/>
      <c r="AU40" s="45"/>
      <c r="AV40" s="45"/>
      <c r="AW40" s="46"/>
      <c r="AX40" s="50"/>
      <c r="AY40" s="45"/>
      <c r="AZ40" s="45"/>
      <c r="BA40" s="46"/>
      <c r="BB40" s="50"/>
      <c r="BC40" s="45"/>
      <c r="BD40" s="45"/>
      <c r="BE40" s="46"/>
      <c r="BF40" s="50"/>
      <c r="BG40" s="45"/>
      <c r="BH40" s="45"/>
      <c r="BI40" s="46"/>
      <c r="BJ40" s="50"/>
      <c r="BK40" s="45"/>
      <c r="BL40" s="45"/>
      <c r="BM40" s="46"/>
      <c r="BN40" s="50"/>
      <c r="BO40" s="45"/>
      <c r="BP40" s="45"/>
      <c r="BQ40" s="46"/>
      <c r="BR40" s="101">
        <f t="shared" si="1"/>
        <v>0</v>
      </c>
      <c r="BS40" s="101"/>
    </row>
    <row r="41" spans="1:71" ht="22.5" customHeight="1">
      <c r="A41" s="91">
        <v>3</v>
      </c>
      <c r="B41" s="92" t="s">
        <v>70</v>
      </c>
      <c r="C41" s="58">
        <f>C43+C63</f>
        <v>22218557.41</v>
      </c>
      <c r="D41" s="17"/>
      <c r="E41" s="43"/>
      <c r="F41" s="19"/>
      <c r="G41" s="20"/>
      <c r="H41" s="20"/>
      <c r="I41" s="21"/>
      <c r="J41" s="22"/>
      <c r="K41" s="20"/>
      <c r="L41" s="20"/>
      <c r="M41" s="21"/>
      <c r="N41" s="22"/>
      <c r="O41" s="20"/>
      <c r="P41" s="20"/>
      <c r="Q41" s="21"/>
      <c r="R41" s="51"/>
      <c r="S41" s="45"/>
      <c r="T41" s="45"/>
      <c r="U41" s="46"/>
      <c r="V41" s="51"/>
      <c r="W41" s="45"/>
      <c r="X41" s="45"/>
      <c r="Y41" s="54"/>
      <c r="Z41" s="51"/>
      <c r="AA41" s="45"/>
      <c r="AB41" s="45"/>
      <c r="AC41" s="46"/>
      <c r="AD41" s="51"/>
      <c r="AE41" s="45"/>
      <c r="AF41" s="45"/>
      <c r="AG41" s="46"/>
      <c r="AH41" s="51"/>
      <c r="AI41" s="45"/>
      <c r="AJ41" s="45"/>
      <c r="AK41" s="46"/>
      <c r="AL41" s="51"/>
      <c r="AM41" s="55"/>
      <c r="AN41" s="45"/>
      <c r="AO41" s="46"/>
      <c r="AP41" s="51"/>
      <c r="AQ41" s="45"/>
      <c r="AR41" s="45"/>
      <c r="AS41" s="46"/>
      <c r="AT41" s="51"/>
      <c r="AU41" s="45"/>
      <c r="AV41" s="45"/>
      <c r="AW41" s="46"/>
      <c r="AX41" s="51"/>
      <c r="AY41" s="45"/>
      <c r="AZ41" s="45"/>
      <c r="BA41" s="46"/>
      <c r="BB41" s="51"/>
      <c r="BC41" s="45"/>
      <c r="BD41" s="45"/>
      <c r="BE41" s="46"/>
      <c r="BF41" s="51"/>
      <c r="BG41" s="45"/>
      <c r="BH41" s="45"/>
      <c r="BI41" s="46"/>
      <c r="BJ41" s="51"/>
      <c r="BK41" s="45"/>
      <c r="BL41" s="45"/>
      <c r="BM41" s="46"/>
      <c r="BN41" s="51"/>
      <c r="BO41" s="45"/>
      <c r="BP41" s="45"/>
      <c r="BQ41" s="46"/>
      <c r="BR41" s="101">
        <f t="shared" si="1"/>
        <v>0</v>
      </c>
      <c r="BS41" s="101"/>
    </row>
    <row r="42" spans="1:71" ht="5.0999999999999996" hidden="1" customHeight="1">
      <c r="A42" s="56"/>
      <c r="B42" s="57"/>
      <c r="C42" s="58"/>
      <c r="D42" s="17"/>
      <c r="E42" s="43"/>
      <c r="F42" s="19"/>
      <c r="G42" s="20"/>
      <c r="H42" s="20"/>
      <c r="I42" s="21"/>
      <c r="J42" s="22"/>
      <c r="K42" s="20"/>
      <c r="L42" s="20"/>
      <c r="M42" s="21"/>
      <c r="N42" s="22"/>
      <c r="O42" s="20"/>
      <c r="P42" s="20"/>
      <c r="Q42" s="21"/>
      <c r="R42" s="51"/>
      <c r="S42" s="45"/>
      <c r="T42" s="45"/>
      <c r="U42" s="46"/>
      <c r="V42" s="51"/>
      <c r="W42" s="45"/>
      <c r="X42" s="45"/>
      <c r="Y42" s="54"/>
      <c r="Z42" s="51"/>
      <c r="AA42" s="45"/>
      <c r="AB42" s="45"/>
      <c r="AC42" s="46"/>
      <c r="AD42" s="51"/>
      <c r="AE42" s="45"/>
      <c r="AF42" s="45"/>
      <c r="AG42" s="46"/>
      <c r="AH42" s="51"/>
      <c r="AI42" s="45"/>
      <c r="AJ42" s="45"/>
      <c r="AK42" s="46"/>
      <c r="AL42" s="51"/>
      <c r="AM42" s="55"/>
      <c r="AN42" s="45"/>
      <c r="AO42" s="46"/>
      <c r="AP42" s="51"/>
      <c r="AQ42" s="45"/>
      <c r="AR42" s="45"/>
      <c r="AS42" s="46"/>
      <c r="AT42" s="51"/>
      <c r="AU42" s="45"/>
      <c r="AV42" s="45"/>
      <c r="AW42" s="46"/>
      <c r="AX42" s="51"/>
      <c r="AY42" s="45"/>
      <c r="AZ42" s="45"/>
      <c r="BA42" s="46"/>
      <c r="BB42" s="51"/>
      <c r="BC42" s="45"/>
      <c r="BD42" s="45"/>
      <c r="BE42" s="46"/>
      <c r="BF42" s="51"/>
      <c r="BG42" s="45"/>
      <c r="BH42" s="45"/>
      <c r="BI42" s="46"/>
      <c r="BJ42" s="51"/>
      <c r="BK42" s="45"/>
      <c r="BL42" s="45"/>
      <c r="BM42" s="46"/>
      <c r="BN42" s="51"/>
      <c r="BO42" s="45"/>
      <c r="BP42" s="45"/>
      <c r="BQ42" s="46"/>
      <c r="BR42" s="101">
        <f t="shared" si="1"/>
        <v>0</v>
      </c>
      <c r="BS42" s="101"/>
    </row>
    <row r="43" spans="1:71" ht="22.5" customHeight="1">
      <c r="A43" s="93" t="s">
        <v>33</v>
      </c>
      <c r="B43" s="94" t="s">
        <v>71</v>
      </c>
      <c r="C43" s="67">
        <f>SUM(C45:C62)</f>
        <v>17700507.41</v>
      </c>
      <c r="D43" s="17"/>
      <c r="E43" s="43"/>
      <c r="F43" s="19"/>
      <c r="G43" s="20"/>
      <c r="H43" s="20"/>
      <c r="I43" s="21"/>
      <c r="J43" s="22"/>
      <c r="K43" s="20"/>
      <c r="L43" s="20"/>
      <c r="M43" s="21"/>
      <c r="N43" s="22"/>
      <c r="O43" s="20"/>
      <c r="P43" s="20"/>
      <c r="Q43" s="21"/>
      <c r="R43" s="51"/>
      <c r="S43" s="45"/>
      <c r="T43" s="45"/>
      <c r="U43" s="46"/>
      <c r="V43" s="51"/>
      <c r="W43" s="45"/>
      <c r="X43" s="45"/>
      <c r="Y43" s="54"/>
      <c r="Z43" s="51"/>
      <c r="AA43" s="45"/>
      <c r="AB43" s="45"/>
      <c r="AC43" s="46"/>
      <c r="AD43" s="51"/>
      <c r="AE43" s="45"/>
      <c r="AF43" s="45"/>
      <c r="AG43" s="46"/>
      <c r="AH43" s="51"/>
      <c r="AI43" s="45"/>
      <c r="AJ43" s="45"/>
      <c r="AK43" s="46"/>
      <c r="AL43" s="51"/>
      <c r="AM43" s="55"/>
      <c r="AN43" s="45"/>
      <c r="AO43" s="46"/>
      <c r="AP43" s="51"/>
      <c r="AQ43" s="45"/>
      <c r="AR43" s="45"/>
      <c r="AS43" s="46"/>
      <c r="AT43" s="51"/>
      <c r="AU43" s="45"/>
      <c r="AV43" s="45"/>
      <c r="AW43" s="46"/>
      <c r="AX43" s="51"/>
      <c r="AY43" s="45"/>
      <c r="AZ43" s="45"/>
      <c r="BA43" s="46"/>
      <c r="BB43" s="51"/>
      <c r="BC43" s="45"/>
      <c r="BD43" s="45"/>
      <c r="BE43" s="46"/>
      <c r="BF43" s="51"/>
      <c r="BG43" s="45"/>
      <c r="BH43" s="45"/>
      <c r="BI43" s="46"/>
      <c r="BJ43" s="51"/>
      <c r="BK43" s="45"/>
      <c r="BL43" s="45"/>
      <c r="BM43" s="46"/>
      <c r="BN43" s="51"/>
      <c r="BO43" s="45"/>
      <c r="BP43" s="45"/>
      <c r="BQ43" s="46"/>
      <c r="BR43" s="101">
        <f t="shared" si="1"/>
        <v>0</v>
      </c>
      <c r="BS43" s="101"/>
    </row>
    <row r="44" spans="1:71" ht="5.0999999999999996" hidden="1" customHeight="1">
      <c r="A44" s="65"/>
      <c r="B44" s="66"/>
      <c r="C44" s="67"/>
      <c r="D44" s="17"/>
      <c r="E44" s="43"/>
      <c r="F44" s="19"/>
      <c r="G44" s="20"/>
      <c r="H44" s="20"/>
      <c r="I44" s="21"/>
      <c r="J44" s="22"/>
      <c r="K44" s="20"/>
      <c r="L44" s="20"/>
      <c r="M44" s="21"/>
      <c r="N44" s="22"/>
      <c r="O44" s="20"/>
      <c r="P44" s="20"/>
      <c r="Q44" s="21"/>
      <c r="R44" s="51"/>
      <c r="S44" s="45"/>
      <c r="T44" s="45"/>
      <c r="U44" s="46"/>
      <c r="V44" s="51"/>
      <c r="W44" s="45"/>
      <c r="X44" s="45"/>
      <c r="Y44" s="54"/>
      <c r="Z44" s="51"/>
      <c r="AA44" s="45"/>
      <c r="AB44" s="45"/>
      <c r="AC44" s="46"/>
      <c r="AD44" s="51"/>
      <c r="AE44" s="45"/>
      <c r="AF44" s="45"/>
      <c r="AG44" s="46"/>
      <c r="AH44" s="44"/>
      <c r="AI44" s="45"/>
      <c r="AJ44" s="45"/>
      <c r="AK44" s="68"/>
      <c r="AL44" s="44"/>
      <c r="AM44" s="55"/>
      <c r="AN44" s="45"/>
      <c r="AO44" s="68"/>
      <c r="AP44" s="51"/>
      <c r="AQ44" s="45"/>
      <c r="AR44" s="45"/>
      <c r="AS44" s="46"/>
      <c r="AT44" s="51"/>
      <c r="AU44" s="45"/>
      <c r="AV44" s="45"/>
      <c r="AW44" s="46"/>
      <c r="AX44" s="51"/>
      <c r="AY44" s="45"/>
      <c r="AZ44" s="45"/>
      <c r="BA44" s="46"/>
      <c r="BB44" s="51"/>
      <c r="BC44" s="45"/>
      <c r="BD44" s="45"/>
      <c r="BE44" s="46"/>
      <c r="BF44" s="51"/>
      <c r="BG44" s="45"/>
      <c r="BH44" s="45"/>
      <c r="BI44" s="46"/>
      <c r="BJ44" s="51"/>
      <c r="BK44" s="45"/>
      <c r="BL44" s="45"/>
      <c r="BM44" s="46"/>
      <c r="BN44" s="51"/>
      <c r="BO44" s="45"/>
      <c r="BP44" s="45"/>
      <c r="BQ44" s="46"/>
      <c r="BR44" s="101">
        <f t="shared" si="1"/>
        <v>0</v>
      </c>
      <c r="BS44" s="101"/>
    </row>
    <row r="45" spans="1:71" ht="12" customHeight="1">
      <c r="A45" s="198">
        <v>3.1</v>
      </c>
      <c r="B45" s="199" t="s">
        <v>72</v>
      </c>
      <c r="C45" s="42">
        <v>3350611.11</v>
      </c>
      <c r="D45" s="17"/>
      <c r="E45" s="43"/>
      <c r="F45" s="59"/>
      <c r="G45" s="20"/>
      <c r="H45" s="20"/>
      <c r="I45" s="21"/>
      <c r="J45" s="22"/>
      <c r="K45" s="20"/>
      <c r="L45" s="20"/>
      <c r="M45" s="21"/>
      <c r="N45" s="22"/>
      <c r="O45" s="20"/>
      <c r="P45" s="20"/>
      <c r="Q45" s="21"/>
      <c r="R45" s="51"/>
      <c r="S45" s="45"/>
      <c r="T45" s="45"/>
      <c r="U45" s="46"/>
      <c r="V45" s="51"/>
      <c r="W45" s="45"/>
      <c r="X45" s="45"/>
      <c r="Y45" s="54"/>
      <c r="Z45" s="51"/>
      <c r="AA45" s="45"/>
      <c r="AB45" s="45"/>
      <c r="AC45" s="46"/>
      <c r="AD45" s="51"/>
      <c r="AE45" s="45"/>
      <c r="AF45" s="45"/>
      <c r="AG45" s="46"/>
      <c r="AH45" s="45"/>
      <c r="AI45" s="45"/>
      <c r="AJ45" s="45"/>
      <c r="AK45" s="45"/>
      <c r="AL45" s="50"/>
      <c r="AM45" s="55"/>
      <c r="AN45" s="45"/>
      <c r="AO45" s="45"/>
      <c r="AP45" s="51"/>
      <c r="AQ45" s="45"/>
      <c r="AR45" s="81">
        <v>30</v>
      </c>
      <c r="AS45" s="80">
        <f t="shared" ref="AS45:BA45" si="11">AR45</f>
        <v>30</v>
      </c>
      <c r="AT45" s="79">
        <f t="shared" si="11"/>
        <v>30</v>
      </c>
      <c r="AU45" s="81">
        <f t="shared" si="11"/>
        <v>30</v>
      </c>
      <c r="AV45" s="81">
        <f t="shared" si="11"/>
        <v>30</v>
      </c>
      <c r="AW45" s="81">
        <f t="shared" si="11"/>
        <v>30</v>
      </c>
      <c r="AX45" s="81">
        <f t="shared" si="11"/>
        <v>30</v>
      </c>
      <c r="AY45" s="81">
        <f t="shared" si="11"/>
        <v>30</v>
      </c>
      <c r="AZ45" s="81">
        <f t="shared" si="11"/>
        <v>30</v>
      </c>
      <c r="BA45" s="81">
        <f t="shared" si="11"/>
        <v>30</v>
      </c>
      <c r="BB45" s="45"/>
      <c r="BC45" s="45"/>
      <c r="BD45" s="45"/>
      <c r="BE45" s="46"/>
      <c r="BF45" s="45"/>
      <c r="BG45" s="45"/>
      <c r="BH45" s="45"/>
      <c r="BI45" s="46"/>
      <c r="BJ45" s="45"/>
      <c r="BK45" s="45"/>
      <c r="BL45" s="45"/>
      <c r="BM45" s="46"/>
      <c r="BN45" s="45"/>
      <c r="BO45" s="45"/>
      <c r="BP45" s="45"/>
      <c r="BQ45" s="46"/>
      <c r="BR45" s="101">
        <f t="shared" si="1"/>
        <v>2400</v>
      </c>
      <c r="BS45" s="101"/>
    </row>
    <row r="46" spans="1:71" ht="12" customHeight="1">
      <c r="A46" s="198"/>
      <c r="B46" s="199"/>
      <c r="C46" s="16"/>
      <c r="D46" s="17"/>
      <c r="E46" s="43"/>
      <c r="F46" s="64"/>
      <c r="G46" s="20"/>
      <c r="H46" s="20"/>
      <c r="I46" s="21"/>
      <c r="J46" s="52"/>
      <c r="K46" s="20"/>
      <c r="L46" s="20"/>
      <c r="M46" s="21"/>
      <c r="N46" s="52"/>
      <c r="O46" s="20"/>
      <c r="P46" s="20"/>
      <c r="Q46" s="21"/>
      <c r="R46" s="50"/>
      <c r="S46" s="45"/>
      <c r="T46" s="45"/>
      <c r="U46" s="46"/>
      <c r="V46" s="50"/>
      <c r="W46" s="45"/>
      <c r="X46" s="45"/>
      <c r="Y46" s="54"/>
      <c r="Z46" s="50"/>
      <c r="AA46" s="45"/>
      <c r="AB46" s="45"/>
      <c r="AC46" s="46"/>
      <c r="AD46" s="50"/>
      <c r="AE46" s="45"/>
      <c r="AF46" s="45"/>
      <c r="AG46" s="46"/>
      <c r="AH46" s="50"/>
      <c r="AI46" s="45"/>
      <c r="AJ46" s="45"/>
      <c r="AK46" s="46"/>
      <c r="AL46" s="50"/>
      <c r="AM46" s="55"/>
      <c r="AN46" s="45"/>
      <c r="AO46" s="46"/>
      <c r="AP46" s="50"/>
      <c r="AQ46" s="45"/>
      <c r="AR46" s="45"/>
      <c r="AS46" s="46"/>
      <c r="AT46" s="50"/>
      <c r="AU46" s="45"/>
      <c r="AV46" s="45"/>
      <c r="AW46" s="46"/>
      <c r="AX46" s="50"/>
      <c r="AY46" s="45"/>
      <c r="AZ46" s="45"/>
      <c r="BA46" s="46"/>
      <c r="BB46" s="50"/>
      <c r="BC46" s="45"/>
      <c r="BD46" s="45"/>
      <c r="BE46" s="46"/>
      <c r="BF46" s="50"/>
      <c r="BG46" s="45"/>
      <c r="BH46" s="45"/>
      <c r="BI46" s="46"/>
      <c r="BJ46" s="50"/>
      <c r="BK46" s="45"/>
      <c r="BL46" s="45"/>
      <c r="BM46" s="46"/>
      <c r="BN46" s="50"/>
      <c r="BO46" s="45"/>
      <c r="BP46" s="45"/>
      <c r="BQ46" s="46"/>
      <c r="BR46" s="101">
        <f t="shared" si="1"/>
        <v>0</v>
      </c>
      <c r="BS46" s="101"/>
    </row>
    <row r="47" spans="1:71" ht="12" customHeight="1">
      <c r="A47" s="198">
        <v>3.2</v>
      </c>
      <c r="B47" s="199" t="s">
        <v>73</v>
      </c>
      <c r="C47" s="42">
        <v>1378000</v>
      </c>
      <c r="D47" s="17"/>
      <c r="E47" s="43"/>
      <c r="F47" s="59"/>
      <c r="G47" s="20"/>
      <c r="H47" s="20"/>
      <c r="I47" s="21"/>
      <c r="J47" s="22"/>
      <c r="K47" s="20"/>
      <c r="L47" s="20"/>
      <c r="M47" s="21"/>
      <c r="N47" s="22"/>
      <c r="O47" s="20"/>
      <c r="P47" s="20"/>
      <c r="Q47" s="21"/>
      <c r="R47" s="51"/>
      <c r="S47" s="45"/>
      <c r="T47" s="45"/>
      <c r="U47" s="46"/>
      <c r="V47" s="51"/>
      <c r="W47" s="45"/>
      <c r="X47" s="45"/>
      <c r="Y47" s="54"/>
      <c r="Z47" s="51"/>
      <c r="AA47" s="45"/>
      <c r="AB47" s="45"/>
      <c r="AC47" s="46"/>
      <c r="AD47" s="51"/>
      <c r="AE47" s="45"/>
      <c r="AF47" s="45"/>
      <c r="AG47" s="46"/>
      <c r="AH47" s="51"/>
      <c r="AI47" s="45"/>
      <c r="AJ47" s="45"/>
      <c r="AK47" s="46"/>
      <c r="AL47" s="51"/>
      <c r="AM47" s="55"/>
      <c r="AN47" s="45"/>
      <c r="AO47" s="46"/>
      <c r="AP47" s="51"/>
      <c r="AQ47" s="45"/>
      <c r="AR47" s="45"/>
      <c r="AS47" s="46"/>
      <c r="AT47" s="51"/>
      <c r="AU47" s="45"/>
      <c r="AV47" s="81">
        <v>30</v>
      </c>
      <c r="AW47" s="80">
        <f t="shared" ref="AW47:BE47" si="12">AV47</f>
        <v>30</v>
      </c>
      <c r="AX47" s="82">
        <f t="shared" si="12"/>
        <v>30</v>
      </c>
      <c r="AY47" s="81">
        <f t="shared" si="12"/>
        <v>30</v>
      </c>
      <c r="AZ47" s="81">
        <f t="shared" si="12"/>
        <v>30</v>
      </c>
      <c r="BA47" s="80">
        <f t="shared" si="12"/>
        <v>30</v>
      </c>
      <c r="BB47" s="82">
        <f t="shared" si="12"/>
        <v>30</v>
      </c>
      <c r="BC47" s="81">
        <f t="shared" si="12"/>
        <v>30</v>
      </c>
      <c r="BD47" s="81">
        <f t="shared" si="12"/>
        <v>30</v>
      </c>
      <c r="BE47" s="80">
        <f t="shared" si="12"/>
        <v>30</v>
      </c>
      <c r="BF47" s="51"/>
      <c r="BG47" s="45"/>
      <c r="BH47" s="45"/>
      <c r="BI47" s="46"/>
      <c r="BJ47" s="51"/>
      <c r="BK47" s="45"/>
      <c r="BL47" s="45"/>
      <c r="BM47" s="46"/>
      <c r="BN47" s="51"/>
      <c r="BO47" s="45"/>
      <c r="BP47" s="45"/>
      <c r="BQ47" s="46"/>
      <c r="BR47" s="101">
        <f t="shared" si="1"/>
        <v>2400</v>
      </c>
      <c r="BS47" s="101"/>
    </row>
    <row r="48" spans="1:71" ht="12" customHeight="1">
      <c r="A48" s="198"/>
      <c r="B48" s="199"/>
      <c r="C48" s="16"/>
      <c r="D48" s="17"/>
      <c r="E48" s="43"/>
      <c r="F48" s="64"/>
      <c r="G48" s="20"/>
      <c r="H48" s="20"/>
      <c r="I48" s="21"/>
      <c r="J48" s="52"/>
      <c r="K48" s="20"/>
      <c r="L48" s="20"/>
      <c r="M48" s="21"/>
      <c r="N48" s="52"/>
      <c r="O48" s="20"/>
      <c r="P48" s="20"/>
      <c r="Q48" s="21"/>
      <c r="R48" s="50"/>
      <c r="S48" s="45"/>
      <c r="T48" s="45"/>
      <c r="U48" s="46"/>
      <c r="V48" s="50"/>
      <c r="W48" s="45"/>
      <c r="X48" s="45"/>
      <c r="Y48" s="54"/>
      <c r="Z48" s="50"/>
      <c r="AA48" s="45"/>
      <c r="AB48" s="45"/>
      <c r="AC48" s="46"/>
      <c r="AD48" s="50"/>
      <c r="AE48" s="45"/>
      <c r="AF48" s="45"/>
      <c r="AG48" s="46"/>
      <c r="AH48" s="50"/>
      <c r="AI48" s="45"/>
      <c r="AJ48" s="45"/>
      <c r="AK48" s="46"/>
      <c r="AL48" s="50"/>
      <c r="AM48" s="55"/>
      <c r="AN48" s="45"/>
      <c r="AO48" s="46"/>
      <c r="AP48" s="50"/>
      <c r="AQ48" s="45"/>
      <c r="AR48" s="45"/>
      <c r="AS48" s="46"/>
      <c r="AT48" s="50"/>
      <c r="AU48" s="45"/>
      <c r="AV48" s="45"/>
      <c r="AW48" s="46"/>
      <c r="AX48" s="50"/>
      <c r="AY48" s="45"/>
      <c r="AZ48" s="45"/>
      <c r="BA48" s="46"/>
      <c r="BB48" s="50"/>
      <c r="BC48" s="45"/>
      <c r="BD48" s="45"/>
      <c r="BE48" s="46"/>
      <c r="BF48" s="50"/>
      <c r="BG48" s="45"/>
      <c r="BH48" s="45"/>
      <c r="BI48" s="46"/>
      <c r="BJ48" s="50"/>
      <c r="BK48" s="45"/>
      <c r="BL48" s="45"/>
      <c r="BM48" s="46"/>
      <c r="BN48" s="50"/>
      <c r="BO48" s="45"/>
      <c r="BP48" s="45"/>
      <c r="BQ48" s="46"/>
      <c r="BR48" s="101">
        <f t="shared" si="1"/>
        <v>0</v>
      </c>
      <c r="BS48" s="101"/>
    </row>
    <row r="49" spans="1:71" ht="12" customHeight="1">
      <c r="A49" s="198">
        <v>3.3</v>
      </c>
      <c r="B49" s="199" t="s">
        <v>74</v>
      </c>
      <c r="C49" s="42">
        <v>3000000</v>
      </c>
      <c r="D49" s="17"/>
      <c r="E49" s="43"/>
      <c r="F49" s="59"/>
      <c r="G49" s="20"/>
      <c r="H49" s="20"/>
      <c r="I49" s="21"/>
      <c r="J49" s="22"/>
      <c r="K49" s="20"/>
      <c r="L49" s="20"/>
      <c r="M49" s="21"/>
      <c r="N49" s="22"/>
      <c r="O49" s="20"/>
      <c r="P49" s="20"/>
      <c r="Q49" s="21"/>
      <c r="R49" s="51"/>
      <c r="S49" s="45"/>
      <c r="T49" s="45"/>
      <c r="U49" s="46"/>
      <c r="V49" s="51"/>
      <c r="W49" s="45"/>
      <c r="X49" s="45"/>
      <c r="Y49" s="54"/>
      <c r="Z49" s="51"/>
      <c r="AA49" s="45"/>
      <c r="AB49" s="45"/>
      <c r="AC49" s="46"/>
      <c r="AD49" s="51"/>
      <c r="AE49" s="45"/>
      <c r="AF49" s="45"/>
      <c r="AG49" s="46"/>
      <c r="AH49" s="51"/>
      <c r="AI49" s="45"/>
      <c r="AJ49" s="45"/>
      <c r="AK49" s="46"/>
      <c r="AL49" s="51"/>
      <c r="AM49" s="55"/>
      <c r="AN49" s="81">
        <v>15</v>
      </c>
      <c r="AO49" s="80">
        <f>AN49</f>
        <v>15</v>
      </c>
      <c r="AP49" s="82">
        <f>AO49</f>
        <v>15</v>
      </c>
      <c r="AQ49" s="81">
        <f>AP49</f>
        <v>15</v>
      </c>
      <c r="AR49" s="45"/>
      <c r="AS49" s="46"/>
      <c r="AT49" s="51"/>
      <c r="AU49" s="45"/>
      <c r="AV49" s="45"/>
      <c r="AW49" s="46"/>
      <c r="AX49" s="51"/>
      <c r="AY49" s="45"/>
      <c r="AZ49" s="45"/>
      <c r="BA49" s="46"/>
      <c r="BB49" s="51"/>
      <c r="BC49" s="45"/>
      <c r="BD49" s="45"/>
      <c r="BE49" s="46"/>
      <c r="BF49" s="51"/>
      <c r="BG49" s="45"/>
      <c r="BH49" s="45"/>
      <c r="BI49" s="46"/>
      <c r="BJ49" s="51"/>
      <c r="BK49" s="45"/>
      <c r="BL49" s="45"/>
      <c r="BM49" s="46"/>
      <c r="BN49" s="51"/>
      <c r="BO49" s="45"/>
      <c r="BP49" s="45"/>
      <c r="BQ49" s="46"/>
      <c r="BR49" s="101">
        <f t="shared" si="1"/>
        <v>480</v>
      </c>
      <c r="BS49" s="101"/>
    </row>
    <row r="50" spans="1:71" ht="12" customHeight="1">
      <c r="A50" s="198"/>
      <c r="B50" s="199"/>
      <c r="C50" s="16"/>
      <c r="D50" s="17"/>
      <c r="E50" s="43"/>
      <c r="F50" s="64"/>
      <c r="G50" s="20"/>
      <c r="H50" s="20"/>
      <c r="I50" s="21"/>
      <c r="J50" s="52"/>
      <c r="K50" s="20"/>
      <c r="L50" s="20"/>
      <c r="M50" s="21"/>
      <c r="N50" s="52"/>
      <c r="O50" s="20"/>
      <c r="P50" s="20"/>
      <c r="Q50" s="21"/>
      <c r="R50" s="50"/>
      <c r="S50" s="45"/>
      <c r="T50" s="45"/>
      <c r="U50" s="46"/>
      <c r="V50" s="50"/>
      <c r="W50" s="45"/>
      <c r="X50" s="45"/>
      <c r="Y50" s="54"/>
      <c r="Z50" s="50"/>
      <c r="AA50" s="45"/>
      <c r="AB50" s="45"/>
      <c r="AC50" s="46"/>
      <c r="AD50" s="50"/>
      <c r="AE50" s="45"/>
      <c r="AF50" s="45"/>
      <c r="AG50" s="46"/>
      <c r="AH50" s="50"/>
      <c r="AI50" s="45"/>
      <c r="AJ50" s="45"/>
      <c r="AK50" s="46"/>
      <c r="AL50" s="50"/>
      <c r="AM50" s="55"/>
      <c r="AN50" s="45"/>
      <c r="AO50" s="46"/>
      <c r="AP50" s="50"/>
      <c r="AQ50" s="45"/>
      <c r="AR50" s="45"/>
      <c r="AS50" s="46"/>
      <c r="AT50" s="50"/>
      <c r="AU50" s="45"/>
      <c r="AV50" s="45"/>
      <c r="AW50" s="46"/>
      <c r="AX50" s="50"/>
      <c r="AY50" s="45"/>
      <c r="AZ50" s="45"/>
      <c r="BA50" s="46"/>
      <c r="BB50" s="50"/>
      <c r="BC50" s="45"/>
      <c r="BD50" s="45"/>
      <c r="BE50" s="46"/>
      <c r="BF50" s="50"/>
      <c r="BG50" s="45"/>
      <c r="BH50" s="45"/>
      <c r="BI50" s="46"/>
      <c r="BJ50" s="50"/>
      <c r="BK50" s="45"/>
      <c r="BL50" s="45"/>
      <c r="BM50" s="46"/>
      <c r="BN50" s="50"/>
      <c r="BO50" s="45"/>
      <c r="BP50" s="45"/>
      <c r="BQ50" s="46"/>
      <c r="BR50" s="101">
        <f t="shared" si="1"/>
        <v>0</v>
      </c>
      <c r="BS50" s="101"/>
    </row>
    <row r="51" spans="1:71" ht="12" customHeight="1">
      <c r="A51" s="198">
        <v>3.4</v>
      </c>
      <c r="B51" s="199" t="s">
        <v>75</v>
      </c>
      <c r="C51" s="42">
        <v>9203888.8900000006</v>
      </c>
      <c r="D51" s="17"/>
      <c r="E51" s="43"/>
      <c r="F51" s="59"/>
      <c r="G51" s="20"/>
      <c r="H51" s="20"/>
      <c r="I51" s="21"/>
      <c r="J51" s="22"/>
      <c r="K51" s="20"/>
      <c r="L51" s="20"/>
      <c r="M51" s="21"/>
      <c r="N51" s="22"/>
      <c r="O51" s="20"/>
      <c r="P51" s="20"/>
      <c r="Q51" s="21"/>
      <c r="R51" s="51"/>
      <c r="S51" s="45"/>
      <c r="T51" s="45"/>
      <c r="U51" s="46"/>
      <c r="V51" s="51"/>
      <c r="W51" s="45"/>
      <c r="X51" s="45"/>
      <c r="Y51" s="54"/>
      <c r="Z51" s="51"/>
      <c r="AA51" s="45"/>
      <c r="AB51" s="45"/>
      <c r="AC51" s="46"/>
      <c r="AD51" s="51"/>
      <c r="AE51" s="45"/>
      <c r="AF51" s="45"/>
      <c r="AG51" s="46"/>
      <c r="AH51" s="82">
        <v>15</v>
      </c>
      <c r="AI51" s="81">
        <f>AH51</f>
        <v>15</v>
      </c>
      <c r="AJ51" s="81">
        <f t="shared" ref="AJ51:AL51" si="13">AI51</f>
        <v>15</v>
      </c>
      <c r="AK51" s="80">
        <f t="shared" si="13"/>
        <v>15</v>
      </c>
      <c r="AL51" s="82">
        <f t="shared" si="13"/>
        <v>15</v>
      </c>
      <c r="AM51" s="55"/>
      <c r="AN51" s="45"/>
      <c r="AO51" s="46"/>
      <c r="AP51" s="51"/>
      <c r="AQ51" s="45"/>
      <c r="AR51" s="45"/>
      <c r="AS51" s="46"/>
      <c r="AT51" s="51"/>
      <c r="AU51" s="45"/>
      <c r="AV51" s="45"/>
      <c r="AW51" s="46"/>
      <c r="AX51" s="51"/>
      <c r="AY51" s="45"/>
      <c r="AZ51" s="45"/>
      <c r="BA51" s="46"/>
      <c r="BB51" s="51"/>
      <c r="BC51" s="45"/>
      <c r="BD51" s="45"/>
      <c r="BE51" s="46"/>
      <c r="BF51" s="51"/>
      <c r="BG51" s="45"/>
      <c r="BH51" s="45"/>
      <c r="BI51" s="46"/>
      <c r="BJ51" s="51"/>
      <c r="BK51" s="45"/>
      <c r="BL51" s="45"/>
      <c r="BM51" s="46"/>
      <c r="BN51" s="51"/>
      <c r="BO51" s="45"/>
      <c r="BP51" s="45"/>
      <c r="BQ51" s="46"/>
      <c r="BR51" s="101">
        <f t="shared" si="1"/>
        <v>600</v>
      </c>
      <c r="BS51" s="101"/>
    </row>
    <row r="52" spans="1:71" ht="12" customHeight="1">
      <c r="A52" s="198"/>
      <c r="B52" s="199"/>
      <c r="C52" s="16"/>
      <c r="D52" s="17"/>
      <c r="E52" s="43"/>
      <c r="F52" s="64"/>
      <c r="G52" s="20"/>
      <c r="H52" s="20"/>
      <c r="I52" s="21"/>
      <c r="J52" s="52"/>
      <c r="K52" s="20"/>
      <c r="L52" s="20"/>
      <c r="M52" s="21"/>
      <c r="N52" s="52"/>
      <c r="O52" s="20"/>
      <c r="P52" s="20"/>
      <c r="Q52" s="21"/>
      <c r="R52" s="50"/>
      <c r="S52" s="45"/>
      <c r="T52" s="45"/>
      <c r="U52" s="46"/>
      <c r="V52" s="50"/>
      <c r="W52" s="45"/>
      <c r="X52" s="45"/>
      <c r="Y52" s="54"/>
      <c r="Z52" s="50"/>
      <c r="AA52" s="45"/>
      <c r="AB52" s="45"/>
      <c r="AC52" s="46"/>
      <c r="AD52" s="50"/>
      <c r="AE52" s="45"/>
      <c r="AF52" s="45"/>
      <c r="AG52" s="46"/>
      <c r="AH52" s="50"/>
      <c r="AI52" s="45"/>
      <c r="AJ52" s="45"/>
      <c r="AK52" s="46"/>
      <c r="AL52" s="50"/>
      <c r="AM52" s="55"/>
      <c r="AN52" s="45"/>
      <c r="AO52" s="46"/>
      <c r="AP52" s="50"/>
      <c r="AQ52" s="45"/>
      <c r="AR52" s="45"/>
      <c r="AS52" s="46"/>
      <c r="AT52" s="50"/>
      <c r="AU52" s="45"/>
      <c r="AV52" s="45"/>
      <c r="AW52" s="46"/>
      <c r="AX52" s="50"/>
      <c r="AY52" s="45"/>
      <c r="AZ52" s="45"/>
      <c r="BA52" s="46"/>
      <c r="BB52" s="50"/>
      <c r="BC52" s="45"/>
      <c r="BD52" s="45"/>
      <c r="BE52" s="46"/>
      <c r="BF52" s="50"/>
      <c r="BG52" s="45"/>
      <c r="BH52" s="45"/>
      <c r="BI52" s="46"/>
      <c r="BJ52" s="50"/>
      <c r="BK52" s="45"/>
      <c r="BL52" s="45"/>
      <c r="BM52" s="46"/>
      <c r="BN52" s="50"/>
      <c r="BO52" s="45"/>
      <c r="BP52" s="45"/>
      <c r="BQ52" s="46"/>
      <c r="BR52" s="101">
        <f t="shared" si="1"/>
        <v>0</v>
      </c>
      <c r="BS52" s="101"/>
    </row>
    <row r="53" spans="1:71" ht="12" hidden="1" customHeight="1">
      <c r="A53" s="198">
        <v>3.5</v>
      </c>
      <c r="B53" s="199" t="s">
        <v>76</v>
      </c>
      <c r="C53" s="42"/>
      <c r="D53" s="17"/>
      <c r="E53" s="43"/>
      <c r="F53" s="59"/>
      <c r="G53" s="20"/>
      <c r="H53" s="20"/>
      <c r="I53" s="21"/>
      <c r="J53" s="22"/>
      <c r="K53" s="20"/>
      <c r="L53" s="20"/>
      <c r="M53" s="21"/>
      <c r="N53" s="22"/>
      <c r="O53" s="20"/>
      <c r="P53" s="20"/>
      <c r="Q53" s="21"/>
      <c r="R53" s="51"/>
      <c r="S53" s="45"/>
      <c r="T53" s="45"/>
      <c r="U53" s="46"/>
      <c r="V53" s="51"/>
      <c r="W53" s="45"/>
      <c r="X53" s="45"/>
      <c r="Y53" s="54"/>
      <c r="Z53" s="51"/>
      <c r="AA53" s="45"/>
      <c r="AB53" s="45"/>
      <c r="AC53" s="46"/>
      <c r="AD53" s="51"/>
      <c r="AE53" s="45"/>
      <c r="AF53" s="45"/>
      <c r="AG53" s="46"/>
      <c r="AH53" s="51"/>
      <c r="AI53" s="45"/>
      <c r="AJ53" s="45"/>
      <c r="AK53" s="46"/>
      <c r="AL53" s="51"/>
      <c r="AM53" s="55"/>
      <c r="AN53" s="45"/>
      <c r="AO53" s="46"/>
      <c r="AP53" s="51"/>
      <c r="AQ53" s="45"/>
      <c r="AR53" s="45"/>
      <c r="AS53" s="46"/>
      <c r="AT53" s="51"/>
      <c r="AU53" s="45"/>
      <c r="AV53" s="45"/>
      <c r="AW53" s="46"/>
      <c r="AX53" s="51"/>
      <c r="AY53" s="45"/>
      <c r="AZ53" s="45">
        <f>1/5</f>
        <v>0.2</v>
      </c>
      <c r="BA53" s="46">
        <f>AZ53</f>
        <v>0.2</v>
      </c>
      <c r="BB53" s="51">
        <f>BA53</f>
        <v>0.2</v>
      </c>
      <c r="BC53" s="45">
        <f>BB53</f>
        <v>0.2</v>
      </c>
      <c r="BD53" s="45">
        <f>BC53</f>
        <v>0.2</v>
      </c>
      <c r="BE53" s="46"/>
      <c r="BF53" s="51"/>
      <c r="BG53" s="45"/>
      <c r="BH53" s="45"/>
      <c r="BI53" s="46"/>
      <c r="BJ53" s="51"/>
      <c r="BK53" s="45"/>
      <c r="BL53" s="45"/>
      <c r="BM53" s="46"/>
      <c r="BN53" s="51"/>
      <c r="BO53" s="45"/>
      <c r="BP53" s="45"/>
      <c r="BQ53" s="46"/>
      <c r="BR53" s="101">
        <f t="shared" si="1"/>
        <v>8</v>
      </c>
      <c r="BS53" s="101"/>
    </row>
    <row r="54" spans="1:71" ht="12" hidden="1" customHeight="1">
      <c r="A54" s="198"/>
      <c r="B54" s="199"/>
      <c r="C54" s="16"/>
      <c r="D54" s="17"/>
      <c r="E54" s="43"/>
      <c r="F54" s="64"/>
      <c r="G54" s="20"/>
      <c r="H54" s="20"/>
      <c r="I54" s="21"/>
      <c r="J54" s="52"/>
      <c r="K54" s="20"/>
      <c r="L54" s="20"/>
      <c r="M54" s="21"/>
      <c r="N54" s="52"/>
      <c r="O54" s="20"/>
      <c r="P54" s="20"/>
      <c r="Q54" s="21"/>
      <c r="R54" s="50"/>
      <c r="S54" s="45"/>
      <c r="T54" s="45"/>
      <c r="U54" s="46"/>
      <c r="V54" s="50"/>
      <c r="W54" s="45"/>
      <c r="X54" s="45"/>
      <c r="Y54" s="54"/>
      <c r="Z54" s="50"/>
      <c r="AA54" s="45"/>
      <c r="AB54" s="45"/>
      <c r="AC54" s="46"/>
      <c r="AD54" s="50"/>
      <c r="AE54" s="45"/>
      <c r="AF54" s="45"/>
      <c r="AG54" s="46"/>
      <c r="AH54" s="50"/>
      <c r="AI54" s="45"/>
      <c r="AJ54" s="45"/>
      <c r="AK54" s="46"/>
      <c r="AL54" s="50"/>
      <c r="AM54" s="55"/>
      <c r="AN54" s="45"/>
      <c r="AO54" s="46"/>
      <c r="AP54" s="50"/>
      <c r="AQ54" s="45"/>
      <c r="AR54" s="45"/>
      <c r="AS54" s="46"/>
      <c r="AT54" s="50"/>
      <c r="AU54" s="45"/>
      <c r="AV54" s="45"/>
      <c r="AW54" s="46"/>
      <c r="AX54" s="50"/>
      <c r="AY54" s="45"/>
      <c r="AZ54" s="45"/>
      <c r="BA54" s="46"/>
      <c r="BB54" s="50"/>
      <c r="BC54" s="45"/>
      <c r="BD54" s="45"/>
      <c r="BE54" s="46"/>
      <c r="BF54" s="50"/>
      <c r="BG54" s="45"/>
      <c r="BH54" s="45"/>
      <c r="BI54" s="46"/>
      <c r="BJ54" s="50"/>
      <c r="BK54" s="45"/>
      <c r="BL54" s="45"/>
      <c r="BM54" s="46"/>
      <c r="BN54" s="50"/>
      <c r="BO54" s="45"/>
      <c r="BP54" s="45"/>
      <c r="BQ54" s="46"/>
      <c r="BR54" s="101">
        <f t="shared" si="1"/>
        <v>0</v>
      </c>
      <c r="BS54" s="101"/>
    </row>
    <row r="55" spans="1:71" ht="12" customHeight="1">
      <c r="A55" s="198">
        <v>3.6</v>
      </c>
      <c r="B55" s="199" t="s">
        <v>77</v>
      </c>
      <c r="C55" s="42">
        <v>524488.89</v>
      </c>
      <c r="D55" s="17"/>
      <c r="E55" s="43"/>
      <c r="F55" s="59"/>
      <c r="G55" s="20"/>
      <c r="H55" s="20"/>
      <c r="I55" s="21"/>
      <c r="J55" s="22"/>
      <c r="K55" s="20"/>
      <c r="L55" s="20"/>
      <c r="M55" s="21"/>
      <c r="N55" s="22"/>
      <c r="O55" s="20"/>
      <c r="P55" s="20"/>
      <c r="Q55" s="21"/>
      <c r="R55" s="51"/>
      <c r="S55" s="45"/>
      <c r="T55" s="45"/>
      <c r="U55" s="46"/>
      <c r="V55" s="51"/>
      <c r="W55" s="45"/>
      <c r="X55" s="45"/>
      <c r="Y55" s="54"/>
      <c r="Z55" s="51"/>
      <c r="AA55" s="45"/>
      <c r="AB55" s="45"/>
      <c r="AC55" s="46"/>
      <c r="AD55" s="51"/>
      <c r="AE55" s="45"/>
      <c r="AF55" s="45"/>
      <c r="AG55" s="46"/>
      <c r="AH55" s="51"/>
      <c r="AI55" s="45"/>
      <c r="AJ55" s="45"/>
      <c r="AK55" s="46"/>
      <c r="AL55" s="51"/>
      <c r="AM55" s="55"/>
      <c r="AN55" s="45"/>
      <c r="AO55" s="46"/>
      <c r="AP55" s="51"/>
      <c r="AQ55" s="45"/>
      <c r="AR55" s="45"/>
      <c r="AS55" s="46"/>
      <c r="AT55" s="51"/>
      <c r="AU55" s="45"/>
      <c r="AV55" s="45"/>
      <c r="AW55" s="46"/>
      <c r="AX55" s="51"/>
      <c r="AY55" s="45"/>
      <c r="AZ55" s="81">
        <v>7</v>
      </c>
      <c r="BA55" s="80">
        <f>AZ55</f>
        <v>7</v>
      </c>
      <c r="BB55" s="82">
        <f>BA55</f>
        <v>7</v>
      </c>
      <c r="BC55" s="81">
        <f>BB55</f>
        <v>7</v>
      </c>
      <c r="BD55" s="81">
        <f>BC55</f>
        <v>7</v>
      </c>
      <c r="BE55" s="80">
        <f t="shared" ref="BE55:BF55" si="14">BD55</f>
        <v>7</v>
      </c>
      <c r="BF55" s="82">
        <f t="shared" si="14"/>
        <v>7</v>
      </c>
      <c r="BG55" s="45"/>
      <c r="BH55" s="45"/>
      <c r="BI55" s="46"/>
      <c r="BJ55" s="51"/>
      <c r="BK55" s="45"/>
      <c r="BL55" s="45"/>
      <c r="BM55" s="46"/>
      <c r="BN55" s="51"/>
      <c r="BO55" s="45"/>
      <c r="BP55" s="45"/>
      <c r="BQ55" s="46"/>
      <c r="BR55" s="101">
        <f t="shared" si="1"/>
        <v>392</v>
      </c>
      <c r="BS55" s="101"/>
    </row>
    <row r="56" spans="1:71" ht="12" customHeight="1">
      <c r="A56" s="198"/>
      <c r="B56" s="199"/>
      <c r="C56" s="16"/>
      <c r="D56" s="17"/>
      <c r="E56" s="43"/>
      <c r="F56" s="64"/>
      <c r="G56" s="20"/>
      <c r="H56" s="20"/>
      <c r="I56" s="21"/>
      <c r="J56" s="52"/>
      <c r="K56" s="20"/>
      <c r="L56" s="20"/>
      <c r="M56" s="21"/>
      <c r="N56" s="52"/>
      <c r="O56" s="20"/>
      <c r="P56" s="20"/>
      <c r="Q56" s="21"/>
      <c r="R56" s="50"/>
      <c r="S56" s="45"/>
      <c r="T56" s="45"/>
      <c r="U56" s="46"/>
      <c r="V56" s="50"/>
      <c r="W56" s="45"/>
      <c r="X56" s="45"/>
      <c r="Y56" s="54"/>
      <c r="Z56" s="50"/>
      <c r="AA56" s="45"/>
      <c r="AB56" s="45"/>
      <c r="AC56" s="46"/>
      <c r="AD56" s="50"/>
      <c r="AE56" s="45"/>
      <c r="AF56" s="45"/>
      <c r="AG56" s="46"/>
      <c r="AH56" s="50"/>
      <c r="AI56" s="45"/>
      <c r="AJ56" s="45"/>
      <c r="AK56" s="46"/>
      <c r="AL56" s="50"/>
      <c r="AM56" s="55"/>
      <c r="AN56" s="45"/>
      <c r="AO56" s="46"/>
      <c r="AP56" s="50"/>
      <c r="AQ56" s="45"/>
      <c r="AR56" s="45"/>
      <c r="AS56" s="46"/>
      <c r="AT56" s="50"/>
      <c r="AU56" s="45"/>
      <c r="AV56" s="45"/>
      <c r="AW56" s="46"/>
      <c r="AX56" s="50"/>
      <c r="AY56" s="45"/>
      <c r="AZ56" s="45"/>
      <c r="BA56" s="46"/>
      <c r="BB56" s="50"/>
      <c r="BC56" s="45"/>
      <c r="BD56" s="45"/>
      <c r="BE56" s="46"/>
      <c r="BF56" s="50"/>
      <c r="BG56" s="45"/>
      <c r="BH56" s="45"/>
      <c r="BI56" s="46"/>
      <c r="BJ56" s="50"/>
      <c r="BK56" s="45"/>
      <c r="BL56" s="45"/>
      <c r="BM56" s="46"/>
      <c r="BN56" s="50"/>
      <c r="BO56" s="45"/>
      <c r="BP56" s="45"/>
      <c r="BQ56" s="46"/>
      <c r="BR56" s="101">
        <f t="shared" si="1"/>
        <v>0</v>
      </c>
      <c r="BS56" s="101"/>
    </row>
    <row r="57" spans="1:71" ht="12" hidden="1" customHeight="1">
      <c r="A57" s="198">
        <v>3.7</v>
      </c>
      <c r="B57" s="199" t="s">
        <v>78</v>
      </c>
      <c r="C57" s="42"/>
      <c r="D57" s="17"/>
      <c r="E57" s="43"/>
      <c r="F57" s="59"/>
      <c r="G57" s="20"/>
      <c r="H57" s="20"/>
      <c r="I57" s="21"/>
      <c r="J57" s="22"/>
      <c r="K57" s="20"/>
      <c r="L57" s="20"/>
      <c r="M57" s="21"/>
      <c r="N57" s="22"/>
      <c r="O57" s="20"/>
      <c r="P57" s="20"/>
      <c r="Q57" s="21"/>
      <c r="R57" s="51"/>
      <c r="S57" s="45"/>
      <c r="T57" s="45"/>
      <c r="U57" s="46"/>
      <c r="V57" s="51"/>
      <c r="W57" s="45"/>
      <c r="X57" s="45"/>
      <c r="Y57" s="54"/>
      <c r="Z57" s="51"/>
      <c r="AA57" s="45"/>
      <c r="AB57" s="45"/>
      <c r="AC57" s="46"/>
      <c r="AD57" s="51"/>
      <c r="AE57" s="45"/>
      <c r="AF57" s="45"/>
      <c r="AG57" s="46"/>
      <c r="AH57" s="51"/>
      <c r="AI57" s="45"/>
      <c r="AJ57" s="45"/>
      <c r="AK57" s="46"/>
      <c r="AL57" s="51"/>
      <c r="AM57" s="55"/>
      <c r="AN57" s="45"/>
      <c r="AO57" s="46"/>
      <c r="AP57" s="51"/>
      <c r="AQ57" s="45"/>
      <c r="AR57" s="45"/>
      <c r="AS57" s="45"/>
      <c r="AT57" s="50"/>
      <c r="AU57" s="45"/>
      <c r="AV57" s="45"/>
      <c r="AW57" s="46"/>
      <c r="AX57" s="51"/>
      <c r="AY57" s="45"/>
      <c r="AZ57" s="45"/>
      <c r="BA57" s="45"/>
      <c r="BB57" s="51"/>
      <c r="BC57" s="45"/>
      <c r="BD57" s="45"/>
      <c r="BE57" s="45"/>
      <c r="BF57" s="51"/>
      <c r="BG57" s="45"/>
      <c r="BH57" s="45"/>
      <c r="BI57" s="46"/>
      <c r="BJ57" s="51"/>
      <c r="BK57" s="45"/>
      <c r="BL57" s="45"/>
      <c r="BM57" s="46"/>
      <c r="BN57" s="51"/>
      <c r="BO57" s="45"/>
      <c r="BP57" s="45"/>
      <c r="BQ57" s="46"/>
      <c r="BR57" s="101">
        <f t="shared" si="1"/>
        <v>0</v>
      </c>
      <c r="BS57" s="101"/>
    </row>
    <row r="58" spans="1:71" ht="12" hidden="1" customHeight="1">
      <c r="A58" s="198"/>
      <c r="B58" s="199"/>
      <c r="C58" s="16"/>
      <c r="D58" s="17"/>
      <c r="E58" s="43"/>
      <c r="F58" s="59"/>
      <c r="G58" s="20"/>
      <c r="H58" s="20"/>
      <c r="I58" s="21"/>
      <c r="J58" s="22"/>
      <c r="K58" s="20"/>
      <c r="L58" s="20"/>
      <c r="M58" s="21"/>
      <c r="N58" s="22"/>
      <c r="O58" s="20"/>
      <c r="P58" s="20"/>
      <c r="Q58" s="21"/>
      <c r="R58" s="51"/>
      <c r="S58" s="45"/>
      <c r="T58" s="45"/>
      <c r="U58" s="46"/>
      <c r="V58" s="51"/>
      <c r="W58" s="45"/>
      <c r="X58" s="45"/>
      <c r="Y58" s="54"/>
      <c r="Z58" s="51"/>
      <c r="AA58" s="45"/>
      <c r="AB58" s="45"/>
      <c r="AC58" s="46"/>
      <c r="AD58" s="51"/>
      <c r="AE58" s="45"/>
      <c r="AF58" s="45"/>
      <c r="AG58" s="46"/>
      <c r="AH58" s="51"/>
      <c r="AI58" s="45"/>
      <c r="AJ58" s="45"/>
      <c r="AK58" s="46"/>
      <c r="AL58" s="51"/>
      <c r="AM58" s="55"/>
      <c r="AN58" s="45"/>
      <c r="AO58" s="46"/>
      <c r="AP58" s="51"/>
      <c r="AQ58" s="45"/>
      <c r="AR58" s="45"/>
      <c r="AS58" s="46"/>
      <c r="AT58" s="51"/>
      <c r="AU58" s="45"/>
      <c r="AV58" s="45"/>
      <c r="AW58" s="46"/>
      <c r="AX58" s="51"/>
      <c r="AY58" s="45"/>
      <c r="AZ58" s="45"/>
      <c r="BA58" s="46"/>
      <c r="BB58" s="51"/>
      <c r="BC58" s="45"/>
      <c r="BD58" s="45"/>
      <c r="BE58" s="46"/>
      <c r="BF58" s="51"/>
      <c r="BG58" s="45"/>
      <c r="BH58" s="45"/>
      <c r="BI58" s="46"/>
      <c r="BJ58" s="51"/>
      <c r="BK58" s="45"/>
      <c r="BL58" s="45"/>
      <c r="BM58" s="46"/>
      <c r="BN58" s="51"/>
      <c r="BO58" s="45"/>
      <c r="BP58" s="45"/>
      <c r="BQ58" s="46"/>
      <c r="BR58" s="101">
        <f t="shared" si="1"/>
        <v>0</v>
      </c>
      <c r="BS58" s="101"/>
    </row>
    <row r="59" spans="1:71" ht="12" customHeight="1">
      <c r="A59" s="198">
        <v>3.8</v>
      </c>
      <c r="B59" s="199" t="s">
        <v>32</v>
      </c>
      <c r="C59" s="42">
        <v>243518.52</v>
      </c>
      <c r="D59" s="17"/>
      <c r="E59" s="43"/>
      <c r="F59" s="59"/>
      <c r="G59" s="20"/>
      <c r="H59" s="20"/>
      <c r="I59" s="21"/>
      <c r="J59" s="22"/>
      <c r="K59" s="20"/>
      <c r="L59" s="20"/>
      <c r="M59" s="21"/>
      <c r="N59" s="22"/>
      <c r="O59" s="20"/>
      <c r="P59" s="20"/>
      <c r="Q59" s="21"/>
      <c r="R59" s="51"/>
      <c r="S59" s="45"/>
      <c r="T59" s="45"/>
      <c r="U59" s="46"/>
      <c r="V59" s="51"/>
      <c r="W59" s="45"/>
      <c r="X59" s="45"/>
      <c r="Y59" s="54"/>
      <c r="Z59" s="51"/>
      <c r="AA59" s="45"/>
      <c r="AB59" s="45"/>
      <c r="AC59" s="46"/>
      <c r="AD59" s="51"/>
      <c r="AE59" s="45"/>
      <c r="AF59" s="45"/>
      <c r="AG59" s="46"/>
      <c r="AH59" s="51"/>
      <c r="AI59" s="45"/>
      <c r="AJ59" s="45"/>
      <c r="AK59" s="46"/>
      <c r="AL59" s="51"/>
      <c r="AM59" s="55"/>
      <c r="AN59" s="45"/>
      <c r="AO59" s="46"/>
      <c r="AP59" s="51"/>
      <c r="AQ59" s="45"/>
      <c r="AR59" s="45"/>
      <c r="AS59" s="46"/>
      <c r="AT59" s="51"/>
      <c r="AU59" s="45"/>
      <c r="AV59" s="45"/>
      <c r="AW59" s="46"/>
      <c r="AX59" s="51"/>
      <c r="AY59" s="45"/>
      <c r="AZ59" s="45"/>
      <c r="BA59" s="46"/>
      <c r="BB59" s="82">
        <v>10</v>
      </c>
      <c r="BC59" s="81">
        <f t="shared" ref="BC59:BI59" si="15">BB59</f>
        <v>10</v>
      </c>
      <c r="BD59" s="81">
        <f t="shared" si="15"/>
        <v>10</v>
      </c>
      <c r="BE59" s="80">
        <f t="shared" si="15"/>
        <v>10</v>
      </c>
      <c r="BF59" s="82">
        <f t="shared" si="15"/>
        <v>10</v>
      </c>
      <c r="BG59" s="81">
        <f t="shared" si="15"/>
        <v>10</v>
      </c>
      <c r="BH59" s="81">
        <f t="shared" si="15"/>
        <v>10</v>
      </c>
      <c r="BI59" s="80">
        <f t="shared" si="15"/>
        <v>10</v>
      </c>
      <c r="BJ59" s="51"/>
      <c r="BK59" s="45"/>
      <c r="BL59" s="45"/>
      <c r="BM59" s="46"/>
      <c r="BN59" s="51"/>
      <c r="BO59" s="45"/>
      <c r="BP59" s="45"/>
      <c r="BQ59" s="46"/>
      <c r="BR59" s="101">
        <f t="shared" si="1"/>
        <v>640</v>
      </c>
      <c r="BS59" s="101"/>
    </row>
    <row r="60" spans="1:71" ht="12" customHeight="1">
      <c r="A60" s="198"/>
      <c r="B60" s="199"/>
      <c r="C60" s="16"/>
      <c r="D60" s="17"/>
      <c r="E60" s="43"/>
      <c r="F60" s="64"/>
      <c r="G60" s="20"/>
      <c r="H60" s="20"/>
      <c r="I60" s="21"/>
      <c r="J60" s="52"/>
      <c r="K60" s="20"/>
      <c r="L60" s="20"/>
      <c r="M60" s="21"/>
      <c r="N60" s="52"/>
      <c r="O60" s="20"/>
      <c r="P60" s="20"/>
      <c r="Q60" s="21"/>
      <c r="R60" s="50"/>
      <c r="S60" s="45"/>
      <c r="T60" s="45"/>
      <c r="U60" s="46"/>
      <c r="V60" s="50"/>
      <c r="W60" s="45"/>
      <c r="X60" s="45"/>
      <c r="Y60" s="54"/>
      <c r="Z60" s="50"/>
      <c r="AA60" s="45"/>
      <c r="AB60" s="45"/>
      <c r="AC60" s="46"/>
      <c r="AD60" s="50"/>
      <c r="AE60" s="45"/>
      <c r="AF60" s="45"/>
      <c r="AG60" s="46"/>
      <c r="AH60" s="50"/>
      <c r="AI60" s="45"/>
      <c r="AJ60" s="45"/>
      <c r="AK60" s="46"/>
      <c r="AL60" s="50"/>
      <c r="AM60" s="55"/>
      <c r="AN60" s="45"/>
      <c r="AO60" s="46"/>
      <c r="AP60" s="50"/>
      <c r="AQ60" s="45"/>
      <c r="AR60" s="45"/>
      <c r="AS60" s="46"/>
      <c r="AT60" s="50"/>
      <c r="AU60" s="45"/>
      <c r="AV60" s="45"/>
      <c r="AW60" s="46"/>
      <c r="AX60" s="50"/>
      <c r="AY60" s="45"/>
      <c r="AZ60" s="45"/>
      <c r="BA60" s="46"/>
      <c r="BB60" s="50"/>
      <c r="BC60" s="45"/>
      <c r="BD60" s="45"/>
      <c r="BE60" s="46"/>
      <c r="BF60" s="50"/>
      <c r="BG60" s="45"/>
      <c r="BH60" s="45"/>
      <c r="BI60" s="46"/>
      <c r="BJ60" s="50"/>
      <c r="BK60" s="45"/>
      <c r="BL60" s="45"/>
      <c r="BM60" s="46"/>
      <c r="BN60" s="50"/>
      <c r="BO60" s="45"/>
      <c r="BP60" s="45"/>
      <c r="BQ60" s="46"/>
      <c r="BR60" s="101">
        <f t="shared" si="1"/>
        <v>0</v>
      </c>
      <c r="BS60" s="101"/>
    </row>
    <row r="61" spans="1:71" ht="12" hidden="1" customHeight="1">
      <c r="A61" s="198">
        <v>3.9</v>
      </c>
      <c r="B61" s="199" t="s">
        <v>23</v>
      </c>
      <c r="C61" s="42"/>
      <c r="D61" s="17"/>
      <c r="E61" s="43"/>
      <c r="F61" s="59"/>
      <c r="G61" s="20"/>
      <c r="H61" s="20"/>
      <c r="I61" s="21"/>
      <c r="J61" s="22"/>
      <c r="K61" s="20"/>
      <c r="L61" s="20"/>
      <c r="M61" s="21"/>
      <c r="N61" s="22"/>
      <c r="O61" s="20"/>
      <c r="P61" s="20"/>
      <c r="Q61" s="21"/>
      <c r="R61" s="51"/>
      <c r="S61" s="45"/>
      <c r="T61" s="45"/>
      <c r="U61" s="46"/>
      <c r="V61" s="51"/>
      <c r="W61" s="45"/>
      <c r="X61" s="45"/>
      <c r="Y61" s="54"/>
      <c r="Z61" s="51"/>
      <c r="AA61" s="45"/>
      <c r="AB61" s="45"/>
      <c r="AC61" s="46"/>
      <c r="AD61" s="51"/>
      <c r="AE61" s="45"/>
      <c r="AF61" s="45"/>
      <c r="AG61" s="46"/>
      <c r="AH61" s="51"/>
      <c r="AI61" s="45"/>
      <c r="AJ61" s="45"/>
      <c r="AK61" s="46"/>
      <c r="AL61" s="51"/>
      <c r="AM61" s="55"/>
      <c r="AN61" s="45"/>
      <c r="AO61" s="46"/>
      <c r="AP61" s="51"/>
      <c r="AQ61" s="45"/>
      <c r="AR61" s="45"/>
      <c r="AS61" s="46"/>
      <c r="AT61" s="51"/>
      <c r="AU61" s="45"/>
      <c r="AV61" s="45"/>
      <c r="AW61" s="46"/>
      <c r="AX61" s="51"/>
      <c r="AY61" s="45"/>
      <c r="AZ61" s="45"/>
      <c r="BA61" s="46"/>
      <c r="BB61" s="51"/>
      <c r="BC61" s="45"/>
      <c r="BD61" s="45"/>
      <c r="BE61" s="46"/>
      <c r="BF61" s="51"/>
      <c r="BG61" s="45"/>
      <c r="BH61" s="45"/>
      <c r="BI61" s="46"/>
      <c r="BJ61" s="51"/>
      <c r="BK61" s="45"/>
      <c r="BL61" s="45"/>
      <c r="BM61" s="46"/>
      <c r="BN61" s="51"/>
      <c r="BO61" s="45"/>
      <c r="BP61" s="45"/>
      <c r="BQ61" s="46"/>
      <c r="BR61" s="101">
        <f t="shared" si="1"/>
        <v>0</v>
      </c>
      <c r="BS61" s="101"/>
    </row>
    <row r="62" spans="1:71" ht="12" hidden="1" customHeight="1">
      <c r="A62" s="198"/>
      <c r="B62" s="199"/>
      <c r="C62" s="16"/>
      <c r="D62" s="17"/>
      <c r="E62" s="43"/>
      <c r="F62" s="64"/>
      <c r="G62" s="20"/>
      <c r="H62" s="20"/>
      <c r="I62" s="21"/>
      <c r="J62" s="52"/>
      <c r="K62" s="20"/>
      <c r="L62" s="20"/>
      <c r="M62" s="21"/>
      <c r="N62" s="52"/>
      <c r="O62" s="20"/>
      <c r="P62" s="20"/>
      <c r="Q62" s="21"/>
      <c r="R62" s="50"/>
      <c r="S62" s="45"/>
      <c r="T62" s="45"/>
      <c r="U62" s="46"/>
      <c r="V62" s="50"/>
      <c r="W62" s="45"/>
      <c r="X62" s="45"/>
      <c r="Y62" s="54"/>
      <c r="Z62" s="50"/>
      <c r="AA62" s="45"/>
      <c r="AB62" s="45"/>
      <c r="AC62" s="46"/>
      <c r="AD62" s="50"/>
      <c r="AE62" s="45"/>
      <c r="AF62" s="45"/>
      <c r="AG62" s="46"/>
      <c r="AH62" s="50"/>
      <c r="AI62" s="45"/>
      <c r="AJ62" s="45"/>
      <c r="AK62" s="46"/>
      <c r="AL62" s="50"/>
      <c r="AM62" s="55"/>
      <c r="AN62" s="45"/>
      <c r="AO62" s="46"/>
      <c r="AP62" s="50"/>
      <c r="AQ62" s="45"/>
      <c r="AR62" s="45"/>
      <c r="AS62" s="46"/>
      <c r="AT62" s="50"/>
      <c r="AU62" s="45"/>
      <c r="AV62" s="45"/>
      <c r="AW62" s="46"/>
      <c r="AX62" s="50"/>
      <c r="AY62" s="45"/>
      <c r="AZ62" s="45"/>
      <c r="BA62" s="46"/>
      <c r="BB62" s="50"/>
      <c r="BC62" s="45"/>
      <c r="BD62" s="45"/>
      <c r="BE62" s="46"/>
      <c r="BF62" s="50"/>
      <c r="BG62" s="45"/>
      <c r="BH62" s="45"/>
      <c r="BI62" s="46"/>
      <c r="BJ62" s="50"/>
      <c r="BK62" s="45"/>
      <c r="BL62" s="45"/>
      <c r="BM62" s="46"/>
      <c r="BN62" s="50"/>
      <c r="BO62" s="45"/>
      <c r="BP62" s="45"/>
      <c r="BQ62" s="46"/>
      <c r="BR62" s="101">
        <f t="shared" si="1"/>
        <v>0</v>
      </c>
      <c r="BS62" s="101"/>
    </row>
    <row r="63" spans="1:71" ht="22.5" customHeight="1">
      <c r="A63" s="93" t="s">
        <v>33</v>
      </c>
      <c r="B63" s="94" t="s">
        <v>79</v>
      </c>
      <c r="C63" s="67">
        <f>SUM(C65:C82)</f>
        <v>4518050</v>
      </c>
      <c r="D63" s="17"/>
      <c r="E63" s="43"/>
      <c r="F63" s="19"/>
      <c r="G63" s="20"/>
      <c r="H63" s="20"/>
      <c r="I63" s="21"/>
      <c r="J63" s="22"/>
      <c r="K63" s="20"/>
      <c r="L63" s="20"/>
      <c r="M63" s="21"/>
      <c r="N63" s="22"/>
      <c r="O63" s="20"/>
      <c r="P63" s="20"/>
      <c r="Q63" s="21"/>
      <c r="R63" s="51"/>
      <c r="S63" s="45"/>
      <c r="T63" s="45"/>
      <c r="U63" s="46"/>
      <c r="V63" s="51"/>
      <c r="W63" s="45"/>
      <c r="X63" s="45"/>
      <c r="Y63" s="54"/>
      <c r="Z63" s="51"/>
      <c r="AA63" s="45"/>
      <c r="AB63" s="45"/>
      <c r="AC63" s="46"/>
      <c r="AD63" s="51"/>
      <c r="AE63" s="45"/>
      <c r="AF63" s="45"/>
      <c r="AG63" s="46"/>
      <c r="AH63" s="51"/>
      <c r="AI63" s="45"/>
      <c r="AJ63" s="45"/>
      <c r="AK63" s="46"/>
      <c r="AL63" s="51"/>
      <c r="AM63" s="55"/>
      <c r="AN63" s="45"/>
      <c r="AO63" s="46"/>
      <c r="AP63" s="51"/>
      <c r="AQ63" s="45"/>
      <c r="AR63" s="45"/>
      <c r="AS63" s="46"/>
      <c r="AT63" s="51"/>
      <c r="AU63" s="45"/>
      <c r="AV63" s="45"/>
      <c r="AW63" s="46"/>
      <c r="AX63" s="51"/>
      <c r="AY63" s="45"/>
      <c r="AZ63" s="45"/>
      <c r="BA63" s="46"/>
      <c r="BB63" s="51"/>
      <c r="BC63" s="45"/>
      <c r="BD63" s="45"/>
      <c r="BE63" s="46"/>
      <c r="BF63" s="51"/>
      <c r="BG63" s="45"/>
      <c r="BH63" s="45"/>
      <c r="BI63" s="46"/>
      <c r="BJ63" s="51"/>
      <c r="BK63" s="45"/>
      <c r="BL63" s="45"/>
      <c r="BM63" s="46"/>
      <c r="BN63" s="51"/>
      <c r="BO63" s="45"/>
      <c r="BP63" s="45"/>
      <c r="BQ63" s="46"/>
      <c r="BR63" s="101">
        <f t="shared" si="1"/>
        <v>0</v>
      </c>
      <c r="BS63" s="101"/>
    </row>
    <row r="64" spans="1:71" ht="5.0999999999999996" hidden="1" customHeight="1">
      <c r="A64" s="69"/>
      <c r="B64" s="70"/>
      <c r="C64" s="67"/>
      <c r="D64" s="17"/>
      <c r="E64" s="43"/>
      <c r="F64" s="19"/>
      <c r="G64" s="20"/>
      <c r="H64" s="20"/>
      <c r="I64" s="21"/>
      <c r="J64" s="22"/>
      <c r="K64" s="20"/>
      <c r="L64" s="20"/>
      <c r="M64" s="21"/>
      <c r="N64" s="22"/>
      <c r="O64" s="20"/>
      <c r="P64" s="20"/>
      <c r="Q64" s="21"/>
      <c r="R64" s="51"/>
      <c r="S64" s="45"/>
      <c r="T64" s="45"/>
      <c r="U64" s="46"/>
      <c r="V64" s="51"/>
      <c r="W64" s="45"/>
      <c r="X64" s="45"/>
      <c r="Y64" s="54"/>
      <c r="Z64" s="51"/>
      <c r="AA64" s="45"/>
      <c r="AB64" s="45"/>
      <c r="AC64" s="46"/>
      <c r="AD64" s="51"/>
      <c r="AE64" s="45"/>
      <c r="AF64" s="45"/>
      <c r="AG64" s="46"/>
      <c r="AH64" s="51"/>
      <c r="AI64" s="45"/>
      <c r="AJ64" s="45"/>
      <c r="AK64" s="46"/>
      <c r="AL64" s="51"/>
      <c r="AM64" s="55"/>
      <c r="AN64" s="45"/>
      <c r="AO64" s="46"/>
      <c r="AP64" s="51"/>
      <c r="AQ64" s="45"/>
      <c r="AR64" s="45"/>
      <c r="AS64" s="46"/>
      <c r="AT64" s="51"/>
      <c r="AU64" s="45"/>
      <c r="AV64" s="45"/>
      <c r="AW64" s="46"/>
      <c r="AX64" s="51"/>
      <c r="AY64" s="45"/>
      <c r="AZ64" s="45"/>
      <c r="BA64" s="46"/>
      <c r="BB64" s="51"/>
      <c r="BC64" s="45"/>
      <c r="BD64" s="45"/>
      <c r="BE64" s="46"/>
      <c r="BF64" s="51"/>
      <c r="BG64" s="45"/>
      <c r="BH64" s="45"/>
      <c r="BI64" s="46"/>
      <c r="BJ64" s="51"/>
      <c r="BK64" s="45"/>
      <c r="BL64" s="45"/>
      <c r="BM64" s="46"/>
      <c r="BN64" s="51"/>
      <c r="BO64" s="45"/>
      <c r="BP64" s="45"/>
      <c r="BQ64" s="46"/>
      <c r="BR64" s="101">
        <f t="shared" si="1"/>
        <v>0</v>
      </c>
      <c r="BS64" s="101"/>
    </row>
    <row r="65" spans="1:71" ht="12" customHeight="1">
      <c r="A65" s="198">
        <v>3.1</v>
      </c>
      <c r="B65" s="199" t="s">
        <v>72</v>
      </c>
      <c r="C65" s="42">
        <v>1367470</v>
      </c>
      <c r="D65" s="17"/>
      <c r="E65" s="43"/>
      <c r="F65" s="19"/>
      <c r="G65" s="20"/>
      <c r="H65" s="20"/>
      <c r="I65" s="21"/>
      <c r="J65" s="22"/>
      <c r="K65" s="20"/>
      <c r="L65" s="20"/>
      <c r="M65" s="21"/>
      <c r="N65" s="22"/>
      <c r="O65" s="20"/>
      <c r="P65" s="20"/>
      <c r="Q65" s="21"/>
      <c r="R65" s="51"/>
      <c r="S65" s="45"/>
      <c r="T65" s="45"/>
      <c r="U65" s="46"/>
      <c r="V65" s="51"/>
      <c r="W65" s="45"/>
      <c r="X65" s="45"/>
      <c r="Y65" s="54"/>
      <c r="Z65" s="51"/>
      <c r="AA65" s="45"/>
      <c r="AB65" s="45"/>
      <c r="AC65" s="46"/>
      <c r="AD65" s="51"/>
      <c r="AE65" s="45"/>
      <c r="AF65" s="45"/>
      <c r="AG65" s="46"/>
      <c r="AH65" s="51"/>
      <c r="AI65" s="45"/>
      <c r="AJ65" s="45"/>
      <c r="AK65" s="46"/>
      <c r="AL65" s="51"/>
      <c r="AM65" s="55"/>
      <c r="AN65" s="45"/>
      <c r="AO65" s="46"/>
      <c r="AP65" s="51"/>
      <c r="AQ65" s="45"/>
      <c r="AR65" s="45"/>
      <c r="AS65" s="46"/>
      <c r="AT65" s="82">
        <v>30</v>
      </c>
      <c r="AU65" s="81">
        <f t="shared" ref="AU65:BC65" si="16">AT65</f>
        <v>30</v>
      </c>
      <c r="AV65" s="81">
        <f t="shared" si="16"/>
        <v>30</v>
      </c>
      <c r="AW65" s="80">
        <f t="shared" si="16"/>
        <v>30</v>
      </c>
      <c r="AX65" s="82">
        <f t="shared" si="16"/>
        <v>30</v>
      </c>
      <c r="AY65" s="81">
        <f t="shared" si="16"/>
        <v>30</v>
      </c>
      <c r="AZ65" s="81">
        <f t="shared" si="16"/>
        <v>30</v>
      </c>
      <c r="BA65" s="80">
        <f t="shared" si="16"/>
        <v>30</v>
      </c>
      <c r="BB65" s="82">
        <f t="shared" si="16"/>
        <v>30</v>
      </c>
      <c r="BC65" s="81">
        <f t="shared" si="16"/>
        <v>30</v>
      </c>
      <c r="BD65" s="45"/>
      <c r="BE65" s="46"/>
      <c r="BF65" s="51"/>
      <c r="BG65" s="45"/>
      <c r="BH65" s="45"/>
      <c r="BI65" s="46"/>
      <c r="BJ65" s="51"/>
      <c r="BK65" s="45"/>
      <c r="BL65" s="45"/>
      <c r="BM65" s="46"/>
      <c r="BN65" s="51"/>
      <c r="BO65" s="45"/>
      <c r="BP65" s="45"/>
      <c r="BQ65" s="46"/>
      <c r="BR65" s="101">
        <f t="shared" si="1"/>
        <v>2400</v>
      </c>
      <c r="BS65" s="101"/>
    </row>
    <row r="66" spans="1:71" ht="12" customHeight="1">
      <c r="A66" s="198"/>
      <c r="B66" s="199"/>
      <c r="C66" s="16"/>
      <c r="D66" s="17"/>
      <c r="E66" s="43"/>
      <c r="F66" s="64"/>
      <c r="G66" s="20"/>
      <c r="H66" s="20"/>
      <c r="I66" s="21"/>
      <c r="J66" s="52"/>
      <c r="K66" s="20"/>
      <c r="L66" s="20"/>
      <c r="M66" s="21"/>
      <c r="N66" s="52"/>
      <c r="O66" s="20"/>
      <c r="P66" s="20"/>
      <c r="Q66" s="21"/>
      <c r="R66" s="50"/>
      <c r="S66" s="45"/>
      <c r="T66" s="45"/>
      <c r="U66" s="46"/>
      <c r="V66" s="50"/>
      <c r="W66" s="45"/>
      <c r="X66" s="45"/>
      <c r="Y66" s="54"/>
      <c r="Z66" s="50"/>
      <c r="AA66" s="45"/>
      <c r="AB66" s="45"/>
      <c r="AC66" s="46"/>
      <c r="AD66" s="50"/>
      <c r="AE66" s="45"/>
      <c r="AF66" s="45"/>
      <c r="AG66" s="46"/>
      <c r="AH66" s="50"/>
      <c r="AI66" s="45"/>
      <c r="AJ66" s="45"/>
      <c r="AK66" s="46"/>
      <c r="AL66" s="50"/>
      <c r="AM66" s="55"/>
      <c r="AN66" s="45"/>
      <c r="AO66" s="46"/>
      <c r="AP66" s="50"/>
      <c r="AQ66" s="45"/>
      <c r="AR66" s="45"/>
      <c r="AS66" s="46"/>
      <c r="AT66" s="50"/>
      <c r="AU66" s="45"/>
      <c r="AV66" s="45"/>
      <c r="AW66" s="46"/>
      <c r="AX66" s="50"/>
      <c r="AY66" s="45"/>
      <c r="AZ66" s="45"/>
      <c r="BA66" s="46"/>
      <c r="BB66" s="50"/>
      <c r="BC66" s="45"/>
      <c r="BD66" s="45"/>
      <c r="BE66" s="46"/>
      <c r="BF66" s="50"/>
      <c r="BG66" s="45"/>
      <c r="BH66" s="45"/>
      <c r="BI66" s="46"/>
      <c r="BJ66" s="50"/>
      <c r="BK66" s="45"/>
      <c r="BL66" s="45"/>
      <c r="BM66" s="46"/>
      <c r="BN66" s="50"/>
      <c r="BO66" s="45"/>
      <c r="BP66" s="45"/>
      <c r="BQ66" s="46"/>
      <c r="BR66" s="101">
        <f t="shared" si="1"/>
        <v>0</v>
      </c>
      <c r="BS66" s="101"/>
    </row>
    <row r="67" spans="1:71" ht="12" customHeight="1">
      <c r="A67" s="198">
        <v>3.2</v>
      </c>
      <c r="B67" s="199" t="s">
        <v>73</v>
      </c>
      <c r="C67" s="42">
        <v>770880</v>
      </c>
      <c r="D67" s="17"/>
      <c r="E67" s="43"/>
      <c r="F67" s="59"/>
      <c r="G67" s="20"/>
      <c r="H67" s="20"/>
      <c r="I67" s="21"/>
      <c r="J67" s="22"/>
      <c r="K67" s="20"/>
      <c r="L67" s="20"/>
      <c r="M67" s="21"/>
      <c r="N67" s="22"/>
      <c r="O67" s="20"/>
      <c r="P67" s="20"/>
      <c r="Q67" s="21"/>
      <c r="R67" s="51"/>
      <c r="S67" s="45"/>
      <c r="T67" s="45"/>
      <c r="U67" s="46"/>
      <c r="V67" s="51"/>
      <c r="W67" s="45"/>
      <c r="X67" s="45"/>
      <c r="Y67" s="54"/>
      <c r="Z67" s="51"/>
      <c r="AA67" s="45"/>
      <c r="AB67" s="45"/>
      <c r="AC67" s="46"/>
      <c r="AD67" s="51"/>
      <c r="AE67" s="45"/>
      <c r="AF67" s="45"/>
      <c r="AG67" s="46"/>
      <c r="AH67" s="51"/>
      <c r="AI67" s="45"/>
      <c r="AJ67" s="45"/>
      <c r="AK67" s="46"/>
      <c r="AL67" s="51"/>
      <c r="AM67" s="55"/>
      <c r="AN67" s="45"/>
      <c r="AO67" s="46"/>
      <c r="AP67" s="51"/>
      <c r="AQ67" s="45"/>
      <c r="AR67" s="45"/>
      <c r="AS67" s="46"/>
      <c r="AT67" s="51"/>
      <c r="AU67" s="45"/>
      <c r="AV67" s="81">
        <v>20</v>
      </c>
      <c r="AW67" s="80">
        <f>AV67</f>
        <v>20</v>
      </c>
      <c r="AX67" s="82">
        <f>AW67</f>
        <v>20</v>
      </c>
      <c r="AY67" s="81">
        <f t="shared" ref="AY67:BF67" si="17">AX67</f>
        <v>20</v>
      </c>
      <c r="AZ67" s="81">
        <f t="shared" si="17"/>
        <v>20</v>
      </c>
      <c r="BA67" s="80">
        <f t="shared" si="17"/>
        <v>20</v>
      </c>
      <c r="BB67" s="82">
        <f t="shared" si="17"/>
        <v>20</v>
      </c>
      <c r="BC67" s="81">
        <f t="shared" si="17"/>
        <v>20</v>
      </c>
      <c r="BD67" s="81">
        <f t="shared" si="17"/>
        <v>20</v>
      </c>
      <c r="BE67" s="80">
        <f t="shared" si="17"/>
        <v>20</v>
      </c>
      <c r="BF67" s="82">
        <f t="shared" si="17"/>
        <v>20</v>
      </c>
      <c r="BG67" s="45"/>
      <c r="BH67" s="45"/>
      <c r="BI67" s="46"/>
      <c r="BJ67" s="51"/>
      <c r="BK67" s="45"/>
      <c r="BL67" s="45"/>
      <c r="BM67" s="46"/>
      <c r="BN67" s="51"/>
      <c r="BO67" s="45"/>
      <c r="BP67" s="45"/>
      <c r="BQ67" s="46"/>
      <c r="BR67" s="101">
        <f t="shared" si="1"/>
        <v>1760</v>
      </c>
      <c r="BS67" s="101"/>
    </row>
    <row r="68" spans="1:71" ht="12" customHeight="1">
      <c r="A68" s="198"/>
      <c r="B68" s="199"/>
      <c r="C68" s="16"/>
      <c r="D68" s="17"/>
      <c r="E68" s="43"/>
      <c r="F68" s="64"/>
      <c r="G68" s="20"/>
      <c r="H68" s="20"/>
      <c r="I68" s="21"/>
      <c r="J68" s="52"/>
      <c r="K68" s="20"/>
      <c r="L68" s="20"/>
      <c r="M68" s="21"/>
      <c r="N68" s="52"/>
      <c r="O68" s="20"/>
      <c r="P68" s="20"/>
      <c r="Q68" s="21"/>
      <c r="R68" s="50"/>
      <c r="S68" s="45"/>
      <c r="T68" s="45"/>
      <c r="U68" s="46"/>
      <c r="V68" s="50"/>
      <c r="W68" s="45"/>
      <c r="X68" s="45"/>
      <c r="Y68" s="54"/>
      <c r="Z68" s="50"/>
      <c r="AA68" s="45"/>
      <c r="AB68" s="45"/>
      <c r="AC68" s="46"/>
      <c r="AD68" s="50"/>
      <c r="AE68" s="45"/>
      <c r="AF68" s="45"/>
      <c r="AG68" s="46"/>
      <c r="AH68" s="50"/>
      <c r="AI68" s="45"/>
      <c r="AJ68" s="45"/>
      <c r="AK68" s="46"/>
      <c r="AL68" s="50"/>
      <c r="AM68" s="55"/>
      <c r="AN68" s="45"/>
      <c r="AO68" s="46"/>
      <c r="AP68" s="50"/>
      <c r="AQ68" s="45"/>
      <c r="AR68" s="45"/>
      <c r="AS68" s="46"/>
      <c r="AT68" s="50"/>
      <c r="AU68" s="45"/>
      <c r="AV68" s="45"/>
      <c r="AW68" s="46"/>
      <c r="AX68" s="50"/>
      <c r="AY68" s="45"/>
      <c r="AZ68" s="45"/>
      <c r="BA68" s="46"/>
      <c r="BB68" s="50"/>
      <c r="BC68" s="45"/>
      <c r="BD68" s="45"/>
      <c r="BE68" s="46"/>
      <c r="BF68" s="50"/>
      <c r="BG68" s="45"/>
      <c r="BH68" s="45"/>
      <c r="BI68" s="46"/>
      <c r="BJ68" s="50"/>
      <c r="BK68" s="45"/>
      <c r="BL68" s="45"/>
      <c r="BM68" s="46"/>
      <c r="BN68" s="50"/>
      <c r="BO68" s="45"/>
      <c r="BP68" s="45"/>
      <c r="BQ68" s="46"/>
      <c r="BR68" s="101">
        <f t="shared" si="1"/>
        <v>0</v>
      </c>
      <c r="BS68" s="101"/>
    </row>
    <row r="69" spans="1:71" ht="12" customHeight="1">
      <c r="A69" s="198">
        <v>3.3</v>
      </c>
      <c r="B69" s="199" t="s">
        <v>30</v>
      </c>
      <c r="C69" s="42">
        <v>317220</v>
      </c>
      <c r="D69" s="17"/>
      <c r="E69" s="43"/>
      <c r="F69" s="59"/>
      <c r="G69" s="20"/>
      <c r="H69" s="20"/>
      <c r="I69" s="21"/>
      <c r="J69" s="22"/>
      <c r="K69" s="20"/>
      <c r="L69" s="20"/>
      <c r="M69" s="21"/>
      <c r="N69" s="22"/>
      <c r="O69" s="20"/>
      <c r="P69" s="20"/>
      <c r="Q69" s="21"/>
      <c r="R69" s="51"/>
      <c r="S69" s="45"/>
      <c r="T69" s="45"/>
      <c r="U69" s="46"/>
      <c r="V69" s="51"/>
      <c r="W69" s="45"/>
      <c r="X69" s="45"/>
      <c r="Y69" s="54"/>
      <c r="Z69" s="51"/>
      <c r="AA69" s="45"/>
      <c r="AB69" s="45"/>
      <c r="AC69" s="46"/>
      <c r="AD69" s="51"/>
      <c r="AE69" s="45"/>
      <c r="AF69" s="45"/>
      <c r="AG69" s="46"/>
      <c r="AH69" s="51"/>
      <c r="AI69" s="45"/>
      <c r="AJ69" s="45"/>
      <c r="AK69" s="46"/>
      <c r="AL69" s="51"/>
      <c r="AM69" s="55"/>
      <c r="AN69" s="45"/>
      <c r="AO69" s="46"/>
      <c r="AP69" s="51"/>
      <c r="AQ69" s="45"/>
      <c r="AR69" s="45"/>
      <c r="AS69" s="46"/>
      <c r="AT69" s="51"/>
      <c r="AU69" s="45"/>
      <c r="AV69" s="45"/>
      <c r="AW69" s="80">
        <v>8</v>
      </c>
      <c r="AX69" s="82">
        <f>AW69</f>
        <v>8</v>
      </c>
      <c r="AY69" s="81">
        <f t="shared" ref="AY69:BG69" si="18">AX69</f>
        <v>8</v>
      </c>
      <c r="AZ69" s="81">
        <f t="shared" si="18"/>
        <v>8</v>
      </c>
      <c r="BA69" s="80">
        <f t="shared" si="18"/>
        <v>8</v>
      </c>
      <c r="BB69" s="82">
        <f t="shared" si="18"/>
        <v>8</v>
      </c>
      <c r="BC69" s="81">
        <f t="shared" si="18"/>
        <v>8</v>
      </c>
      <c r="BD69" s="81">
        <f t="shared" si="18"/>
        <v>8</v>
      </c>
      <c r="BE69" s="80">
        <f t="shared" si="18"/>
        <v>8</v>
      </c>
      <c r="BF69" s="82">
        <f t="shared" si="18"/>
        <v>8</v>
      </c>
      <c r="BG69" s="81">
        <f t="shared" si="18"/>
        <v>8</v>
      </c>
      <c r="BH69" s="45"/>
      <c r="BI69" s="46"/>
      <c r="BJ69" s="51"/>
      <c r="BK69" s="45"/>
      <c r="BL69" s="45"/>
      <c r="BM69" s="46"/>
      <c r="BN69" s="51"/>
      <c r="BO69" s="45"/>
      <c r="BP69" s="45"/>
      <c r="BQ69" s="46"/>
      <c r="BR69" s="101">
        <f t="shared" si="1"/>
        <v>704</v>
      </c>
      <c r="BS69" s="101"/>
    </row>
    <row r="70" spans="1:71" ht="12" customHeight="1">
      <c r="A70" s="198"/>
      <c r="B70" s="199"/>
      <c r="C70" s="16"/>
      <c r="D70" s="17"/>
      <c r="E70" s="43"/>
      <c r="F70" s="64"/>
      <c r="G70" s="20"/>
      <c r="H70" s="20"/>
      <c r="I70" s="21"/>
      <c r="J70" s="52"/>
      <c r="K70" s="20"/>
      <c r="L70" s="20"/>
      <c r="M70" s="21"/>
      <c r="N70" s="52"/>
      <c r="O70" s="20"/>
      <c r="P70" s="20"/>
      <c r="Q70" s="21"/>
      <c r="R70" s="50"/>
      <c r="S70" s="45"/>
      <c r="T70" s="45"/>
      <c r="U70" s="46"/>
      <c r="V70" s="50"/>
      <c r="W70" s="45"/>
      <c r="X70" s="45"/>
      <c r="Y70" s="54"/>
      <c r="Z70" s="50"/>
      <c r="AA70" s="45"/>
      <c r="AB70" s="45"/>
      <c r="AC70" s="46"/>
      <c r="AD70" s="50"/>
      <c r="AE70" s="45"/>
      <c r="AF70" s="45"/>
      <c r="AG70" s="46"/>
      <c r="AH70" s="50"/>
      <c r="AI70" s="45"/>
      <c r="AJ70" s="45"/>
      <c r="AK70" s="46"/>
      <c r="AL70" s="50"/>
      <c r="AM70" s="55"/>
      <c r="AN70" s="45"/>
      <c r="AO70" s="46"/>
      <c r="AP70" s="50"/>
      <c r="AQ70" s="45"/>
      <c r="AR70" s="45"/>
      <c r="AS70" s="46"/>
      <c r="AT70" s="50"/>
      <c r="AU70" s="45"/>
      <c r="AV70" s="45"/>
      <c r="AW70" s="46"/>
      <c r="AX70" s="50"/>
      <c r="AY70" s="45"/>
      <c r="AZ70" s="45"/>
      <c r="BA70" s="46"/>
      <c r="BB70" s="50"/>
      <c r="BC70" s="45"/>
      <c r="BD70" s="45"/>
      <c r="BE70" s="46"/>
      <c r="BF70" s="50"/>
      <c r="BG70" s="45"/>
      <c r="BH70" s="45"/>
      <c r="BI70" s="46"/>
      <c r="BJ70" s="50"/>
      <c r="BK70" s="45"/>
      <c r="BL70" s="45"/>
      <c r="BM70" s="46"/>
      <c r="BN70" s="50"/>
      <c r="BO70" s="45"/>
      <c r="BP70" s="45"/>
      <c r="BQ70" s="46"/>
      <c r="BR70" s="101">
        <f t="shared" si="1"/>
        <v>0</v>
      </c>
      <c r="BS70" s="101"/>
    </row>
    <row r="71" spans="1:71" ht="12" hidden="1" customHeight="1">
      <c r="A71" s="198">
        <v>3.4</v>
      </c>
      <c r="B71" s="199" t="s">
        <v>75</v>
      </c>
      <c r="C71" s="42"/>
      <c r="D71" s="17"/>
      <c r="E71" s="43"/>
      <c r="F71" s="59"/>
      <c r="G71" s="20"/>
      <c r="H71" s="20"/>
      <c r="I71" s="21"/>
      <c r="J71" s="22"/>
      <c r="K71" s="20"/>
      <c r="L71" s="20"/>
      <c r="M71" s="21"/>
      <c r="N71" s="22"/>
      <c r="O71" s="20"/>
      <c r="P71" s="20"/>
      <c r="Q71" s="21"/>
      <c r="R71" s="51"/>
      <c r="S71" s="45"/>
      <c r="T71" s="45"/>
      <c r="U71" s="46"/>
      <c r="V71" s="51"/>
      <c r="W71" s="45"/>
      <c r="X71" s="45"/>
      <c r="Y71" s="54"/>
      <c r="Z71" s="51"/>
      <c r="AA71" s="45"/>
      <c r="AB71" s="45"/>
      <c r="AC71" s="46"/>
      <c r="AD71" s="51"/>
      <c r="AE71" s="45"/>
      <c r="AF71" s="45"/>
      <c r="AG71" s="46"/>
      <c r="AH71" s="51"/>
      <c r="AI71" s="45"/>
      <c r="AJ71" s="45"/>
      <c r="AK71" s="46"/>
      <c r="AL71" s="51"/>
      <c r="AM71" s="55"/>
      <c r="AN71" s="45"/>
      <c r="AO71" s="46"/>
      <c r="AP71" s="51"/>
      <c r="AQ71" s="45"/>
      <c r="AR71" s="45"/>
      <c r="AS71" s="46"/>
      <c r="AT71" s="51"/>
      <c r="AU71" s="45"/>
      <c r="AV71" s="45"/>
      <c r="AW71" s="46"/>
      <c r="AX71" s="51"/>
      <c r="AY71" s="45"/>
      <c r="AZ71" s="45"/>
      <c r="BA71" s="46"/>
      <c r="BB71" s="51"/>
      <c r="BC71" s="45"/>
      <c r="BD71" s="45"/>
      <c r="BE71" s="46"/>
      <c r="BF71" s="51"/>
      <c r="BG71" s="45"/>
      <c r="BH71" s="45"/>
      <c r="BI71" s="46"/>
      <c r="BJ71" s="51"/>
      <c r="BK71" s="45"/>
      <c r="BL71" s="45"/>
      <c r="BM71" s="46"/>
      <c r="BN71" s="51"/>
      <c r="BO71" s="45"/>
      <c r="BP71" s="45"/>
      <c r="BQ71" s="46"/>
      <c r="BR71" s="101">
        <f t="shared" si="1"/>
        <v>0</v>
      </c>
      <c r="BS71" s="101"/>
    </row>
    <row r="72" spans="1:71" ht="12" hidden="1" customHeight="1">
      <c r="A72" s="198"/>
      <c r="B72" s="199"/>
      <c r="C72" s="16"/>
      <c r="D72" s="17"/>
      <c r="E72" s="43"/>
      <c r="F72" s="64"/>
      <c r="G72" s="20"/>
      <c r="H72" s="20"/>
      <c r="I72" s="21"/>
      <c r="J72" s="52"/>
      <c r="K72" s="20"/>
      <c r="L72" s="20"/>
      <c r="M72" s="21"/>
      <c r="N72" s="52"/>
      <c r="O72" s="20"/>
      <c r="P72" s="20"/>
      <c r="Q72" s="21"/>
      <c r="R72" s="50"/>
      <c r="S72" s="45"/>
      <c r="T72" s="45"/>
      <c r="U72" s="46"/>
      <c r="V72" s="50"/>
      <c r="W72" s="45"/>
      <c r="X72" s="45"/>
      <c r="Y72" s="54"/>
      <c r="Z72" s="50"/>
      <c r="AA72" s="45"/>
      <c r="AB72" s="45"/>
      <c r="AC72" s="46"/>
      <c r="AD72" s="50"/>
      <c r="AE72" s="45"/>
      <c r="AF72" s="45"/>
      <c r="AG72" s="46"/>
      <c r="AH72" s="50"/>
      <c r="AI72" s="45"/>
      <c r="AJ72" s="45"/>
      <c r="AK72" s="46"/>
      <c r="AL72" s="50"/>
      <c r="AM72" s="55"/>
      <c r="AN72" s="45"/>
      <c r="AO72" s="46"/>
      <c r="AP72" s="50"/>
      <c r="AQ72" s="45"/>
      <c r="AR72" s="45"/>
      <c r="AS72" s="46"/>
      <c r="AT72" s="50"/>
      <c r="AU72" s="45"/>
      <c r="AV72" s="71"/>
      <c r="AW72" s="46"/>
      <c r="AX72" s="50"/>
      <c r="AY72" s="45"/>
      <c r="AZ72" s="45"/>
      <c r="BA72" s="46"/>
      <c r="BB72" s="50"/>
      <c r="BC72" s="45"/>
      <c r="BD72" s="45"/>
      <c r="BE72" s="46"/>
      <c r="BF72" s="50"/>
      <c r="BG72" s="45"/>
      <c r="BH72" s="45"/>
      <c r="BI72" s="46"/>
      <c r="BJ72" s="50"/>
      <c r="BK72" s="45"/>
      <c r="BL72" s="45"/>
      <c r="BM72" s="46"/>
      <c r="BN72" s="50"/>
      <c r="BO72" s="45"/>
      <c r="BP72" s="45"/>
      <c r="BQ72" s="46"/>
      <c r="BR72" s="101">
        <f t="shared" si="1"/>
        <v>0</v>
      </c>
      <c r="BS72" s="101"/>
    </row>
    <row r="73" spans="1:71" ht="12" customHeight="1">
      <c r="A73" s="198">
        <v>3.4</v>
      </c>
      <c r="B73" s="199" t="s">
        <v>76</v>
      </c>
      <c r="C73" s="42">
        <v>244820</v>
      </c>
      <c r="D73" s="17"/>
      <c r="E73" s="43"/>
      <c r="F73" s="59"/>
      <c r="G73" s="20"/>
      <c r="H73" s="20"/>
      <c r="I73" s="21"/>
      <c r="J73" s="22"/>
      <c r="K73" s="20"/>
      <c r="L73" s="20"/>
      <c r="M73" s="21"/>
      <c r="N73" s="22"/>
      <c r="O73" s="20"/>
      <c r="P73" s="20"/>
      <c r="Q73" s="21"/>
      <c r="R73" s="51"/>
      <c r="S73" s="45"/>
      <c r="T73" s="45"/>
      <c r="U73" s="46"/>
      <c r="V73" s="51"/>
      <c r="W73" s="45"/>
      <c r="X73" s="45"/>
      <c r="Y73" s="54"/>
      <c r="Z73" s="51"/>
      <c r="AA73" s="45"/>
      <c r="AB73" s="45"/>
      <c r="AC73" s="46"/>
      <c r="AD73" s="51"/>
      <c r="AE73" s="45"/>
      <c r="AF73" s="45"/>
      <c r="AG73" s="46"/>
      <c r="AH73" s="51"/>
      <c r="AI73" s="45"/>
      <c r="AJ73" s="45"/>
      <c r="AK73" s="46"/>
      <c r="AL73" s="51"/>
      <c r="AM73" s="55"/>
      <c r="AN73" s="45"/>
      <c r="AO73" s="46"/>
      <c r="AP73" s="51"/>
      <c r="AQ73" s="45"/>
      <c r="AR73" s="45"/>
      <c r="AS73" s="46"/>
      <c r="AT73" s="51"/>
      <c r="AU73" s="45"/>
      <c r="AV73" s="45"/>
      <c r="AW73" s="46"/>
      <c r="AX73" s="51"/>
      <c r="AY73" s="45"/>
      <c r="AZ73" s="45"/>
      <c r="BA73" s="46"/>
      <c r="BB73" s="82">
        <v>7</v>
      </c>
      <c r="BC73" s="81">
        <f>BB73</f>
        <v>7</v>
      </c>
      <c r="BD73" s="81">
        <f t="shared" ref="BD73:BH73" si="19">BC73</f>
        <v>7</v>
      </c>
      <c r="BE73" s="80">
        <f t="shared" si="19"/>
        <v>7</v>
      </c>
      <c r="BF73" s="82">
        <f t="shared" si="19"/>
        <v>7</v>
      </c>
      <c r="BG73" s="81">
        <f t="shared" si="19"/>
        <v>7</v>
      </c>
      <c r="BH73" s="81">
        <f t="shared" si="19"/>
        <v>7</v>
      </c>
      <c r="BI73" s="46"/>
      <c r="BJ73" s="51"/>
      <c r="BK73" s="45"/>
      <c r="BL73" s="45"/>
      <c r="BM73" s="46"/>
      <c r="BN73" s="51"/>
      <c r="BO73" s="45"/>
      <c r="BP73" s="45"/>
      <c r="BQ73" s="46"/>
      <c r="BR73" s="101">
        <f t="shared" si="1"/>
        <v>392</v>
      </c>
      <c r="BS73" s="101"/>
    </row>
    <row r="74" spans="1:71" ht="12" customHeight="1">
      <c r="A74" s="198"/>
      <c r="B74" s="199"/>
      <c r="C74" s="16"/>
      <c r="D74" s="17"/>
      <c r="E74" s="43"/>
      <c r="F74" s="64"/>
      <c r="G74" s="20"/>
      <c r="H74" s="20"/>
      <c r="I74" s="21"/>
      <c r="J74" s="52"/>
      <c r="K74" s="20"/>
      <c r="L74" s="20"/>
      <c r="M74" s="21"/>
      <c r="N74" s="52"/>
      <c r="O74" s="20"/>
      <c r="P74" s="20"/>
      <c r="Q74" s="21"/>
      <c r="R74" s="50"/>
      <c r="S74" s="45"/>
      <c r="T74" s="45"/>
      <c r="U74" s="46"/>
      <c r="V74" s="50"/>
      <c r="W74" s="45"/>
      <c r="X74" s="45"/>
      <c r="Y74" s="54"/>
      <c r="Z74" s="50"/>
      <c r="AA74" s="45"/>
      <c r="AB74" s="45"/>
      <c r="AC74" s="46"/>
      <c r="AD74" s="50"/>
      <c r="AE74" s="45"/>
      <c r="AF74" s="45"/>
      <c r="AG74" s="46"/>
      <c r="AH74" s="50"/>
      <c r="AI74" s="45"/>
      <c r="AJ74" s="45"/>
      <c r="AK74" s="46"/>
      <c r="AL74" s="50"/>
      <c r="AM74" s="55"/>
      <c r="AN74" s="45"/>
      <c r="AO74" s="46"/>
      <c r="AP74" s="50"/>
      <c r="AQ74" s="45"/>
      <c r="AR74" s="45"/>
      <c r="AS74" s="46"/>
      <c r="AT74" s="50"/>
      <c r="AU74" s="45"/>
      <c r="AV74" s="45"/>
      <c r="AW74" s="46"/>
      <c r="AX74" s="50"/>
      <c r="AY74" s="45"/>
      <c r="AZ74" s="45"/>
      <c r="BA74" s="46"/>
      <c r="BB74" s="50"/>
      <c r="BC74" s="45"/>
      <c r="BD74" s="45"/>
      <c r="BE74" s="46"/>
      <c r="BF74" s="50"/>
      <c r="BG74" s="45"/>
      <c r="BH74" s="45"/>
      <c r="BI74" s="46"/>
      <c r="BJ74" s="50"/>
      <c r="BK74" s="45"/>
      <c r="BL74" s="45"/>
      <c r="BM74" s="46"/>
      <c r="BN74" s="50"/>
      <c r="BO74" s="45"/>
      <c r="BP74" s="45"/>
      <c r="BQ74" s="46"/>
      <c r="BR74" s="101">
        <f t="shared" si="1"/>
        <v>0</v>
      </c>
      <c r="BS74" s="101"/>
    </row>
    <row r="75" spans="1:71" ht="12" customHeight="1">
      <c r="A75" s="198">
        <v>3.5</v>
      </c>
      <c r="B75" s="199" t="s">
        <v>77</v>
      </c>
      <c r="C75" s="42">
        <v>637740</v>
      </c>
      <c r="D75" s="17"/>
      <c r="E75" s="43"/>
      <c r="F75" s="59"/>
      <c r="G75" s="20"/>
      <c r="H75" s="20"/>
      <c r="I75" s="21"/>
      <c r="J75" s="22"/>
      <c r="K75" s="20"/>
      <c r="L75" s="20"/>
      <c r="M75" s="21"/>
      <c r="N75" s="22"/>
      <c r="O75" s="20"/>
      <c r="P75" s="20"/>
      <c r="Q75" s="21"/>
      <c r="R75" s="51"/>
      <c r="S75" s="45"/>
      <c r="T75" s="45"/>
      <c r="U75" s="46"/>
      <c r="V75" s="51"/>
      <c r="W75" s="45"/>
      <c r="X75" s="45"/>
      <c r="Y75" s="54"/>
      <c r="Z75" s="51"/>
      <c r="AA75" s="45"/>
      <c r="AB75" s="45"/>
      <c r="AC75" s="46"/>
      <c r="AD75" s="51"/>
      <c r="AE75" s="45"/>
      <c r="AF75" s="45"/>
      <c r="AG75" s="46"/>
      <c r="AH75" s="51"/>
      <c r="AI75" s="45"/>
      <c r="AJ75" s="45"/>
      <c r="AK75" s="46"/>
      <c r="AL75" s="51"/>
      <c r="AM75" s="55"/>
      <c r="AN75" s="45"/>
      <c r="AO75" s="46"/>
      <c r="AP75" s="51"/>
      <c r="AQ75" s="45"/>
      <c r="AR75" s="45"/>
      <c r="AS75" s="46"/>
      <c r="AT75" s="51"/>
      <c r="AU75" s="45"/>
      <c r="AV75" s="45"/>
      <c r="AW75" s="46"/>
      <c r="AX75" s="51"/>
      <c r="AY75" s="45"/>
      <c r="AZ75" s="45"/>
      <c r="BA75" s="46"/>
      <c r="BB75" s="82">
        <v>10</v>
      </c>
      <c r="BC75" s="81">
        <f>BB75</f>
        <v>10</v>
      </c>
      <c r="BD75" s="81">
        <f t="shared" ref="BD75:BH75" si="20">BC75</f>
        <v>10</v>
      </c>
      <c r="BE75" s="80">
        <f t="shared" si="20"/>
        <v>10</v>
      </c>
      <c r="BF75" s="82">
        <f t="shared" si="20"/>
        <v>10</v>
      </c>
      <c r="BG75" s="81">
        <f t="shared" si="20"/>
        <v>10</v>
      </c>
      <c r="BH75" s="81">
        <f t="shared" si="20"/>
        <v>10</v>
      </c>
      <c r="BI75" s="46"/>
      <c r="BJ75" s="51"/>
      <c r="BK75" s="45"/>
      <c r="BL75" s="45"/>
      <c r="BM75" s="46"/>
      <c r="BN75" s="51"/>
      <c r="BO75" s="45"/>
      <c r="BP75" s="45"/>
      <c r="BQ75" s="46"/>
      <c r="BR75" s="101">
        <f t="shared" si="1"/>
        <v>560</v>
      </c>
      <c r="BS75" s="101"/>
    </row>
    <row r="76" spans="1:71" ht="12" customHeight="1">
      <c r="A76" s="198"/>
      <c r="B76" s="199"/>
      <c r="C76" s="16"/>
      <c r="D76" s="17"/>
      <c r="E76" s="43"/>
      <c r="F76" s="64"/>
      <c r="G76" s="20"/>
      <c r="H76" s="20"/>
      <c r="I76" s="21"/>
      <c r="J76" s="52"/>
      <c r="K76" s="20"/>
      <c r="L76" s="20"/>
      <c r="M76" s="21"/>
      <c r="N76" s="52"/>
      <c r="O76" s="20"/>
      <c r="P76" s="20"/>
      <c r="Q76" s="21"/>
      <c r="R76" s="50"/>
      <c r="S76" s="45"/>
      <c r="T76" s="45"/>
      <c r="U76" s="46"/>
      <c r="V76" s="50"/>
      <c r="W76" s="45"/>
      <c r="X76" s="45"/>
      <c r="Y76" s="54"/>
      <c r="Z76" s="50"/>
      <c r="AA76" s="45"/>
      <c r="AB76" s="45"/>
      <c r="AC76" s="46"/>
      <c r="AD76" s="50"/>
      <c r="AE76" s="45"/>
      <c r="AF76" s="45"/>
      <c r="AG76" s="46"/>
      <c r="AH76" s="50"/>
      <c r="AI76" s="45"/>
      <c r="AJ76" s="45"/>
      <c r="AK76" s="46"/>
      <c r="AL76" s="50"/>
      <c r="AM76" s="55"/>
      <c r="AN76" s="45"/>
      <c r="AO76" s="46"/>
      <c r="AP76" s="50"/>
      <c r="AQ76" s="45"/>
      <c r="AR76" s="45"/>
      <c r="AS76" s="46"/>
      <c r="AT76" s="50"/>
      <c r="AU76" s="45"/>
      <c r="AV76" s="45"/>
      <c r="AW76" s="46"/>
      <c r="AX76" s="50"/>
      <c r="AY76" s="45"/>
      <c r="AZ76" s="45"/>
      <c r="BA76" s="46"/>
      <c r="BB76" s="50"/>
      <c r="BC76" s="45"/>
      <c r="BD76" s="45"/>
      <c r="BE76" s="46"/>
      <c r="BF76" s="50"/>
      <c r="BG76" s="45"/>
      <c r="BH76" s="45"/>
      <c r="BI76" s="46"/>
      <c r="BJ76" s="50"/>
      <c r="BK76" s="45"/>
      <c r="BL76" s="45"/>
      <c r="BM76" s="46"/>
      <c r="BN76" s="50"/>
      <c r="BO76" s="45"/>
      <c r="BP76" s="45"/>
      <c r="BQ76" s="46"/>
      <c r="BR76" s="101">
        <f t="shared" si="1"/>
        <v>0</v>
      </c>
      <c r="BS76" s="101"/>
    </row>
    <row r="77" spans="1:71" ht="12" customHeight="1">
      <c r="A77" s="198">
        <v>3.6</v>
      </c>
      <c r="B77" s="199" t="s">
        <v>80</v>
      </c>
      <c r="C77" s="42">
        <v>1005870</v>
      </c>
      <c r="D77" s="17"/>
      <c r="E77" s="43"/>
      <c r="F77" s="59"/>
      <c r="G77" s="20"/>
      <c r="H77" s="20"/>
      <c r="I77" s="21"/>
      <c r="J77" s="22"/>
      <c r="K77" s="20"/>
      <c r="L77" s="20"/>
      <c r="M77" s="21"/>
      <c r="N77" s="22"/>
      <c r="O77" s="20"/>
      <c r="P77" s="20"/>
      <c r="Q77" s="21"/>
      <c r="R77" s="51"/>
      <c r="S77" s="45"/>
      <c r="T77" s="45"/>
      <c r="U77" s="46"/>
      <c r="V77" s="51"/>
      <c r="W77" s="45"/>
      <c r="X77" s="45"/>
      <c r="Y77" s="54"/>
      <c r="Z77" s="51"/>
      <c r="AA77" s="45"/>
      <c r="AB77" s="45"/>
      <c r="AC77" s="46"/>
      <c r="AD77" s="51"/>
      <c r="AE77" s="45"/>
      <c r="AF77" s="45"/>
      <c r="AG77" s="46"/>
      <c r="AH77" s="51"/>
      <c r="AI77" s="45"/>
      <c r="AJ77" s="45"/>
      <c r="AK77" s="46"/>
      <c r="AL77" s="51"/>
      <c r="AM77" s="55"/>
      <c r="AN77" s="45"/>
      <c r="AO77" s="46"/>
      <c r="AP77" s="51"/>
      <c r="AQ77" s="45"/>
      <c r="AR77" s="45"/>
      <c r="AS77" s="46"/>
      <c r="AT77" s="51"/>
      <c r="AU77" s="45"/>
      <c r="AV77" s="45"/>
      <c r="AW77" s="46"/>
      <c r="AX77" s="51"/>
      <c r="AY77" s="45"/>
      <c r="AZ77" s="45"/>
      <c r="BA77" s="46"/>
      <c r="BB77" s="51"/>
      <c r="BC77" s="45"/>
      <c r="BD77" s="45"/>
      <c r="BE77" s="46"/>
      <c r="BF77" s="51"/>
      <c r="BG77" s="81">
        <v>5</v>
      </c>
      <c r="BH77" s="81">
        <f>BG77</f>
        <v>5</v>
      </c>
      <c r="BI77" s="80">
        <f>BH77</f>
        <v>5</v>
      </c>
      <c r="BJ77" s="51"/>
      <c r="BK77" s="45"/>
      <c r="BL77" s="45"/>
      <c r="BM77" s="46"/>
      <c r="BN77" s="51"/>
      <c r="BO77" s="45"/>
      <c r="BP77" s="45"/>
      <c r="BQ77" s="46"/>
      <c r="BR77" s="101">
        <f t="shared" si="1"/>
        <v>120</v>
      </c>
      <c r="BS77" s="101"/>
    </row>
    <row r="78" spans="1:71" ht="12" customHeight="1">
      <c r="A78" s="198"/>
      <c r="B78" s="199"/>
      <c r="C78" s="16"/>
      <c r="D78" s="17"/>
      <c r="E78" s="43"/>
      <c r="F78" s="64"/>
      <c r="G78" s="20"/>
      <c r="H78" s="20"/>
      <c r="I78" s="21"/>
      <c r="J78" s="52"/>
      <c r="K78" s="20"/>
      <c r="L78" s="20"/>
      <c r="M78" s="21"/>
      <c r="N78" s="52"/>
      <c r="O78" s="20"/>
      <c r="P78" s="20"/>
      <c r="Q78" s="21"/>
      <c r="R78" s="50"/>
      <c r="S78" s="45"/>
      <c r="T78" s="45"/>
      <c r="U78" s="46"/>
      <c r="V78" s="50"/>
      <c r="W78" s="45"/>
      <c r="X78" s="45"/>
      <c r="Y78" s="54"/>
      <c r="Z78" s="50"/>
      <c r="AA78" s="45"/>
      <c r="AB78" s="45"/>
      <c r="AC78" s="46"/>
      <c r="AD78" s="50"/>
      <c r="AE78" s="45"/>
      <c r="AF78" s="45"/>
      <c r="AG78" s="46"/>
      <c r="AH78" s="50"/>
      <c r="AI78" s="45"/>
      <c r="AJ78" s="45"/>
      <c r="AK78" s="46"/>
      <c r="AL78" s="50"/>
      <c r="AM78" s="55"/>
      <c r="AN78" s="45"/>
      <c r="AO78" s="46"/>
      <c r="AP78" s="50"/>
      <c r="AQ78" s="45"/>
      <c r="AR78" s="45"/>
      <c r="AS78" s="46"/>
      <c r="AT78" s="50"/>
      <c r="AU78" s="45"/>
      <c r="AV78" s="45"/>
      <c r="AW78" s="46"/>
      <c r="AX78" s="50"/>
      <c r="AY78" s="45"/>
      <c r="AZ78" s="45"/>
      <c r="BA78" s="46"/>
      <c r="BB78" s="50"/>
      <c r="BC78" s="45"/>
      <c r="BD78" s="45"/>
      <c r="BE78" s="46"/>
      <c r="BF78" s="50"/>
      <c r="BG78" s="45"/>
      <c r="BH78" s="45"/>
      <c r="BI78" s="46"/>
      <c r="BJ78" s="50"/>
      <c r="BK78" s="45"/>
      <c r="BL78" s="45"/>
      <c r="BM78" s="46"/>
      <c r="BN78" s="50"/>
      <c r="BO78" s="45"/>
      <c r="BP78" s="45"/>
      <c r="BQ78" s="46"/>
      <c r="BR78" s="101">
        <f t="shared" si="1"/>
        <v>0</v>
      </c>
      <c r="BS78" s="101"/>
    </row>
    <row r="79" spans="1:71" ht="12" customHeight="1">
      <c r="A79" s="198">
        <v>3.7</v>
      </c>
      <c r="B79" s="199" t="s">
        <v>32</v>
      </c>
      <c r="C79" s="42">
        <v>174050</v>
      </c>
      <c r="D79" s="17"/>
      <c r="E79" s="43"/>
      <c r="F79" s="59"/>
      <c r="G79" s="20"/>
      <c r="H79" s="20"/>
      <c r="I79" s="21"/>
      <c r="J79" s="22"/>
      <c r="K79" s="20"/>
      <c r="L79" s="20"/>
      <c r="M79" s="21"/>
      <c r="N79" s="22"/>
      <c r="O79" s="20"/>
      <c r="P79" s="20"/>
      <c r="Q79" s="21"/>
      <c r="R79" s="51"/>
      <c r="S79" s="45"/>
      <c r="T79" s="45"/>
      <c r="U79" s="46"/>
      <c r="V79" s="51"/>
      <c r="W79" s="45"/>
      <c r="X79" s="45"/>
      <c r="Y79" s="54"/>
      <c r="Z79" s="51"/>
      <c r="AA79" s="45"/>
      <c r="AB79" s="45"/>
      <c r="AC79" s="46"/>
      <c r="AD79" s="51"/>
      <c r="AE79" s="45"/>
      <c r="AF79" s="45"/>
      <c r="AG79" s="46"/>
      <c r="AH79" s="51"/>
      <c r="AI79" s="45"/>
      <c r="AJ79" s="45"/>
      <c r="AK79" s="46"/>
      <c r="AL79" s="51"/>
      <c r="AM79" s="55"/>
      <c r="AN79" s="45"/>
      <c r="AO79" s="46"/>
      <c r="AP79" s="51"/>
      <c r="AQ79" s="45"/>
      <c r="AR79" s="45"/>
      <c r="AS79" s="46"/>
      <c r="AT79" s="51"/>
      <c r="AU79" s="45"/>
      <c r="AV79" s="45"/>
      <c r="AW79" s="46"/>
      <c r="AX79" s="51"/>
      <c r="AY79" s="45"/>
      <c r="AZ79" s="45"/>
      <c r="BA79" s="46"/>
      <c r="BB79" s="51"/>
      <c r="BC79" s="81">
        <v>10</v>
      </c>
      <c r="BD79" s="81">
        <f t="shared" ref="BD79:BI79" si="21">BC79</f>
        <v>10</v>
      </c>
      <c r="BE79" s="80">
        <f t="shared" si="21"/>
        <v>10</v>
      </c>
      <c r="BF79" s="82">
        <f t="shared" si="21"/>
        <v>10</v>
      </c>
      <c r="BG79" s="81">
        <f t="shared" si="21"/>
        <v>10</v>
      </c>
      <c r="BH79" s="81">
        <f t="shared" si="21"/>
        <v>10</v>
      </c>
      <c r="BI79" s="80">
        <f t="shared" si="21"/>
        <v>10</v>
      </c>
      <c r="BJ79" s="51"/>
      <c r="BK79" s="45"/>
      <c r="BL79" s="45"/>
      <c r="BM79" s="46"/>
      <c r="BN79" s="51"/>
      <c r="BO79" s="45"/>
      <c r="BP79" s="45"/>
      <c r="BQ79" s="46"/>
      <c r="BR79" s="101">
        <f t="shared" si="1"/>
        <v>560</v>
      </c>
      <c r="BS79" s="101"/>
    </row>
    <row r="80" spans="1:71" ht="12" customHeight="1">
      <c r="A80" s="198"/>
      <c r="B80" s="199"/>
      <c r="C80" s="16"/>
      <c r="D80" s="17"/>
      <c r="E80" s="43"/>
      <c r="F80" s="64"/>
      <c r="G80" s="20"/>
      <c r="H80" s="20"/>
      <c r="I80" s="21"/>
      <c r="J80" s="52"/>
      <c r="K80" s="20"/>
      <c r="L80" s="20"/>
      <c r="M80" s="21"/>
      <c r="N80" s="52"/>
      <c r="O80" s="20"/>
      <c r="P80" s="20"/>
      <c r="Q80" s="21"/>
      <c r="R80" s="50"/>
      <c r="S80" s="45"/>
      <c r="T80" s="45"/>
      <c r="U80" s="46"/>
      <c r="V80" s="50"/>
      <c r="W80" s="45"/>
      <c r="X80" s="45"/>
      <c r="Y80" s="54"/>
      <c r="Z80" s="50"/>
      <c r="AA80" s="45"/>
      <c r="AB80" s="45"/>
      <c r="AC80" s="46"/>
      <c r="AD80" s="50"/>
      <c r="AE80" s="45"/>
      <c r="AF80" s="45"/>
      <c r="AG80" s="46"/>
      <c r="AH80" s="50"/>
      <c r="AI80" s="45"/>
      <c r="AJ80" s="45"/>
      <c r="AK80" s="46"/>
      <c r="AL80" s="50"/>
      <c r="AM80" s="55"/>
      <c r="AN80" s="45"/>
      <c r="AO80" s="46"/>
      <c r="AP80" s="50"/>
      <c r="AQ80" s="45"/>
      <c r="AR80" s="45"/>
      <c r="AS80" s="46"/>
      <c r="AT80" s="50"/>
      <c r="AU80" s="45"/>
      <c r="AV80" s="45"/>
      <c r="AW80" s="46"/>
      <c r="AX80" s="50"/>
      <c r="AY80" s="45"/>
      <c r="AZ80" s="45"/>
      <c r="BA80" s="46"/>
      <c r="BB80" s="50"/>
      <c r="BC80" s="45"/>
      <c r="BD80" s="45"/>
      <c r="BE80" s="46"/>
      <c r="BF80" s="50"/>
      <c r="BG80" s="45"/>
      <c r="BH80" s="45"/>
      <c r="BI80" s="46"/>
      <c r="BJ80" s="50"/>
      <c r="BK80" s="45"/>
      <c r="BL80" s="45"/>
      <c r="BM80" s="46"/>
      <c r="BN80" s="50"/>
      <c r="BO80" s="45"/>
      <c r="BP80" s="45"/>
      <c r="BQ80" s="46"/>
      <c r="BR80" s="101">
        <f t="shared" ref="BR80:BR99" si="22">SUM(F80:BQ80)*8</f>
        <v>0</v>
      </c>
      <c r="BS80" s="101"/>
    </row>
    <row r="81" spans="1:71" ht="12" hidden="1" customHeight="1">
      <c r="A81" s="198">
        <v>3.9</v>
      </c>
      <c r="B81" s="199" t="s">
        <v>23</v>
      </c>
      <c r="C81" s="42"/>
      <c r="D81" s="17"/>
      <c r="E81" s="43"/>
      <c r="F81" s="59"/>
      <c r="G81" s="20"/>
      <c r="H81" s="20"/>
      <c r="I81" s="21"/>
      <c r="J81" s="22"/>
      <c r="K81" s="20"/>
      <c r="L81" s="20"/>
      <c r="M81" s="21"/>
      <c r="N81" s="22"/>
      <c r="O81" s="20"/>
      <c r="P81" s="20"/>
      <c r="Q81" s="21"/>
      <c r="R81" s="51"/>
      <c r="S81" s="45"/>
      <c r="T81" s="45"/>
      <c r="U81" s="46"/>
      <c r="V81" s="51"/>
      <c r="W81" s="45"/>
      <c r="X81" s="45"/>
      <c r="Y81" s="54"/>
      <c r="Z81" s="51"/>
      <c r="AA81" s="45"/>
      <c r="AB81" s="45"/>
      <c r="AC81" s="46"/>
      <c r="AD81" s="51"/>
      <c r="AE81" s="45"/>
      <c r="AF81" s="45"/>
      <c r="AG81" s="46"/>
      <c r="AH81" s="51"/>
      <c r="AI81" s="45"/>
      <c r="AJ81" s="45"/>
      <c r="AK81" s="46"/>
      <c r="AL81" s="51"/>
      <c r="AM81" s="55"/>
      <c r="AN81" s="45"/>
      <c r="AO81" s="46"/>
      <c r="AP81" s="51"/>
      <c r="AQ81" s="45"/>
      <c r="AR81" s="45"/>
      <c r="AS81" s="46"/>
      <c r="AT81" s="51"/>
      <c r="AU81" s="45"/>
      <c r="AV81" s="45"/>
      <c r="AW81" s="46"/>
      <c r="AX81" s="51"/>
      <c r="AY81" s="45"/>
      <c r="AZ81" s="45"/>
      <c r="BA81" s="46"/>
      <c r="BB81" s="51"/>
      <c r="BC81" s="45"/>
      <c r="BD81" s="45"/>
      <c r="BE81" s="46"/>
      <c r="BF81" s="51"/>
      <c r="BG81" s="45"/>
      <c r="BH81" s="45"/>
      <c r="BI81" s="46"/>
      <c r="BJ81" s="51"/>
      <c r="BK81" s="45"/>
      <c r="BL81" s="45"/>
      <c r="BM81" s="46"/>
      <c r="BN81" s="51"/>
      <c r="BO81" s="45"/>
      <c r="BP81" s="45"/>
      <c r="BQ81" s="46"/>
      <c r="BR81" s="101">
        <f t="shared" si="22"/>
        <v>0</v>
      </c>
      <c r="BS81" s="101"/>
    </row>
    <row r="82" spans="1:71" ht="12" hidden="1" customHeight="1">
      <c r="A82" s="198"/>
      <c r="B82" s="199"/>
      <c r="C82" s="16"/>
      <c r="D82" s="17"/>
      <c r="E82" s="43"/>
      <c r="F82" s="59"/>
      <c r="G82" s="20"/>
      <c r="H82" s="20"/>
      <c r="I82" s="21"/>
      <c r="J82" s="22"/>
      <c r="K82" s="20"/>
      <c r="L82" s="20"/>
      <c r="M82" s="21"/>
      <c r="N82" s="22"/>
      <c r="O82" s="20"/>
      <c r="P82" s="20"/>
      <c r="Q82" s="21"/>
      <c r="R82" s="51"/>
      <c r="S82" s="45"/>
      <c r="T82" s="45"/>
      <c r="U82" s="46"/>
      <c r="V82" s="51"/>
      <c r="W82" s="45"/>
      <c r="X82" s="45"/>
      <c r="Y82" s="54"/>
      <c r="Z82" s="51"/>
      <c r="AA82" s="45"/>
      <c r="AB82" s="45"/>
      <c r="AC82" s="46"/>
      <c r="AD82" s="51"/>
      <c r="AE82" s="45"/>
      <c r="AF82" s="45"/>
      <c r="AG82" s="46"/>
      <c r="AH82" s="51"/>
      <c r="AI82" s="45"/>
      <c r="AJ82" s="45"/>
      <c r="AK82" s="46"/>
      <c r="AL82" s="51"/>
      <c r="AM82" s="55"/>
      <c r="AN82" s="45"/>
      <c r="AO82" s="46"/>
      <c r="AP82" s="51"/>
      <c r="AQ82" s="45"/>
      <c r="AR82" s="45"/>
      <c r="AS82" s="46"/>
      <c r="AT82" s="51"/>
      <c r="AU82" s="45"/>
      <c r="AV82" s="45"/>
      <c r="AW82" s="46"/>
      <c r="AX82" s="51"/>
      <c r="AY82" s="45"/>
      <c r="AZ82" s="45"/>
      <c r="BA82" s="46"/>
      <c r="BB82" s="51"/>
      <c r="BC82" s="45"/>
      <c r="BD82" s="45"/>
      <c r="BE82" s="46"/>
      <c r="BF82" s="51"/>
      <c r="BG82" s="45"/>
      <c r="BH82" s="45"/>
      <c r="BI82" s="46"/>
      <c r="BJ82" s="51"/>
      <c r="BK82" s="45"/>
      <c r="BL82" s="45"/>
      <c r="BM82" s="46"/>
      <c r="BN82" s="51"/>
      <c r="BO82" s="45"/>
      <c r="BP82" s="45"/>
      <c r="BQ82" s="46"/>
      <c r="BR82" s="101">
        <f t="shared" si="22"/>
        <v>0</v>
      </c>
      <c r="BS82" s="101"/>
    </row>
    <row r="83" spans="1:71" ht="22.5" customHeight="1">
      <c r="A83" s="91">
        <v>4</v>
      </c>
      <c r="B83" s="92" t="s">
        <v>81</v>
      </c>
      <c r="C83" s="58">
        <f>SUM(C85:C90)</f>
        <v>8625020</v>
      </c>
      <c r="D83" s="17"/>
      <c r="E83" s="43"/>
      <c r="F83" s="19"/>
      <c r="G83" s="20"/>
      <c r="H83" s="20"/>
      <c r="I83" s="21"/>
      <c r="J83" s="22"/>
      <c r="K83" s="20"/>
      <c r="L83" s="20"/>
      <c r="M83" s="21"/>
      <c r="N83" s="22"/>
      <c r="O83" s="20"/>
      <c r="P83" s="20"/>
      <c r="Q83" s="21"/>
      <c r="R83" s="51"/>
      <c r="S83" s="45"/>
      <c r="T83" s="45"/>
      <c r="U83" s="46"/>
      <c r="V83" s="51"/>
      <c r="W83" s="45"/>
      <c r="X83" s="45"/>
      <c r="Y83" s="54"/>
      <c r="Z83" s="51"/>
      <c r="AA83" s="45"/>
      <c r="AB83" s="45"/>
      <c r="AC83" s="46"/>
      <c r="AD83" s="51"/>
      <c r="AE83" s="45"/>
      <c r="AF83" s="45"/>
      <c r="AG83" s="46"/>
      <c r="AH83" s="51"/>
      <c r="AI83" s="45"/>
      <c r="AJ83" s="45"/>
      <c r="AK83" s="46"/>
      <c r="AL83" s="51"/>
      <c r="AM83" s="55"/>
      <c r="AN83" s="45"/>
      <c r="AO83" s="46"/>
      <c r="AP83" s="51"/>
      <c r="AQ83" s="45"/>
      <c r="AR83" s="45"/>
      <c r="AS83" s="46"/>
      <c r="AT83" s="51"/>
      <c r="AU83" s="45"/>
      <c r="AV83" s="45"/>
      <c r="AW83" s="46"/>
      <c r="AX83" s="51"/>
      <c r="AY83" s="45"/>
      <c r="AZ83" s="45"/>
      <c r="BA83" s="46"/>
      <c r="BB83" s="51"/>
      <c r="BC83" s="45"/>
      <c r="BD83" s="45"/>
      <c r="BE83" s="46"/>
      <c r="BF83" s="51"/>
      <c r="BG83" s="45"/>
      <c r="BH83" s="45"/>
      <c r="BI83" s="46"/>
      <c r="BJ83" s="51"/>
      <c r="BK83" s="45"/>
      <c r="BL83" s="45"/>
      <c r="BM83" s="46"/>
      <c r="BN83" s="51"/>
      <c r="BO83" s="45"/>
      <c r="BP83" s="45"/>
      <c r="BQ83" s="46"/>
      <c r="BR83" s="101">
        <f t="shared" si="22"/>
        <v>0</v>
      </c>
      <c r="BS83" s="101"/>
    </row>
    <row r="84" spans="1:71" ht="5.0999999999999996" hidden="1" customHeight="1">
      <c r="A84" s="56"/>
      <c r="B84" s="57"/>
      <c r="C84" s="58"/>
      <c r="D84" s="17"/>
      <c r="E84" s="43"/>
      <c r="F84" s="19"/>
      <c r="G84" s="20"/>
      <c r="H84" s="20"/>
      <c r="I84" s="21"/>
      <c r="J84" s="22"/>
      <c r="K84" s="20"/>
      <c r="L84" s="20"/>
      <c r="M84" s="21"/>
      <c r="N84" s="22"/>
      <c r="O84" s="20"/>
      <c r="P84" s="20"/>
      <c r="Q84" s="21"/>
      <c r="R84" s="51"/>
      <c r="S84" s="45"/>
      <c r="T84" s="45"/>
      <c r="U84" s="46"/>
      <c r="V84" s="51"/>
      <c r="W84" s="45"/>
      <c r="X84" s="45"/>
      <c r="Y84" s="54"/>
      <c r="Z84" s="51"/>
      <c r="AA84" s="45"/>
      <c r="AB84" s="45"/>
      <c r="AC84" s="46"/>
      <c r="AD84" s="51"/>
      <c r="AE84" s="45"/>
      <c r="AF84" s="45"/>
      <c r="AG84" s="46"/>
      <c r="AH84" s="51"/>
      <c r="AI84" s="45"/>
      <c r="AJ84" s="45"/>
      <c r="AK84" s="46"/>
      <c r="AL84" s="51"/>
      <c r="AM84" s="55"/>
      <c r="AN84" s="45"/>
      <c r="AO84" s="46"/>
      <c r="AP84" s="51"/>
      <c r="AQ84" s="45"/>
      <c r="AR84" s="45"/>
      <c r="AS84" s="46"/>
      <c r="AT84" s="51"/>
      <c r="AU84" s="45"/>
      <c r="AV84" s="45"/>
      <c r="AW84" s="46"/>
      <c r="AX84" s="51"/>
      <c r="AY84" s="45"/>
      <c r="AZ84" s="45"/>
      <c r="BA84" s="46"/>
      <c r="BB84" s="51"/>
      <c r="BC84" s="45"/>
      <c r="BD84" s="45"/>
      <c r="BE84" s="46"/>
      <c r="BF84" s="51"/>
      <c r="BG84" s="45"/>
      <c r="BH84" s="45"/>
      <c r="BI84" s="46"/>
      <c r="BJ84" s="51"/>
      <c r="BK84" s="45"/>
      <c r="BL84" s="45"/>
      <c r="BM84" s="46"/>
      <c r="BN84" s="51"/>
      <c r="BO84" s="45"/>
      <c r="BP84" s="45"/>
      <c r="BQ84" s="46"/>
      <c r="BR84" s="101">
        <f t="shared" si="22"/>
        <v>0</v>
      </c>
      <c r="BS84" s="101"/>
    </row>
    <row r="85" spans="1:71" ht="12" hidden="1" customHeight="1">
      <c r="A85" s="198">
        <v>4.0999999999999996</v>
      </c>
      <c r="B85" s="199"/>
      <c r="C85" s="42"/>
      <c r="D85" s="17"/>
      <c r="E85" s="43"/>
      <c r="F85" s="19"/>
      <c r="G85" s="20"/>
      <c r="H85" s="20"/>
      <c r="I85" s="21"/>
      <c r="J85" s="22"/>
      <c r="K85" s="20"/>
      <c r="L85" s="20"/>
      <c r="M85" s="21"/>
      <c r="N85" s="22"/>
      <c r="O85" s="20"/>
      <c r="P85" s="20"/>
      <c r="Q85" s="21"/>
      <c r="R85" s="51"/>
      <c r="S85" s="45"/>
      <c r="T85" s="45"/>
      <c r="U85" s="46"/>
      <c r="V85" s="51"/>
      <c r="W85" s="45"/>
      <c r="X85" s="45"/>
      <c r="Y85" s="54"/>
      <c r="Z85" s="51"/>
      <c r="AA85" s="45"/>
      <c r="AB85" s="45"/>
      <c r="AC85" s="46"/>
      <c r="AD85" s="51"/>
      <c r="AE85" s="45"/>
      <c r="AF85" s="45"/>
      <c r="AG85" s="46"/>
      <c r="AH85" s="51"/>
      <c r="AI85" s="45"/>
      <c r="AJ85" s="45"/>
      <c r="AK85" s="46"/>
      <c r="AL85" s="51"/>
      <c r="AM85" s="55"/>
      <c r="AN85" s="45"/>
      <c r="AO85" s="46"/>
      <c r="AP85" s="51"/>
      <c r="AQ85" s="45"/>
      <c r="AR85" s="45"/>
      <c r="AS85" s="46"/>
      <c r="AT85" s="51"/>
      <c r="AU85" s="45"/>
      <c r="AV85" s="45"/>
      <c r="AW85" s="46"/>
      <c r="AX85" s="51"/>
      <c r="AY85" s="45"/>
      <c r="AZ85" s="45"/>
      <c r="BA85" s="46"/>
      <c r="BB85" s="51"/>
      <c r="BC85" s="45"/>
      <c r="BD85" s="45"/>
      <c r="BE85" s="46"/>
      <c r="BF85" s="51"/>
      <c r="BG85" s="45"/>
      <c r="BH85" s="45"/>
      <c r="BI85" s="46"/>
      <c r="BJ85" s="51"/>
      <c r="BK85" s="45"/>
      <c r="BL85" s="45"/>
      <c r="BM85" s="46"/>
      <c r="BN85" s="51"/>
      <c r="BO85" s="45"/>
      <c r="BP85" s="45"/>
      <c r="BQ85" s="46"/>
      <c r="BR85" s="101">
        <f t="shared" si="22"/>
        <v>0</v>
      </c>
      <c r="BS85" s="101"/>
    </row>
    <row r="86" spans="1:71" ht="12" hidden="1" customHeight="1">
      <c r="A86" s="198"/>
      <c r="B86" s="199"/>
      <c r="C86" s="16"/>
      <c r="D86" s="17"/>
      <c r="E86" s="43"/>
      <c r="F86" s="59"/>
      <c r="G86" s="20"/>
      <c r="H86" s="20"/>
      <c r="I86" s="21"/>
      <c r="J86" s="22"/>
      <c r="K86" s="20"/>
      <c r="L86" s="20"/>
      <c r="M86" s="21"/>
      <c r="N86" s="22"/>
      <c r="O86" s="20"/>
      <c r="P86" s="20"/>
      <c r="Q86" s="21"/>
      <c r="R86" s="51"/>
      <c r="S86" s="45"/>
      <c r="T86" s="45"/>
      <c r="U86" s="46"/>
      <c r="V86" s="51"/>
      <c r="W86" s="45"/>
      <c r="X86" s="45"/>
      <c r="Y86" s="54"/>
      <c r="Z86" s="51"/>
      <c r="AA86" s="45"/>
      <c r="AB86" s="45"/>
      <c r="AC86" s="46"/>
      <c r="AD86" s="51"/>
      <c r="AE86" s="45"/>
      <c r="AF86" s="45"/>
      <c r="AG86" s="46"/>
      <c r="AH86" s="51"/>
      <c r="AI86" s="45"/>
      <c r="AJ86" s="45"/>
      <c r="AK86" s="46"/>
      <c r="AL86" s="51"/>
      <c r="AM86" s="55"/>
      <c r="AN86" s="45"/>
      <c r="AO86" s="46"/>
      <c r="AP86" s="51"/>
      <c r="AQ86" s="45"/>
      <c r="AR86" s="45"/>
      <c r="AS86" s="46"/>
      <c r="AT86" s="51"/>
      <c r="AU86" s="45"/>
      <c r="AV86" s="45"/>
      <c r="AW86" s="46"/>
      <c r="AX86" s="51"/>
      <c r="AY86" s="45"/>
      <c r="AZ86" s="45"/>
      <c r="BA86" s="46"/>
      <c r="BB86" s="51"/>
      <c r="BC86" s="45"/>
      <c r="BD86" s="45"/>
      <c r="BE86" s="46"/>
      <c r="BF86" s="51"/>
      <c r="BG86" s="45"/>
      <c r="BH86" s="45"/>
      <c r="BI86" s="46"/>
      <c r="BJ86" s="51"/>
      <c r="BK86" s="45"/>
      <c r="BL86" s="45"/>
      <c r="BM86" s="46"/>
      <c r="BN86" s="51"/>
      <c r="BO86" s="45"/>
      <c r="BP86" s="45"/>
      <c r="BQ86" s="46"/>
      <c r="BR86" s="101">
        <f t="shared" si="22"/>
        <v>0</v>
      </c>
      <c r="BS86" s="101"/>
    </row>
    <row r="87" spans="1:71" ht="12" customHeight="1">
      <c r="A87" s="198">
        <v>4.0999999999999996</v>
      </c>
      <c r="B87" s="199" t="s">
        <v>82</v>
      </c>
      <c r="C87" s="42">
        <v>8625020</v>
      </c>
      <c r="D87" s="17"/>
      <c r="E87" s="43"/>
      <c r="F87" s="59"/>
      <c r="G87" s="20"/>
      <c r="H87" s="20"/>
      <c r="I87" s="21"/>
      <c r="J87" s="22"/>
      <c r="K87" s="20"/>
      <c r="L87" s="20"/>
      <c r="M87" s="21"/>
      <c r="N87" s="22"/>
      <c r="O87" s="20"/>
      <c r="P87" s="20"/>
      <c r="Q87" s="21"/>
      <c r="R87" s="51"/>
      <c r="S87" s="45"/>
      <c r="T87" s="45"/>
      <c r="U87" s="46"/>
      <c r="V87" s="51"/>
      <c r="W87" s="45"/>
      <c r="X87" s="45"/>
      <c r="Y87" s="54"/>
      <c r="Z87" s="51"/>
      <c r="AA87" s="45"/>
      <c r="AB87" s="45"/>
      <c r="AC87" s="46"/>
      <c r="AD87" s="51"/>
      <c r="AE87" s="45"/>
      <c r="AF87" s="45"/>
      <c r="AG87" s="46"/>
      <c r="AH87" s="51"/>
      <c r="AI87" s="45"/>
      <c r="AJ87" s="45"/>
      <c r="AK87" s="46"/>
      <c r="AL87" s="51"/>
      <c r="AM87" s="55"/>
      <c r="AN87" s="45"/>
      <c r="AO87" s="46"/>
      <c r="AP87" s="82">
        <v>25</v>
      </c>
      <c r="AQ87" s="81">
        <f>AP87</f>
        <v>25</v>
      </c>
      <c r="AR87" s="81">
        <f t="shared" ref="AR87:BI87" si="23">AQ87</f>
        <v>25</v>
      </c>
      <c r="AS87" s="80">
        <f t="shared" si="23"/>
        <v>25</v>
      </c>
      <c r="AT87" s="82">
        <f t="shared" si="23"/>
        <v>25</v>
      </c>
      <c r="AU87" s="81">
        <f t="shared" si="23"/>
        <v>25</v>
      </c>
      <c r="AV87" s="81">
        <f t="shared" si="23"/>
        <v>25</v>
      </c>
      <c r="AW87" s="80">
        <f t="shared" si="23"/>
        <v>25</v>
      </c>
      <c r="AX87" s="82">
        <f t="shared" si="23"/>
        <v>25</v>
      </c>
      <c r="AY87" s="81">
        <f t="shared" si="23"/>
        <v>25</v>
      </c>
      <c r="AZ87" s="81">
        <f t="shared" si="23"/>
        <v>25</v>
      </c>
      <c r="BA87" s="80">
        <f t="shared" si="23"/>
        <v>25</v>
      </c>
      <c r="BB87" s="82">
        <f t="shared" si="23"/>
        <v>25</v>
      </c>
      <c r="BC87" s="81">
        <f t="shared" si="23"/>
        <v>25</v>
      </c>
      <c r="BD87" s="81">
        <f t="shared" si="23"/>
        <v>25</v>
      </c>
      <c r="BE87" s="80">
        <f t="shared" si="23"/>
        <v>25</v>
      </c>
      <c r="BF87" s="82">
        <f t="shared" si="23"/>
        <v>25</v>
      </c>
      <c r="BG87" s="81">
        <f t="shared" si="23"/>
        <v>25</v>
      </c>
      <c r="BH87" s="81">
        <f t="shared" si="23"/>
        <v>25</v>
      </c>
      <c r="BI87" s="80">
        <f t="shared" si="23"/>
        <v>25</v>
      </c>
      <c r="BJ87" s="51"/>
      <c r="BK87" s="45"/>
      <c r="BL87" s="45"/>
      <c r="BM87" s="46"/>
      <c r="BN87" s="51"/>
      <c r="BO87" s="45"/>
      <c r="BP87" s="45"/>
      <c r="BQ87" s="46"/>
      <c r="BR87" s="101">
        <f t="shared" si="22"/>
        <v>4000</v>
      </c>
      <c r="BS87" s="101"/>
    </row>
    <row r="88" spans="1:71" ht="12" customHeight="1">
      <c r="A88" s="198"/>
      <c r="B88" s="199"/>
      <c r="C88" s="16"/>
      <c r="D88" s="17"/>
      <c r="E88" s="43"/>
      <c r="F88" s="64"/>
      <c r="G88" s="20"/>
      <c r="H88" s="20"/>
      <c r="I88" s="21"/>
      <c r="J88" s="52"/>
      <c r="K88" s="20"/>
      <c r="L88" s="20"/>
      <c r="M88" s="21"/>
      <c r="N88" s="52"/>
      <c r="O88" s="20"/>
      <c r="P88" s="20"/>
      <c r="Q88" s="21"/>
      <c r="R88" s="50"/>
      <c r="S88" s="45"/>
      <c r="T88" s="45"/>
      <c r="U88" s="46"/>
      <c r="V88" s="50"/>
      <c r="W88" s="45"/>
      <c r="X88" s="45"/>
      <c r="Y88" s="54"/>
      <c r="Z88" s="50"/>
      <c r="AA88" s="45"/>
      <c r="AB88" s="45"/>
      <c r="AC88" s="46"/>
      <c r="AD88" s="50"/>
      <c r="AE88" s="45"/>
      <c r="AF88" s="45"/>
      <c r="AG88" s="46"/>
      <c r="AH88" s="50"/>
      <c r="AI88" s="45"/>
      <c r="AJ88" s="45"/>
      <c r="AK88" s="46"/>
      <c r="AL88" s="50"/>
      <c r="AM88" s="55"/>
      <c r="AN88" s="45"/>
      <c r="AO88" s="46"/>
      <c r="AP88" s="50"/>
      <c r="AQ88" s="45"/>
      <c r="AR88" s="45"/>
      <c r="AS88" s="46"/>
      <c r="AT88" s="50"/>
      <c r="AU88" s="45"/>
      <c r="AV88" s="45"/>
      <c r="AW88" s="46"/>
      <c r="AX88" s="50"/>
      <c r="AY88" s="45"/>
      <c r="AZ88" s="45"/>
      <c r="BA88" s="46"/>
      <c r="BB88" s="50"/>
      <c r="BC88" s="45"/>
      <c r="BD88" s="45"/>
      <c r="BE88" s="46"/>
      <c r="BF88" s="50"/>
      <c r="BG88" s="45"/>
      <c r="BH88" s="45"/>
      <c r="BI88" s="46"/>
      <c r="BJ88" s="50"/>
      <c r="BK88" s="45"/>
      <c r="BL88" s="45"/>
      <c r="BM88" s="46"/>
      <c r="BN88" s="50"/>
      <c r="BO88" s="45"/>
      <c r="BP88" s="45"/>
      <c r="BQ88" s="46"/>
      <c r="BR88" s="101">
        <f t="shared" si="22"/>
        <v>0</v>
      </c>
      <c r="BS88" s="101"/>
    </row>
    <row r="89" spans="1:71" ht="12" hidden="1" customHeight="1">
      <c r="A89" s="198">
        <v>4.3</v>
      </c>
      <c r="B89" s="199"/>
      <c r="C89" s="42"/>
      <c r="D89" s="17"/>
      <c r="E89" s="43"/>
      <c r="F89" s="59"/>
      <c r="G89" s="20"/>
      <c r="H89" s="20"/>
      <c r="I89" s="21"/>
      <c r="J89" s="22"/>
      <c r="K89" s="20"/>
      <c r="L89" s="20"/>
      <c r="M89" s="21"/>
      <c r="N89" s="22"/>
      <c r="O89" s="20"/>
      <c r="P89" s="20"/>
      <c r="Q89" s="21"/>
      <c r="R89" s="51"/>
      <c r="S89" s="45"/>
      <c r="T89" s="45"/>
      <c r="U89" s="46"/>
      <c r="V89" s="51"/>
      <c r="W89" s="45"/>
      <c r="X89" s="45"/>
      <c r="Y89" s="54"/>
      <c r="Z89" s="51"/>
      <c r="AA89" s="45"/>
      <c r="AB89" s="45"/>
      <c r="AC89" s="46"/>
      <c r="AD89" s="51"/>
      <c r="AE89" s="45"/>
      <c r="AF89" s="45"/>
      <c r="AG89" s="46"/>
      <c r="AH89" s="51"/>
      <c r="AI89" s="45"/>
      <c r="AJ89" s="45"/>
      <c r="AK89" s="46"/>
      <c r="AL89" s="51"/>
      <c r="AM89" s="55"/>
      <c r="AN89" s="45"/>
      <c r="AO89" s="46"/>
      <c r="AP89" s="51"/>
      <c r="AQ89" s="45"/>
      <c r="AR89" s="45"/>
      <c r="AS89" s="46"/>
      <c r="AT89" s="51"/>
      <c r="AU89" s="45"/>
      <c r="AV89" s="45"/>
      <c r="AW89" s="46"/>
      <c r="AX89" s="51"/>
      <c r="AY89" s="45"/>
      <c r="AZ89" s="45"/>
      <c r="BA89" s="46"/>
      <c r="BB89" s="51"/>
      <c r="BC89" s="45"/>
      <c r="BD89" s="45"/>
      <c r="BE89" s="46"/>
      <c r="BF89" s="51"/>
      <c r="BG89" s="45"/>
      <c r="BH89" s="45"/>
      <c r="BI89" s="46"/>
      <c r="BJ89" s="51"/>
      <c r="BK89" s="45"/>
      <c r="BL89" s="45"/>
      <c r="BM89" s="46"/>
      <c r="BN89" s="51"/>
      <c r="BO89" s="45"/>
      <c r="BP89" s="45"/>
      <c r="BQ89" s="46"/>
      <c r="BR89" s="101">
        <f t="shared" si="22"/>
        <v>0</v>
      </c>
      <c r="BS89" s="101"/>
    </row>
    <row r="90" spans="1:71" ht="12" hidden="1" customHeight="1">
      <c r="A90" s="198"/>
      <c r="B90" s="199"/>
      <c r="C90" s="16"/>
      <c r="D90" s="17"/>
      <c r="E90" s="43"/>
      <c r="F90" s="64"/>
      <c r="G90" s="20"/>
      <c r="H90" s="20"/>
      <c r="I90" s="21"/>
      <c r="J90" s="52"/>
      <c r="K90" s="20"/>
      <c r="L90" s="20"/>
      <c r="M90" s="21"/>
      <c r="N90" s="52"/>
      <c r="O90" s="20"/>
      <c r="P90" s="20"/>
      <c r="Q90" s="21"/>
      <c r="R90" s="50"/>
      <c r="S90" s="45"/>
      <c r="T90" s="45"/>
      <c r="U90" s="46"/>
      <c r="V90" s="50"/>
      <c r="W90" s="45"/>
      <c r="X90" s="45"/>
      <c r="Y90" s="54"/>
      <c r="Z90" s="50"/>
      <c r="AA90" s="45"/>
      <c r="AB90" s="45"/>
      <c r="AC90" s="46"/>
      <c r="AD90" s="50"/>
      <c r="AE90" s="45"/>
      <c r="AF90" s="45"/>
      <c r="AG90" s="46"/>
      <c r="AH90" s="50"/>
      <c r="AI90" s="45"/>
      <c r="AJ90" s="45"/>
      <c r="AK90" s="46"/>
      <c r="AL90" s="50"/>
      <c r="AM90" s="55"/>
      <c r="AN90" s="45"/>
      <c r="AO90" s="46"/>
      <c r="AP90" s="50"/>
      <c r="AQ90" s="45"/>
      <c r="AR90" s="45"/>
      <c r="AS90" s="46"/>
      <c r="AT90" s="50"/>
      <c r="AU90" s="45"/>
      <c r="AV90" s="45"/>
      <c r="AW90" s="46"/>
      <c r="AX90" s="50"/>
      <c r="AY90" s="45"/>
      <c r="AZ90" s="45"/>
      <c r="BA90" s="46"/>
      <c r="BB90" s="50"/>
      <c r="BC90" s="45"/>
      <c r="BD90" s="45"/>
      <c r="BE90" s="46"/>
      <c r="BF90" s="50"/>
      <c r="BG90" s="45"/>
      <c r="BH90" s="45"/>
      <c r="BI90" s="46"/>
      <c r="BJ90" s="50"/>
      <c r="BK90" s="45"/>
      <c r="BL90" s="45"/>
      <c r="BM90" s="46"/>
      <c r="BN90" s="50"/>
      <c r="BO90" s="45"/>
      <c r="BP90" s="45"/>
      <c r="BQ90" s="46"/>
      <c r="BR90" s="101">
        <f t="shared" si="22"/>
        <v>0</v>
      </c>
      <c r="BS90" s="101"/>
    </row>
    <row r="91" spans="1:71" ht="22.5" customHeight="1">
      <c r="A91" s="91">
        <v>5</v>
      </c>
      <c r="B91" s="92" t="s">
        <v>83</v>
      </c>
      <c r="C91" s="58">
        <f>SUM(C93:C96)</f>
        <v>11766667</v>
      </c>
      <c r="D91" s="17"/>
      <c r="E91" s="43"/>
      <c r="F91" s="19"/>
      <c r="G91" s="20"/>
      <c r="H91" s="20"/>
      <c r="I91" s="21"/>
      <c r="J91" s="22"/>
      <c r="K91" s="20"/>
      <c r="L91" s="20"/>
      <c r="M91" s="21"/>
      <c r="N91" s="22"/>
      <c r="O91" s="20"/>
      <c r="P91" s="20"/>
      <c r="Q91" s="21"/>
      <c r="R91" s="51"/>
      <c r="S91" s="45"/>
      <c r="T91" s="45"/>
      <c r="U91" s="46"/>
      <c r="V91" s="51"/>
      <c r="W91" s="45"/>
      <c r="X91" s="45"/>
      <c r="Y91" s="54"/>
      <c r="Z91" s="51"/>
      <c r="AA91" s="45"/>
      <c r="AB91" s="45"/>
      <c r="AC91" s="46"/>
      <c r="AD91" s="51"/>
      <c r="AE91" s="45"/>
      <c r="AF91" s="45"/>
      <c r="AG91" s="46"/>
      <c r="AH91" s="51"/>
      <c r="AI91" s="45"/>
      <c r="AJ91" s="45"/>
      <c r="AK91" s="46"/>
      <c r="AL91" s="51"/>
      <c r="AM91" s="55"/>
      <c r="AN91" s="45"/>
      <c r="AO91" s="46"/>
      <c r="AP91" s="51"/>
      <c r="AQ91" s="45"/>
      <c r="AR91" s="45"/>
      <c r="AS91" s="46"/>
      <c r="AT91" s="51"/>
      <c r="AU91" s="45"/>
      <c r="AV91" s="45"/>
      <c r="AW91" s="46"/>
      <c r="AX91" s="51"/>
      <c r="AY91" s="45"/>
      <c r="AZ91" s="45"/>
      <c r="BA91" s="46"/>
      <c r="BB91" s="51"/>
      <c r="BC91" s="45"/>
      <c r="BD91" s="45"/>
      <c r="BE91" s="46"/>
      <c r="BF91" s="51"/>
      <c r="BG91" s="45"/>
      <c r="BH91" s="45"/>
      <c r="BI91" s="46"/>
      <c r="BJ91" s="51"/>
      <c r="BK91" s="45"/>
      <c r="BL91" s="45"/>
      <c r="BM91" s="46"/>
      <c r="BN91" s="51"/>
      <c r="BO91" s="45"/>
      <c r="BP91" s="45"/>
      <c r="BQ91" s="46"/>
      <c r="BR91" s="101">
        <f t="shared" si="22"/>
        <v>0</v>
      </c>
      <c r="BS91" s="101"/>
    </row>
    <row r="92" spans="1:71" ht="5.0999999999999996" hidden="1" customHeight="1">
      <c r="A92" s="56"/>
      <c r="B92" s="57"/>
      <c r="C92" s="58"/>
      <c r="D92" s="17"/>
      <c r="E92" s="43"/>
      <c r="F92" s="19"/>
      <c r="G92" s="20"/>
      <c r="H92" s="20"/>
      <c r="I92" s="21"/>
      <c r="J92" s="22"/>
      <c r="K92" s="20"/>
      <c r="L92" s="20"/>
      <c r="M92" s="21"/>
      <c r="N92" s="22"/>
      <c r="O92" s="20"/>
      <c r="P92" s="20"/>
      <c r="Q92" s="21"/>
      <c r="R92" s="51"/>
      <c r="S92" s="45"/>
      <c r="T92" s="45"/>
      <c r="U92" s="46"/>
      <c r="V92" s="51"/>
      <c r="W92" s="45"/>
      <c r="X92" s="45"/>
      <c r="Y92" s="54"/>
      <c r="Z92" s="51"/>
      <c r="AA92" s="45"/>
      <c r="AB92" s="45"/>
      <c r="AC92" s="46"/>
      <c r="AD92" s="51"/>
      <c r="AE92" s="45"/>
      <c r="AF92" s="45"/>
      <c r="AG92" s="46"/>
      <c r="AH92" s="51"/>
      <c r="AI92" s="45"/>
      <c r="AJ92" s="45"/>
      <c r="AK92" s="46"/>
      <c r="AL92" s="51"/>
      <c r="AM92" s="55"/>
      <c r="AN92" s="45"/>
      <c r="AO92" s="46"/>
      <c r="AP92" s="51"/>
      <c r="AQ92" s="45"/>
      <c r="AR92" s="45"/>
      <c r="AS92" s="46"/>
      <c r="AT92" s="51"/>
      <c r="AU92" s="45"/>
      <c r="AV92" s="45"/>
      <c r="AW92" s="46"/>
      <c r="AX92" s="51"/>
      <c r="AY92" s="45"/>
      <c r="AZ92" s="45"/>
      <c r="BA92" s="46"/>
      <c r="BB92" s="51"/>
      <c r="BC92" s="45"/>
      <c r="BD92" s="45"/>
      <c r="BE92" s="46"/>
      <c r="BF92" s="51"/>
      <c r="BG92" s="45"/>
      <c r="BH92" s="45"/>
      <c r="BI92" s="46"/>
      <c r="BJ92" s="51"/>
      <c r="BK92" s="45"/>
      <c r="BL92" s="45"/>
      <c r="BM92" s="46"/>
      <c r="BN92" s="51"/>
      <c r="BO92" s="45"/>
      <c r="BP92" s="45"/>
      <c r="BQ92" s="46"/>
      <c r="BR92" s="101">
        <f t="shared" si="22"/>
        <v>0</v>
      </c>
      <c r="BS92" s="101"/>
    </row>
    <row r="93" spans="1:71" ht="12" customHeight="1">
      <c r="A93" s="198">
        <v>5.0999999999999996</v>
      </c>
      <c r="B93" s="199" t="s">
        <v>84</v>
      </c>
      <c r="C93" s="42">
        <v>6787125</v>
      </c>
      <c r="D93" s="17"/>
      <c r="E93" s="43"/>
      <c r="F93" s="19"/>
      <c r="G93" s="20"/>
      <c r="H93" s="20"/>
      <c r="I93" s="21"/>
      <c r="J93" s="22"/>
      <c r="K93" s="20"/>
      <c r="L93" s="20"/>
      <c r="M93" s="21"/>
      <c r="N93" s="22"/>
      <c r="O93" s="20"/>
      <c r="P93" s="20"/>
      <c r="Q93" s="21"/>
      <c r="R93" s="51"/>
      <c r="S93" s="45"/>
      <c r="T93" s="45"/>
      <c r="U93" s="46"/>
      <c r="V93" s="51"/>
      <c r="W93" s="45"/>
      <c r="X93" s="45"/>
      <c r="Y93" s="54"/>
      <c r="Z93" s="51"/>
      <c r="AA93" s="45"/>
      <c r="AB93" s="45"/>
      <c r="AC93" s="46"/>
      <c r="AD93" s="51"/>
      <c r="AE93" s="45"/>
      <c r="AF93" s="45"/>
      <c r="AG93" s="46"/>
      <c r="AH93" s="51"/>
      <c r="AI93" s="45"/>
      <c r="AJ93" s="45"/>
      <c r="AK93" s="46"/>
      <c r="AL93" s="51"/>
      <c r="AM93" s="55"/>
      <c r="AN93" s="45"/>
      <c r="AO93" s="46"/>
      <c r="AP93" s="51"/>
      <c r="AQ93" s="45"/>
      <c r="AR93" s="45"/>
      <c r="AS93" s="46"/>
      <c r="AT93" s="51"/>
      <c r="AU93" s="45"/>
      <c r="AV93" s="45"/>
      <c r="AW93" s="46"/>
      <c r="AX93" s="51"/>
      <c r="AY93" s="45"/>
      <c r="AZ93" s="45"/>
      <c r="BA93" s="46"/>
      <c r="BB93" s="51"/>
      <c r="BC93" s="45"/>
      <c r="BD93" s="45"/>
      <c r="BE93" s="46"/>
      <c r="BF93" s="51"/>
      <c r="BG93" s="45"/>
      <c r="BH93" s="45"/>
      <c r="BI93" s="46"/>
      <c r="BJ93" s="51"/>
      <c r="BK93" s="45"/>
      <c r="BL93" s="45"/>
      <c r="BM93" s="46"/>
      <c r="BN93" s="51"/>
      <c r="BO93" s="45"/>
      <c r="BP93" s="45"/>
      <c r="BQ93" s="46"/>
      <c r="BR93" s="101">
        <f t="shared" si="22"/>
        <v>0</v>
      </c>
      <c r="BS93" s="101"/>
    </row>
    <row r="94" spans="1:71" ht="12" customHeight="1">
      <c r="A94" s="198"/>
      <c r="B94" s="199"/>
      <c r="C94" s="16"/>
      <c r="D94" s="17"/>
      <c r="E94" s="43"/>
      <c r="F94" s="64"/>
      <c r="G94" s="20"/>
      <c r="H94" s="20"/>
      <c r="I94" s="21"/>
      <c r="J94" s="52"/>
      <c r="K94" s="20"/>
      <c r="L94" s="20"/>
      <c r="M94" s="21"/>
      <c r="N94" s="52"/>
      <c r="O94" s="20"/>
      <c r="P94" s="20"/>
      <c r="Q94" s="21"/>
      <c r="R94" s="50"/>
      <c r="S94" s="45"/>
      <c r="T94" s="45"/>
      <c r="U94" s="46"/>
      <c r="V94" s="50"/>
      <c r="W94" s="45"/>
      <c r="X94" s="45"/>
      <c r="Y94" s="54"/>
      <c r="Z94" s="50"/>
      <c r="AA94" s="45"/>
      <c r="AB94" s="45"/>
      <c r="AC94" s="46"/>
      <c r="AD94" s="50"/>
      <c r="AE94" s="45"/>
      <c r="AF94" s="45"/>
      <c r="AG94" s="46"/>
      <c r="AH94" s="50"/>
      <c r="AI94" s="45"/>
      <c r="AJ94" s="45"/>
      <c r="AK94" s="46"/>
      <c r="AL94" s="50"/>
      <c r="AM94" s="55"/>
      <c r="AN94" s="45"/>
      <c r="AO94" s="46"/>
      <c r="AP94" s="50"/>
      <c r="AQ94" s="45"/>
      <c r="AR94" s="45"/>
      <c r="AS94" s="46"/>
      <c r="AT94" s="50"/>
      <c r="AU94" s="45"/>
      <c r="AV94" s="45"/>
      <c r="AW94" s="46"/>
      <c r="AX94" s="50"/>
      <c r="AY94" s="45"/>
      <c r="AZ94" s="45"/>
      <c r="BA94" s="46"/>
      <c r="BB94" s="50"/>
      <c r="BC94" s="45"/>
      <c r="BD94" s="45"/>
      <c r="BE94" s="46"/>
      <c r="BF94" s="50"/>
      <c r="BG94" s="45"/>
      <c r="BH94" s="45"/>
      <c r="BI94" s="46"/>
      <c r="BJ94" s="50"/>
      <c r="BK94" s="45"/>
      <c r="BL94" s="45"/>
      <c r="BM94" s="46"/>
      <c r="BN94" s="50"/>
      <c r="BO94" s="45"/>
      <c r="BP94" s="45"/>
      <c r="BQ94" s="46"/>
      <c r="BR94" s="101">
        <f t="shared" si="22"/>
        <v>0</v>
      </c>
      <c r="BS94" s="101"/>
    </row>
    <row r="95" spans="1:71" ht="12" customHeight="1">
      <c r="A95" s="198">
        <v>5.2</v>
      </c>
      <c r="B95" s="199" t="s">
        <v>85</v>
      </c>
      <c r="C95" s="42">
        <v>4979542</v>
      </c>
      <c r="D95" s="17"/>
      <c r="E95" s="43"/>
      <c r="F95" s="59"/>
      <c r="G95" s="20"/>
      <c r="H95" s="20"/>
      <c r="I95" s="21"/>
      <c r="J95" s="22"/>
      <c r="K95" s="20"/>
      <c r="L95" s="20"/>
      <c r="M95" s="21"/>
      <c r="N95" s="22"/>
      <c r="O95" s="20"/>
      <c r="P95" s="20"/>
      <c r="Q95" s="21"/>
      <c r="R95" s="51"/>
      <c r="S95" s="45"/>
      <c r="T95" s="45"/>
      <c r="U95" s="46"/>
      <c r="V95" s="51"/>
      <c r="W95" s="45"/>
      <c r="X95" s="45"/>
      <c r="Y95" s="54"/>
      <c r="Z95" s="51"/>
      <c r="AA95" s="45"/>
      <c r="AB95" s="45"/>
      <c r="AC95" s="46"/>
      <c r="AD95" s="51"/>
      <c r="AE95" s="45"/>
      <c r="AF95" s="45"/>
      <c r="AG95" s="46"/>
      <c r="AH95" s="51"/>
      <c r="AI95" s="45"/>
      <c r="AJ95" s="45"/>
      <c r="AK95" s="46"/>
      <c r="AL95" s="51"/>
      <c r="AM95" s="55"/>
      <c r="AN95" s="45"/>
      <c r="AO95" s="46"/>
      <c r="AP95" s="51"/>
      <c r="AQ95" s="45"/>
      <c r="AR95" s="45"/>
      <c r="AS95" s="46"/>
      <c r="AT95" s="51"/>
      <c r="AU95" s="45"/>
      <c r="AV95" s="45"/>
      <c r="AW95" s="46"/>
      <c r="AX95" s="51"/>
      <c r="AY95" s="45"/>
      <c r="AZ95" s="45"/>
      <c r="BA95" s="46"/>
      <c r="BB95" s="51"/>
      <c r="BC95" s="45"/>
      <c r="BD95" s="45"/>
      <c r="BE95" s="46"/>
      <c r="BF95" s="51"/>
      <c r="BG95" s="45"/>
      <c r="BH95" s="45"/>
      <c r="BI95" s="46"/>
      <c r="BJ95" s="51"/>
      <c r="BK95" s="45"/>
      <c r="BL95" s="45"/>
      <c r="BM95" s="46"/>
      <c r="BN95" s="51"/>
      <c r="BO95" s="45"/>
      <c r="BP95" s="45"/>
      <c r="BQ95" s="46"/>
      <c r="BR95" s="101">
        <f t="shared" si="22"/>
        <v>0</v>
      </c>
      <c r="BS95" s="101"/>
    </row>
    <row r="96" spans="1:71" ht="12" customHeight="1">
      <c r="A96" s="198"/>
      <c r="B96" s="199"/>
      <c r="C96" s="16"/>
      <c r="D96" s="17"/>
      <c r="E96" s="43"/>
      <c r="F96" s="64"/>
      <c r="G96" s="20"/>
      <c r="H96" s="20"/>
      <c r="I96" s="21"/>
      <c r="J96" s="52"/>
      <c r="K96" s="20"/>
      <c r="L96" s="20"/>
      <c r="M96" s="21"/>
      <c r="N96" s="52"/>
      <c r="O96" s="20"/>
      <c r="P96" s="20"/>
      <c r="Q96" s="21"/>
      <c r="R96" s="50"/>
      <c r="S96" s="45"/>
      <c r="T96" s="45"/>
      <c r="U96" s="46"/>
      <c r="V96" s="50"/>
      <c r="W96" s="45"/>
      <c r="X96" s="45"/>
      <c r="Y96" s="54"/>
      <c r="Z96" s="50"/>
      <c r="AA96" s="45"/>
      <c r="AB96" s="45"/>
      <c r="AC96" s="46"/>
      <c r="AD96" s="50"/>
      <c r="AE96" s="45"/>
      <c r="AF96" s="45"/>
      <c r="AG96" s="46"/>
      <c r="AH96" s="50"/>
      <c r="AI96" s="45"/>
      <c r="AJ96" s="45"/>
      <c r="AK96" s="46"/>
      <c r="AL96" s="50"/>
      <c r="AM96" s="55"/>
      <c r="AN96" s="45"/>
      <c r="AO96" s="46"/>
      <c r="AP96" s="50"/>
      <c r="AQ96" s="45"/>
      <c r="AR96" s="45"/>
      <c r="AS96" s="46"/>
      <c r="AT96" s="50"/>
      <c r="AU96" s="45"/>
      <c r="AV96" s="45"/>
      <c r="AW96" s="46"/>
      <c r="AX96" s="50"/>
      <c r="AY96" s="45"/>
      <c r="AZ96" s="45"/>
      <c r="BA96" s="46"/>
      <c r="BB96" s="50"/>
      <c r="BC96" s="45"/>
      <c r="BD96" s="45"/>
      <c r="BE96" s="46"/>
      <c r="BF96" s="50"/>
      <c r="BG96" s="45"/>
      <c r="BH96" s="45"/>
      <c r="BI96" s="46"/>
      <c r="BJ96" s="50"/>
      <c r="BK96" s="45"/>
      <c r="BL96" s="45"/>
      <c r="BM96" s="46"/>
      <c r="BN96" s="50"/>
      <c r="BO96" s="45"/>
      <c r="BP96" s="45"/>
      <c r="BQ96" s="46"/>
      <c r="BR96" s="101">
        <f t="shared" si="22"/>
        <v>0</v>
      </c>
      <c r="BS96" s="101"/>
    </row>
    <row r="97" spans="1:71" ht="22.5" customHeight="1">
      <c r="A97" s="91">
        <v>6</v>
      </c>
      <c r="B97" s="92" t="s">
        <v>86</v>
      </c>
      <c r="C97" s="58">
        <f>SUM(C99:C100)</f>
        <v>500000</v>
      </c>
      <c r="D97" s="17"/>
      <c r="E97" s="43"/>
      <c r="F97" s="19"/>
      <c r="G97" s="20"/>
      <c r="H97" s="20"/>
      <c r="I97" s="21"/>
      <c r="J97" s="22"/>
      <c r="K97" s="20"/>
      <c r="L97" s="20"/>
      <c r="M97" s="21"/>
      <c r="N97" s="22"/>
      <c r="O97" s="20"/>
      <c r="P97" s="20"/>
      <c r="Q97" s="21"/>
      <c r="R97" s="51"/>
      <c r="S97" s="45"/>
      <c r="T97" s="45"/>
      <c r="U97" s="46"/>
      <c r="V97" s="51"/>
      <c r="W97" s="45"/>
      <c r="X97" s="45"/>
      <c r="Y97" s="54"/>
      <c r="Z97" s="51"/>
      <c r="AA97" s="45"/>
      <c r="AB97" s="45"/>
      <c r="AC97" s="46"/>
      <c r="AD97" s="51"/>
      <c r="AE97" s="45"/>
      <c r="AF97" s="45"/>
      <c r="AG97" s="46"/>
      <c r="AH97" s="51"/>
      <c r="AI97" s="45"/>
      <c r="AJ97" s="45"/>
      <c r="AK97" s="46"/>
      <c r="AL97" s="51"/>
      <c r="AM97" s="55"/>
      <c r="AN97" s="45"/>
      <c r="AO97" s="46"/>
      <c r="AP97" s="51"/>
      <c r="AQ97" s="45"/>
      <c r="AR97" s="45"/>
      <c r="AS97" s="46"/>
      <c r="AT97" s="51"/>
      <c r="AU97" s="45"/>
      <c r="AV97" s="45"/>
      <c r="AW97" s="46"/>
      <c r="AX97" s="51"/>
      <c r="AY97" s="45"/>
      <c r="AZ97" s="45"/>
      <c r="BA97" s="46"/>
      <c r="BB97" s="51"/>
      <c r="BC97" s="45"/>
      <c r="BD97" s="45"/>
      <c r="BE97" s="46"/>
      <c r="BF97" s="51"/>
      <c r="BG97" s="45"/>
      <c r="BH97" s="45"/>
      <c r="BI97" s="46"/>
      <c r="BJ97" s="51"/>
      <c r="BK97" s="45"/>
      <c r="BL97" s="45"/>
      <c r="BM97" s="46"/>
      <c r="BN97" s="51"/>
      <c r="BO97" s="45"/>
      <c r="BP97" s="45"/>
      <c r="BQ97" s="46"/>
      <c r="BR97" s="101">
        <f t="shared" si="22"/>
        <v>0</v>
      </c>
      <c r="BS97" s="101"/>
    </row>
    <row r="98" spans="1:71" ht="5.0999999999999996" hidden="1" customHeight="1">
      <c r="A98" s="56"/>
      <c r="B98" s="57"/>
      <c r="C98" s="58"/>
      <c r="D98" s="17"/>
      <c r="E98" s="43"/>
      <c r="F98" s="19"/>
      <c r="G98" s="20"/>
      <c r="H98" s="20"/>
      <c r="I98" s="21"/>
      <c r="J98" s="22"/>
      <c r="K98" s="20"/>
      <c r="L98" s="20"/>
      <c r="M98" s="21"/>
      <c r="N98" s="22"/>
      <c r="O98" s="20"/>
      <c r="P98" s="20"/>
      <c r="Q98" s="21"/>
      <c r="R98" s="51"/>
      <c r="S98" s="45"/>
      <c r="T98" s="45"/>
      <c r="U98" s="46"/>
      <c r="V98" s="51"/>
      <c r="W98" s="45"/>
      <c r="X98" s="45"/>
      <c r="Y98" s="54"/>
      <c r="Z98" s="51"/>
      <c r="AA98" s="45"/>
      <c r="AB98" s="45"/>
      <c r="AC98" s="46"/>
      <c r="AD98" s="51"/>
      <c r="AE98" s="45"/>
      <c r="AF98" s="45"/>
      <c r="AG98" s="46"/>
      <c r="AH98" s="51"/>
      <c r="AI98" s="45"/>
      <c r="AJ98" s="45"/>
      <c r="AK98" s="46"/>
      <c r="AL98" s="51"/>
      <c r="AM98" s="55"/>
      <c r="AN98" s="45"/>
      <c r="AO98" s="46"/>
      <c r="AP98" s="51"/>
      <c r="AQ98" s="45"/>
      <c r="AR98" s="45"/>
      <c r="AS98" s="46"/>
      <c r="AT98" s="51"/>
      <c r="AU98" s="45"/>
      <c r="AV98" s="45"/>
      <c r="AW98" s="46"/>
      <c r="AX98" s="51"/>
      <c r="AY98" s="45"/>
      <c r="AZ98" s="45"/>
      <c r="BA98" s="46"/>
      <c r="BB98" s="51"/>
      <c r="BC98" s="45"/>
      <c r="BD98" s="45"/>
      <c r="BE98" s="46"/>
      <c r="BF98" s="51"/>
      <c r="BG98" s="45"/>
      <c r="BH98" s="45"/>
      <c r="BI98" s="46"/>
      <c r="BJ98" s="51"/>
      <c r="BK98" s="45"/>
      <c r="BL98" s="45"/>
      <c r="BM98" s="46"/>
      <c r="BN98" s="51"/>
      <c r="BO98" s="45"/>
      <c r="BP98" s="45"/>
      <c r="BQ98" s="46"/>
      <c r="BR98" s="101">
        <f t="shared" si="22"/>
        <v>0</v>
      </c>
      <c r="BS98" s="101"/>
    </row>
    <row r="99" spans="1:71" ht="12" customHeight="1">
      <c r="A99" s="198">
        <v>6.1</v>
      </c>
      <c r="B99" s="199" t="s">
        <v>87</v>
      </c>
      <c r="C99" s="42">
        <v>500000</v>
      </c>
      <c r="D99" s="17"/>
      <c r="E99" s="43"/>
      <c r="F99" s="19"/>
      <c r="G99" s="20"/>
      <c r="H99" s="20"/>
      <c r="I99" s="21"/>
      <c r="J99" s="22"/>
      <c r="K99" s="20"/>
      <c r="L99" s="20"/>
      <c r="M99" s="21"/>
      <c r="N99" s="22"/>
      <c r="O99" s="20"/>
      <c r="P99" s="20"/>
      <c r="Q99" s="21"/>
      <c r="R99" s="51"/>
      <c r="S99" s="45"/>
      <c r="T99" s="45"/>
      <c r="U99" s="46"/>
      <c r="V99" s="51"/>
      <c r="W99" s="45"/>
      <c r="X99" s="45"/>
      <c r="Y99" s="54"/>
      <c r="Z99" s="51"/>
      <c r="AA99" s="45"/>
      <c r="AB99" s="45"/>
      <c r="AC99" s="46"/>
      <c r="AD99" s="51"/>
      <c r="AE99" s="45"/>
      <c r="AF99" s="45"/>
      <c r="AG99" s="46"/>
      <c r="AH99" s="51"/>
      <c r="AI99" s="45"/>
      <c r="AJ99" s="45"/>
      <c r="AK99" s="46"/>
      <c r="AL99" s="51"/>
      <c r="AM99" s="55"/>
      <c r="AN99" s="45"/>
      <c r="AO99" s="46"/>
      <c r="AP99" s="51"/>
      <c r="AQ99" s="45"/>
      <c r="AR99" s="45"/>
      <c r="AS99" s="46"/>
      <c r="AT99" s="51"/>
      <c r="AU99" s="45"/>
      <c r="AV99" s="45"/>
      <c r="AW99" s="46"/>
      <c r="AX99" s="51"/>
      <c r="AY99" s="45"/>
      <c r="AZ99" s="45"/>
      <c r="BA99" s="46"/>
      <c r="BB99" s="51"/>
      <c r="BC99" s="45"/>
      <c r="BD99" s="45"/>
      <c r="BE99" s="46"/>
      <c r="BF99" s="51"/>
      <c r="BG99" s="45"/>
      <c r="BH99" s="45"/>
      <c r="BI99" s="46"/>
      <c r="BJ99" s="82">
        <v>15</v>
      </c>
      <c r="BK99" s="81">
        <f t="shared" ref="BK99:BQ99" si="24">BJ99</f>
        <v>15</v>
      </c>
      <c r="BL99" s="81">
        <f t="shared" si="24"/>
        <v>15</v>
      </c>
      <c r="BM99" s="80">
        <f t="shared" si="24"/>
        <v>15</v>
      </c>
      <c r="BN99" s="82">
        <f t="shared" si="24"/>
        <v>15</v>
      </c>
      <c r="BO99" s="81">
        <f t="shared" si="24"/>
        <v>15</v>
      </c>
      <c r="BP99" s="81">
        <f t="shared" si="24"/>
        <v>15</v>
      </c>
      <c r="BQ99" s="80">
        <f t="shared" si="24"/>
        <v>15</v>
      </c>
      <c r="BR99" s="101">
        <f t="shared" si="22"/>
        <v>960</v>
      </c>
      <c r="BS99" s="101"/>
    </row>
    <row r="100" spans="1:71" ht="12" customHeight="1" thickBot="1">
      <c r="A100" s="198"/>
      <c r="B100" s="199"/>
      <c r="C100" s="16"/>
      <c r="D100" s="23"/>
      <c r="E100" s="26"/>
      <c r="F100" s="72"/>
      <c r="G100" s="24"/>
      <c r="H100" s="24"/>
      <c r="I100" s="25"/>
      <c r="J100" s="73"/>
      <c r="K100" s="24"/>
      <c r="L100" s="24"/>
      <c r="M100" s="25"/>
      <c r="N100" s="73"/>
      <c r="O100" s="24"/>
      <c r="P100" s="24"/>
      <c r="Q100" s="25"/>
      <c r="R100" s="74"/>
      <c r="S100" s="75"/>
      <c r="T100" s="75"/>
      <c r="U100" s="76"/>
      <c r="V100" s="74"/>
      <c r="W100" s="75"/>
      <c r="X100" s="75"/>
      <c r="Y100" s="77"/>
      <c r="Z100" s="74"/>
      <c r="AA100" s="75"/>
      <c r="AB100" s="75"/>
      <c r="AC100" s="76"/>
      <c r="AD100" s="74"/>
      <c r="AE100" s="75"/>
      <c r="AF100" s="75"/>
      <c r="AG100" s="76"/>
      <c r="AH100" s="74"/>
      <c r="AI100" s="75"/>
      <c r="AJ100" s="75"/>
      <c r="AK100" s="76"/>
      <c r="AL100" s="74"/>
      <c r="AM100" s="78"/>
      <c r="AN100" s="75"/>
      <c r="AO100" s="76"/>
      <c r="AP100" s="74"/>
      <c r="AQ100" s="75"/>
      <c r="AR100" s="75"/>
      <c r="AS100" s="76"/>
      <c r="AT100" s="74"/>
      <c r="AU100" s="75"/>
      <c r="AV100" s="75"/>
      <c r="AW100" s="76"/>
      <c r="AX100" s="74"/>
      <c r="AY100" s="75"/>
      <c r="AZ100" s="75"/>
      <c r="BA100" s="76"/>
      <c r="BB100" s="74"/>
      <c r="BC100" s="75"/>
      <c r="BD100" s="75"/>
      <c r="BE100" s="76"/>
      <c r="BF100" s="74"/>
      <c r="BG100" s="75"/>
      <c r="BH100" s="75"/>
      <c r="BI100" s="76"/>
      <c r="BJ100" s="74"/>
      <c r="BK100" s="75"/>
      <c r="BL100" s="75"/>
      <c r="BM100" s="76"/>
      <c r="BN100" s="74"/>
      <c r="BO100" s="75"/>
      <c r="BP100" s="75"/>
      <c r="BQ100" s="76"/>
      <c r="BR100" s="87"/>
      <c r="BS100" s="87"/>
    </row>
    <row r="101" spans="1:71" ht="33.4" customHeight="1" thickBot="1">
      <c r="A101" s="95"/>
      <c r="B101" s="103" t="s">
        <v>88</v>
      </c>
      <c r="C101" s="96"/>
      <c r="D101" s="97"/>
      <c r="E101" s="98"/>
      <c r="F101" s="99">
        <f>SUM(F15:F100)</f>
        <v>20</v>
      </c>
      <c r="G101" s="86">
        <f t="shared" ref="G101:BQ101" si="25">SUM(G15:G100)</f>
        <v>20</v>
      </c>
      <c r="H101" s="86">
        <f t="shared" si="25"/>
        <v>20.25</v>
      </c>
      <c r="I101" s="85">
        <f t="shared" si="25"/>
        <v>20.25</v>
      </c>
      <c r="J101" s="100">
        <f t="shared" si="25"/>
        <v>20.25</v>
      </c>
      <c r="K101" s="86">
        <f t="shared" si="25"/>
        <v>20.25</v>
      </c>
      <c r="L101" s="86">
        <f t="shared" si="25"/>
        <v>5</v>
      </c>
      <c r="M101" s="85">
        <f t="shared" si="25"/>
        <v>5</v>
      </c>
      <c r="N101" s="100">
        <f t="shared" si="25"/>
        <v>5</v>
      </c>
      <c r="O101" s="86">
        <f t="shared" si="25"/>
        <v>5</v>
      </c>
      <c r="P101" s="86">
        <f t="shared" si="25"/>
        <v>5</v>
      </c>
      <c r="Q101" s="85">
        <f t="shared" si="25"/>
        <v>5</v>
      </c>
      <c r="R101" s="100">
        <f t="shared" si="25"/>
        <v>30</v>
      </c>
      <c r="S101" s="86">
        <f t="shared" si="25"/>
        <v>30</v>
      </c>
      <c r="T101" s="86">
        <f t="shared" si="25"/>
        <v>30</v>
      </c>
      <c r="U101" s="85">
        <f t="shared" si="25"/>
        <v>30</v>
      </c>
      <c r="V101" s="100">
        <f t="shared" si="25"/>
        <v>37</v>
      </c>
      <c r="W101" s="86">
        <f t="shared" si="25"/>
        <v>37</v>
      </c>
      <c r="X101" s="86">
        <f t="shared" si="25"/>
        <v>37</v>
      </c>
      <c r="Y101" s="85">
        <f t="shared" si="25"/>
        <v>0</v>
      </c>
      <c r="Z101" s="100">
        <f t="shared" si="25"/>
        <v>12</v>
      </c>
      <c r="AA101" s="86">
        <f t="shared" si="25"/>
        <v>19</v>
      </c>
      <c r="AB101" s="86">
        <f t="shared" si="25"/>
        <v>19</v>
      </c>
      <c r="AC101" s="85">
        <f t="shared" si="25"/>
        <v>19</v>
      </c>
      <c r="AD101" s="100">
        <f t="shared" si="25"/>
        <v>34</v>
      </c>
      <c r="AE101" s="86">
        <f t="shared" si="25"/>
        <v>27</v>
      </c>
      <c r="AF101" s="86">
        <f t="shared" si="25"/>
        <v>27</v>
      </c>
      <c r="AG101" s="85">
        <f t="shared" si="25"/>
        <v>27</v>
      </c>
      <c r="AH101" s="100">
        <f t="shared" si="25"/>
        <v>42</v>
      </c>
      <c r="AI101" s="86">
        <f t="shared" si="25"/>
        <v>42</v>
      </c>
      <c r="AJ101" s="86">
        <f t="shared" si="25"/>
        <v>42</v>
      </c>
      <c r="AK101" s="85">
        <f t="shared" si="25"/>
        <v>35</v>
      </c>
      <c r="AL101" s="100">
        <f t="shared" si="25"/>
        <v>20</v>
      </c>
      <c r="AM101" s="86">
        <f t="shared" si="25"/>
        <v>0</v>
      </c>
      <c r="AN101" s="86">
        <f t="shared" si="25"/>
        <v>85</v>
      </c>
      <c r="AO101" s="85">
        <f t="shared" si="25"/>
        <v>85</v>
      </c>
      <c r="AP101" s="100">
        <f t="shared" si="25"/>
        <v>110</v>
      </c>
      <c r="AQ101" s="86">
        <f t="shared" si="25"/>
        <v>117</v>
      </c>
      <c r="AR101" s="86">
        <f t="shared" si="25"/>
        <v>132</v>
      </c>
      <c r="AS101" s="85">
        <f t="shared" si="25"/>
        <v>132</v>
      </c>
      <c r="AT101" s="100">
        <f t="shared" si="25"/>
        <v>162</v>
      </c>
      <c r="AU101" s="86">
        <f t="shared" si="25"/>
        <v>162</v>
      </c>
      <c r="AV101" s="86">
        <f t="shared" si="25"/>
        <v>172</v>
      </c>
      <c r="AW101" s="85">
        <f t="shared" si="25"/>
        <v>180</v>
      </c>
      <c r="AX101" s="100">
        <f t="shared" si="25"/>
        <v>148</v>
      </c>
      <c r="AY101" s="86">
        <f t="shared" si="25"/>
        <v>148</v>
      </c>
      <c r="AZ101" s="86">
        <f t="shared" si="25"/>
        <v>155.19999999999999</v>
      </c>
      <c r="BA101" s="85">
        <f t="shared" si="25"/>
        <v>155.19999999999999</v>
      </c>
      <c r="BB101" s="100">
        <f t="shared" si="25"/>
        <v>152.19999999999999</v>
      </c>
      <c r="BC101" s="86">
        <f t="shared" si="25"/>
        <v>162.19999999999999</v>
      </c>
      <c r="BD101" s="86">
        <f t="shared" si="25"/>
        <v>132.19999999999999</v>
      </c>
      <c r="BE101" s="85">
        <f t="shared" si="25"/>
        <v>132</v>
      </c>
      <c r="BF101" s="100">
        <f t="shared" si="25"/>
        <v>102</v>
      </c>
      <c r="BG101" s="86">
        <f t="shared" si="25"/>
        <v>80</v>
      </c>
      <c r="BH101" s="86">
        <f t="shared" si="25"/>
        <v>72</v>
      </c>
      <c r="BI101" s="85">
        <f t="shared" si="25"/>
        <v>55</v>
      </c>
      <c r="BJ101" s="100">
        <f t="shared" si="25"/>
        <v>20</v>
      </c>
      <c r="BK101" s="86">
        <f t="shared" si="25"/>
        <v>20</v>
      </c>
      <c r="BL101" s="86">
        <f t="shared" si="25"/>
        <v>20</v>
      </c>
      <c r="BM101" s="85">
        <f t="shared" si="25"/>
        <v>20</v>
      </c>
      <c r="BN101" s="100">
        <f t="shared" si="25"/>
        <v>20</v>
      </c>
      <c r="BO101" s="86">
        <f t="shared" si="25"/>
        <v>20</v>
      </c>
      <c r="BP101" s="86">
        <f t="shared" si="25"/>
        <v>20</v>
      </c>
      <c r="BQ101" s="85">
        <f t="shared" si="25"/>
        <v>20</v>
      </c>
      <c r="BR101" s="102">
        <f>SUM(BR15:BR99)</f>
        <v>29904</v>
      </c>
      <c r="BS101" s="102"/>
    </row>
    <row r="102" spans="1:71" ht="33.4" customHeight="1" thickBot="1">
      <c r="A102" s="95"/>
      <c r="B102" s="103" t="s">
        <v>89</v>
      </c>
      <c r="C102" s="96"/>
      <c r="D102" s="97"/>
      <c r="E102" s="98"/>
      <c r="F102" s="186">
        <f>SUM(F101:I101)/4</f>
        <v>20.125</v>
      </c>
      <c r="G102" s="187"/>
      <c r="H102" s="187"/>
      <c r="I102" s="188"/>
      <c r="J102" s="186">
        <f t="shared" ref="J102" si="26">SUM(J101:M101)/4</f>
        <v>12.625</v>
      </c>
      <c r="K102" s="187"/>
      <c r="L102" s="187"/>
      <c r="M102" s="188"/>
      <c r="N102" s="186">
        <f t="shared" ref="N102" si="27">SUM(N101:Q101)/4</f>
        <v>5</v>
      </c>
      <c r="O102" s="187"/>
      <c r="P102" s="187"/>
      <c r="Q102" s="188"/>
      <c r="R102" s="186">
        <f t="shared" ref="R102" si="28">SUM(R101:U101)/4</f>
        <v>30</v>
      </c>
      <c r="S102" s="187"/>
      <c r="T102" s="187"/>
      <c r="U102" s="188"/>
      <c r="V102" s="186">
        <f t="shared" ref="V102" si="29">SUM(V101:Y101)/4</f>
        <v>27.75</v>
      </c>
      <c r="W102" s="187"/>
      <c r="X102" s="187"/>
      <c r="Y102" s="188"/>
      <c r="Z102" s="186">
        <f t="shared" ref="Z102" si="30">SUM(Z101:AC101)/4</f>
        <v>17.25</v>
      </c>
      <c r="AA102" s="187"/>
      <c r="AB102" s="187"/>
      <c r="AC102" s="188"/>
      <c r="AD102" s="186">
        <f t="shared" ref="AD102" si="31">SUM(AD101:AG101)/4</f>
        <v>28.75</v>
      </c>
      <c r="AE102" s="187"/>
      <c r="AF102" s="187"/>
      <c r="AG102" s="188"/>
      <c r="AH102" s="186">
        <f t="shared" ref="AH102" si="32">SUM(AH101:AK101)/4</f>
        <v>40.25</v>
      </c>
      <c r="AI102" s="187"/>
      <c r="AJ102" s="187"/>
      <c r="AK102" s="188"/>
      <c r="AL102" s="186">
        <f t="shared" ref="AL102" si="33">SUM(AL101:AO101)/4</f>
        <v>47.5</v>
      </c>
      <c r="AM102" s="187"/>
      <c r="AN102" s="187"/>
      <c r="AO102" s="188"/>
      <c r="AP102" s="186">
        <f t="shared" ref="AP102" si="34">SUM(AP101:AS101)/4</f>
        <v>122.75</v>
      </c>
      <c r="AQ102" s="187"/>
      <c r="AR102" s="187"/>
      <c r="AS102" s="188"/>
      <c r="AT102" s="186">
        <f t="shared" ref="AT102" si="35">SUM(AT101:AW101)/4</f>
        <v>169</v>
      </c>
      <c r="AU102" s="187"/>
      <c r="AV102" s="187"/>
      <c r="AW102" s="188"/>
      <c r="AX102" s="186">
        <f t="shared" ref="AX102" si="36">SUM(AX101:BA101)/4</f>
        <v>151.6</v>
      </c>
      <c r="AY102" s="187"/>
      <c r="AZ102" s="187"/>
      <c r="BA102" s="188"/>
      <c r="BB102" s="186">
        <f t="shared" ref="BB102" si="37">SUM(BB101:BE101)/4</f>
        <v>144.64999999999998</v>
      </c>
      <c r="BC102" s="187"/>
      <c r="BD102" s="187"/>
      <c r="BE102" s="188"/>
      <c r="BF102" s="186">
        <f t="shared" ref="BF102" si="38">SUM(BF101:BI101)/4</f>
        <v>77.25</v>
      </c>
      <c r="BG102" s="187"/>
      <c r="BH102" s="187"/>
      <c r="BI102" s="188"/>
      <c r="BJ102" s="186">
        <f t="shared" ref="BJ102" si="39">SUM(BJ101:BM101)/4</f>
        <v>20</v>
      </c>
      <c r="BK102" s="187"/>
      <c r="BL102" s="187"/>
      <c r="BM102" s="188"/>
      <c r="BN102" s="186">
        <f t="shared" ref="BN102" si="40">SUM(BN101:BQ101)/4</f>
        <v>20</v>
      </c>
      <c r="BO102" s="187"/>
      <c r="BP102" s="187"/>
      <c r="BQ102" s="188"/>
      <c r="BR102" s="102"/>
      <c r="BS102" s="102"/>
    </row>
    <row r="103" spans="1:71">
      <c r="C103" s="6" t="e">
        <f>#REF!</f>
        <v>#REF!</v>
      </c>
    </row>
    <row r="105" spans="1:71" s="3" customFormat="1">
      <c r="A105" s="1"/>
      <c r="B105" s="2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BR105" s="1"/>
      <c r="BS105" s="1"/>
    </row>
    <row r="106" spans="1:71" s="3" customFormat="1">
      <c r="A106" s="1"/>
      <c r="B106" s="2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BR106" s="1"/>
      <c r="BS106" s="1"/>
    </row>
    <row r="107" spans="1:71" s="3" customFormat="1">
      <c r="A107" s="1"/>
      <c r="B107" s="2"/>
      <c r="F107" s="7"/>
      <c r="BR107" s="1"/>
      <c r="BS107" s="1"/>
    </row>
    <row r="108" spans="1:71" s="3" customFormat="1" ht="15" customHeight="1">
      <c r="A108" s="1"/>
      <c r="B108" s="2"/>
      <c r="BR108" s="1"/>
      <c r="BS108" s="1"/>
    </row>
  </sheetData>
  <mergeCells count="126">
    <mergeCell ref="N10:Q10"/>
    <mergeCell ref="R10:U10"/>
    <mergeCell ref="V10:Y10"/>
    <mergeCell ref="Z10:AC10"/>
    <mergeCell ref="AD10:AG10"/>
    <mergeCell ref="AH10:AK10"/>
    <mergeCell ref="A10:A12"/>
    <mergeCell ref="B10:B12"/>
    <mergeCell ref="C10:C12"/>
    <mergeCell ref="D10:D12"/>
    <mergeCell ref="F10:I10"/>
    <mergeCell ref="J10:M10"/>
    <mergeCell ref="A15:A16"/>
    <mergeCell ref="B15:B16"/>
    <mergeCell ref="A17:A18"/>
    <mergeCell ref="B17:B18"/>
    <mergeCell ref="AH11:AK11"/>
    <mergeCell ref="AL11:AO11"/>
    <mergeCell ref="AP11:AS11"/>
    <mergeCell ref="AT11:AW11"/>
    <mergeCell ref="AX11:BA11"/>
    <mergeCell ref="F11:I11"/>
    <mergeCell ref="J11:M11"/>
    <mergeCell ref="N11:Q11"/>
    <mergeCell ref="R11:U11"/>
    <mergeCell ref="V11:Y11"/>
    <mergeCell ref="Z11:AC11"/>
    <mergeCell ref="AD11:AG11"/>
    <mergeCell ref="A27:A28"/>
    <mergeCell ref="B27:B28"/>
    <mergeCell ref="A29:A30"/>
    <mergeCell ref="B29:B30"/>
    <mergeCell ref="A31:A32"/>
    <mergeCell ref="B31:B32"/>
    <mergeCell ref="A19:A20"/>
    <mergeCell ref="B19:B20"/>
    <mergeCell ref="A23:A24"/>
    <mergeCell ref="B23:B24"/>
    <mergeCell ref="A25:A26"/>
    <mergeCell ref="B25:B26"/>
    <mergeCell ref="A39:A40"/>
    <mergeCell ref="B39:B40"/>
    <mergeCell ref="A45:A46"/>
    <mergeCell ref="B45:B46"/>
    <mergeCell ref="A47:A48"/>
    <mergeCell ref="B47:B48"/>
    <mergeCell ref="A33:A34"/>
    <mergeCell ref="B33:B34"/>
    <mergeCell ref="A35:A36"/>
    <mergeCell ref="B35:B36"/>
    <mergeCell ref="A37:A38"/>
    <mergeCell ref="B37:B38"/>
    <mergeCell ref="A55:A56"/>
    <mergeCell ref="B55:B56"/>
    <mergeCell ref="A57:A58"/>
    <mergeCell ref="B57:B58"/>
    <mergeCell ref="A59:A60"/>
    <mergeCell ref="B59:B60"/>
    <mergeCell ref="A49:A50"/>
    <mergeCell ref="B49:B50"/>
    <mergeCell ref="A51:A52"/>
    <mergeCell ref="B51:B52"/>
    <mergeCell ref="A53:A54"/>
    <mergeCell ref="B53:B54"/>
    <mergeCell ref="A69:A70"/>
    <mergeCell ref="B69:B70"/>
    <mergeCell ref="A71:A72"/>
    <mergeCell ref="B71:B72"/>
    <mergeCell ref="A73:A74"/>
    <mergeCell ref="B73:B74"/>
    <mergeCell ref="A61:A62"/>
    <mergeCell ref="B61:B62"/>
    <mergeCell ref="A65:A66"/>
    <mergeCell ref="B65:B66"/>
    <mergeCell ref="A67:A68"/>
    <mergeCell ref="B67:B68"/>
    <mergeCell ref="A81:A82"/>
    <mergeCell ref="B81:B82"/>
    <mergeCell ref="A85:A86"/>
    <mergeCell ref="B85:B86"/>
    <mergeCell ref="A87:A88"/>
    <mergeCell ref="B87:B88"/>
    <mergeCell ref="A75:A76"/>
    <mergeCell ref="B75:B76"/>
    <mergeCell ref="A77:A78"/>
    <mergeCell ref="B77:B78"/>
    <mergeCell ref="A79:A80"/>
    <mergeCell ref="B79:B80"/>
    <mergeCell ref="F102:I102"/>
    <mergeCell ref="J102:M102"/>
    <mergeCell ref="N102:Q102"/>
    <mergeCell ref="R102:U102"/>
    <mergeCell ref="V102:Y102"/>
    <mergeCell ref="Z102:AC102"/>
    <mergeCell ref="A99:A100"/>
    <mergeCell ref="B99:B100"/>
    <mergeCell ref="A89:A90"/>
    <mergeCell ref="B89:B90"/>
    <mergeCell ref="A93:A94"/>
    <mergeCell ref="B93:B94"/>
    <mergeCell ref="A95:A96"/>
    <mergeCell ref="B95:B96"/>
    <mergeCell ref="BB102:BE102"/>
    <mergeCell ref="BF102:BI102"/>
    <mergeCell ref="BJ102:BM102"/>
    <mergeCell ref="BN102:BQ102"/>
    <mergeCell ref="BS10:BS12"/>
    <mergeCell ref="AD102:AG102"/>
    <mergeCell ref="AH102:AK102"/>
    <mergeCell ref="AL102:AO102"/>
    <mergeCell ref="AP102:AS102"/>
    <mergeCell ref="AT102:AW102"/>
    <mergeCell ref="AX102:BA102"/>
    <mergeCell ref="BF11:BI11"/>
    <mergeCell ref="BJ11:BM11"/>
    <mergeCell ref="BN11:BQ11"/>
    <mergeCell ref="BB11:BE11"/>
    <mergeCell ref="BJ10:BM10"/>
    <mergeCell ref="BN10:BQ10"/>
    <mergeCell ref="BR10:BR12"/>
    <mergeCell ref="AL10:AO10"/>
    <mergeCell ref="AP10:AS10"/>
    <mergeCell ref="AT10:AW10"/>
    <mergeCell ref="AX10:BA10"/>
    <mergeCell ref="BB10:BE10"/>
    <mergeCell ref="BF10:BI10"/>
  </mergeCells>
  <conditionalFormatting sqref="F17:I17">
    <cfRule type="cellIs" dxfId="84" priority="25" stopIfTrue="1" operator="greaterThan">
      <formula>0</formula>
    </cfRule>
  </conditionalFormatting>
  <conditionalFormatting sqref="F61:S61 U61:W61 Y61:AA61 AC61:BQ61">
    <cfRule type="cellIs" dxfId="83" priority="71" stopIfTrue="1" operator="greaterThan">
      <formula>0</formula>
    </cfRule>
  </conditionalFormatting>
  <conditionalFormatting sqref="F53:AH53 AJ53:BQ53">
    <cfRule type="cellIs" dxfId="82" priority="74" stopIfTrue="1" operator="greaterThan">
      <formula>0</formula>
    </cfRule>
  </conditionalFormatting>
  <conditionalFormatting sqref="F65:AH65 AJ65:BQ65">
    <cfRule type="cellIs" dxfId="81" priority="70" stopIfTrue="1" operator="greaterThan">
      <formula>0</formula>
    </cfRule>
  </conditionalFormatting>
  <conditionalFormatting sqref="F15:BQ15">
    <cfRule type="cellIs" dxfId="80" priority="85" stopIfTrue="1" operator="greaterThan">
      <formula>0</formula>
    </cfRule>
  </conditionalFormatting>
  <conditionalFormatting sqref="F15:BQ100">
    <cfRule type="cellIs" dxfId="79" priority="1" operator="greaterThan">
      <formula>0</formula>
    </cfRule>
  </conditionalFormatting>
  <conditionalFormatting sqref="F16:BQ16">
    <cfRule type="cellIs" dxfId="78" priority="34" stopIfTrue="1" operator="greaterThan">
      <formula>0</formula>
    </cfRule>
  </conditionalFormatting>
  <conditionalFormatting sqref="F18:BQ18">
    <cfRule type="cellIs" dxfId="77" priority="24" stopIfTrue="1" operator="greaterThan">
      <formula>0</formula>
    </cfRule>
  </conditionalFormatting>
  <conditionalFormatting sqref="F19:BQ19">
    <cfRule type="cellIs" dxfId="76" priority="23" stopIfTrue="1" operator="greaterThan">
      <formula>0</formula>
    </cfRule>
  </conditionalFormatting>
  <conditionalFormatting sqref="F20:BQ20">
    <cfRule type="cellIs" dxfId="75" priority="26" stopIfTrue="1" operator="greaterThan">
      <formula>0</formula>
    </cfRule>
  </conditionalFormatting>
  <conditionalFormatting sqref="F23:BQ23">
    <cfRule type="cellIs" dxfId="74" priority="84" stopIfTrue="1" operator="greaterThan">
      <formula>0</formula>
    </cfRule>
  </conditionalFormatting>
  <conditionalFormatting sqref="F24:BQ24">
    <cfRule type="cellIs" dxfId="73" priority="33" stopIfTrue="1" operator="greaterThan">
      <formula>0</formula>
    </cfRule>
  </conditionalFormatting>
  <conditionalFormatting sqref="F25:BQ25">
    <cfRule type="cellIs" dxfId="72" priority="28" stopIfTrue="1" operator="greaterThan">
      <formula>0</formula>
    </cfRule>
  </conditionalFormatting>
  <conditionalFormatting sqref="F26:BQ26">
    <cfRule type="cellIs" dxfId="71" priority="27" stopIfTrue="1" operator="greaterThan">
      <formula>0</formula>
    </cfRule>
  </conditionalFormatting>
  <conditionalFormatting sqref="F27:BQ27">
    <cfRule type="cellIs" dxfId="70" priority="83" stopIfTrue="1" operator="greaterThan">
      <formula>0</formula>
    </cfRule>
  </conditionalFormatting>
  <conditionalFormatting sqref="F28:BQ28">
    <cfRule type="cellIs" dxfId="69" priority="32" stopIfTrue="1" operator="greaterThan">
      <formula>0</formula>
    </cfRule>
  </conditionalFormatting>
  <conditionalFormatting sqref="F29:BQ29">
    <cfRule type="cellIs" dxfId="68" priority="82" stopIfTrue="1" operator="greaterThan">
      <formula>0</formula>
    </cfRule>
  </conditionalFormatting>
  <conditionalFormatting sqref="F30:BQ30">
    <cfRule type="cellIs" dxfId="67" priority="31" stopIfTrue="1" operator="greaterThan">
      <formula>0</formula>
    </cfRule>
  </conditionalFormatting>
  <conditionalFormatting sqref="F31:BQ31">
    <cfRule type="cellIs" dxfId="66" priority="81" stopIfTrue="1" operator="greaterThan">
      <formula>0</formula>
    </cfRule>
  </conditionalFormatting>
  <conditionalFormatting sqref="F32:BQ32">
    <cfRule type="cellIs" dxfId="65" priority="30" stopIfTrue="1" operator="greaterThan">
      <formula>0</formula>
    </cfRule>
  </conditionalFormatting>
  <conditionalFormatting sqref="F33:BQ33">
    <cfRule type="cellIs" dxfId="64" priority="80" stopIfTrue="1" operator="greaterThan">
      <formula>0</formula>
    </cfRule>
  </conditionalFormatting>
  <conditionalFormatting sqref="F34:BQ34">
    <cfRule type="cellIs" dxfId="63" priority="60" stopIfTrue="1" operator="greaterThan">
      <formula>0</formula>
    </cfRule>
  </conditionalFormatting>
  <conditionalFormatting sqref="F35:BQ35">
    <cfRule type="cellIs" dxfId="62" priority="79" stopIfTrue="1" operator="greaterThan">
      <formula>0</formula>
    </cfRule>
  </conditionalFormatting>
  <conditionalFormatting sqref="F36:BQ36">
    <cfRule type="cellIs" dxfId="61" priority="59" stopIfTrue="1" operator="greaterThan">
      <formula>0</formula>
    </cfRule>
  </conditionalFormatting>
  <conditionalFormatting sqref="F37:BQ37">
    <cfRule type="cellIs" dxfId="60" priority="36" stopIfTrue="1" operator="greaterThan">
      <formula>0</formula>
    </cfRule>
  </conditionalFormatting>
  <conditionalFormatting sqref="F38:BQ38">
    <cfRule type="cellIs" dxfId="59" priority="58" stopIfTrue="1" operator="greaterThan">
      <formula>0</formula>
    </cfRule>
  </conditionalFormatting>
  <conditionalFormatting sqref="F39:BQ39">
    <cfRule type="cellIs" dxfId="58" priority="78" stopIfTrue="1" operator="greaterThan">
      <formula>0</formula>
    </cfRule>
  </conditionalFormatting>
  <conditionalFormatting sqref="F40:BQ40">
    <cfRule type="cellIs" dxfId="57" priority="57" stopIfTrue="1" operator="greaterThan">
      <formula>0</formula>
    </cfRule>
  </conditionalFormatting>
  <conditionalFormatting sqref="F46:BQ46">
    <cfRule type="cellIs" dxfId="56" priority="56" stopIfTrue="1" operator="greaterThan">
      <formula>0</formula>
    </cfRule>
  </conditionalFormatting>
  <conditionalFormatting sqref="F47:BQ47">
    <cfRule type="cellIs" dxfId="55" priority="77" stopIfTrue="1" operator="greaterThan">
      <formula>0</formula>
    </cfRule>
  </conditionalFormatting>
  <conditionalFormatting sqref="F48:BQ48">
    <cfRule type="cellIs" dxfId="54" priority="55" stopIfTrue="1" operator="greaterThan">
      <formula>0</formula>
    </cfRule>
  </conditionalFormatting>
  <conditionalFormatting sqref="F49:BQ49">
    <cfRule type="cellIs" dxfId="53" priority="76" stopIfTrue="1" operator="greaterThan">
      <formula>0</formula>
    </cfRule>
  </conditionalFormatting>
  <conditionalFormatting sqref="F50:BQ50">
    <cfRule type="cellIs" dxfId="52" priority="54" stopIfTrue="1" operator="greaterThan">
      <formula>0</formula>
    </cfRule>
  </conditionalFormatting>
  <conditionalFormatting sqref="F51:BQ51">
    <cfRule type="cellIs" dxfId="51" priority="75" stopIfTrue="1" operator="greaterThan">
      <formula>0</formula>
    </cfRule>
  </conditionalFormatting>
  <conditionalFormatting sqref="F52:BQ52">
    <cfRule type="cellIs" dxfId="50" priority="53" stopIfTrue="1" operator="greaterThan">
      <formula>0</formula>
    </cfRule>
  </conditionalFormatting>
  <conditionalFormatting sqref="F54:BQ54">
    <cfRule type="cellIs" dxfId="49" priority="52" stopIfTrue="1" operator="greaterThan">
      <formula>0</formula>
    </cfRule>
  </conditionalFormatting>
  <conditionalFormatting sqref="F55:BQ55">
    <cfRule type="cellIs" dxfId="48" priority="73" stopIfTrue="1" operator="greaterThan">
      <formula>0</formula>
    </cfRule>
  </conditionalFormatting>
  <conditionalFormatting sqref="F56:BQ56">
    <cfRule type="cellIs" dxfId="47" priority="51" stopIfTrue="1" operator="greaterThan">
      <formula>0</formula>
    </cfRule>
  </conditionalFormatting>
  <conditionalFormatting sqref="F59:BQ59">
    <cfRule type="cellIs" dxfId="46" priority="72" stopIfTrue="1" operator="greaterThan">
      <formula>0</formula>
    </cfRule>
  </conditionalFormatting>
  <conditionalFormatting sqref="F60:BQ60">
    <cfRule type="cellIs" dxfId="45" priority="50" stopIfTrue="1" operator="greaterThan">
      <formula>0</formula>
    </cfRule>
  </conditionalFormatting>
  <conditionalFormatting sqref="F62:BQ62">
    <cfRule type="cellIs" dxfId="44" priority="49" stopIfTrue="1" operator="greaterThan">
      <formula>0</formula>
    </cfRule>
  </conditionalFormatting>
  <conditionalFormatting sqref="F66:BQ66">
    <cfRule type="cellIs" dxfId="43" priority="48" stopIfTrue="1" operator="greaterThan">
      <formula>0</formula>
    </cfRule>
  </conditionalFormatting>
  <conditionalFormatting sqref="F67:BQ67">
    <cfRule type="cellIs" dxfId="42" priority="69" stopIfTrue="1" operator="greaterThan">
      <formula>0</formula>
    </cfRule>
  </conditionalFormatting>
  <conditionalFormatting sqref="F68:BQ68">
    <cfRule type="cellIs" dxfId="41" priority="47" stopIfTrue="1" operator="greaterThan">
      <formula>0</formula>
    </cfRule>
  </conditionalFormatting>
  <conditionalFormatting sqref="F69:BQ69">
    <cfRule type="cellIs" dxfId="40" priority="68" stopIfTrue="1" operator="greaterThan">
      <formula>0</formula>
    </cfRule>
  </conditionalFormatting>
  <conditionalFormatting sqref="F70:BQ70">
    <cfRule type="cellIs" dxfId="39" priority="46" stopIfTrue="1" operator="greaterThan">
      <formula>0</formula>
    </cfRule>
  </conditionalFormatting>
  <conditionalFormatting sqref="F71:BQ71">
    <cfRule type="cellIs" dxfId="38" priority="67" stopIfTrue="1" operator="greaterThan">
      <formula>0</formula>
    </cfRule>
  </conditionalFormatting>
  <conditionalFormatting sqref="F72:BQ72">
    <cfRule type="cellIs" dxfId="37" priority="45" stopIfTrue="1" operator="greaterThan">
      <formula>0</formula>
    </cfRule>
  </conditionalFormatting>
  <conditionalFormatting sqref="F73:BQ73">
    <cfRule type="cellIs" dxfId="36" priority="66" stopIfTrue="1" operator="greaterThan">
      <formula>0</formula>
    </cfRule>
  </conditionalFormatting>
  <conditionalFormatting sqref="F74:BQ74">
    <cfRule type="cellIs" dxfId="35" priority="44" stopIfTrue="1" operator="greaterThan">
      <formula>0</formula>
    </cfRule>
  </conditionalFormatting>
  <conditionalFormatting sqref="F75:BQ75">
    <cfRule type="cellIs" dxfId="34" priority="65" stopIfTrue="1" operator="greaterThan">
      <formula>0</formula>
    </cfRule>
  </conditionalFormatting>
  <conditionalFormatting sqref="F76:BQ76">
    <cfRule type="cellIs" dxfId="33" priority="43" stopIfTrue="1" operator="greaterThan">
      <formula>0</formula>
    </cfRule>
  </conditionalFormatting>
  <conditionalFormatting sqref="F77:BQ77">
    <cfRule type="cellIs" dxfId="32" priority="64" stopIfTrue="1" operator="greaterThan">
      <formula>0</formula>
    </cfRule>
  </conditionalFormatting>
  <conditionalFormatting sqref="F78:BQ78">
    <cfRule type="cellIs" dxfId="31" priority="42" stopIfTrue="1" operator="greaterThan">
      <formula>0</formula>
    </cfRule>
  </conditionalFormatting>
  <conditionalFormatting sqref="F79:BQ79">
    <cfRule type="cellIs" dxfId="30" priority="29" stopIfTrue="1" operator="greaterThan">
      <formula>0</formula>
    </cfRule>
  </conditionalFormatting>
  <conditionalFormatting sqref="F80:BQ80">
    <cfRule type="cellIs" dxfId="29" priority="41" stopIfTrue="1" operator="greaterThan">
      <formula>0</formula>
    </cfRule>
  </conditionalFormatting>
  <conditionalFormatting sqref="F87:BQ87">
    <cfRule type="cellIs" dxfId="28" priority="63" stopIfTrue="1" operator="greaterThan">
      <formula>0</formula>
    </cfRule>
  </conditionalFormatting>
  <conditionalFormatting sqref="F88:BQ88">
    <cfRule type="cellIs" dxfId="27" priority="40" stopIfTrue="1" operator="greaterThan">
      <formula>0</formula>
    </cfRule>
  </conditionalFormatting>
  <conditionalFormatting sqref="F89:BQ89">
    <cfRule type="cellIs" dxfId="26" priority="62" stopIfTrue="1" operator="greaterThan">
      <formula>0</formula>
    </cfRule>
  </conditionalFormatting>
  <conditionalFormatting sqref="F90:BQ90">
    <cfRule type="cellIs" dxfId="25" priority="39" stopIfTrue="1" operator="greaterThan">
      <formula>0</formula>
    </cfRule>
  </conditionalFormatting>
  <conditionalFormatting sqref="F93:BQ93">
    <cfRule type="cellIs" dxfId="24" priority="61" stopIfTrue="1" operator="greaterThan">
      <formula>0</formula>
    </cfRule>
  </conditionalFormatting>
  <conditionalFormatting sqref="F94:BQ94">
    <cfRule type="cellIs" dxfId="23" priority="38" stopIfTrue="1" operator="greaterThan">
      <formula>0</formula>
    </cfRule>
  </conditionalFormatting>
  <conditionalFormatting sqref="F95:BQ95">
    <cfRule type="cellIs" dxfId="22" priority="20" stopIfTrue="1" operator="greaterThan">
      <formula>0</formula>
    </cfRule>
  </conditionalFormatting>
  <conditionalFormatting sqref="F96:BQ96">
    <cfRule type="cellIs" dxfId="21" priority="19" stopIfTrue="1" operator="greaterThan">
      <formula>0</formula>
    </cfRule>
  </conditionalFormatting>
  <conditionalFormatting sqref="F99:BQ99">
    <cfRule type="cellIs" dxfId="20" priority="22" stopIfTrue="1" operator="greaterThan">
      <formula>0</formula>
    </cfRule>
  </conditionalFormatting>
  <conditionalFormatting sqref="F100:BQ100">
    <cfRule type="cellIs" dxfId="19" priority="21" stopIfTrue="1" operator="greaterThan">
      <formula>0</formula>
    </cfRule>
  </conditionalFormatting>
  <conditionalFormatting sqref="J17">
    <cfRule type="cellIs" dxfId="18" priority="15" stopIfTrue="1" operator="greaterThan">
      <formula>0</formula>
    </cfRule>
  </conditionalFormatting>
  <conditionalFormatting sqref="K17:BQ17">
    <cfRule type="cellIs" dxfId="17" priority="14" stopIfTrue="1" operator="greaterThan">
      <formula>0</formula>
    </cfRule>
  </conditionalFormatting>
  <conditionalFormatting sqref="M85:BQ85">
    <cfRule type="cellIs" dxfId="16" priority="37" stopIfTrue="1" operator="greaterThan">
      <formula>0</formula>
    </cfRule>
  </conditionalFormatting>
  <conditionalFormatting sqref="AH45:AK45">
    <cfRule type="cellIs" dxfId="15" priority="17" stopIfTrue="1" operator="greaterThan">
      <formula>0</formula>
    </cfRule>
  </conditionalFormatting>
  <conditionalFormatting sqref="AI53">
    <cfRule type="cellIs" dxfId="14" priority="35" stopIfTrue="1" operator="greaterThan">
      <formula>0</formula>
    </cfRule>
  </conditionalFormatting>
  <conditionalFormatting sqref="AL45">
    <cfRule type="cellIs" dxfId="13" priority="12" stopIfTrue="1" operator="greaterThan">
      <formula>0</formula>
    </cfRule>
  </conditionalFormatting>
  <conditionalFormatting sqref="AN45:AO45">
    <cfRule type="cellIs" dxfId="12" priority="13" stopIfTrue="1" operator="greaterThan">
      <formula>0</formula>
    </cfRule>
  </conditionalFormatting>
  <conditionalFormatting sqref="AR57:AS57 AU57:AV57">
    <cfRule type="cellIs" dxfId="11" priority="16" stopIfTrue="1" operator="greaterThan">
      <formula>0</formula>
    </cfRule>
  </conditionalFormatting>
  <conditionalFormatting sqref="AR45:BB45">
    <cfRule type="cellIs" dxfId="10" priority="10" stopIfTrue="1" operator="greaterThan">
      <formula>0</formula>
    </cfRule>
  </conditionalFormatting>
  <conditionalFormatting sqref="AT57">
    <cfRule type="cellIs" dxfId="9" priority="3" stopIfTrue="1" operator="greaterThan">
      <formula>0</formula>
    </cfRule>
  </conditionalFormatting>
  <conditionalFormatting sqref="AU81:AY81">
    <cfRule type="cellIs" dxfId="8" priority="18" stopIfTrue="1" operator="greaterThan">
      <formula>0</formula>
    </cfRule>
  </conditionalFormatting>
  <conditionalFormatting sqref="AZ57:BA57 BC57:BE57">
    <cfRule type="cellIs" dxfId="7" priority="2" stopIfTrue="1" operator="greaterThan">
      <formula>0</formula>
    </cfRule>
  </conditionalFormatting>
  <conditionalFormatting sqref="BB81:BC81">
    <cfRule type="cellIs" dxfId="6" priority="11" stopIfTrue="1" operator="greaterThan">
      <formula>0</formula>
    </cfRule>
  </conditionalFormatting>
  <conditionalFormatting sqref="BF45">
    <cfRule type="cellIs" dxfId="5" priority="8" stopIfTrue="1" operator="greaterThan">
      <formula>0</formula>
    </cfRule>
  </conditionalFormatting>
  <conditionalFormatting sqref="BF81:BG81">
    <cfRule type="cellIs" dxfId="4" priority="9" stopIfTrue="1" operator="greaterThan">
      <formula>0</formula>
    </cfRule>
  </conditionalFormatting>
  <conditionalFormatting sqref="BJ45">
    <cfRule type="cellIs" dxfId="3" priority="6" stopIfTrue="1" operator="greaterThan">
      <formula>0</formula>
    </cfRule>
  </conditionalFormatting>
  <conditionalFormatting sqref="BJ81:BK81">
    <cfRule type="cellIs" dxfId="2" priority="7" stopIfTrue="1" operator="greaterThan">
      <formula>0</formula>
    </cfRule>
  </conditionalFormatting>
  <conditionalFormatting sqref="BN45">
    <cfRule type="cellIs" dxfId="1" priority="4" stopIfTrue="1" operator="greaterThan">
      <formula>0</formula>
    </cfRule>
  </conditionalFormatting>
  <conditionalFormatting sqref="BN81:BO81">
    <cfRule type="cellIs" dxfId="0" priority="5" stopIfTrue="1" operator="greaterThan">
      <formula>0</formula>
    </cfRule>
  </conditionalFormatting>
  <printOptions horizontalCentered="1"/>
  <pageMargins left="0.196850393700787" right="0.196850393700787" top="1.4468503939999999" bottom="0.196850393700787" header="0" footer="0.196850393700787"/>
  <pageSetup paperSize="8" scale="65" fitToHeight="0" orientation="landscape" r:id="rId1"/>
  <colBreaks count="1" manualBreakCount="1">
    <brk id="7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วิทยา โสมานันท์</cp:lastModifiedBy>
  <cp:revision/>
  <dcterms:created xsi:type="dcterms:W3CDTF">2022-03-30T06:21:44Z</dcterms:created>
  <dcterms:modified xsi:type="dcterms:W3CDTF">2026-02-12T15:22:29Z</dcterms:modified>
  <cp:category/>
  <cp:contentStatus/>
</cp:coreProperties>
</file>